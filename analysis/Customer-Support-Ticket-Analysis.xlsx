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8922b77815fafe/Documents/data analyst/customer analytics/"/>
    </mc:Choice>
  </mc:AlternateContent>
  <xr:revisionPtr revIDLastSave="469" documentId="8_{10534E52-773F-4C0B-B7C1-D8727722B945}" xr6:coauthVersionLast="47" xr6:coauthVersionMax="47" xr10:uidLastSave="{8F5D7F13-3A47-4592-8DC0-68618B142B01}"/>
  <bookViews>
    <workbookView xWindow="-108" yWindow="-108" windowWidth="23256" windowHeight="13896" xr2:uid="{F29CC1B1-9BA7-497A-A7B7-D8D3CD1189EE}"/>
  </bookViews>
  <sheets>
    <sheet name="Ticket Analysis" sheetId="3" r:id="rId1"/>
    <sheet name="Technical Support Dataset" sheetId="1" r:id="rId2"/>
    <sheet name="Data Audit" sheetId="2" r:id="rId3"/>
  </sheets>
  <calcPr calcId="191029"/>
  <pivotCaches>
    <pivotCache cacheId="6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4" i="1" l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" i="1"/>
  <c r="AC22" i="1"/>
  <c r="AC23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C1472" i="1"/>
  <c r="AC1473" i="1"/>
  <c r="AC1474" i="1"/>
  <c r="AC1475" i="1"/>
  <c r="AC1476" i="1"/>
  <c r="AC1477" i="1"/>
  <c r="AC1478" i="1"/>
  <c r="AC1479" i="1"/>
  <c r="AC1480" i="1"/>
  <c r="AC1481" i="1"/>
  <c r="AC1482" i="1"/>
  <c r="AC1483" i="1"/>
  <c r="AC1484" i="1"/>
  <c r="AC1485" i="1"/>
  <c r="AC1486" i="1"/>
  <c r="AC1487" i="1"/>
  <c r="AC1488" i="1"/>
  <c r="AC1489" i="1"/>
  <c r="AC1490" i="1"/>
  <c r="AC1491" i="1"/>
  <c r="AC1492" i="1"/>
  <c r="AC1493" i="1"/>
  <c r="AC1494" i="1"/>
  <c r="AC1495" i="1"/>
  <c r="AC1496" i="1"/>
  <c r="AC1497" i="1"/>
  <c r="AC1498" i="1"/>
  <c r="AC1499" i="1"/>
  <c r="AC1500" i="1"/>
  <c r="AC1501" i="1"/>
  <c r="AC1502" i="1"/>
  <c r="AC1503" i="1"/>
  <c r="AC1504" i="1"/>
  <c r="AC1505" i="1"/>
  <c r="AC1506" i="1"/>
  <c r="AC1507" i="1"/>
  <c r="AC1508" i="1"/>
  <c r="AC1509" i="1"/>
  <c r="AC1510" i="1"/>
  <c r="AC1511" i="1"/>
  <c r="AC1512" i="1"/>
  <c r="AC1513" i="1"/>
  <c r="AC1514" i="1"/>
  <c r="AC1515" i="1"/>
  <c r="AC1516" i="1"/>
  <c r="AC1517" i="1"/>
  <c r="AC1518" i="1"/>
  <c r="AC1519" i="1"/>
  <c r="AC1520" i="1"/>
  <c r="AC1521" i="1"/>
  <c r="AC1522" i="1"/>
  <c r="AC1523" i="1"/>
  <c r="AC1524" i="1"/>
  <c r="AC1525" i="1"/>
  <c r="AC1526" i="1"/>
  <c r="AC1527" i="1"/>
  <c r="AC1528" i="1"/>
  <c r="AC1529" i="1"/>
  <c r="AC1530" i="1"/>
  <c r="AC1531" i="1"/>
  <c r="AC1532" i="1"/>
  <c r="AC1533" i="1"/>
  <c r="AC1534" i="1"/>
  <c r="AC1535" i="1"/>
  <c r="AC1536" i="1"/>
  <c r="AC1537" i="1"/>
  <c r="AC1538" i="1"/>
  <c r="AC1539" i="1"/>
  <c r="AC1540" i="1"/>
  <c r="AC1541" i="1"/>
  <c r="AC1542" i="1"/>
  <c r="AC1543" i="1"/>
  <c r="AC1544" i="1"/>
  <c r="AC1545" i="1"/>
  <c r="AC1546" i="1"/>
  <c r="AC1547" i="1"/>
  <c r="AC1548" i="1"/>
  <c r="AC1549" i="1"/>
  <c r="AC1550" i="1"/>
  <c r="AC1551" i="1"/>
  <c r="AC1552" i="1"/>
  <c r="AC1553" i="1"/>
  <c r="AC1554" i="1"/>
  <c r="AC1555" i="1"/>
  <c r="AC1556" i="1"/>
  <c r="AC1557" i="1"/>
  <c r="AC1558" i="1"/>
  <c r="AC1559" i="1"/>
  <c r="AC1560" i="1"/>
  <c r="AC1561" i="1"/>
  <c r="AC1562" i="1"/>
  <c r="AC1563" i="1"/>
  <c r="AC1564" i="1"/>
  <c r="AC1565" i="1"/>
  <c r="AC1566" i="1"/>
  <c r="AC1567" i="1"/>
  <c r="AC1568" i="1"/>
  <c r="AC1569" i="1"/>
  <c r="AC1570" i="1"/>
  <c r="AC1571" i="1"/>
  <c r="AC1572" i="1"/>
  <c r="AC1573" i="1"/>
  <c r="AC1574" i="1"/>
  <c r="AC1575" i="1"/>
  <c r="AC1576" i="1"/>
  <c r="AC1577" i="1"/>
  <c r="AC1578" i="1"/>
  <c r="AC1579" i="1"/>
  <c r="AC1580" i="1"/>
  <c r="AC1581" i="1"/>
  <c r="AC1582" i="1"/>
  <c r="AC1583" i="1"/>
  <c r="AC1584" i="1"/>
  <c r="AC1585" i="1"/>
  <c r="AC1586" i="1"/>
  <c r="AC1587" i="1"/>
  <c r="AC1588" i="1"/>
  <c r="AC1589" i="1"/>
  <c r="AC1590" i="1"/>
  <c r="AC1591" i="1"/>
  <c r="AC1592" i="1"/>
  <c r="AC1593" i="1"/>
  <c r="AC1594" i="1"/>
  <c r="AC1595" i="1"/>
  <c r="AC1596" i="1"/>
  <c r="AC1597" i="1"/>
  <c r="AC1598" i="1"/>
  <c r="AC1599" i="1"/>
  <c r="AC1600" i="1"/>
  <c r="AC1601" i="1"/>
  <c r="AC1602" i="1"/>
  <c r="AC1603" i="1"/>
  <c r="AC1604" i="1"/>
  <c r="AC1605" i="1"/>
  <c r="AC1606" i="1"/>
  <c r="AC1607" i="1"/>
  <c r="AC1608" i="1"/>
  <c r="AC1609" i="1"/>
  <c r="AC1610" i="1"/>
  <c r="AC1611" i="1"/>
  <c r="AC1612" i="1"/>
  <c r="AC1613" i="1"/>
  <c r="AC1614" i="1"/>
  <c r="AC1615" i="1"/>
  <c r="AC1616" i="1"/>
  <c r="AC1617" i="1"/>
  <c r="AC1618" i="1"/>
  <c r="AC1619" i="1"/>
  <c r="AC1620" i="1"/>
  <c r="AC1621" i="1"/>
  <c r="AC1622" i="1"/>
  <c r="AC1623" i="1"/>
  <c r="AC1624" i="1"/>
  <c r="AC1625" i="1"/>
  <c r="AC1626" i="1"/>
  <c r="AC1627" i="1"/>
  <c r="AC1628" i="1"/>
  <c r="AC1629" i="1"/>
  <c r="AC1630" i="1"/>
  <c r="AC1631" i="1"/>
  <c r="AC1632" i="1"/>
  <c r="AC1633" i="1"/>
  <c r="AC1634" i="1"/>
  <c r="AC1635" i="1"/>
  <c r="AC1636" i="1"/>
  <c r="AC1637" i="1"/>
  <c r="AC1638" i="1"/>
  <c r="AC1639" i="1"/>
  <c r="AC1640" i="1"/>
  <c r="AC1641" i="1"/>
  <c r="AC1642" i="1"/>
  <c r="AC1643" i="1"/>
  <c r="AC1644" i="1"/>
  <c r="AC1645" i="1"/>
  <c r="AC1646" i="1"/>
  <c r="AC1647" i="1"/>
  <c r="AC1648" i="1"/>
  <c r="AC1649" i="1"/>
  <c r="AC1650" i="1"/>
  <c r="AC1651" i="1"/>
  <c r="AC1652" i="1"/>
  <c r="AC1653" i="1"/>
  <c r="AC1654" i="1"/>
  <c r="AC1655" i="1"/>
  <c r="AC1656" i="1"/>
  <c r="AC1657" i="1"/>
  <c r="AC1658" i="1"/>
  <c r="AC1659" i="1"/>
  <c r="AC1660" i="1"/>
  <c r="AC1661" i="1"/>
  <c r="AC1662" i="1"/>
  <c r="AC1663" i="1"/>
  <c r="AC1664" i="1"/>
  <c r="AC1665" i="1"/>
  <c r="AC1666" i="1"/>
  <c r="AC1667" i="1"/>
  <c r="AC1668" i="1"/>
  <c r="AC1669" i="1"/>
  <c r="AC1670" i="1"/>
  <c r="AC1671" i="1"/>
  <c r="AC1672" i="1"/>
  <c r="AC1673" i="1"/>
  <c r="AC1674" i="1"/>
  <c r="AC1675" i="1"/>
  <c r="AC1676" i="1"/>
  <c r="AC1677" i="1"/>
  <c r="AC1678" i="1"/>
  <c r="AC1679" i="1"/>
  <c r="AC1680" i="1"/>
  <c r="AC1681" i="1"/>
  <c r="AC1682" i="1"/>
  <c r="AC1683" i="1"/>
  <c r="AC1684" i="1"/>
  <c r="AC1685" i="1"/>
  <c r="AC1686" i="1"/>
  <c r="AC1687" i="1"/>
  <c r="AC1688" i="1"/>
  <c r="AC1689" i="1"/>
  <c r="AC1690" i="1"/>
  <c r="AC1691" i="1"/>
  <c r="AC1692" i="1"/>
  <c r="AC1693" i="1"/>
  <c r="AC1694" i="1"/>
  <c r="AC1695" i="1"/>
  <c r="AC1696" i="1"/>
  <c r="AC1697" i="1"/>
  <c r="AC1698" i="1"/>
  <c r="AC1699" i="1"/>
  <c r="AC1700" i="1"/>
  <c r="AC1701" i="1"/>
  <c r="AC1702" i="1"/>
  <c r="AC1703" i="1"/>
  <c r="AC1704" i="1"/>
  <c r="AC1705" i="1"/>
  <c r="AC1706" i="1"/>
  <c r="AC1707" i="1"/>
  <c r="AC1708" i="1"/>
  <c r="AC1709" i="1"/>
  <c r="AC1710" i="1"/>
  <c r="AC1711" i="1"/>
  <c r="AC1712" i="1"/>
  <c r="AC1713" i="1"/>
  <c r="AC1714" i="1"/>
  <c r="AC1715" i="1"/>
  <c r="AC1716" i="1"/>
  <c r="AC1717" i="1"/>
  <c r="AC1718" i="1"/>
  <c r="AC1719" i="1"/>
  <c r="AC1720" i="1"/>
  <c r="AC1721" i="1"/>
  <c r="AC1722" i="1"/>
  <c r="AC1723" i="1"/>
  <c r="AC1724" i="1"/>
  <c r="AC1725" i="1"/>
  <c r="AC1726" i="1"/>
  <c r="AC1727" i="1"/>
  <c r="AC1728" i="1"/>
  <c r="AC1729" i="1"/>
  <c r="AC1730" i="1"/>
  <c r="AC1731" i="1"/>
  <c r="AC1732" i="1"/>
  <c r="AC1733" i="1"/>
  <c r="AC1734" i="1"/>
  <c r="AC1735" i="1"/>
  <c r="AC1736" i="1"/>
  <c r="AC1737" i="1"/>
  <c r="AC1738" i="1"/>
  <c r="AC1739" i="1"/>
  <c r="AC1740" i="1"/>
  <c r="AC1741" i="1"/>
  <c r="AC1742" i="1"/>
  <c r="AC1743" i="1"/>
  <c r="AC1744" i="1"/>
  <c r="AC1745" i="1"/>
  <c r="AC1746" i="1"/>
  <c r="AC1747" i="1"/>
  <c r="AC1748" i="1"/>
  <c r="AC1749" i="1"/>
  <c r="AC1750" i="1"/>
  <c r="AC1751" i="1"/>
  <c r="AC1752" i="1"/>
  <c r="AC1753" i="1"/>
  <c r="AC1754" i="1"/>
  <c r="AC1755" i="1"/>
  <c r="AC1756" i="1"/>
  <c r="AC1757" i="1"/>
  <c r="AC1758" i="1"/>
  <c r="AC1759" i="1"/>
  <c r="AC1760" i="1"/>
  <c r="AC1761" i="1"/>
  <c r="AC1762" i="1"/>
  <c r="AC1763" i="1"/>
  <c r="AC1764" i="1"/>
  <c r="AC1765" i="1"/>
  <c r="AC1766" i="1"/>
  <c r="AC1767" i="1"/>
  <c r="AC1768" i="1"/>
  <c r="AC1769" i="1"/>
  <c r="AC1770" i="1"/>
  <c r="AC1771" i="1"/>
  <c r="AC1772" i="1"/>
  <c r="AC1773" i="1"/>
  <c r="AC1774" i="1"/>
  <c r="AC1775" i="1"/>
  <c r="AC1776" i="1"/>
  <c r="AC1777" i="1"/>
  <c r="AC1778" i="1"/>
  <c r="AC1779" i="1"/>
  <c r="AC1780" i="1"/>
  <c r="AC1781" i="1"/>
  <c r="AC1782" i="1"/>
  <c r="AC1783" i="1"/>
  <c r="AC1784" i="1"/>
  <c r="AC1785" i="1"/>
  <c r="AC1786" i="1"/>
  <c r="AC1787" i="1"/>
  <c r="AC1788" i="1"/>
  <c r="AC1789" i="1"/>
  <c r="AC1790" i="1"/>
  <c r="AC1791" i="1"/>
  <c r="AC1792" i="1"/>
  <c r="AC1793" i="1"/>
  <c r="AC1794" i="1"/>
  <c r="AC1795" i="1"/>
  <c r="AC1796" i="1"/>
  <c r="AC1797" i="1"/>
  <c r="AC1798" i="1"/>
  <c r="AC1799" i="1"/>
  <c r="AC1800" i="1"/>
  <c r="AC1801" i="1"/>
  <c r="AC1802" i="1"/>
  <c r="AC1803" i="1"/>
  <c r="AC1804" i="1"/>
  <c r="AC1805" i="1"/>
  <c r="AC1806" i="1"/>
  <c r="AC1807" i="1"/>
  <c r="AC1808" i="1"/>
  <c r="AC1809" i="1"/>
  <c r="AC1810" i="1"/>
  <c r="AC1811" i="1"/>
  <c r="AC1812" i="1"/>
  <c r="AC1813" i="1"/>
  <c r="AC1814" i="1"/>
  <c r="AC1815" i="1"/>
  <c r="AC1816" i="1"/>
  <c r="AC1817" i="1"/>
  <c r="AC1818" i="1"/>
  <c r="AC1819" i="1"/>
  <c r="AC1820" i="1"/>
  <c r="AC1821" i="1"/>
  <c r="AC1822" i="1"/>
  <c r="AC1823" i="1"/>
  <c r="AC1824" i="1"/>
  <c r="AC1825" i="1"/>
  <c r="AC1826" i="1"/>
  <c r="AC1827" i="1"/>
  <c r="AC1828" i="1"/>
  <c r="AC1829" i="1"/>
  <c r="AC1830" i="1"/>
  <c r="AC1831" i="1"/>
  <c r="AC1832" i="1"/>
  <c r="AC1833" i="1"/>
  <c r="AC1834" i="1"/>
  <c r="AC1835" i="1"/>
  <c r="AC1836" i="1"/>
  <c r="AC1837" i="1"/>
  <c r="AC1838" i="1"/>
  <c r="AC1839" i="1"/>
  <c r="AC1840" i="1"/>
  <c r="AC1841" i="1"/>
  <c r="AC1842" i="1"/>
  <c r="AC1843" i="1"/>
  <c r="AC1844" i="1"/>
  <c r="AC1845" i="1"/>
  <c r="AC1846" i="1"/>
  <c r="AC1847" i="1"/>
  <c r="AC1848" i="1"/>
  <c r="AC1849" i="1"/>
  <c r="AC1850" i="1"/>
  <c r="AC1851" i="1"/>
  <c r="AC1852" i="1"/>
  <c r="AC1853" i="1"/>
  <c r="AC1854" i="1"/>
  <c r="AC1855" i="1"/>
  <c r="AC1856" i="1"/>
  <c r="AC1857" i="1"/>
  <c r="AC1858" i="1"/>
  <c r="AC1859" i="1"/>
  <c r="AC1860" i="1"/>
  <c r="AC1861" i="1"/>
  <c r="AC1862" i="1"/>
  <c r="AC1863" i="1"/>
  <c r="AC1864" i="1"/>
  <c r="AC1865" i="1"/>
  <c r="AC1866" i="1"/>
  <c r="AC1867" i="1"/>
  <c r="AC1868" i="1"/>
  <c r="AC1869" i="1"/>
  <c r="AC1870" i="1"/>
  <c r="AC1871" i="1"/>
  <c r="AC1872" i="1"/>
  <c r="AC1873" i="1"/>
  <c r="AC1874" i="1"/>
  <c r="AC1875" i="1"/>
  <c r="AC1876" i="1"/>
  <c r="AC1877" i="1"/>
  <c r="AC1878" i="1"/>
  <c r="AC1879" i="1"/>
  <c r="AC1880" i="1"/>
  <c r="AC1881" i="1"/>
  <c r="AC1882" i="1"/>
  <c r="AC1883" i="1"/>
  <c r="AC1884" i="1"/>
  <c r="AC1885" i="1"/>
  <c r="AC1886" i="1"/>
  <c r="AC1887" i="1"/>
  <c r="AC1888" i="1"/>
  <c r="AC1889" i="1"/>
  <c r="AC1890" i="1"/>
  <c r="AC1891" i="1"/>
  <c r="AC1892" i="1"/>
  <c r="AC1893" i="1"/>
  <c r="AC1894" i="1"/>
  <c r="AC1895" i="1"/>
  <c r="AC1896" i="1"/>
  <c r="AC1897" i="1"/>
  <c r="AC1898" i="1"/>
  <c r="AC1899" i="1"/>
  <c r="AC1900" i="1"/>
  <c r="AC1901" i="1"/>
  <c r="AC1902" i="1"/>
  <c r="AC1903" i="1"/>
  <c r="AC1904" i="1"/>
  <c r="AC1905" i="1"/>
  <c r="AC1906" i="1"/>
  <c r="AC1907" i="1"/>
  <c r="AC1908" i="1"/>
  <c r="AC1909" i="1"/>
  <c r="AC1910" i="1"/>
  <c r="AC1911" i="1"/>
  <c r="AC1912" i="1"/>
  <c r="AC1913" i="1"/>
  <c r="AC1914" i="1"/>
  <c r="AC1915" i="1"/>
  <c r="AC1916" i="1"/>
  <c r="AC1917" i="1"/>
  <c r="AC1918" i="1"/>
  <c r="AC1919" i="1"/>
  <c r="AC1920" i="1"/>
  <c r="AC1921" i="1"/>
  <c r="AC1922" i="1"/>
  <c r="AC1923" i="1"/>
  <c r="AC1924" i="1"/>
  <c r="AC1925" i="1"/>
  <c r="AC1926" i="1"/>
  <c r="AC1927" i="1"/>
  <c r="AC1928" i="1"/>
  <c r="AC1929" i="1"/>
  <c r="AC1930" i="1"/>
  <c r="AC1931" i="1"/>
  <c r="AC1932" i="1"/>
  <c r="AC1933" i="1"/>
  <c r="AC1934" i="1"/>
  <c r="AC1935" i="1"/>
  <c r="AC1936" i="1"/>
  <c r="AC1937" i="1"/>
  <c r="AC1938" i="1"/>
  <c r="AC1939" i="1"/>
  <c r="AC1940" i="1"/>
  <c r="AC1941" i="1"/>
  <c r="AC1942" i="1"/>
  <c r="AC1943" i="1"/>
  <c r="AC1944" i="1"/>
  <c r="AC1945" i="1"/>
  <c r="AC1946" i="1"/>
  <c r="AC1947" i="1"/>
  <c r="AC1948" i="1"/>
  <c r="AC1949" i="1"/>
  <c r="AC1950" i="1"/>
  <c r="AC1951" i="1"/>
  <c r="AC1952" i="1"/>
  <c r="AC1953" i="1"/>
  <c r="AC1954" i="1"/>
  <c r="AC1955" i="1"/>
  <c r="AC1956" i="1"/>
  <c r="AC1957" i="1"/>
  <c r="AC1958" i="1"/>
  <c r="AC1959" i="1"/>
  <c r="AC1960" i="1"/>
  <c r="AC1961" i="1"/>
  <c r="AC1962" i="1"/>
  <c r="AC1963" i="1"/>
  <c r="AC1964" i="1"/>
  <c r="AC1965" i="1"/>
  <c r="AC1966" i="1"/>
  <c r="AC1967" i="1"/>
  <c r="AC1968" i="1"/>
  <c r="AC1969" i="1"/>
  <c r="AC1970" i="1"/>
  <c r="AC1971" i="1"/>
  <c r="AC1972" i="1"/>
  <c r="AC1973" i="1"/>
  <c r="AC1974" i="1"/>
  <c r="AC1975" i="1"/>
  <c r="AC1976" i="1"/>
  <c r="AC1977" i="1"/>
  <c r="AC1978" i="1"/>
  <c r="AC1979" i="1"/>
  <c r="AC1980" i="1"/>
  <c r="AC1981" i="1"/>
  <c r="AC1982" i="1"/>
  <c r="AC1983" i="1"/>
  <c r="AC1984" i="1"/>
  <c r="AC1985" i="1"/>
  <c r="AC1986" i="1"/>
  <c r="AC1987" i="1"/>
  <c r="AC1988" i="1"/>
  <c r="AC1989" i="1"/>
  <c r="AC1990" i="1"/>
  <c r="AC1991" i="1"/>
  <c r="AC1992" i="1"/>
  <c r="AC1993" i="1"/>
  <c r="AC1994" i="1"/>
  <c r="AC1995" i="1"/>
  <c r="AC1996" i="1"/>
  <c r="AC1997" i="1"/>
  <c r="AC1998" i="1"/>
  <c r="AC1999" i="1"/>
  <c r="AC2000" i="1"/>
  <c r="AC2001" i="1"/>
  <c r="AC2002" i="1"/>
  <c r="AC2003" i="1"/>
  <c r="AC2004" i="1"/>
  <c r="AC2005" i="1"/>
  <c r="AC2006" i="1"/>
  <c r="AC2007" i="1"/>
  <c r="AC2008" i="1"/>
  <c r="AC2009" i="1"/>
  <c r="AC2010" i="1"/>
  <c r="AC2011" i="1"/>
  <c r="AC2012" i="1"/>
  <c r="AC2013" i="1"/>
  <c r="AC2014" i="1"/>
  <c r="AC2015" i="1"/>
  <c r="AC2016" i="1"/>
  <c r="AC2017" i="1"/>
  <c r="AC2018" i="1"/>
  <c r="AC2019" i="1"/>
  <c r="AC2020" i="1"/>
  <c r="AC2021" i="1"/>
  <c r="AC2022" i="1"/>
  <c r="AC2023" i="1"/>
  <c r="AC2024" i="1"/>
  <c r="AC2025" i="1"/>
  <c r="AC2026" i="1"/>
  <c r="AC2027" i="1"/>
  <c r="AC2028" i="1"/>
  <c r="AC2029" i="1"/>
  <c r="AC2030" i="1"/>
  <c r="AC2031" i="1"/>
  <c r="AC2032" i="1"/>
  <c r="AC2033" i="1"/>
  <c r="AC2034" i="1"/>
  <c r="AC2035" i="1"/>
  <c r="AC2036" i="1"/>
  <c r="AC2037" i="1"/>
  <c r="AC2038" i="1"/>
  <c r="AC2039" i="1"/>
  <c r="AC2040" i="1"/>
  <c r="AC2041" i="1"/>
  <c r="AC2042" i="1"/>
  <c r="AC2043" i="1"/>
  <c r="AC2044" i="1"/>
  <c r="AC2045" i="1"/>
  <c r="AC2046" i="1"/>
  <c r="AC2047" i="1"/>
  <c r="AC2048" i="1"/>
  <c r="AC2049" i="1"/>
  <c r="AC2050" i="1"/>
  <c r="AC2051" i="1"/>
  <c r="AC2052" i="1"/>
  <c r="AC2053" i="1"/>
  <c r="AC2054" i="1"/>
  <c r="AC2055" i="1"/>
  <c r="AC2056" i="1"/>
  <c r="AC2057" i="1"/>
  <c r="AC2058" i="1"/>
  <c r="AC2059" i="1"/>
  <c r="AC2060" i="1"/>
  <c r="AC2061" i="1"/>
  <c r="AC2062" i="1"/>
  <c r="AC2063" i="1"/>
  <c r="AC2064" i="1"/>
  <c r="AC2065" i="1"/>
  <c r="AC2066" i="1"/>
  <c r="AC2067" i="1"/>
  <c r="AC2068" i="1"/>
  <c r="AC2069" i="1"/>
  <c r="AC2070" i="1"/>
  <c r="AC2071" i="1"/>
  <c r="AC2072" i="1"/>
  <c r="AC2073" i="1"/>
  <c r="AC2074" i="1"/>
  <c r="AC2075" i="1"/>
  <c r="AC2076" i="1"/>
  <c r="AC2077" i="1"/>
  <c r="AC2078" i="1"/>
  <c r="AC2079" i="1"/>
  <c r="AC2080" i="1"/>
  <c r="AC2081" i="1"/>
  <c r="AC2082" i="1"/>
  <c r="AC2083" i="1"/>
  <c r="AC2084" i="1"/>
  <c r="AC2085" i="1"/>
  <c r="AC2086" i="1"/>
  <c r="AC2087" i="1"/>
  <c r="AC2088" i="1"/>
  <c r="AC2089" i="1"/>
  <c r="AC2090" i="1"/>
  <c r="AC2091" i="1"/>
  <c r="AC2092" i="1"/>
  <c r="AC2093" i="1"/>
  <c r="AC2094" i="1"/>
  <c r="AC2095" i="1"/>
  <c r="AC2096" i="1"/>
  <c r="AC2097" i="1"/>
  <c r="AC2098" i="1"/>
  <c r="AC2099" i="1"/>
  <c r="AC2100" i="1"/>
  <c r="AC2101" i="1"/>
  <c r="AC2102" i="1"/>
  <c r="AC2103" i="1"/>
  <c r="AC2104" i="1"/>
  <c r="AC2105" i="1"/>
  <c r="AC2106" i="1"/>
  <c r="AC2107" i="1"/>
  <c r="AC2108" i="1"/>
  <c r="AC2109" i="1"/>
  <c r="AC2110" i="1"/>
  <c r="AC2111" i="1"/>
  <c r="AC2112" i="1"/>
  <c r="AC2113" i="1"/>
  <c r="AC2114" i="1"/>
  <c r="AC2115" i="1"/>
  <c r="AC2116" i="1"/>
  <c r="AC2117" i="1"/>
  <c r="AC2118" i="1"/>
  <c r="AC2119" i="1"/>
  <c r="AC2120" i="1"/>
  <c r="AC2121" i="1"/>
  <c r="AC2122" i="1"/>
  <c r="AC2123" i="1"/>
  <c r="AC2124" i="1"/>
  <c r="AC2125" i="1"/>
  <c r="AC2126" i="1"/>
  <c r="AC2127" i="1"/>
  <c r="AC2128" i="1"/>
  <c r="AC2129" i="1"/>
  <c r="AC2130" i="1"/>
  <c r="AC2131" i="1"/>
  <c r="AC2132" i="1"/>
  <c r="AC2133" i="1"/>
  <c r="AC2134" i="1"/>
  <c r="AC2135" i="1"/>
  <c r="AC2136" i="1"/>
  <c r="AC2137" i="1"/>
  <c r="AC2138" i="1"/>
  <c r="AC2139" i="1"/>
  <c r="AC2140" i="1"/>
  <c r="AC2141" i="1"/>
  <c r="AC2142" i="1"/>
  <c r="AC2143" i="1"/>
  <c r="AC2144" i="1"/>
  <c r="AC2145" i="1"/>
  <c r="AC2146" i="1"/>
  <c r="AC2147" i="1"/>
  <c r="AC2148" i="1"/>
  <c r="AC2149" i="1"/>
  <c r="AC2150" i="1"/>
  <c r="AC2151" i="1"/>
  <c r="AC2152" i="1"/>
  <c r="AC2153" i="1"/>
  <c r="AC2154" i="1"/>
  <c r="AC2155" i="1"/>
  <c r="AC2156" i="1"/>
  <c r="AC2157" i="1"/>
  <c r="AC2158" i="1"/>
  <c r="AC2159" i="1"/>
  <c r="AC2160" i="1"/>
  <c r="AC2161" i="1"/>
  <c r="AC2162" i="1"/>
  <c r="AC2163" i="1"/>
  <c r="AC2164" i="1"/>
  <c r="AC2165" i="1"/>
  <c r="AC2166" i="1"/>
  <c r="AC2167" i="1"/>
  <c r="AC2168" i="1"/>
  <c r="AC2169" i="1"/>
  <c r="AC2170" i="1"/>
  <c r="AC2171" i="1"/>
  <c r="AC2172" i="1"/>
  <c r="AC2173" i="1"/>
  <c r="AC2174" i="1"/>
  <c r="AC2175" i="1"/>
  <c r="AC2176" i="1"/>
  <c r="AC2177" i="1"/>
  <c r="AC2178" i="1"/>
  <c r="AC2179" i="1"/>
  <c r="AC2180" i="1"/>
  <c r="AC2181" i="1"/>
  <c r="AC2182" i="1"/>
  <c r="AC2183" i="1"/>
  <c r="AC2184" i="1"/>
  <c r="AC2185" i="1"/>
  <c r="AC2186" i="1"/>
  <c r="AC2187" i="1"/>
  <c r="AC2188" i="1"/>
  <c r="AC2189" i="1"/>
  <c r="AC2190" i="1"/>
  <c r="AC2191" i="1"/>
  <c r="AC2192" i="1"/>
  <c r="AC2193" i="1"/>
  <c r="AC2194" i="1"/>
  <c r="AC2195" i="1"/>
  <c r="AC2196" i="1"/>
  <c r="AC2197" i="1"/>
  <c r="AC2198" i="1"/>
  <c r="AC2199" i="1"/>
  <c r="AC2200" i="1"/>
  <c r="AC2201" i="1"/>
  <c r="AC2202" i="1"/>
  <c r="AC2203" i="1"/>
  <c r="AC2204" i="1"/>
  <c r="AC2205" i="1"/>
  <c r="AC2206" i="1"/>
  <c r="AC2207" i="1"/>
  <c r="AC2208" i="1"/>
  <c r="AC2209" i="1"/>
  <c r="AC2210" i="1"/>
  <c r="AC2211" i="1"/>
  <c r="AC2212" i="1"/>
  <c r="AC2213" i="1"/>
  <c r="AC2214" i="1"/>
  <c r="AC2215" i="1"/>
  <c r="AC2216" i="1"/>
  <c r="AC2217" i="1"/>
  <c r="AC2218" i="1"/>
  <c r="AC2219" i="1"/>
  <c r="AC2220" i="1"/>
  <c r="AC2221" i="1"/>
  <c r="AC2222" i="1"/>
  <c r="AC2223" i="1"/>
  <c r="AC2224" i="1"/>
  <c r="AC2225" i="1"/>
  <c r="AC2226" i="1"/>
  <c r="AC2227" i="1"/>
  <c r="AC2228" i="1"/>
  <c r="AC2229" i="1"/>
  <c r="AC2230" i="1"/>
  <c r="AC2231" i="1"/>
  <c r="AC2232" i="1"/>
  <c r="AC2233" i="1"/>
  <c r="AC2234" i="1"/>
  <c r="AC2235" i="1"/>
  <c r="AC2236" i="1"/>
  <c r="AC2237" i="1"/>
  <c r="AC2238" i="1"/>
  <c r="AC2239" i="1"/>
  <c r="AC2240" i="1"/>
  <c r="AC2241" i="1"/>
  <c r="AC2242" i="1"/>
  <c r="AC2243" i="1"/>
  <c r="AC2244" i="1"/>
  <c r="AC2245" i="1"/>
  <c r="AC2246" i="1"/>
  <c r="AC2247" i="1"/>
  <c r="AC2248" i="1"/>
  <c r="AC2249" i="1"/>
  <c r="AC2250" i="1"/>
  <c r="AC2251" i="1"/>
  <c r="AC2252" i="1"/>
  <c r="AC2253" i="1"/>
  <c r="AC2254" i="1"/>
  <c r="AC2255" i="1"/>
  <c r="AC2256" i="1"/>
  <c r="AC2257" i="1"/>
  <c r="AC2258" i="1"/>
  <c r="AC2259" i="1"/>
  <c r="AC2260" i="1"/>
  <c r="AC2261" i="1"/>
  <c r="AC2262" i="1"/>
  <c r="AC2263" i="1"/>
  <c r="AC2264" i="1"/>
  <c r="AC2265" i="1"/>
  <c r="AC2266" i="1"/>
  <c r="AC2267" i="1"/>
  <c r="AC2268" i="1"/>
  <c r="AC2269" i="1"/>
  <c r="AC2270" i="1"/>
  <c r="AC2271" i="1"/>
  <c r="AC2272" i="1"/>
  <c r="AC2273" i="1"/>
  <c r="AC2274" i="1"/>
  <c r="AC2275" i="1"/>
  <c r="AC2276" i="1"/>
  <c r="AC2277" i="1"/>
  <c r="AC2278" i="1"/>
  <c r="AC2279" i="1"/>
  <c r="AC2280" i="1"/>
  <c r="AC2281" i="1"/>
  <c r="AC2282" i="1"/>
  <c r="AC2283" i="1"/>
  <c r="AC2284" i="1"/>
  <c r="AC2285" i="1"/>
  <c r="AC2286" i="1"/>
  <c r="AC2287" i="1"/>
  <c r="AC2288" i="1"/>
  <c r="AC2289" i="1"/>
  <c r="AC2290" i="1"/>
  <c r="AC2291" i="1"/>
  <c r="AC2292" i="1"/>
  <c r="AC2293" i="1"/>
  <c r="AC2294" i="1"/>
  <c r="AC2295" i="1"/>
  <c r="AC2296" i="1"/>
  <c r="AC2297" i="1"/>
  <c r="AC2298" i="1"/>
  <c r="AC2299" i="1"/>
  <c r="AC2300" i="1"/>
  <c r="AC2301" i="1"/>
  <c r="AC2302" i="1"/>
  <c r="AC2303" i="1"/>
  <c r="AC2304" i="1"/>
  <c r="AC2305" i="1"/>
  <c r="AC2306" i="1"/>
  <c r="AC2307" i="1"/>
  <c r="AC2308" i="1"/>
  <c r="AC2309" i="1"/>
  <c r="AC2310" i="1"/>
  <c r="AC2311" i="1"/>
  <c r="AC2312" i="1"/>
  <c r="AC2313" i="1"/>
  <c r="AC2314" i="1"/>
  <c r="AC2315" i="1"/>
  <c r="AC2316" i="1"/>
  <c r="AC2317" i="1"/>
  <c r="AC2318" i="1"/>
  <c r="AC2319" i="1"/>
  <c r="AC2320" i="1"/>
  <c r="AC2321" i="1"/>
  <c r="AC2322" i="1"/>
  <c r="AC2323" i="1"/>
  <c r="AC2324" i="1"/>
  <c r="AC2325" i="1"/>
  <c r="AC2326" i="1"/>
  <c r="AC2327" i="1"/>
  <c r="AC2328" i="1"/>
  <c r="AC2329" i="1"/>
  <c r="AC2330" i="1"/>
  <c r="AC2331" i="1"/>
  <c r="AB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A2" i="1"/>
  <c r="AA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B22" i="2"/>
  <c r="B21" i="2"/>
  <c r="Q2332" i="1"/>
  <c r="B20" i="2"/>
  <c r="B19" i="2"/>
  <c r="Z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2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O2332" i="1"/>
  <c r="M2332" i="1"/>
  <c r="K2332" i="1"/>
  <c r="J2332" i="1"/>
  <c r="I2332" i="1"/>
  <c r="H2332" i="1"/>
  <c r="B11" i="2"/>
  <c r="B10" i="2"/>
  <c r="B9" i="2"/>
  <c r="B8" i="2"/>
  <c r="B7" i="2"/>
  <c r="B6" i="2"/>
  <c r="B5" i="2"/>
  <c r="B3" i="2"/>
  <c r="B2" i="2"/>
  <c r="B23" i="2" l="1"/>
  <c r="B27" i="2"/>
  <c r="B25" i="2"/>
  <c r="B18" i="2"/>
  <c r="B24" i="2"/>
  <c r="B26" i="2"/>
  <c r="B16" i="2"/>
  <c r="B17" i="2" s="1"/>
  <c r="B15" i="2"/>
  <c r="B13" i="2"/>
  <c r="B14" i="2" s="1"/>
  <c r="B12" i="2"/>
  <c r="B4" i="2"/>
</calcChain>
</file>

<file path=xl/sharedStrings.xml><?xml version="1.0" encoding="utf-8"?>
<sst xmlns="http://schemas.openxmlformats.org/spreadsheetml/2006/main" count="26039" uniqueCount="138">
  <si>
    <t>Status</t>
  </si>
  <si>
    <t>Ticket ID</t>
  </si>
  <si>
    <t>Priority</t>
  </si>
  <si>
    <t>Source</t>
  </si>
  <si>
    <t>Topic</t>
  </si>
  <si>
    <t>Agent Group</t>
  </si>
  <si>
    <t>Agent Name</t>
  </si>
  <si>
    <t>Created time</t>
  </si>
  <si>
    <t>Expected SLA to resolve</t>
  </si>
  <si>
    <t>Expected SLA to first response</t>
  </si>
  <si>
    <t>First response time</t>
  </si>
  <si>
    <t>SLA For first response</t>
  </si>
  <si>
    <t>Resolution time</t>
  </si>
  <si>
    <t>SLA For Resolution</t>
  </si>
  <si>
    <t>Close time</t>
  </si>
  <si>
    <t>Agent interactions</t>
  </si>
  <si>
    <t>Survey results</t>
  </si>
  <si>
    <t>Product group</t>
  </si>
  <si>
    <t>Support Level</t>
  </si>
  <si>
    <t>Country</t>
  </si>
  <si>
    <t>Latitude</t>
  </si>
  <si>
    <t>Longitude</t>
  </si>
  <si>
    <t>Closed</t>
  </si>
  <si>
    <t>Low</t>
  </si>
  <si>
    <t>Email</t>
  </si>
  <si>
    <t>Feature request</t>
  </si>
  <si>
    <t>1st line support</t>
  </si>
  <si>
    <t>Kristos Westoll</t>
  </si>
  <si>
    <t>Within SLA</t>
  </si>
  <si>
    <t>Custom software development</t>
  </si>
  <si>
    <t>Tier 1</t>
  </si>
  <si>
    <t>Republic of Ireland</t>
  </si>
  <si>
    <t>In progress</t>
  </si>
  <si>
    <t>High</t>
  </si>
  <si>
    <t>Phone</t>
  </si>
  <si>
    <t>Product setup</t>
  </si>
  <si>
    <t>2nd line support</t>
  </si>
  <si>
    <t>Adolpho Messingham</t>
  </si>
  <si>
    <t>SLA Violated</t>
  </si>
  <si>
    <t>Other</t>
  </si>
  <si>
    <t>Tier 2</t>
  </si>
  <si>
    <t>Italy</t>
  </si>
  <si>
    <t>Resolved</t>
  </si>
  <si>
    <t>Chat</t>
  </si>
  <si>
    <t>Purchasing and invoicing</t>
  </si>
  <si>
    <t>Bernard Beckley</t>
  </si>
  <si>
    <t>Austria</t>
  </si>
  <si>
    <t>Medium</t>
  </si>
  <si>
    <t>Pricing and licensing</t>
  </si>
  <si>
    <t>Connor Danielovitch</t>
  </si>
  <si>
    <t>Ready to use Software</t>
  </si>
  <si>
    <t>Spain</t>
  </si>
  <si>
    <t>Sheela Cutten</t>
  </si>
  <si>
    <t>Greece</t>
  </si>
  <si>
    <t>Michele Whyatt</t>
  </si>
  <si>
    <t>Training and Consulting Services</t>
  </si>
  <si>
    <t>Poland</t>
  </si>
  <si>
    <t>Germany</t>
  </si>
  <si>
    <t>Czech Republic</t>
  </si>
  <si>
    <t>Bug report</t>
  </si>
  <si>
    <t>Nicola Wane</t>
  </si>
  <si>
    <t>Bulgaria</t>
  </si>
  <si>
    <t>Training request</t>
  </si>
  <si>
    <t>United Kingdom</t>
  </si>
  <si>
    <t>Heather Urry</t>
  </si>
  <si>
    <t>Slovenia</t>
  </si>
  <si>
    <t>France</t>
  </si>
  <si>
    <t>Pricing and Licensing</t>
  </si>
  <si>
    <t>Open</t>
  </si>
  <si>
    <t>Data Quality Chcek</t>
  </si>
  <si>
    <t>Result</t>
  </si>
  <si>
    <t>Total records</t>
  </si>
  <si>
    <t>Unique Ticket id</t>
  </si>
  <si>
    <t>Duplicate Ticket id</t>
  </si>
  <si>
    <t xml:space="preserve">Missing Priority </t>
  </si>
  <si>
    <t>Missing Status</t>
  </si>
  <si>
    <t>Missing Agent Name</t>
  </si>
  <si>
    <t>Missing Resolution Time</t>
  </si>
  <si>
    <t>In Progress Tickets</t>
  </si>
  <si>
    <t>Valid - Open/In Progress tickets</t>
  </si>
  <si>
    <t>Missing survey results</t>
  </si>
  <si>
    <t>Survey Response</t>
  </si>
  <si>
    <t>Survey Response Rate</t>
  </si>
  <si>
    <t>Response Time check</t>
  </si>
  <si>
    <t>Invalid first response time</t>
  </si>
  <si>
    <t>Resolution time before created time</t>
  </si>
  <si>
    <t>First response before created time</t>
  </si>
  <si>
    <t>Close Time check</t>
  </si>
  <si>
    <t>Close time before resolution</t>
  </si>
  <si>
    <t>invalid close time rate</t>
  </si>
  <si>
    <t>Resolved/closed but missing resolution time</t>
  </si>
  <si>
    <t>closed/resolved missing resolution time</t>
  </si>
  <si>
    <t>minimum survey score</t>
  </si>
  <si>
    <t>maximum survey score</t>
  </si>
  <si>
    <t>minimum agent interactions</t>
  </si>
  <si>
    <t>maximum agent interactions</t>
  </si>
  <si>
    <t>First response SLA check</t>
  </si>
  <si>
    <t>First response SLA check - "check"</t>
  </si>
  <si>
    <t>First response SLA check - "OK"</t>
  </si>
  <si>
    <t>First response SLA check - "no response"</t>
  </si>
  <si>
    <t>resolution SLA check - "ok"</t>
  </si>
  <si>
    <t>resolution SLA check - "no resolution"</t>
  </si>
  <si>
    <t>Row Labels</t>
  </si>
  <si>
    <t>Grand Total</t>
  </si>
  <si>
    <t>Count of Ticket ID</t>
  </si>
  <si>
    <t>Count of Ticket ID2</t>
  </si>
  <si>
    <t>Resolution SLA check</t>
  </si>
  <si>
    <t>no resolution</t>
  </si>
  <si>
    <t>ok</t>
  </si>
  <si>
    <t>Issue</t>
  </si>
  <si>
    <t>Decision</t>
  </si>
  <si>
    <t>Exclude from response-duration calculationa</t>
  </si>
  <si>
    <t>Close before resolution</t>
  </si>
  <si>
    <t>exclude from close duration analysis</t>
  </si>
  <si>
    <t>missing resolution time</t>
  </si>
  <si>
    <t>represent unresolved tickets</t>
  </si>
  <si>
    <t>missing survey results</t>
  </si>
  <si>
    <t>exclude from CSAT calculation</t>
  </si>
  <si>
    <t>Column Labels</t>
  </si>
  <si>
    <t>Total Count of Ticket ID</t>
  </si>
  <si>
    <t>Total Count of Ticket ID2</t>
  </si>
  <si>
    <t>Resolution Hours</t>
  </si>
  <si>
    <t>Average of Resolution Hours</t>
  </si>
  <si>
    <t>Average of Survey results</t>
  </si>
  <si>
    <t>Count of Survey results</t>
  </si>
  <si>
    <t>Average of Agent interactions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</si>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</sst>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22" fontId="0" fillId="0" borderId="0" xfId="0" applyNumberFormat="1"/>
    <xf numFmtId="47" fontId="0" fillId="0" borderId="0" xfId="0" applyNumberFormat="1"/>
    <xf numFmtId="10" fontId="0" fillId="0" borderId="0" xfId="0" applyNumberFormat="1"/>
    <xf numFmtId="0" fontId="0" fillId="0" borderId="0" xfId="0" applyNumberFormat="1"/>
    <xf numFmtId="1" fontId="0" fillId="0" borderId="0" xfId="42" applyNumberFormat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33" borderId="0" xfId="0" applyFill="1"/>
    <xf numFmtId="0" fontId="16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3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9" formatCode="mm:ss.0"/>
    </dxf>
    <dxf>
      <numFmt numFmtId="29" formatCode="mm:ss.0"/>
    </dxf>
    <dxf>
      <numFmt numFmtId="29" formatCode="mm:ss.0"/>
    </dxf>
    <dxf>
      <numFmt numFmtId="29" formatCode="mm:ss.0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ha Mali" refreshedDate="46246.75743553241" createdVersion="8" refreshedVersion="8" minRefreshableVersion="3" recordCount="2330" xr:uid="{C89B5052-D83D-4988-80C0-76FB1A0EDF3B}">
  <cacheSource type="worksheet">
    <worksheetSource name="SupportTickets"/>
  </cacheSource>
  <cacheFields count="31">
    <cacheField name="Status" numFmtId="0">
      <sharedItems count="4">
        <s v="Closed"/>
        <s v="In progress"/>
        <s v="Resolved"/>
        <s v="Open"/>
      </sharedItems>
    </cacheField>
    <cacheField name="Ticket ID" numFmtId="0">
      <sharedItems containsSemiMixedTypes="0" containsString="0" containsNumber="1" containsInteger="1" minValue="1012" maxValue="3999"/>
    </cacheField>
    <cacheField name="Priority" numFmtId="0">
      <sharedItems count="3">
        <s v="Low"/>
        <s v="High"/>
        <s v="Medium"/>
      </sharedItems>
    </cacheField>
    <cacheField name="Source" numFmtId="0">
      <sharedItems count="3">
        <s v="Email"/>
        <s v="Phone"/>
        <s v="Chat"/>
      </sharedItems>
    </cacheField>
    <cacheField name="Topic" numFmtId="0">
      <sharedItems count="7">
        <s v="Feature request"/>
        <s v="Product setup"/>
        <s v="Purchasing and invoicing"/>
        <s v="Pricing and licensing"/>
        <s v="Other"/>
        <s v="Bug report"/>
        <s v="Training request"/>
      </sharedItems>
    </cacheField>
    <cacheField name="Agent Group" numFmtId="0">
      <sharedItems/>
    </cacheField>
    <cacheField name="Agent Name" numFmtId="0">
      <sharedItems count="8">
        <s v="Kristos Westoll"/>
        <s v="Adolpho Messingham"/>
        <s v="Bernard Beckley"/>
        <s v="Connor Danielovitch"/>
        <s v="Sheela Cutten"/>
        <s v="Michele Whyatt"/>
        <s v="Nicola Wane"/>
        <s v="Heather Urry"/>
      </sharedItems>
    </cacheField>
    <cacheField name="Created time" numFmtId="22">
      <sharedItems containsSemiMixedTypes="0" containsNonDate="0" containsDate="1" containsString="0" minDate="2023-01-02T00:58:36" maxDate="2023-12-30T19:49:51" count="2330">
        <d v="2023-01-02T00:58:36"/>
        <d v="2023-01-02T07:27:25"/>
        <d v="2023-01-02T06:59:04"/>
        <d v="2023-01-03T03:09:39"/>
        <d v="2023-01-03T00:03:58"/>
        <d v="2023-01-03T14:25:42"/>
        <d v="2023-01-03T15:32:02"/>
        <d v="2023-01-03T00:38:48"/>
        <d v="2023-01-03T09:37:54"/>
        <d v="2023-01-03T09:27:35"/>
        <d v="2023-01-03T16:41:11"/>
        <d v="2023-01-03T04:50:04"/>
        <d v="2023-01-04T10:49:27"/>
        <d v="2023-01-04T07:27:56"/>
        <d v="2023-01-04T21:46:12"/>
        <d v="2023-01-04T09:12:41"/>
        <d v="2023-01-04T19:36:58"/>
        <d v="2023-01-04T18:08:24"/>
        <d v="2023-01-04T12:47:17"/>
        <d v="2023-01-04T19:06:20"/>
        <d v="2023-01-04T05:27:57"/>
        <d v="2023-01-05T12:10:27"/>
        <d v="2023-01-05T04:18:55"/>
        <d v="2023-01-05T05:16:19"/>
        <d v="2023-01-05T14:30:37"/>
        <d v="2023-01-05T02:59:54"/>
        <d v="2023-01-05T03:31:45"/>
        <d v="2023-01-06T20:45:42"/>
        <d v="2023-01-06T20:14:59"/>
        <d v="2023-01-06T15:11:41"/>
        <d v="2023-01-06T03:15:21"/>
        <d v="2023-01-06T23:55:57"/>
        <d v="2023-01-06T12:05:00"/>
        <d v="2023-01-07T01:13:52"/>
        <d v="2023-01-07T05:28:54"/>
        <d v="2023-01-07T18:09:17"/>
        <d v="2023-01-07T00:13:20"/>
        <d v="2023-01-07T09:55:14"/>
        <d v="2023-01-08T13:39:52"/>
        <d v="2023-01-08T19:35:27"/>
        <d v="2023-01-08T04:56:45"/>
        <d v="2023-01-08T10:58:22"/>
        <d v="2023-01-08T01:00:01"/>
        <d v="2023-01-09T14:16:59"/>
        <d v="2023-01-09T15:09:10"/>
        <d v="2023-01-09T14:10:12"/>
        <d v="2023-01-09T17:25:30"/>
        <d v="2023-01-09T18:55:21"/>
        <d v="2023-01-09T11:56:11"/>
        <d v="2023-01-09T20:14:31"/>
        <d v="2023-01-09T09:10:39"/>
        <d v="2023-01-09T06:50:00"/>
        <d v="2023-01-09T21:50:02"/>
        <d v="2023-01-09T02:55:23"/>
        <d v="2023-01-10T02:10:01"/>
        <d v="2023-01-10T13:46:53"/>
        <d v="2023-01-10T09:42:12"/>
        <d v="2023-01-10T03:17:26"/>
        <d v="2023-01-10T04:29:04"/>
        <d v="2023-01-10T20:59:34"/>
        <d v="2023-01-10T23:30:30"/>
        <d v="2023-01-10T10:14:54"/>
        <d v="2023-01-10T07:30:22"/>
        <d v="2023-01-10T17:16:11"/>
        <d v="2023-01-11T19:17:35"/>
        <d v="2023-01-11T11:24:14"/>
        <d v="2023-01-11T00:49:24"/>
        <d v="2023-01-11T12:31:52"/>
        <d v="2023-01-11T13:45:35"/>
        <d v="2023-01-11T04:04:47"/>
        <d v="2023-01-11T13:40:47"/>
        <d v="2023-01-11T05:29:41"/>
        <d v="2023-01-12T12:18:45"/>
        <d v="2023-01-12T22:40:11"/>
        <d v="2023-01-13T15:00:14"/>
        <d v="2023-01-13T15:16:58"/>
        <d v="2023-01-13T12:58:56"/>
        <d v="2023-01-13T13:30:46"/>
        <d v="2023-01-13T06:47:37"/>
        <d v="2023-01-13T23:18:45"/>
        <d v="2023-01-13T11:19:44"/>
        <d v="2023-01-13T02:10:18"/>
        <d v="2023-01-13T13:38:30"/>
        <d v="2023-01-13T21:32:08"/>
        <d v="2023-01-13T02:49:26"/>
        <d v="2023-01-13T02:22:58"/>
        <d v="2023-01-13T01:46:37"/>
        <d v="2023-01-13T07:20:20"/>
        <d v="2023-01-13T23:22:08"/>
        <d v="2023-01-14T22:53:23"/>
        <d v="2023-01-15T13:10:36"/>
        <d v="2023-01-15T06:08:54"/>
        <d v="2023-01-15T10:11:34"/>
        <d v="2023-01-15T02:01:36"/>
        <d v="2023-01-16T05:12:59"/>
        <d v="2023-01-16T20:38:34"/>
        <d v="2023-01-16T15:44:20"/>
        <d v="2023-01-16T19:19:41"/>
        <d v="2023-01-16T12:50:35"/>
        <d v="2023-01-16T14:37:40"/>
        <d v="2023-01-16T15:35:28"/>
        <d v="2023-01-16T07:57:01"/>
        <d v="2023-01-17T01:30:29"/>
        <d v="2023-01-17T11:23:12"/>
        <d v="2023-01-17T14:03:25"/>
        <d v="2023-01-17T00:04:06"/>
        <d v="2023-01-17T16:42:23"/>
        <d v="2023-01-17T23:31:47"/>
        <d v="2023-01-17T23:24:52"/>
        <d v="2023-01-17T15:52:09"/>
        <d v="2023-01-18T02:02:20"/>
        <d v="2023-01-18T10:59:28"/>
        <d v="2023-01-18T08:59:26"/>
        <d v="2023-01-18T02:50:49"/>
        <d v="2023-01-18T03:19:26"/>
        <d v="2023-01-18T06:48:43"/>
        <d v="2023-01-18T01:34:28"/>
        <d v="2023-01-18T02:18:40"/>
        <d v="2023-01-18T07:25:42"/>
        <d v="2023-01-18T15:27:11"/>
        <d v="2023-01-18T04:20:21"/>
        <d v="2023-01-18T22:25:35"/>
        <d v="2023-01-18T18:08:37"/>
        <d v="2023-01-19T19:54:37"/>
        <d v="2023-01-19T09:56:57"/>
        <d v="2023-01-19T11:56:06"/>
        <d v="2023-01-19T01:28:08"/>
        <d v="2023-01-19T02:31:19"/>
        <d v="2023-01-19T08:14:44"/>
        <d v="2023-01-19T02:00:02"/>
        <d v="2023-01-19T16:07:40"/>
        <d v="2023-01-19T04:01:55"/>
        <d v="2023-01-19T18:33:13"/>
        <d v="2023-01-19T17:03:57"/>
        <d v="2023-01-19T02:59:41"/>
        <d v="2023-01-20T08:12:18"/>
        <d v="2023-01-20T16:02:00"/>
        <d v="2023-01-20T18:26:33"/>
        <d v="2023-01-20T16:12:23"/>
        <d v="2023-01-20T18:26:56"/>
        <d v="2023-01-20T12:41:24"/>
        <d v="2023-01-20T07:41:43"/>
        <d v="2023-01-20T09:35:25"/>
        <d v="2023-01-20T15:19:25"/>
        <d v="2023-01-20T08:49:49"/>
        <d v="2023-01-20T11:54:54"/>
        <d v="2023-01-21T08:18:41"/>
        <d v="2023-01-21T07:43:47"/>
        <d v="2023-01-21T17:21:38"/>
        <d v="2023-01-21T11:45:13"/>
        <d v="2023-01-21T07:09:47"/>
        <d v="2023-01-22T08:50:11"/>
        <d v="2023-01-22T01:57:26"/>
        <d v="2023-01-22T06:50:05"/>
        <d v="2023-01-22T23:42:43"/>
        <d v="2023-01-22T13:18:02"/>
        <d v="2023-01-22T14:32:27"/>
        <d v="2023-01-23T02:36:31"/>
        <d v="2023-01-23T04:12:42"/>
        <d v="2023-01-23T02:29:57"/>
        <d v="2023-01-23T20:37:56"/>
        <d v="2023-01-23T16:44:16"/>
        <d v="2023-01-23T13:00:51"/>
        <d v="2023-01-23T06:36:19"/>
        <d v="2023-01-24T15:26:28"/>
        <d v="2023-01-24T11:08:04"/>
        <d v="2023-01-24T07:06:15"/>
        <d v="2023-01-24T21:48:35"/>
        <d v="2023-01-24T16:15:21"/>
        <d v="2023-01-24T12:06:06"/>
        <d v="2023-01-24T17:44:33"/>
        <d v="2023-01-25T15:47:08"/>
        <d v="2023-01-25T15:29:35"/>
        <d v="2023-01-25T09:37:54"/>
        <d v="2023-01-25T22:34:37"/>
        <d v="2023-01-25T08:08:00"/>
        <d v="2023-01-25T06:10:06"/>
        <d v="2023-01-25T11:33:23"/>
        <d v="2023-01-26T08:15:02"/>
        <d v="2023-01-26T22:03:36"/>
        <d v="2023-01-26T20:20:10"/>
        <d v="2023-01-26T14:36:49"/>
        <d v="2023-01-26T22:13:13"/>
        <d v="2023-01-26T16:23:13"/>
        <d v="2023-01-26T03:27:40"/>
        <d v="2023-01-26T23:23:34"/>
        <d v="2023-01-27T16:27:39"/>
        <d v="2023-01-27T02:57:53"/>
        <d v="2023-01-27T22:18:17"/>
        <d v="2023-01-27T15:35:12"/>
        <d v="2023-01-27T21:11:53"/>
        <d v="2023-01-27T06:05:21"/>
        <d v="2023-01-27T01:00:46"/>
        <d v="2023-01-27T10:22:29"/>
        <d v="2023-01-27T20:50:46"/>
        <d v="2023-01-27T08:33:52"/>
        <d v="2023-01-27T21:50:03"/>
        <d v="2023-01-27T17:51:27"/>
        <d v="2023-01-28T13:39:05"/>
        <d v="2023-01-28T20:03:25"/>
        <d v="2023-01-28T12:06:28"/>
        <d v="2023-01-28T21:26:52"/>
        <d v="2023-01-29T00:51:51"/>
        <d v="2023-01-29T11:27:02"/>
        <d v="2023-01-29T07:22:44"/>
        <d v="2023-01-29T02:59:46"/>
        <d v="2023-01-29T20:28:55"/>
        <d v="2023-01-29T22:11:14"/>
        <d v="2023-01-29T05:19:55"/>
        <d v="2023-01-30T04:04:14"/>
        <d v="2023-01-30T12:20:07"/>
        <d v="2023-01-30T02:02:01"/>
        <d v="2023-01-30T14:51:28"/>
        <d v="2023-01-30T20:29:50"/>
        <d v="2023-01-30T16:27:43"/>
        <d v="2023-01-30T19:13:05"/>
        <d v="2023-01-30T03:48:00"/>
        <d v="2023-01-30T16:43:16"/>
        <d v="2023-01-31T09:59:04"/>
        <d v="2023-01-31T08:43:50"/>
        <d v="2023-01-31T23:25:32"/>
        <d v="2023-01-31T12:27:46"/>
        <d v="2023-01-31T12:56:35"/>
        <d v="2023-01-31T21:52:19"/>
        <d v="2023-02-01T11:03:29"/>
        <d v="2023-02-01T10:07:38"/>
        <d v="2023-02-01T01:05:14"/>
        <d v="2023-02-01T12:49:26"/>
        <d v="2023-02-01T20:49:32"/>
        <d v="2023-02-01T19:56:22"/>
        <d v="2023-02-01T09:34:09"/>
        <d v="2023-02-01T01:23:17"/>
        <d v="2023-02-01T08:00:59"/>
        <d v="2023-02-02T15:20:34"/>
        <d v="2023-02-02T00:08:59"/>
        <d v="2023-02-02T02:14:08"/>
        <d v="2023-02-02T23:36:10"/>
        <d v="2023-02-02T16:29:15"/>
        <d v="2023-02-02T07:41:17"/>
        <d v="2023-02-03T14:41:04"/>
        <d v="2023-02-03T23:09:18"/>
        <d v="2023-02-03T20:17:28"/>
        <d v="2023-02-03T18:46:35"/>
        <d v="2023-02-03T19:19:03"/>
        <d v="2023-02-03T01:50:32"/>
        <d v="2023-02-04T13:06:47"/>
        <d v="2023-02-04T22:36:42"/>
        <d v="2023-02-05T00:18:33"/>
        <d v="2023-02-05T02:31:11"/>
        <d v="2023-02-05T05:01:30"/>
        <d v="2023-02-05T05:51:11"/>
        <d v="2023-02-06T20:45:42"/>
        <d v="2023-02-06T08:09:22"/>
        <d v="2023-02-06T02:27:39"/>
        <d v="2023-02-06T08:26:15"/>
        <d v="2023-02-06T03:34:48"/>
        <d v="2023-02-06T10:53:21"/>
        <d v="2023-02-06T12:00:35"/>
        <d v="2023-02-06T11:37:20"/>
        <d v="2023-02-07T18:37:55"/>
        <d v="2023-02-07T11:38:34"/>
        <d v="2023-02-07T11:08:59"/>
        <d v="2023-02-07T01:47:29"/>
        <d v="2023-02-07T04:06:57"/>
        <d v="2023-02-07T19:03:37"/>
        <d v="2023-02-08T04:57:52"/>
        <d v="2023-02-08T16:09:53"/>
        <d v="2023-02-08T16:05:21"/>
        <d v="2023-02-08T04:38:57"/>
        <d v="2023-02-08T13:44:37"/>
        <d v="2023-02-09T08:50:38"/>
        <d v="2023-02-09T06:38:37"/>
        <d v="2023-02-09T07:54:38"/>
        <d v="2023-02-09T19:20:58"/>
        <d v="2023-02-09T03:51:03"/>
        <d v="2023-02-09T20:42:00"/>
        <d v="2023-02-09T20:34:25"/>
        <d v="2023-02-09T03:04:22"/>
        <d v="2023-02-09T10:01:05"/>
        <d v="2023-02-09T11:28:08"/>
        <d v="2023-02-10T23:16:13"/>
        <d v="2023-02-10T21:21:01"/>
        <d v="2023-02-10T03:56:25"/>
        <d v="2023-02-10T10:39:29"/>
        <d v="2023-02-10T07:48:37"/>
        <d v="2023-02-11T23:15:36"/>
        <d v="2023-02-11T17:13:31"/>
        <d v="2023-02-11T23:00:44"/>
        <d v="2023-02-12T17:55:38"/>
        <d v="2023-02-12T20:50:05"/>
        <d v="2023-02-12T13:46:33"/>
        <d v="2023-02-13T16:58:46"/>
        <d v="2023-02-13T05:54:09"/>
        <d v="2023-02-13T22:00:47"/>
        <d v="2023-02-13T15:35:36"/>
        <d v="2023-02-13T11:51:48"/>
        <d v="2023-02-14T15:59:53"/>
        <d v="2023-02-14T14:37:36"/>
        <d v="2023-02-14T13:50:42"/>
        <d v="2023-02-14T22:46:19"/>
        <d v="2023-02-14T05:47:05"/>
        <d v="2023-02-14T15:54:07"/>
        <d v="2023-02-14T10:28:47"/>
        <d v="2023-02-14T08:24:35"/>
        <d v="2023-02-15T18:19:14"/>
        <d v="2023-02-15T17:28:46"/>
        <d v="2023-02-15T17:13:03"/>
        <d v="2023-02-15T02:01:20"/>
        <d v="2023-02-15T00:06:37"/>
        <d v="2023-02-15T12:18:14"/>
        <d v="2023-02-15T00:29:04"/>
        <d v="2023-02-15T16:04:53"/>
        <d v="2023-02-15T10:04:09"/>
        <d v="2023-02-15T04:35:29"/>
        <d v="2023-02-16T00:26:24"/>
        <d v="2023-02-16T07:38:48"/>
        <d v="2023-02-16T12:00:03"/>
        <d v="2023-02-16T18:57:00"/>
        <d v="2023-02-16T06:49:55"/>
        <d v="2023-02-17T21:06:58"/>
        <d v="2023-02-17T07:44:46"/>
        <d v="2023-02-17T15:53:25"/>
        <d v="2023-02-17T02:42:19"/>
        <d v="2023-02-17T04:27:39"/>
        <d v="2023-02-17T19:44:39"/>
        <d v="2023-02-17T03:04:37"/>
        <d v="2023-02-17T12:53:12"/>
        <d v="2023-02-17T11:53:04"/>
        <d v="2023-02-18T01:40:47"/>
        <d v="2023-02-18T01:11:10"/>
        <d v="2023-02-18T10:17:59"/>
        <d v="2023-02-19T00:43:57"/>
        <d v="2023-02-19T22:39:31"/>
        <d v="2023-02-19T22:29:15"/>
        <d v="2023-02-19T07:26:50"/>
        <d v="2023-02-19T00:21:43"/>
        <d v="2023-02-19T04:46:26"/>
        <d v="2023-02-20T03:12:04"/>
        <d v="2023-02-20T06:04:53"/>
        <d v="2023-02-20T08:22:32"/>
        <d v="2023-02-20T17:13:46"/>
        <d v="2023-02-20T21:22:01"/>
        <d v="2023-02-20T22:01:33"/>
        <d v="2023-02-20T02:07:52"/>
        <d v="2023-02-20T21:27:54"/>
        <d v="2023-02-20T11:10:43"/>
        <d v="2023-02-21T19:30:54"/>
        <d v="2023-02-21T04:21:55"/>
        <d v="2023-02-21T11:56:08"/>
        <d v="2023-02-21T17:45:06"/>
        <d v="2023-02-21T21:30:05"/>
        <d v="2023-02-22T01:36:39"/>
        <d v="2023-02-22T15:41:33"/>
        <d v="2023-02-22T16:13:29"/>
        <d v="2023-02-22T03:36:16"/>
        <d v="2023-02-22T17:31:18"/>
        <d v="2023-02-23T07:34:07"/>
        <d v="2023-02-23T12:45:18"/>
        <d v="2023-02-23T01:02:33"/>
        <d v="2023-02-23T20:11:55"/>
        <d v="2023-02-24T04:39:16"/>
        <d v="2023-02-24T09:50:10"/>
        <d v="2023-02-24T09:10:47"/>
        <d v="2023-02-24T04:28:22"/>
        <d v="2023-02-24T21:10:42"/>
        <d v="2023-02-25T01:51:32"/>
        <d v="2023-02-25T14:45:30"/>
        <d v="2023-02-26T08:44:33"/>
        <d v="2023-02-26T03:47:31"/>
        <d v="2023-02-26T21:50:54"/>
        <d v="2023-02-26T18:41:30"/>
        <d v="2023-02-27T17:25:50"/>
        <d v="2023-02-27T02:21:58"/>
        <d v="2023-02-27T15:33:36"/>
        <d v="2023-02-27T22:04:36"/>
        <d v="2023-02-28T07:57:24"/>
        <d v="2023-02-28T12:00:49"/>
        <d v="2023-02-28T22:29:10"/>
        <d v="2023-02-28T18:38:27"/>
        <d v="2023-02-28T17:42:31"/>
        <d v="2023-02-28T04:14:22"/>
        <d v="2023-02-28T10:13:16"/>
        <d v="2023-02-28T13:27:04"/>
        <d v="2023-03-01T22:02:52"/>
        <d v="2023-03-01T23:03:38"/>
        <d v="2023-03-01T09:33:46"/>
        <d v="2023-03-01T18:50:42"/>
        <d v="2023-03-01T06:21:31"/>
        <d v="2023-03-02T23:55:40"/>
        <d v="2023-03-02T03:37:30"/>
        <d v="2023-03-02T07:15:57"/>
        <d v="2023-03-02T20:46:03"/>
        <d v="2023-03-02T00:14:40"/>
        <d v="2023-03-02T12:11:42"/>
        <d v="2023-03-02T04:22:49"/>
        <d v="2023-03-02T15:32:25"/>
        <d v="2023-03-02T17:46:57"/>
        <d v="2023-03-02T22:28:26"/>
        <d v="2023-03-03T16:18:18"/>
        <d v="2023-03-03T13:32:16"/>
        <d v="2023-03-03T21:03:44"/>
        <d v="2023-03-03T06:08:20"/>
        <d v="2023-03-04T07:14:23"/>
        <d v="2023-03-04T18:27:23"/>
        <d v="2023-03-04T10:20:16"/>
        <d v="2023-03-04T17:46:47"/>
        <d v="2023-03-05T15:14:42"/>
        <d v="2023-03-05T03:42:25"/>
        <d v="2023-03-05T07:03:21"/>
        <d v="2023-03-05T04:57:01"/>
        <d v="2023-03-05T07:34:22"/>
        <d v="2023-03-06T10:44:14"/>
        <d v="2023-03-06T10:48:32"/>
        <d v="2023-03-06T07:01:46"/>
        <d v="2023-03-06T21:19:53"/>
        <d v="2023-03-06T10:20:35"/>
        <d v="2023-03-06T06:16:39"/>
        <d v="2023-03-06T12:24:32"/>
        <d v="2023-03-06T07:24:21"/>
        <d v="2023-03-06T15:56:32"/>
        <d v="2023-03-06T07:21:44"/>
        <d v="2023-03-06T18:06:51"/>
        <d v="2023-03-06T04:37:11"/>
        <d v="2023-03-06T04:25:30"/>
        <d v="2023-03-07T13:30:45"/>
        <d v="2023-03-07T21:19:19"/>
        <d v="2023-03-07T05:15:02"/>
        <d v="2023-03-07T23:13:52"/>
        <d v="2023-03-07T20:40:50"/>
        <d v="2023-03-07T19:26:05"/>
        <d v="2023-03-07T02:09:56"/>
        <d v="2023-03-08T01:02:26"/>
        <d v="2023-03-08T10:00:28"/>
        <d v="2023-03-08T19:03:39"/>
        <d v="2023-03-08T02:37:45"/>
        <d v="2023-03-08T19:55:45"/>
        <d v="2023-03-08T06:49:26"/>
        <d v="2023-03-08T18:53:10"/>
        <d v="2023-03-08T21:01:00"/>
        <d v="2023-03-08T19:24:41"/>
        <d v="2023-03-08T01:14:25"/>
        <d v="2023-03-08T16:10:52"/>
        <d v="2023-03-08T07:47:06"/>
        <d v="2023-03-08T19:22:33"/>
        <d v="2023-03-09T07:31:05"/>
        <d v="2023-03-09T18:37:17"/>
        <d v="2023-03-09T05:24:36"/>
        <d v="2023-03-09T22:52:40"/>
        <d v="2023-03-09T20:08:56"/>
        <d v="2023-03-09T01:51:28"/>
        <d v="2023-03-10T04:09:11"/>
        <d v="2023-03-10T17:41:12"/>
        <d v="2023-03-10T00:32:45"/>
        <d v="2023-03-10T00:43:40"/>
        <d v="2023-03-10T06:44:13"/>
        <d v="2023-03-11T22:08:57"/>
        <d v="2023-03-11T04:34:35"/>
        <d v="2023-03-11T01:06:38"/>
        <d v="2023-03-11T15:34:51"/>
        <d v="2023-03-12T03:04:01"/>
        <d v="2023-03-12T01:00:06"/>
        <d v="2023-03-12T19:12:49"/>
        <d v="2023-03-13T15:58:26"/>
        <d v="2023-03-13T11:05:16"/>
        <d v="2023-03-13T05:33:38"/>
        <d v="2023-03-13T13:19:39"/>
        <d v="2023-03-13T21:36:55"/>
        <d v="2023-03-13T17:00:43"/>
        <d v="2023-03-13T08:21:06"/>
        <d v="2023-03-13T15:59:29"/>
        <d v="2023-03-13T20:46:16"/>
        <d v="2023-03-13T10:15:38"/>
        <d v="2023-03-13T11:05:15"/>
        <d v="2023-03-13T07:20:49"/>
        <d v="2023-03-14T09:39:52"/>
        <d v="2023-03-14T10:08:38"/>
        <d v="2023-03-14T18:42:04"/>
        <d v="2023-03-14T03:18:49"/>
        <d v="2023-03-14T19:42:01"/>
        <d v="2023-03-14T12:18:12"/>
        <d v="2023-03-14T10:19:11"/>
        <d v="2023-03-14T11:12:15"/>
        <d v="2023-03-15T00:21:06"/>
        <d v="2023-03-15T00:44:09"/>
        <d v="2023-03-15T12:59:00"/>
        <d v="2023-03-15T03:33:55"/>
        <d v="2023-03-15T10:58:56"/>
        <d v="2023-03-15T12:11:12"/>
        <d v="2023-03-15T16:08:07"/>
        <d v="2023-03-16T17:09:22"/>
        <d v="2023-03-16T20:58:03"/>
        <d v="2023-03-16T04:46:12"/>
        <d v="2023-03-16T18:51:53"/>
        <d v="2023-03-16T02:30:07"/>
        <d v="2023-03-16T15:56:22"/>
        <d v="2023-03-16T18:30:18"/>
        <d v="2023-03-16T13:15:46"/>
        <d v="2023-03-16T06:25:19"/>
        <d v="2023-03-16T12:36:44"/>
        <d v="2023-03-17T02:32:50"/>
        <d v="2023-03-17T10:58:28"/>
        <d v="2023-03-18T00:21:14"/>
        <d v="2023-03-18T06:34:51"/>
        <d v="2023-03-18T08:08:35"/>
        <d v="2023-03-18T23:00:11"/>
        <d v="2023-03-18T08:59:42"/>
        <d v="2023-03-19T18:00:21"/>
        <d v="2023-03-19T21:00:31"/>
        <d v="2023-03-19T14:00:56"/>
        <d v="2023-03-19T22:55:52"/>
        <d v="2023-03-19T22:09:59"/>
        <d v="2023-03-19T22:50:17"/>
        <d v="2023-03-19T12:53:48"/>
        <d v="2023-03-20T13:23:05"/>
        <d v="2023-03-20T19:10:24"/>
        <d v="2023-03-20T07:20:34"/>
        <d v="2023-03-20T22:27:49"/>
        <d v="2023-03-20T16:27:35"/>
        <d v="2023-03-20T21:49:15"/>
        <d v="2023-03-20T01:25:09"/>
        <d v="2023-03-20T18:36:23"/>
        <d v="2023-03-21T19:11:31"/>
        <d v="2023-03-21T00:03:07"/>
        <d v="2023-03-21T08:43:34"/>
        <d v="2023-03-21T10:42:02"/>
        <d v="2023-03-22T04:26:56"/>
        <d v="2023-03-22T00:13:36"/>
        <d v="2023-03-22T05:00:47"/>
        <d v="2023-03-22T01:30:24"/>
        <d v="2023-03-22T07:55:34"/>
        <d v="2023-03-22T18:21:14"/>
        <d v="2023-03-23T06:03:44"/>
        <d v="2023-03-23T13:40:59"/>
        <d v="2023-03-23T13:58:43"/>
        <d v="2023-03-23T14:27:04"/>
        <d v="2023-03-23T22:39:46"/>
        <d v="2023-03-23T05:03:29"/>
        <d v="2023-03-24T07:33:22"/>
        <d v="2023-03-24T22:12:44"/>
        <d v="2023-03-24T04:18:03"/>
        <d v="2023-03-24T11:22:39"/>
        <d v="2023-03-24T20:23:23"/>
        <d v="2023-03-24T13:35:36"/>
        <d v="2023-03-24T21:33:29"/>
        <d v="2023-03-24T06:37:36"/>
        <d v="2023-03-25T16:02:04"/>
        <d v="2023-03-25T17:27:15"/>
        <d v="2023-03-25T02:51:23"/>
        <d v="2023-03-26T13:36:41"/>
        <d v="2023-03-26T01:47:02"/>
        <d v="2023-03-27T16:55:41"/>
        <d v="2023-03-27T09:48:08"/>
        <d v="2023-03-27T19:39:56"/>
        <d v="2023-03-27T08:57:08"/>
        <d v="2023-03-27T14:12:36"/>
        <d v="2023-03-28T00:41:10"/>
        <d v="2023-03-28T05:44:27"/>
        <d v="2023-03-28T15:16:48"/>
        <d v="2023-03-28T16:37:36"/>
        <d v="2023-03-28T20:46:16"/>
        <d v="2023-03-28T08:09:43"/>
        <d v="2023-03-29T11:10:19"/>
        <d v="2023-03-29T01:29:54"/>
        <d v="2023-03-29T03:32:03"/>
        <d v="2023-03-29T17:06:26"/>
        <d v="2023-03-29T08:39:21"/>
        <d v="2023-03-29T04:00:01"/>
        <d v="2023-03-29T20:14:43"/>
        <d v="2023-03-30T18:00:20"/>
        <d v="2023-03-30T15:51:14"/>
        <d v="2023-03-30T13:19:08"/>
        <d v="2023-03-30T11:29:45"/>
        <d v="2023-03-30T17:10:34"/>
        <d v="2023-03-30T22:34:43"/>
        <d v="2023-03-30T04:23:37"/>
        <d v="2023-03-30T22:31:49"/>
        <d v="2023-03-30T07:13:06"/>
        <d v="2023-03-30T12:29:28"/>
        <d v="2023-03-30T15:37:40"/>
        <d v="2023-03-30T20:59:16"/>
        <d v="2023-03-31T04:57:23"/>
        <d v="2023-03-31T03:10:35"/>
        <d v="2023-03-31T11:40:29"/>
        <d v="2023-03-31T08:54:42"/>
        <d v="2023-03-31T17:02:56"/>
        <d v="2023-03-31T22:38:17"/>
        <d v="2023-04-01T04:42:45"/>
        <d v="2023-04-01T19:34:47"/>
        <d v="2023-04-01T19:44:41"/>
        <d v="2023-04-01T19:19:16"/>
        <d v="2023-04-02T15:10:55"/>
        <d v="2023-04-02T04:44:24"/>
        <d v="2023-04-02T16:03:14"/>
        <d v="2023-04-02T15:53:36"/>
        <d v="2023-04-02T23:30:34"/>
        <d v="2023-04-03T05:55:15"/>
        <d v="2023-04-03T00:18:01"/>
        <d v="2023-04-03T04:51:54"/>
        <d v="2023-04-03T05:19:08"/>
        <d v="2023-04-03T07:05:23"/>
        <d v="2023-04-03T17:17:33"/>
        <d v="2023-04-04T13:34:57"/>
        <d v="2023-04-04T22:42:38"/>
        <d v="2023-04-04T12:31:49"/>
        <d v="2023-04-04T08:56:01"/>
        <d v="2023-04-04T11:05:30"/>
        <d v="2023-04-05T02:02:11"/>
        <d v="2023-04-05T10:03:11"/>
        <d v="2023-04-05T21:15:23"/>
        <d v="2023-04-05T11:07:48"/>
        <d v="2023-04-05T16:27:41"/>
        <d v="2023-04-05T07:14:31"/>
        <d v="2023-04-06T03:30:54"/>
        <d v="2023-04-06T17:18:15"/>
        <d v="2023-04-06T02:59:03"/>
        <d v="2023-04-06T18:15:46"/>
        <d v="2023-04-06T04:54:37"/>
        <d v="2023-04-06T18:43:11"/>
        <d v="2023-04-07T02:13:34"/>
        <d v="2023-04-07T22:19:14"/>
        <d v="2023-04-07T18:21:00"/>
        <d v="2023-04-07T05:02:22"/>
        <d v="2023-04-07T07:46:50"/>
        <d v="2023-04-09T11:16:06"/>
        <d v="2023-04-09T18:24:07"/>
        <d v="2023-04-09T01:54:49"/>
        <d v="2023-04-09T17:35:53"/>
        <d v="2023-04-09T16:50:10"/>
        <d v="2023-04-09T01:08:39"/>
        <d v="2023-04-10T16:07:38"/>
        <d v="2023-04-10T22:37:41"/>
        <d v="2023-04-10T12:36:32"/>
        <d v="2023-04-10T12:46:24"/>
        <d v="2023-04-10T16:21:25"/>
        <d v="2023-04-10T19:44:07"/>
        <d v="2023-04-10T22:39:59"/>
        <d v="2023-04-11T08:22:38"/>
        <d v="2023-04-11T17:54:18"/>
        <d v="2023-04-11T01:46:54"/>
        <d v="2023-04-11T01:35:11"/>
        <d v="2023-04-11T09:01:04"/>
        <d v="2023-04-11T11:17:59"/>
        <d v="2023-04-11T17:12:33"/>
        <d v="2023-04-11T17:28:21"/>
        <d v="2023-04-11T17:15:06"/>
        <d v="2023-04-11T07:16:39"/>
        <d v="2023-04-11T00:07:48"/>
        <d v="2023-04-11T13:44:37"/>
        <d v="2023-04-12T05:24:50"/>
        <d v="2023-04-12T02:54:55"/>
        <d v="2023-04-12T15:36:14"/>
        <d v="2023-04-12T23:18:18"/>
        <d v="2023-04-12T23:28:44"/>
        <d v="2023-04-12T08:21:31"/>
        <d v="2023-04-12T08:29:48"/>
        <d v="2023-04-12T14:38:23"/>
        <d v="2023-04-13T18:53:11"/>
        <d v="2023-04-13T19:59:15"/>
        <d v="2023-04-13T22:21:58"/>
        <d v="2023-04-13T01:38:11"/>
        <d v="2023-04-13T21:53:53"/>
        <d v="2023-04-13T00:46:33"/>
        <d v="2023-04-13T03:49:42"/>
        <d v="2023-04-14T10:24:24"/>
        <d v="2023-04-14T01:08:18"/>
        <d v="2023-04-14T13:04:45"/>
        <d v="2023-04-15T19:19:28"/>
        <d v="2023-04-15T19:16:48"/>
        <d v="2023-04-15T14:20:11"/>
        <d v="2023-04-16T08:24:34"/>
        <d v="2023-04-16T21:38:28"/>
        <d v="2023-04-16T08:37:24"/>
        <d v="2023-04-16T08:28:16"/>
        <d v="2023-04-16T22:55:36"/>
        <d v="2023-04-17T15:18:43"/>
        <d v="2023-04-17T16:20:30"/>
        <d v="2023-04-17T12:14:44"/>
        <d v="2023-04-17T19:02:22"/>
        <d v="2023-04-17T15:48:18"/>
        <d v="2023-04-17T13:01:40"/>
        <d v="2023-04-17T04:59:54"/>
        <d v="2023-04-18T21:47:02"/>
        <d v="2023-04-18T17:48:33"/>
        <d v="2023-04-18T13:56:21"/>
        <d v="2023-04-18T16:22:40"/>
        <d v="2023-04-18T08:58:20"/>
        <d v="2023-04-18T12:00:17"/>
        <d v="2023-04-18T18:29:18"/>
        <d v="2023-04-18T17:37:19"/>
        <d v="2023-04-18T12:51:38"/>
        <d v="2023-04-18T22:00:04"/>
        <d v="2023-04-19T13:44:33"/>
        <d v="2023-04-19T22:56:27"/>
        <d v="2023-04-19T02:54:38"/>
        <d v="2023-04-19T15:12:56"/>
        <d v="2023-04-19T13:35:20"/>
        <d v="2023-04-19T00:38:17"/>
        <d v="2023-04-19T05:03:07"/>
        <d v="2023-04-19T05:08:23"/>
        <d v="2023-04-20T05:20:43"/>
        <d v="2023-04-20T03:15:00"/>
        <d v="2023-04-20T02:50:32"/>
        <d v="2023-04-20T04:04:48"/>
        <d v="2023-04-20T10:08:09"/>
        <d v="2023-04-20T08:25:00"/>
        <d v="2023-04-20T23:58:35"/>
        <d v="2023-04-20T00:51:56"/>
        <d v="2023-04-20T19:33:22"/>
        <d v="2023-04-21T14:40:38"/>
        <d v="2023-04-21T18:39:35"/>
        <d v="2023-04-21T15:42:29"/>
        <d v="2023-04-21T18:14:08"/>
        <d v="2023-04-21T03:00:43"/>
        <d v="2023-04-21T22:59:18"/>
        <d v="2023-04-21T17:29:36"/>
        <d v="2023-04-21T06:37:18"/>
        <d v="2023-04-22T22:56:34"/>
        <d v="2023-04-23T06:37:05"/>
        <d v="2023-04-23T16:15:55"/>
        <d v="2023-04-23T17:18:47"/>
        <d v="2023-04-24T11:26:34"/>
        <d v="2023-04-24T07:32:10"/>
        <d v="2023-04-24T08:29:14"/>
        <d v="2023-04-24T09:05:20"/>
        <d v="2023-04-24T02:39:48"/>
        <d v="2023-04-24T05:18:34"/>
        <d v="2023-04-24T17:08:16"/>
        <d v="2023-04-24T13:49:38"/>
        <d v="2023-04-24T01:45:52"/>
        <d v="2023-04-25T19:44:53"/>
        <d v="2023-04-25T21:29:53"/>
        <d v="2023-04-25T04:12:52"/>
        <d v="2023-04-25T15:06:36"/>
        <d v="2023-04-25T00:40:34"/>
        <d v="2023-04-25T23:46:34"/>
        <d v="2023-04-25T16:29:32"/>
        <d v="2023-04-26T03:07:27"/>
        <d v="2023-04-26T11:36:51"/>
        <d v="2023-04-26T21:03:39"/>
        <d v="2023-04-26T12:39:40"/>
        <d v="2023-04-28T04:17:19"/>
        <d v="2023-04-28T12:45:26"/>
        <d v="2023-04-28T01:42:28"/>
        <d v="2023-04-28T08:54:40"/>
        <d v="2023-04-28T00:22:07"/>
        <d v="2023-04-28T23:21:47"/>
        <d v="2023-04-29T13:16:32"/>
        <d v="2023-04-29T09:39:04"/>
        <d v="2023-04-29T02:53:31"/>
        <d v="2023-04-29T01:59:28"/>
        <d v="2023-04-29T18:57:03"/>
        <d v="2023-04-29T09:21:27"/>
        <d v="2023-04-30T04:40:44"/>
        <d v="2023-04-30T11:33:18"/>
        <d v="2023-04-30T19:22:21"/>
        <d v="2023-04-30T20:47:07"/>
        <d v="2023-04-30T19:57:12"/>
        <d v="2023-04-30T01:00:56"/>
        <d v="2023-04-30T08:01:49"/>
        <d v="2023-05-01T03:26:27"/>
        <d v="2023-05-01T00:15:50"/>
        <d v="2023-05-01T17:16:37"/>
        <d v="2023-05-01T19:32:21"/>
        <d v="2023-05-01T14:14:01"/>
        <d v="2023-05-01T21:28:26"/>
        <d v="2023-05-01T06:56:45"/>
        <d v="2023-05-01T08:53:32"/>
        <d v="2023-05-01T18:01:41"/>
        <d v="2023-05-01T16:05:00"/>
        <d v="2023-05-01T10:53:43"/>
        <d v="2023-05-02T10:43:37"/>
        <d v="2023-05-02T23:45:36"/>
        <d v="2023-05-02T08:46:52"/>
        <d v="2023-05-02T15:29:28"/>
        <d v="2023-05-02T17:56:22"/>
        <d v="2023-05-02T04:01:40"/>
        <d v="2023-05-02T11:10:59"/>
        <d v="2023-05-02T16:16:34"/>
        <d v="2023-05-02T16:37:56"/>
        <d v="2023-05-02T21:28:57"/>
        <d v="2023-05-03T04:53:08"/>
        <d v="2023-05-03T16:14:03"/>
        <d v="2023-05-03T13:03:01"/>
        <d v="2023-05-03T16:48:44"/>
        <d v="2023-05-03T18:09:48"/>
        <d v="2023-05-03T10:20:16"/>
        <d v="2023-05-03T08:38:01"/>
        <d v="2023-05-03T06:59:01"/>
        <d v="2023-05-03T23:36:36"/>
        <d v="2023-05-03T09:38:59"/>
        <d v="2023-05-03T21:34:00"/>
        <d v="2023-05-03T05:48:01"/>
        <d v="2023-05-04T19:26:02"/>
        <d v="2023-05-04T01:22:03"/>
        <d v="2023-05-04T11:42:39"/>
        <d v="2023-05-05T14:09:14"/>
        <d v="2023-05-05T23:50:12"/>
        <d v="2023-05-05T10:41:49"/>
        <d v="2023-05-05T03:03:46"/>
        <d v="2023-05-05T16:30:48"/>
        <d v="2023-05-05T01:32:00"/>
        <d v="2023-05-05T15:10:06"/>
        <d v="2023-05-05T05:54:12"/>
        <d v="2023-05-05T09:06:10"/>
        <d v="2023-05-05T15:16:20"/>
        <d v="2023-05-05T06:02:46"/>
        <d v="2023-05-05T07:13:24"/>
        <d v="2023-05-06T23:05:51"/>
        <d v="2023-05-06T08:37:48"/>
        <d v="2023-05-06T21:39:46"/>
        <d v="2023-05-07T20:26:09"/>
        <d v="2023-05-07T08:37:05"/>
        <d v="2023-05-07T02:10:20"/>
        <d v="2023-05-07T05:31:03"/>
        <d v="2023-05-08T13:48:01"/>
        <d v="2023-05-08T17:48:29"/>
        <d v="2023-05-08T01:35:22"/>
        <d v="2023-05-08T11:40:37"/>
        <d v="2023-05-08T20:38:25"/>
        <d v="2023-05-09T04:50:43"/>
        <d v="2023-05-09T12:52:20"/>
        <d v="2023-05-09T05:51:28"/>
        <d v="2023-05-09T11:18:13"/>
        <d v="2023-05-09T14:34:05"/>
        <d v="2023-05-09T17:18:14"/>
        <d v="2023-05-09T10:37:17"/>
        <d v="2023-05-09T04:26:33"/>
        <d v="2023-05-10T08:52:46"/>
        <d v="2023-05-10T05:10:23"/>
        <d v="2023-05-10T11:21:39"/>
        <d v="2023-05-10T07:53:38"/>
        <d v="2023-05-10T07:28:39"/>
        <d v="2023-05-11T17:27:13"/>
        <d v="2023-05-11T09:22:13"/>
        <d v="2023-05-11T12:59:40"/>
        <d v="2023-05-11T08:25:23"/>
        <d v="2023-05-11T20:43:34"/>
        <d v="2023-05-11T23:30:50"/>
        <d v="2023-05-12T14:34:05"/>
        <d v="2023-05-12T07:03:57"/>
        <d v="2023-05-12T18:22:10"/>
        <d v="2023-05-12T14:15:05"/>
        <d v="2023-05-12T07:15:56"/>
        <d v="2023-05-12T03:53:23"/>
        <d v="2023-05-12T06:59:06"/>
        <d v="2023-05-12T14:29:08"/>
        <d v="2023-05-12T04:35:31"/>
        <d v="2023-05-12T11:55:15"/>
        <d v="2023-05-12T19:05:07"/>
        <d v="2023-05-12T06:29:46"/>
        <d v="2023-05-12T15:03:27"/>
        <d v="2023-05-12T20:05:30"/>
        <d v="2023-05-13T02:46:34"/>
        <d v="2023-05-13T08:43:04"/>
        <d v="2023-05-13T05:51:33"/>
        <d v="2023-05-13T05:21:54"/>
        <d v="2023-05-13T19:26:09"/>
        <d v="2023-05-14T07:00:55"/>
        <d v="2023-05-14T20:14:21"/>
        <d v="2023-05-14T10:45:06"/>
        <d v="2023-05-14T08:14:16"/>
        <d v="2023-05-15T01:57:53"/>
        <d v="2023-05-15T03:43:26"/>
        <d v="2023-05-15T12:26:38"/>
        <d v="2023-05-15T16:01:57"/>
        <d v="2023-05-15T23:05:02"/>
        <d v="2023-05-15T19:19:14"/>
        <d v="2023-05-15T15:39:38"/>
        <d v="2023-05-15T16:04:49"/>
        <d v="2023-05-16T18:30:30"/>
        <d v="2023-05-16T10:50:40"/>
        <d v="2023-05-16T07:04:29"/>
        <d v="2023-05-16T19:50:27"/>
        <d v="2023-05-16T05:34:49"/>
        <d v="2023-05-16T20:33:58"/>
        <d v="2023-05-16T00:32:51"/>
        <d v="2023-05-16T20:59:57"/>
        <d v="2023-05-17T04:10:13"/>
        <d v="2023-05-17T20:17:37"/>
        <d v="2023-05-17T01:38:33"/>
        <d v="2023-05-17T06:42:41"/>
        <d v="2023-05-17T11:46:25"/>
        <d v="2023-05-17T03:05:58"/>
        <d v="2023-05-17T02:54:50"/>
        <d v="2023-05-17T22:19:04"/>
        <d v="2023-05-17T01:39:16"/>
        <d v="2023-05-17T13:35:55"/>
        <d v="2023-05-17T08:56:49"/>
        <d v="2023-05-17T18:09:46"/>
        <d v="2023-05-17T20:47:12"/>
        <d v="2023-05-18T04:35:32"/>
        <d v="2023-05-18T02:59:48"/>
        <d v="2023-05-18T05:54:00"/>
        <d v="2023-05-18T14:04:54"/>
        <d v="2023-05-18T06:09:03"/>
        <d v="2023-05-18T01:02:52"/>
        <d v="2023-05-18T00:56:39"/>
        <d v="2023-05-19T09:18:12"/>
        <d v="2023-05-19T09:21:45"/>
        <d v="2023-05-19T20:11:47"/>
        <d v="2023-05-19T18:13:22"/>
        <d v="2023-05-19T22:25:42"/>
        <d v="2023-05-19T22:52:07"/>
        <d v="2023-05-19T10:51:14"/>
        <d v="2023-05-20T00:38:09"/>
        <d v="2023-05-20T14:53:34"/>
        <d v="2023-05-20T04:03:32"/>
        <d v="2023-05-20T15:44:42"/>
        <d v="2023-05-21T10:36:31"/>
        <d v="2023-05-21T07:27:31"/>
        <d v="2023-05-21T20:41:47"/>
        <d v="2023-05-22T16:48:25"/>
        <d v="2023-05-22T05:23:12"/>
        <d v="2023-05-22T18:39:02"/>
        <d v="2023-05-22T21:17:37"/>
        <d v="2023-05-22T11:49:12"/>
        <d v="2023-05-22T18:21:23"/>
        <d v="2023-05-22T03:46:21"/>
        <d v="2023-05-22T07:29:34"/>
        <d v="2023-05-22T12:09:17"/>
        <d v="2023-05-22T10:26:47"/>
        <d v="2023-05-22T09:23:54"/>
        <d v="2023-05-22T15:13:22"/>
        <d v="2023-05-22T20:37:08"/>
        <d v="2023-05-22T01:35:36"/>
        <d v="2023-05-22T04:58:52"/>
        <d v="2023-05-23T22:40:09"/>
        <d v="2023-05-23T05:53:45"/>
        <d v="2023-05-23T00:49:48"/>
        <d v="2023-05-23T11:32:40"/>
        <d v="2023-05-23T06:23:44"/>
        <d v="2023-05-23T02:47:45"/>
        <d v="2023-05-24T03:30:28"/>
        <d v="2023-05-24T07:40:10"/>
        <d v="2023-05-24T21:59:19"/>
        <d v="2023-05-24T22:52:47"/>
        <d v="2023-05-24T13:25:23"/>
        <d v="2023-05-24T01:25:21"/>
        <d v="2023-05-24T00:06:54"/>
        <d v="2023-05-24T05:42:39"/>
        <d v="2023-05-25T00:10:39"/>
        <d v="2023-05-25T03:02:20"/>
        <d v="2023-05-25T16:37:26"/>
        <d v="2023-05-25T23:58:35"/>
        <d v="2023-05-25T05:26:04"/>
        <d v="2023-05-25T14:47:02"/>
        <d v="2023-05-25T20:08:06"/>
        <d v="2023-05-25T13:55:06"/>
        <d v="2023-05-25T17:33:19"/>
        <d v="2023-05-25T13:52:26"/>
        <d v="2023-05-26T18:49:22"/>
        <d v="2023-05-26T21:16:25"/>
        <d v="2023-05-26T11:09:54"/>
        <d v="2023-05-26T07:39:45"/>
        <d v="2023-05-26T22:47:11"/>
        <d v="2023-05-26T16:39:38"/>
        <d v="2023-05-28T18:01:07"/>
        <d v="2023-05-28T17:35:16"/>
        <d v="2023-05-28T23:04:13"/>
        <d v="2023-05-28T03:21:55"/>
        <d v="2023-05-29T15:46:30"/>
        <d v="2023-05-29T00:44:02"/>
        <d v="2023-05-30T02:42:21"/>
        <d v="2023-05-30T15:57:45"/>
        <d v="2023-05-30T18:33:13"/>
        <d v="2023-05-30T08:36:51"/>
        <d v="2023-05-30T13:39:34"/>
        <d v="2023-05-31T12:33:45"/>
        <d v="2023-05-31T17:08:54"/>
        <d v="2023-05-31T22:08:57"/>
        <d v="2023-05-31T09:43:09"/>
        <d v="2023-05-31T01:43:07"/>
        <d v="2023-05-31T15:37:38"/>
        <d v="2023-05-31T00:42:59"/>
        <d v="2023-05-31T05:35:05"/>
        <d v="2023-05-31T15:30:07"/>
        <d v="2023-05-31T07:51:56"/>
        <d v="2023-05-31T18:01:38"/>
        <d v="2023-06-01T09:58:22"/>
        <d v="2023-06-01T06:03:01"/>
        <d v="2023-06-01T07:22:16"/>
        <d v="2023-06-01T23:48:05"/>
        <d v="2023-06-01T17:36:29"/>
        <d v="2023-06-02T15:45:26"/>
        <d v="2023-06-02T00:48:15"/>
        <d v="2023-06-02T16:43:08"/>
        <d v="2023-06-02T17:57:50"/>
        <d v="2023-06-02T03:33:53"/>
        <d v="2023-06-02T11:24:06"/>
        <d v="2023-06-03T09:56:16"/>
        <d v="2023-06-03T10:52:50"/>
        <d v="2023-06-03T00:48:39"/>
        <d v="2023-06-03T05:01:48"/>
        <d v="2023-06-04T05:31:08"/>
        <d v="2023-06-04T18:21:52"/>
        <d v="2023-06-04T12:39:07"/>
        <d v="2023-06-05T16:13:03"/>
        <d v="2023-06-05T07:21:15"/>
        <d v="2023-06-05T10:43:50"/>
        <d v="2023-06-05T03:19:23"/>
        <d v="2023-06-05T04:41:14"/>
        <d v="2023-06-05T05:03:31"/>
        <d v="2023-06-05T09:11:50"/>
        <d v="2023-06-05T01:52:10"/>
        <d v="2023-06-06T14:36:33"/>
        <d v="2023-06-06T01:49:25"/>
        <d v="2023-06-06T00:04:57"/>
        <d v="2023-06-06T11:24:39"/>
        <d v="2023-06-06T21:13:59"/>
        <d v="2023-06-06T17:27:40"/>
        <d v="2023-06-06T21:50:46"/>
        <d v="2023-06-06T06:29:54"/>
        <d v="2023-06-06T13:23:19"/>
        <d v="2023-06-06T11:06:41"/>
        <d v="2023-06-07T19:00:40"/>
        <d v="2023-06-07T18:11:08"/>
        <d v="2023-06-07T20:16:46"/>
        <d v="2023-06-07T14:19:45"/>
        <d v="2023-06-07T20:19:54"/>
        <d v="2023-06-07T10:55:09"/>
        <d v="2023-06-07T11:43:39"/>
        <d v="2023-06-07T00:04:06"/>
        <d v="2023-06-07T02:16:11"/>
        <d v="2023-06-08T15:54:13"/>
        <d v="2023-06-08T03:34:17"/>
        <d v="2023-06-08T16:52:30"/>
        <d v="2023-06-08T00:17:24"/>
        <d v="2023-06-09T20:18:40"/>
        <d v="2023-06-09T15:57:03"/>
        <d v="2023-06-09T23:12:15"/>
        <d v="2023-06-09T00:30:42"/>
        <d v="2023-06-09T15:51:47"/>
        <d v="2023-06-09T13:39:42"/>
        <d v="2023-06-09T15:21:40"/>
        <d v="2023-06-10T03:28:37"/>
        <d v="2023-06-10T05:14:08"/>
        <d v="2023-06-10T15:57:39"/>
        <d v="2023-06-10T02:58:45"/>
        <d v="2023-06-10T03:37:03"/>
        <d v="2023-06-11T17:44:56"/>
        <d v="2023-06-12T18:07:44"/>
        <d v="2023-06-12T08:43:13"/>
        <d v="2023-06-12T18:04:14"/>
        <d v="2023-06-12T14:05:37"/>
        <d v="2023-06-12T04:41:42"/>
        <d v="2023-06-12T20:04:14"/>
        <d v="2023-06-12T17:39:34"/>
        <d v="2023-06-12T02:59:16"/>
        <d v="2023-06-13T11:58:37"/>
        <d v="2023-06-13T15:33:31"/>
        <d v="2023-06-13T07:16:46"/>
        <d v="2023-06-13T08:41:04"/>
        <d v="2023-06-13T17:13:06"/>
        <d v="2023-06-13T09:35:27"/>
        <d v="2023-06-13T13:58:40"/>
        <d v="2023-06-13T01:46:10"/>
        <d v="2023-06-14T03:36:59"/>
        <d v="2023-06-14T05:05:18"/>
        <d v="2023-06-14T14:13:32"/>
        <d v="2023-06-14T07:37:55"/>
        <d v="2023-06-14T19:25:36"/>
        <d v="2023-06-14T08:44:11"/>
        <d v="2023-06-14T03:27:43"/>
        <d v="2023-06-15T07:44:22"/>
        <d v="2023-06-15T09:33:18"/>
        <d v="2023-06-15T03:11:42"/>
        <d v="2023-06-15T19:11:03"/>
        <d v="2023-06-15T03:22:26"/>
        <d v="2023-06-15T12:47:13"/>
        <d v="2023-06-15T01:48:45"/>
        <d v="2023-06-15T21:46:17"/>
        <d v="2023-06-15T00:54:40"/>
        <d v="2023-06-16T21:52:30"/>
        <d v="2023-06-16T11:53:56"/>
        <d v="2023-06-16T15:52:33"/>
        <d v="2023-06-16T09:59:53"/>
        <d v="2023-06-16T16:30:16"/>
        <d v="2023-06-16T06:07:53"/>
        <d v="2023-06-16T14:52:30"/>
        <d v="2023-06-16T18:36:18"/>
        <d v="2023-06-16T18:14:15"/>
        <d v="2023-06-16T03:03:28"/>
        <d v="2023-06-17T13:06:16"/>
        <d v="2023-06-17T06:29:35"/>
        <d v="2023-06-17T06:31:32"/>
        <d v="2023-06-18T18:13:48"/>
        <d v="2023-06-18T14:10:22"/>
        <d v="2023-06-19T07:11:25"/>
        <d v="2023-06-19T10:06:01"/>
        <d v="2023-06-19T02:56:47"/>
        <d v="2023-06-19T09:47:32"/>
        <d v="2023-06-19T15:00:04"/>
        <d v="2023-06-19T18:56:11"/>
        <d v="2023-06-19T13:19:08"/>
        <d v="2023-06-20T05:58:21"/>
        <d v="2023-06-20T03:21:33"/>
        <d v="2023-06-20T00:42:46"/>
        <d v="2023-06-20T03:00:12"/>
        <d v="2023-06-20T04:41:46"/>
        <d v="2023-06-21T19:25:13"/>
        <d v="2023-06-21T17:34:47"/>
        <d v="2023-06-21T05:06:53"/>
        <d v="2023-06-21T19:47:41"/>
        <d v="2023-06-21T10:02:44"/>
        <d v="2023-06-21T22:56:11"/>
        <d v="2023-06-21T18:25:14"/>
        <d v="2023-06-21T23:30:20"/>
        <d v="2023-06-21T11:31:28"/>
        <d v="2023-06-21T08:31:17"/>
        <d v="2023-06-21T18:46:11"/>
        <d v="2023-06-21T15:15:00"/>
        <d v="2023-06-21T15:13:01"/>
        <d v="2023-06-21T15:24:15"/>
        <d v="2023-06-21T07:58:57"/>
        <d v="2023-06-21T14:09:56"/>
        <d v="2023-06-22T21:31:03"/>
        <d v="2023-06-22T09:19:42"/>
        <d v="2023-06-22T21:24:24"/>
        <d v="2023-06-22T15:10:05"/>
        <d v="2023-06-22T09:31:15"/>
        <d v="2023-06-22T03:14:48"/>
        <d v="2023-06-22T05:33:00"/>
        <d v="2023-06-22T15:20:02"/>
        <d v="2023-06-22T15:17:57"/>
        <d v="2023-06-22T10:16:27"/>
        <d v="2023-06-23T02:51:48"/>
        <d v="2023-06-23T02:00:34"/>
        <d v="2023-06-23T11:18:18"/>
        <d v="2023-06-23T13:46:19"/>
        <d v="2023-06-23T20:46:30"/>
        <d v="2023-06-23T22:09:46"/>
        <d v="2023-06-24T07:16:23"/>
        <d v="2023-06-24T18:39:33"/>
        <d v="2023-06-25T16:40:38"/>
        <d v="2023-06-25T11:26:56"/>
        <d v="2023-06-26T22:38:22"/>
        <d v="2023-06-26T10:41:45"/>
        <d v="2023-06-26T05:34:44"/>
        <d v="2023-06-26T12:51:02"/>
        <d v="2023-06-26T05:51:24"/>
        <d v="2023-06-26T11:00:12"/>
        <d v="2023-06-26T11:40:47"/>
        <d v="2023-06-26T20:30:04"/>
        <d v="2023-06-26T07:54:40"/>
        <d v="2023-06-26T08:29:45"/>
        <d v="2023-06-26T03:46:35"/>
        <d v="2023-06-27T23:17:53"/>
        <d v="2023-06-27T12:16:37"/>
        <d v="2023-06-27T08:00:05"/>
        <d v="2023-06-27T22:45:24"/>
        <d v="2023-06-27T21:39:49"/>
        <d v="2023-06-27T06:19:27"/>
        <d v="2023-06-27T06:27:31"/>
        <d v="2023-06-27T01:10:56"/>
        <d v="2023-06-27T19:26:27"/>
        <d v="2023-06-28T05:59:15"/>
        <d v="2023-06-28T09:54:25"/>
        <d v="2023-06-28T12:57:26"/>
        <d v="2023-06-28T12:31:36"/>
        <d v="2023-06-28T01:59:56"/>
        <d v="2023-06-28T05:47:38"/>
        <d v="2023-06-28T10:12:07"/>
        <d v="2023-06-28T18:31:59"/>
        <d v="2023-06-28T18:37:55"/>
        <d v="2023-06-28T04:10:43"/>
        <d v="2023-06-29T20:05:17"/>
        <d v="2023-06-29T02:01:11"/>
        <d v="2023-06-29T08:11:33"/>
        <d v="2023-06-29T23:48:01"/>
        <d v="2023-06-29T01:15:34"/>
        <d v="2023-06-30T11:38:07"/>
        <d v="2023-06-30T01:01:06"/>
        <d v="2023-06-30T00:30:35"/>
        <d v="2023-06-30T11:55:24"/>
        <d v="2023-06-30T03:26:27"/>
        <d v="2023-06-30T11:16:15"/>
        <d v="2023-06-30T01:18:00"/>
        <d v="2023-06-30T08:43:31"/>
        <d v="2023-06-30T18:51:17"/>
        <d v="2023-06-30T11:48:13"/>
        <d v="2023-06-30T07:56:05"/>
        <d v="2023-07-01T19:34:25"/>
        <d v="2023-07-01T04:08:10"/>
        <d v="2023-07-02T11:43:22"/>
        <d v="2023-07-02T15:34:25"/>
        <d v="2023-07-02T12:17:52"/>
        <d v="2023-07-03T12:38:49"/>
        <d v="2023-07-03T05:38:12"/>
        <d v="2023-07-03T22:38:16"/>
        <d v="2023-07-03T00:50:51"/>
        <d v="2023-07-03T19:13:13"/>
        <d v="2023-07-04T23:47:01"/>
        <d v="2023-07-04T02:36:13"/>
        <d v="2023-07-04T00:39:52"/>
        <d v="2023-07-04T10:01:39"/>
        <d v="2023-07-04T13:14:19"/>
        <d v="2023-07-04T01:40:31"/>
        <d v="2023-07-04T03:48:41"/>
        <d v="2023-07-04T15:19:33"/>
        <d v="2023-07-05T12:47:04"/>
        <d v="2023-07-05T15:03:26"/>
        <d v="2023-07-05T23:01:55"/>
        <d v="2023-07-05T21:03:38"/>
        <d v="2023-07-05T22:10:12"/>
        <d v="2023-07-05T17:10:41"/>
        <d v="2023-07-05T14:30:43"/>
        <d v="2023-07-06T02:48:03"/>
        <d v="2023-07-06T19:49:27"/>
        <d v="2023-07-06T10:23:03"/>
        <d v="2023-07-06T13:22:22"/>
        <d v="2023-07-06T01:26:59"/>
        <d v="2023-07-06T16:59:58"/>
        <d v="2023-07-06T08:04:13"/>
        <d v="2023-07-06T14:05:11"/>
        <d v="2023-07-06T02:12:09"/>
        <d v="2023-07-06T23:36:06"/>
        <d v="2023-07-07T00:03:58"/>
        <d v="2023-07-07T13:22:46"/>
        <d v="2023-07-07T11:51:04"/>
        <d v="2023-07-07T14:51:18"/>
        <d v="2023-07-07T12:22:32"/>
        <d v="2023-07-07T23:08:26"/>
        <d v="2023-07-07T22:58:06"/>
        <d v="2023-07-07T15:00:47"/>
        <d v="2023-07-07T10:28:20"/>
        <d v="2023-07-07T00:06:17"/>
        <d v="2023-07-08T00:15:43"/>
        <d v="2023-07-08T05:06:51"/>
        <d v="2023-07-09T17:02:18"/>
        <d v="2023-07-09T14:19:39"/>
        <d v="2023-07-09T08:37:29"/>
        <d v="2023-07-09T22:06:34"/>
        <d v="2023-07-10T06:08:41"/>
        <d v="2023-07-10T19:01:46"/>
        <d v="2023-07-10T18:34:35"/>
        <d v="2023-07-10T05:59:09"/>
        <d v="2023-07-10T14:32:40"/>
        <d v="2023-07-10T04:02:53"/>
        <d v="2023-07-10T04:15:42"/>
        <d v="2023-07-10T17:17:26"/>
        <d v="2023-07-10T07:34:10"/>
        <d v="2023-07-10T21:04:00"/>
        <d v="2023-07-10T07:54:18"/>
        <d v="2023-07-10T11:07:20"/>
        <d v="2023-07-11T10:05:38"/>
        <d v="2023-07-11T05:02:47"/>
        <d v="2023-07-11T21:40:15"/>
        <d v="2023-07-11T22:04:08"/>
        <d v="2023-07-11T00:09:17"/>
        <d v="2023-07-11T01:59:56"/>
        <d v="2023-07-11T04:59:45"/>
        <d v="2023-07-11T01:35:33"/>
        <d v="2023-07-11T03:05:44"/>
        <d v="2023-07-12T16:05:06"/>
        <d v="2023-07-12T07:32:06"/>
        <d v="2023-07-12T16:04:48"/>
        <d v="2023-07-12T04:04:43"/>
        <d v="2023-07-12T17:46:44"/>
        <d v="2023-07-12T20:49:18"/>
        <d v="2023-07-12T21:28:34"/>
        <d v="2023-07-12T15:40:30"/>
        <d v="2023-07-12T17:30:29"/>
        <d v="2023-07-13T17:14:29"/>
        <d v="2023-07-13T07:02:40"/>
        <d v="2023-07-13T07:09:10"/>
        <d v="2023-07-13T05:54:51"/>
        <d v="2023-07-13T10:58:35"/>
        <d v="2023-07-14T16:19:04"/>
        <d v="2023-07-14T19:58:41"/>
        <d v="2023-07-14T17:35:23"/>
        <d v="2023-07-14T17:14:34"/>
        <d v="2023-07-14T13:34:59"/>
        <d v="2023-07-14T22:52:14"/>
        <d v="2023-07-14T11:31:32"/>
        <d v="2023-07-14T03:21:31"/>
        <d v="2023-07-14T08:22:07"/>
        <d v="2023-07-15T12:50:12"/>
        <d v="2023-07-15T14:25:25"/>
        <d v="2023-07-15T23:31:21"/>
        <d v="2023-07-16T21:55:32"/>
        <d v="2023-07-16T17:54:40"/>
        <d v="2023-07-17T12:33:06"/>
        <d v="2023-07-17T13:46:45"/>
        <d v="2023-07-17T09:30:38"/>
        <d v="2023-07-17T21:54:07"/>
        <d v="2023-07-17T04:29:36"/>
        <d v="2023-07-17T16:26:17"/>
        <d v="2023-07-17T15:47:15"/>
        <d v="2023-07-17T14:31:34"/>
        <d v="2023-07-17T15:53:10"/>
        <d v="2023-07-18T02:49:14"/>
        <d v="2023-07-18T14:57:27"/>
        <d v="2023-07-18T16:29:27"/>
        <d v="2023-07-18T13:46:00"/>
        <d v="2023-07-18T07:16:47"/>
        <d v="2023-07-18T17:01:00"/>
        <d v="2023-07-18T04:21:06"/>
        <d v="2023-07-18T05:16:14"/>
        <d v="2023-07-18T07:18:05"/>
        <d v="2023-07-19T20:24:58"/>
        <d v="2023-07-19T03:50:42"/>
        <d v="2023-07-19T00:38:21"/>
        <d v="2023-07-19T04:58:14"/>
        <d v="2023-07-19T16:27:31"/>
        <d v="2023-07-19T01:55:33"/>
        <d v="2023-07-19T11:40:11"/>
        <d v="2023-07-19T07:01:23"/>
        <d v="2023-07-19T21:29:08"/>
        <d v="2023-07-19T20:35:55"/>
        <d v="2023-07-19T10:17:32"/>
        <d v="2023-07-20T05:38:45"/>
        <d v="2023-07-20T09:57:06"/>
        <d v="2023-07-20T07:52:58"/>
        <d v="2023-07-20T23:02:26"/>
        <d v="2023-07-20T00:51:47"/>
        <d v="2023-07-20T05:31:42"/>
        <d v="2023-07-20T08:29:44"/>
        <d v="2023-07-20T10:48:21"/>
        <d v="2023-07-20T03:48:19"/>
        <d v="2023-07-20T15:35:25"/>
        <d v="2023-07-21T17:17:52"/>
        <d v="2023-07-21T04:14:58"/>
        <d v="2023-07-21T21:58:38"/>
        <d v="2023-07-21T23:58:59"/>
        <d v="2023-07-21T01:52:21"/>
        <d v="2023-07-21T08:59:53"/>
        <d v="2023-07-22T09:55:59"/>
        <d v="2023-07-22T07:28:38"/>
        <d v="2023-07-22T02:02:02"/>
        <d v="2023-07-23T08:50:08"/>
        <d v="2023-07-23T03:45:32"/>
        <d v="2023-07-23T22:55:17"/>
        <d v="2023-07-24T20:47:04"/>
        <d v="2023-07-24T23:11:01"/>
        <d v="2023-07-24T08:12:56"/>
        <d v="2023-07-24T05:12:30"/>
        <d v="2023-07-24T22:56:30"/>
        <d v="2023-07-24T06:35:05"/>
        <d v="2023-07-24T05:17:06"/>
        <d v="2023-07-24T19:22:39"/>
        <d v="2023-07-25T19:01:01"/>
        <d v="2023-07-25T05:19:24"/>
        <d v="2023-07-25T08:24:38"/>
        <d v="2023-07-25T10:09:51"/>
        <d v="2023-07-25T12:41:56"/>
        <d v="2023-07-25T16:03:58"/>
        <d v="2023-07-25T22:00:01"/>
        <d v="2023-07-26T05:17:19"/>
        <d v="2023-07-26T17:48:10"/>
        <d v="2023-07-26T17:37:56"/>
        <d v="2023-07-26T11:56:52"/>
        <d v="2023-07-26T06:23:09"/>
        <d v="2023-07-26T10:12:34"/>
        <d v="2023-07-26T10:23:04"/>
        <d v="2023-07-26T14:24:32"/>
        <d v="2023-07-27T12:52:28"/>
        <d v="2023-07-27T17:15:18"/>
        <d v="2023-07-27T22:45:55"/>
        <d v="2023-07-27T21:40:02"/>
        <d v="2023-07-27T01:06:34"/>
        <d v="2023-07-28T10:17:18"/>
        <d v="2023-07-28T16:21:54"/>
        <d v="2023-07-28T04:55:49"/>
        <d v="2023-07-28T05:07:43"/>
        <d v="2023-07-28T03:03:13"/>
        <d v="2023-07-29T16:35:02"/>
        <d v="2023-07-29T16:26:33"/>
        <d v="2023-07-29T12:07:53"/>
        <d v="2023-07-30T00:43:24"/>
        <d v="2023-07-30T21:40:00"/>
        <d v="2023-07-30T11:52:27"/>
        <d v="2023-07-31T21:21:00"/>
        <d v="2023-07-31T00:14:49"/>
        <d v="2023-07-31T09:46:25"/>
        <d v="2023-07-31T19:50:06"/>
        <d v="2023-07-31T04:29:20"/>
        <d v="2023-07-31T19:38:58"/>
        <d v="2023-07-31T15:54:19"/>
        <d v="2023-07-31T15:07:17"/>
        <d v="2023-07-31T19:18:02"/>
        <d v="2023-07-31T18:58:53"/>
        <d v="2023-07-31T08:56:35"/>
        <d v="2023-07-31T09:43:34"/>
        <d v="2023-08-01T04:34:57"/>
        <d v="2023-08-01T15:29:12"/>
        <d v="2023-08-01T20:01:50"/>
        <d v="2023-08-01T11:55:41"/>
        <d v="2023-08-01T03:21:52"/>
        <d v="2023-08-01T04:44:54"/>
        <d v="2023-08-02T07:41:06"/>
        <d v="2023-08-02T11:18:10"/>
        <d v="2023-08-02T07:31:31"/>
        <d v="2023-08-02T18:06:52"/>
        <d v="2023-08-02T21:53:43"/>
        <d v="2023-08-02T02:37:15"/>
        <d v="2023-08-02T16:20:43"/>
        <d v="2023-08-02T15:53:02"/>
        <d v="2023-08-03T22:39:29"/>
        <d v="2023-08-03T18:46:36"/>
        <d v="2023-08-03T00:14:42"/>
        <d v="2023-08-03T15:31:59"/>
        <d v="2023-08-03T14:52:35"/>
        <d v="2023-08-03T12:37:19"/>
        <d v="2023-08-03T21:38:26"/>
        <d v="2023-08-03T21:33:45"/>
        <d v="2023-08-04T12:43:41"/>
        <d v="2023-08-04T04:37:32"/>
        <d v="2023-08-04T18:15:36"/>
        <d v="2023-08-04T03:20:18"/>
        <d v="2023-08-04T01:50:35"/>
        <d v="2023-08-05T00:41:24"/>
        <d v="2023-08-05T02:24:07"/>
        <d v="2023-08-05T01:58:57"/>
        <d v="2023-08-06T11:09:06"/>
        <d v="2023-08-06T12:50:33"/>
        <d v="2023-08-06T10:37:40"/>
        <d v="2023-08-06T13:52:11"/>
        <d v="2023-08-06T17:58:30"/>
        <d v="2023-08-06T13:38:15"/>
        <d v="2023-08-07T12:46:44"/>
        <d v="2023-08-07T11:15:32"/>
        <d v="2023-08-07T19:44:12"/>
        <d v="2023-08-07T23:34:02"/>
        <d v="2023-08-07T15:10:55"/>
        <d v="2023-08-07T22:29:00"/>
        <d v="2023-08-08T09:40:50"/>
        <d v="2023-08-08T21:09:26"/>
        <d v="2023-08-08T22:35:28"/>
        <d v="2023-08-08T00:50:57"/>
        <d v="2023-08-08T07:51:46"/>
        <d v="2023-08-08T01:22:34"/>
        <d v="2023-08-08T05:42:37"/>
        <d v="2023-08-09T20:32:09"/>
        <d v="2023-08-09T08:55:35"/>
        <d v="2023-08-09T11:05:57"/>
        <d v="2023-08-09T17:25:41"/>
        <d v="2023-08-09T06:58:57"/>
        <d v="2023-08-09T09:11:08"/>
        <d v="2023-08-09T17:11:17"/>
        <d v="2023-08-09T03:50:28"/>
        <d v="2023-08-09T00:29:00"/>
        <d v="2023-08-10T18:52:16"/>
        <d v="2023-08-10T20:17:52"/>
        <d v="2023-08-10T22:15:02"/>
        <d v="2023-08-11T16:51:17"/>
        <d v="2023-08-11T04:48:56"/>
        <d v="2023-08-11T23:20:44"/>
        <d v="2023-08-11T23:26:09"/>
        <d v="2023-08-11T15:00:10"/>
        <d v="2023-08-12T08:58:38"/>
        <d v="2023-08-12T04:28:51"/>
        <d v="2023-08-12T14:25:33"/>
        <d v="2023-08-12T01:08:42"/>
        <d v="2023-08-13T04:29:18"/>
        <d v="2023-08-14T13:58:32"/>
        <d v="2023-08-14T19:11:08"/>
        <d v="2023-08-14T07:57:39"/>
        <d v="2023-08-14T16:56:36"/>
        <d v="2023-08-14T16:34:25"/>
        <d v="2023-08-14T12:56:01"/>
        <d v="2023-08-14T02:02:34"/>
        <d v="2023-08-14T21:53:06"/>
        <d v="2023-08-14T16:03:00"/>
        <d v="2023-08-15T06:38:25"/>
        <d v="2023-08-15T20:32:14"/>
        <d v="2023-08-15T19:42:47"/>
        <d v="2023-08-15T22:59:05"/>
        <d v="2023-08-15T06:18:13"/>
        <d v="2023-08-15T21:06:22"/>
        <d v="2023-08-15T07:04:55"/>
        <d v="2023-08-15T21:39:32"/>
        <d v="2023-08-15T02:44:06"/>
        <d v="2023-08-15T02:20:17"/>
        <d v="2023-08-15T06:57:33"/>
        <d v="2023-08-15T22:36:53"/>
        <d v="2023-08-15T22:21:29"/>
        <d v="2023-08-15T02:33:23"/>
        <d v="2023-08-15T22:12:35"/>
        <d v="2023-08-16T18:24:27"/>
        <d v="2023-08-16T02:17:56"/>
        <d v="2023-08-16T03:47:10"/>
        <d v="2023-08-16T16:29:03"/>
        <d v="2023-08-17T05:41:13"/>
        <d v="2023-08-17T10:40:47"/>
        <d v="2023-08-17T15:50:32"/>
        <d v="2023-08-17T07:17:22"/>
        <d v="2023-08-17T14:57:40"/>
        <d v="2023-08-18T20:56:43"/>
        <d v="2023-08-18T02:50:04"/>
        <d v="2023-08-18T22:39:00"/>
        <d v="2023-08-18T20:57:09"/>
        <d v="2023-08-18T23:15:59"/>
        <d v="2023-08-18T18:46:47"/>
        <d v="2023-08-19T15:51:41"/>
        <d v="2023-08-19T10:37:55"/>
        <d v="2023-08-20T00:54:54"/>
        <d v="2023-08-21T02:02:11"/>
        <d v="2023-08-21T05:14:23"/>
        <d v="2023-08-21T10:03:05"/>
        <d v="2023-08-21T03:51:19"/>
        <d v="2023-08-21T03:01:38"/>
        <d v="2023-08-21T02:49:00"/>
        <d v="2023-08-21T07:26:33"/>
        <d v="2023-08-21T07:51:18"/>
        <d v="2023-08-22T04:27:03"/>
        <d v="2023-08-22T19:29:31"/>
        <d v="2023-08-22T13:47:01"/>
        <d v="2023-08-22T15:20:45"/>
        <d v="2023-08-22T07:32:33"/>
        <d v="2023-08-22T02:24:14"/>
        <d v="2023-08-22T23:11:45"/>
        <d v="2023-08-22T03:00:56"/>
        <d v="2023-08-22T18:07:13"/>
        <d v="2023-08-22T18:04:49"/>
        <d v="2023-08-22T04:28:36"/>
        <d v="2023-08-23T14:28:02"/>
        <d v="2023-08-23T17:19:57"/>
        <d v="2023-08-23T12:29:57"/>
        <d v="2023-08-23T09:04:37"/>
        <d v="2023-08-23T10:00:28"/>
        <d v="2023-08-23T06:34:06"/>
        <d v="2023-08-23T02:51:32"/>
        <d v="2023-08-23T09:34:18"/>
        <d v="2023-08-23T00:12:56"/>
        <d v="2023-08-23T19:12:17"/>
        <d v="2023-08-23T18:56:26"/>
        <d v="2023-08-24T01:23:22"/>
        <d v="2023-08-24T17:27:43"/>
        <d v="2023-08-24T16:51:43"/>
        <d v="2023-08-24T09:50:49"/>
        <d v="2023-08-24T08:02:10"/>
        <d v="2023-08-24T18:11:52"/>
        <d v="2023-08-24T07:11:36"/>
        <d v="2023-08-24T06:44:24"/>
        <d v="2023-08-24T00:09:49"/>
        <d v="2023-08-24T04:59:59"/>
        <d v="2023-08-24T03:29:42"/>
        <d v="2023-08-25T18:54:17"/>
        <d v="2023-08-25T19:31:27"/>
        <d v="2023-08-25T21:09:36"/>
        <d v="2023-08-25T20:56:12"/>
        <d v="2023-08-25T22:55:35"/>
        <d v="2023-08-26T01:17:34"/>
        <d v="2023-08-27T12:53:28"/>
        <d v="2023-08-27T12:42:24"/>
        <d v="2023-08-28T12:32:47"/>
        <d v="2023-08-28T21:46:09"/>
        <d v="2023-08-28T12:12:43"/>
        <d v="2023-08-28T05:34:03"/>
        <d v="2023-08-28T01:24:31"/>
        <d v="2023-08-28T09:07:20"/>
        <d v="2023-08-28T10:05:38"/>
        <d v="2023-08-28T19:45:35"/>
        <d v="2023-08-29T08:29:05"/>
        <d v="2023-08-29T06:58:39"/>
        <d v="2023-08-29T11:45:15"/>
        <d v="2023-08-29T05:25:56"/>
        <d v="2023-08-29T08:19:53"/>
        <d v="2023-08-29T05:38:56"/>
        <d v="2023-08-29T22:00:38"/>
        <d v="2023-08-30T21:41:11"/>
        <d v="2023-08-30T17:06:02"/>
        <d v="2023-08-30T10:31:49"/>
        <d v="2023-08-30T23:45:05"/>
        <d v="2023-08-30T12:44:26"/>
        <d v="2023-08-30T09:09:49"/>
        <d v="2023-08-30T19:32:54"/>
        <d v="2023-08-30T04:21:13"/>
        <d v="2023-08-30T05:34:14"/>
        <d v="2023-08-31T02:16:21"/>
        <d v="2023-08-31T17:03:27"/>
        <d v="2023-08-31T22:11:35"/>
        <d v="2023-08-31T16:32:43"/>
        <d v="2023-08-31T17:52:50"/>
        <d v="2023-08-31T06:04:03"/>
        <d v="2023-08-31T08:10:53"/>
        <d v="2023-08-31T18:47:17"/>
        <d v="2023-09-01T21:09:41"/>
        <d v="2023-09-01T23:33:18"/>
        <d v="2023-09-01T20:08:06"/>
        <d v="2023-09-01T11:39:17"/>
        <d v="2023-09-01T11:16:05"/>
        <d v="2023-09-01T04:42:18"/>
        <d v="2023-09-01T14:27:41"/>
        <d v="2023-09-01T15:08:51"/>
        <d v="2023-09-02T17:49:22"/>
        <d v="2023-09-02T02:22:49"/>
        <d v="2023-09-03T16:18:23"/>
        <d v="2023-09-03T08:27:59"/>
        <d v="2023-09-03T14:17:38"/>
        <d v="2023-09-03T11:23:01"/>
        <d v="2023-09-04T20:05:09"/>
        <d v="2023-09-04T22:18:03"/>
        <d v="2023-09-04T01:34:53"/>
        <d v="2023-09-04T23:39:26"/>
        <d v="2023-09-04T10:55:40"/>
        <d v="2023-09-04T10:51:23"/>
        <d v="2023-09-04T15:27:00"/>
        <d v="2023-09-05T06:07:30"/>
        <d v="2023-09-05T03:58:35"/>
        <d v="2023-09-05T14:43:52"/>
        <d v="2023-09-06T16:42:58"/>
        <d v="2023-09-06T17:04:33"/>
        <d v="2023-09-06T02:29:17"/>
        <d v="2023-09-06T15:30:44"/>
        <d v="2023-09-06T23:22:01"/>
        <d v="2023-09-06T02:31:53"/>
        <d v="2023-09-06T06:16:22"/>
        <d v="2023-09-07T10:11:05"/>
        <d v="2023-09-07T00:48:48"/>
        <d v="2023-09-07T10:33:10"/>
        <d v="2023-09-07T14:17:03"/>
        <d v="2023-09-07T02:32:34"/>
        <d v="2023-09-07T08:39:28"/>
        <d v="2023-09-07T11:21:45"/>
        <d v="2023-09-08T06:40:11"/>
        <d v="2023-09-08T09:52:38"/>
        <d v="2023-09-08T08:22:08"/>
        <d v="2023-09-08T22:51:17"/>
        <d v="2023-09-08T20:21:49"/>
        <d v="2023-09-09T13:21:44"/>
        <d v="2023-09-09T15:22:52"/>
        <d v="2023-09-09T07:08:07"/>
        <d v="2023-09-09T06:14:30"/>
        <d v="2023-09-10T09:12:48"/>
        <d v="2023-09-10T03:13:55"/>
        <d v="2023-09-10T20:22:38"/>
        <d v="2023-09-10T06:36:03"/>
        <d v="2023-09-11T12:01:46"/>
        <d v="2023-09-11T06:29:45"/>
        <d v="2023-09-11T05:40:59"/>
        <d v="2023-09-11T23:52:07"/>
        <d v="2023-09-11T07:01:21"/>
        <d v="2023-09-11T00:39:37"/>
        <d v="2023-09-11T01:52:30"/>
        <d v="2023-09-11T16:12:48"/>
        <d v="2023-09-12T15:14:55"/>
        <d v="2023-09-12T23:05:55"/>
        <d v="2023-09-12T13:30:51"/>
        <d v="2023-09-12T01:42:27"/>
        <d v="2023-09-12T21:51:21"/>
        <d v="2023-09-12T05:30:01"/>
        <d v="2023-09-12T07:10:41"/>
        <d v="2023-09-13T08:10:13"/>
        <d v="2023-09-13T07:27:37"/>
        <d v="2023-09-13T22:49:49"/>
        <d v="2023-09-13T18:38:56"/>
        <d v="2023-09-13T05:38:34"/>
        <d v="2023-09-14T02:24:22"/>
        <d v="2023-09-14T16:22:03"/>
        <d v="2023-09-14T01:53:12"/>
        <d v="2023-09-14T12:58:10"/>
        <d v="2023-09-15T02:21:22"/>
        <d v="2023-09-15T23:13:37"/>
        <d v="2023-09-15T09:52:42"/>
        <d v="2023-09-15T02:34:04"/>
        <d v="2023-09-15T12:12:26"/>
        <d v="2023-09-15T07:31:17"/>
        <d v="2023-09-15T09:48:58"/>
        <d v="2023-09-15T13:32:04"/>
        <d v="2023-09-16T21:36:50"/>
        <d v="2023-09-16T03:27:45"/>
        <d v="2023-09-17T04:00:18"/>
        <d v="2023-09-17T07:39:25"/>
        <d v="2023-09-18T21:59:50"/>
        <d v="2023-09-18T18:47:16"/>
        <d v="2023-09-18T02:37:37"/>
        <d v="2023-09-18T10:26:53"/>
        <d v="2023-09-18T19:11:54"/>
        <d v="2023-09-18T22:00:02"/>
        <d v="2023-09-18T06:51:24"/>
        <d v="2023-09-18T11:31:34"/>
        <d v="2023-09-18T14:49:08"/>
        <d v="2023-09-19T11:41:28"/>
        <d v="2023-09-19T07:00:57"/>
        <d v="2023-09-19T05:34:04"/>
        <d v="2023-09-20T01:36:50"/>
        <d v="2023-09-20T05:23:18"/>
        <d v="2023-09-20T11:15:58"/>
        <d v="2023-09-20T15:41:51"/>
        <d v="2023-09-20T00:42:32"/>
        <d v="2023-09-21T15:52:27"/>
        <d v="2023-09-21T22:13:48"/>
        <d v="2023-09-21T23:10:40"/>
        <d v="2023-09-21T14:23:24"/>
        <d v="2023-09-21T07:49:40"/>
        <d v="2023-09-21T19:00:10"/>
        <d v="2023-09-21T16:36:25"/>
        <d v="2023-09-21T10:25:35"/>
        <d v="2023-09-22T01:23:47"/>
        <d v="2023-09-22T15:53:36"/>
        <d v="2023-09-22T04:05:12"/>
        <d v="2023-09-22T05:52:08"/>
        <d v="2023-09-22T23:23:44"/>
        <d v="2023-09-22T21:49:23"/>
        <d v="2023-09-22T19:56:13"/>
        <d v="2023-09-22T01:37:21"/>
        <d v="2023-09-22T09:32:02"/>
        <d v="2023-09-22T00:55:01"/>
        <d v="2023-09-23T16:45:45"/>
        <d v="2023-09-23T00:34:40"/>
        <d v="2023-09-23T01:32:55"/>
        <d v="2023-09-24T19:44:22"/>
        <d v="2023-09-24T03:25:42"/>
        <d v="2023-09-24T21:16:42"/>
        <d v="2023-09-25T10:35:13"/>
        <d v="2023-09-25T15:13:39"/>
        <d v="2023-09-25T01:25:06"/>
        <d v="2023-09-25T03:28:54"/>
        <d v="2023-09-25T03:57:29"/>
        <d v="2023-09-25T05:24:37"/>
        <d v="2023-09-25T15:07:49"/>
        <d v="2023-09-25T09:47:27"/>
        <d v="2023-09-25T15:40:01"/>
        <d v="2023-09-26T22:51:15"/>
        <d v="2023-09-26T15:34:41"/>
        <d v="2023-09-26T17:16:49"/>
        <d v="2023-09-26T11:00:11"/>
        <d v="2023-09-26T12:56:07"/>
        <d v="2023-09-27T01:56:05"/>
        <d v="2023-09-27T22:45:17"/>
        <d v="2023-09-27T05:29:59"/>
        <d v="2023-09-27T06:14:51"/>
        <d v="2023-09-27T05:52:12"/>
        <d v="2023-09-27T09:00:12"/>
        <d v="2023-09-27T10:58:40"/>
        <d v="2023-09-27T00:18:02"/>
        <d v="2023-09-27T14:36:20"/>
        <d v="2023-09-28T11:38:17"/>
        <d v="2023-09-28T02:28:25"/>
        <d v="2023-09-28T08:07:52"/>
        <d v="2023-09-28T14:43:00"/>
        <d v="2023-09-28T18:54:26"/>
        <d v="2023-09-28T07:43:20"/>
        <d v="2023-09-28T18:52:08"/>
        <d v="2023-09-29T01:39:42"/>
        <d v="2023-09-29T23:41:14"/>
        <d v="2023-09-29T09:45:58"/>
        <d v="2023-09-30T01:21:38"/>
        <d v="2023-09-30T02:53:40"/>
        <d v="2023-09-30T16:21:10"/>
        <d v="2023-10-01T12:32:53"/>
        <d v="2023-10-02T02:28:15"/>
        <d v="2023-10-02T18:04:18"/>
        <d v="2023-10-02T08:19:12"/>
        <d v="2023-10-02T20:30:48"/>
        <d v="2023-10-02T06:05:57"/>
        <d v="2023-10-02T23:15:59"/>
        <d v="2023-10-02T03:14:09"/>
        <d v="2023-10-03T01:21:20"/>
        <d v="2023-10-03T08:47:28"/>
        <d v="2023-10-03T02:51:22"/>
        <d v="2023-10-03T02:21:32"/>
        <d v="2023-10-03T22:55:49"/>
        <d v="2023-10-03T16:05:53"/>
        <d v="2023-10-03T12:16:58"/>
        <d v="2023-10-04T01:11:12"/>
        <d v="2023-10-04T21:18:44"/>
        <d v="2023-10-04T03:45:47"/>
        <d v="2023-10-04T13:30:44"/>
        <d v="2023-10-04T00:32:04"/>
        <d v="2023-10-04T07:03:44"/>
        <d v="2023-10-04T09:31:24"/>
        <d v="2023-10-05T05:10:40"/>
        <d v="2023-10-05T16:45:56"/>
        <d v="2023-10-05T04:06:05"/>
        <d v="2023-10-05T12:30:40"/>
        <d v="2023-10-05T21:48:09"/>
        <d v="2023-10-05T06:04:33"/>
        <d v="2023-10-05T06:44:05"/>
        <d v="2023-10-06T03:18:41"/>
        <d v="2023-10-06T08:01:52"/>
        <d v="2023-10-06T21:17:46"/>
        <d v="2023-10-06T14:38:41"/>
        <d v="2023-10-06T07:23:29"/>
        <d v="2023-10-06T05:55:08"/>
        <d v="2023-10-06T03:10:41"/>
        <d v="2023-10-06T00:29:50"/>
        <d v="2023-10-06T23:57:46"/>
        <d v="2023-10-06T18:47:37"/>
        <d v="2023-10-07T17:08:31"/>
        <d v="2023-10-07T06:00:57"/>
        <d v="2023-10-07T03:30:54"/>
        <d v="2023-10-07T16:37:00"/>
        <d v="2023-10-08T09:20:28"/>
        <d v="2023-10-09T07:02:33"/>
        <d v="2023-10-09T15:02:45"/>
        <d v="2023-10-09T07:10:47"/>
        <d v="2023-10-09T04:28:25"/>
        <d v="2023-10-09T18:03:15"/>
        <d v="2023-10-09T07:04:52"/>
        <d v="2023-10-09T06:15:04"/>
        <d v="2023-10-09T15:56:53"/>
        <d v="2023-10-10T01:54:53"/>
        <d v="2023-10-10T07:14:04"/>
        <d v="2023-10-10T16:12:48"/>
        <d v="2023-10-10T07:50:07"/>
        <d v="2023-10-10T15:50:53"/>
        <d v="2023-10-11T13:40:00"/>
        <d v="2023-10-11T17:19:03"/>
        <d v="2023-10-11T08:14:02"/>
        <d v="2023-10-11T10:04:30"/>
        <d v="2023-10-11T08:09:16"/>
        <d v="2023-10-11T17:24:55"/>
        <d v="2023-10-11T01:12:43"/>
        <d v="2023-10-11T05:25:30"/>
        <d v="2023-10-12T15:08:18"/>
        <d v="2023-10-12T04:25:20"/>
        <d v="2023-10-12T12:33:45"/>
        <d v="2023-10-12T15:03:01"/>
        <d v="2023-10-12T19:25:20"/>
        <d v="2023-10-12T19:02:17"/>
        <d v="2023-10-12T12:47:43"/>
        <d v="2023-10-12T18:46:46"/>
        <d v="2023-10-13T16:13:18"/>
        <d v="2023-10-13T22:23:31"/>
        <d v="2023-10-13T12:25:20"/>
        <d v="2023-10-13T17:04:50"/>
        <d v="2023-10-14T19:17:47"/>
        <d v="2023-10-14T13:17:57"/>
        <d v="2023-10-14T19:40:35"/>
        <d v="2023-10-14T15:22:51"/>
        <d v="2023-10-14T07:59:49"/>
        <d v="2023-10-16T09:32:25"/>
        <d v="2023-10-16T14:25:07"/>
        <d v="2023-10-16T14:14:49"/>
        <d v="2023-10-16T12:38:37"/>
        <d v="2023-10-16T22:24:26"/>
        <d v="2023-10-16T04:17:14"/>
        <d v="2023-10-16T13:54:00"/>
        <d v="2023-10-16T18:14:13"/>
        <d v="2023-10-16T19:22:47"/>
        <d v="2023-10-16T00:12:58"/>
        <d v="2023-10-16T00:32:59"/>
        <d v="2023-10-16T00:49:10"/>
        <d v="2023-10-17T00:10:03"/>
        <d v="2023-10-17T21:43:36"/>
        <d v="2023-10-17T08:26:50"/>
        <d v="2023-10-17T11:44:38"/>
        <d v="2023-10-17T20:29:49"/>
        <d v="2023-10-17T06:00:33"/>
        <d v="2023-10-18T08:08:28"/>
        <d v="2023-10-18T10:05:07"/>
        <d v="2023-10-18T21:51:40"/>
        <d v="2023-10-18T05:39:02"/>
        <d v="2023-10-18T15:35:58"/>
        <d v="2023-10-18T17:52:22"/>
        <d v="2023-10-18T02:49:03"/>
        <d v="2023-10-18T20:38:28"/>
        <d v="2023-10-18T22:51:28"/>
        <d v="2023-10-18T11:15:29"/>
        <d v="2023-10-18T15:22:51"/>
        <d v="2023-10-18T20:36:54"/>
        <d v="2023-10-18T03:46:11"/>
        <d v="2023-10-18T21:11:59"/>
        <d v="2023-10-18T00:20:33"/>
        <d v="2023-10-19T06:16:32"/>
        <d v="2023-10-19T17:45:48"/>
        <d v="2023-10-19T04:44:14"/>
        <d v="2023-10-19T12:01:28"/>
        <d v="2023-10-19T00:51:54"/>
        <d v="2023-10-19T21:34:41"/>
        <d v="2023-10-19T04:33:51"/>
        <d v="2023-10-19T16:15:29"/>
        <d v="2023-10-19T13:57:38"/>
        <d v="2023-10-19T01:14:55"/>
        <d v="2023-10-19T03:54:58"/>
        <d v="2023-10-20T13:53:50"/>
        <d v="2023-10-20T12:13:33"/>
        <d v="2023-10-20T06:09:17"/>
        <d v="2023-10-20T11:45:43"/>
        <d v="2023-10-20T15:50:36"/>
        <d v="2023-10-21T20:51:44"/>
        <d v="2023-10-21T04:11:08"/>
        <d v="2023-10-21T09:09:40"/>
        <d v="2023-10-22T00:18:43"/>
        <d v="2023-10-22T16:51:22"/>
        <d v="2023-10-22T14:43:58"/>
        <d v="2023-10-22T11:24:23"/>
        <d v="2023-10-22T02:32:15"/>
        <d v="2023-10-22T08:47:17"/>
        <d v="2023-10-23T00:01:46"/>
        <d v="2023-10-23T17:28:34"/>
        <d v="2023-10-23T14:41:25"/>
        <d v="2023-10-23T04:03:21"/>
        <d v="2023-10-24T00:55:28"/>
        <d v="2023-10-24T16:57:50"/>
        <d v="2023-10-24T05:56:10"/>
        <d v="2023-10-24T09:33:56"/>
        <d v="2023-10-24T20:01:39"/>
        <d v="2023-10-24T23:54:58"/>
        <d v="2023-10-24T11:54:36"/>
        <d v="2023-10-25T23:08:17"/>
        <d v="2023-10-25T09:24:24"/>
        <d v="2023-10-25T10:48:25"/>
        <d v="2023-10-25T04:04:02"/>
        <d v="2023-10-25T23:34:43"/>
        <d v="2023-10-25T01:13:47"/>
        <d v="2023-10-26T09:44:19"/>
        <d v="2023-10-26T02:28:01"/>
        <d v="2023-10-26T05:47:17"/>
        <d v="2023-10-26T01:39:42"/>
        <d v="2023-10-26T15:13:20"/>
        <d v="2023-10-26T22:22:25"/>
        <d v="2023-10-26T16:21:45"/>
        <d v="2023-10-26T16:46:44"/>
        <d v="2023-10-26T18:56:11"/>
        <d v="2023-10-26T22:52:28"/>
        <d v="2023-10-27T11:33:45"/>
        <d v="2023-10-27T08:22:15"/>
        <d v="2023-10-27T10:10:33"/>
        <d v="2023-10-27T12:03:12"/>
        <d v="2023-10-27T14:44:55"/>
        <d v="2023-10-27T19:01:06"/>
        <d v="2023-10-27T10:31:50"/>
        <d v="2023-10-27T00:25:35"/>
        <d v="2023-10-27T23:17:33"/>
        <d v="2023-10-27T19:19:17"/>
        <d v="2023-10-27T06:45:31"/>
        <d v="2023-10-27T17:22:00"/>
        <d v="2023-10-28T19:28:01"/>
        <d v="2023-10-28T12:32:42"/>
        <d v="2023-10-28T15:48:50"/>
        <d v="2023-10-29T00:45:51"/>
        <d v="2023-10-29T15:26:21"/>
        <d v="2023-10-29T03:14:50"/>
        <d v="2023-10-30T16:10:14"/>
        <d v="2023-10-30T06:39:12"/>
        <d v="2023-10-30T18:13:05"/>
        <d v="2023-10-30T19:30:50"/>
        <d v="2023-10-30T23:33:23"/>
        <d v="2023-10-30T05:51:10"/>
        <d v="2023-10-30T16:02:03"/>
        <d v="2023-10-31T15:07:33"/>
        <d v="2023-10-31T10:07:30"/>
        <d v="2023-10-31T20:58:47"/>
        <d v="2023-10-31T00:37:49"/>
        <d v="2023-10-31T07:06:15"/>
        <d v="2023-10-31T16:06:51"/>
        <d v="2023-10-31T00:29:39"/>
        <d v="2023-10-31T00:34:03"/>
        <d v="2023-11-01T00:06:49"/>
        <d v="2023-11-01T23:01:47"/>
        <d v="2023-11-01T09:20:37"/>
        <d v="2023-11-01T21:15:52"/>
        <d v="2023-11-01T18:55:11"/>
        <d v="2023-11-01T13:07:28"/>
        <d v="2023-11-01T23:54:55"/>
        <d v="2023-11-01T10:21:54"/>
        <d v="2023-11-01T15:23:00"/>
        <d v="2023-11-01T08:18:40"/>
        <d v="2023-11-01T07:01:08"/>
        <d v="2023-11-02T19:25:27"/>
        <d v="2023-11-02T06:12:26"/>
        <d v="2023-11-02T01:48:46"/>
        <d v="2023-11-02T11:02:27"/>
        <d v="2023-11-02T02:48:53"/>
        <d v="2023-11-02T12:46:43"/>
        <d v="2023-11-02T15:45:40"/>
        <d v="2023-11-02T08:00:12"/>
        <d v="2023-11-02T15:27:33"/>
        <d v="2023-11-02T06:29:35"/>
        <d v="2023-11-03T17:47:09"/>
        <d v="2023-11-03T18:35:52"/>
        <d v="2023-11-03T19:42:56"/>
        <d v="2023-11-03T13:33:40"/>
        <d v="2023-11-03T15:51:20"/>
        <d v="2023-11-03T05:18:59"/>
        <d v="2023-11-03T16:58:19"/>
        <d v="2023-11-03T10:23:40"/>
        <d v="2023-11-03T09:23:39"/>
        <d v="2023-11-03T06:23:01"/>
        <d v="2023-11-04T15:02:09"/>
        <d v="2023-11-04T18:21:44"/>
        <d v="2023-11-04T21:16:05"/>
        <d v="2023-11-05T00:43:17"/>
        <d v="2023-11-05T16:52:21"/>
        <d v="2023-11-05T12:30:09"/>
        <d v="2023-11-06T09:52:57"/>
        <d v="2023-11-06T09:49:23"/>
        <d v="2023-11-06T13:18:19"/>
        <d v="2023-11-06T07:26:31"/>
        <d v="2023-11-06T23:48:23"/>
        <d v="2023-11-06T16:35:57"/>
        <d v="2023-11-06T19:21:09"/>
        <d v="2023-11-06T00:36:36"/>
        <d v="2023-11-07T12:46:42"/>
        <d v="2023-11-07T00:28:30"/>
        <d v="2023-11-07T01:41:16"/>
        <d v="2023-11-07T01:05:48"/>
        <d v="2023-11-07T19:22:24"/>
        <d v="2023-11-07T05:07:18"/>
        <d v="2023-11-07T00:47:28"/>
        <d v="2023-11-08T07:10:23"/>
        <d v="2023-11-08T20:42:42"/>
        <d v="2023-11-08T22:46:35"/>
        <d v="2023-11-08T01:13:09"/>
        <d v="2023-11-08T01:34:12"/>
        <d v="2023-11-08T07:43:08"/>
        <d v="2023-11-08T02:07:36"/>
        <d v="2023-11-08T11:37:14"/>
        <d v="2023-11-08T12:19:12"/>
        <d v="2023-11-08T21:27:37"/>
        <d v="2023-11-08T07:52:27"/>
        <d v="2023-11-09T04:47:36"/>
        <d v="2023-11-09T20:45:50"/>
        <d v="2023-11-09T21:18:44"/>
        <d v="2023-11-09T23:18:57"/>
        <d v="2023-11-09T08:15:53"/>
        <d v="2023-11-09T03:02:00"/>
        <d v="2023-11-09T05:13:12"/>
        <d v="2023-11-09T00:43:22"/>
        <d v="2023-11-10T14:10:13"/>
        <d v="2023-11-10T00:57:33"/>
        <d v="2023-11-10T12:56:25"/>
        <d v="2023-11-10T23:46:05"/>
        <d v="2023-11-10T11:46:55"/>
        <d v="2023-11-10T06:58:51"/>
        <d v="2023-11-11T00:40:59"/>
        <d v="2023-11-11T08:50:21"/>
        <d v="2023-11-11T00:34:31"/>
        <d v="2023-11-11T20:11:44"/>
        <d v="2023-11-11T00:18:43"/>
        <d v="2023-11-12T10:50:47"/>
        <d v="2023-11-12T00:16:05"/>
        <d v="2023-11-12T16:48:39"/>
        <d v="2023-11-13T16:51:30"/>
        <d v="2023-11-13T15:05:45"/>
        <d v="2023-11-13T08:27:15"/>
        <d v="2023-11-13T09:31:45"/>
        <d v="2023-11-13T23:03:20"/>
        <d v="2023-11-13T11:46:21"/>
        <d v="2023-11-13T04:21:58"/>
        <d v="2023-11-14T09:45:25"/>
        <d v="2023-11-14T12:05:31"/>
        <d v="2023-11-14T05:07:29"/>
        <d v="2023-11-14T16:11:11"/>
        <d v="2023-11-14T09:01:58"/>
        <d v="2023-11-14T21:15:29"/>
        <d v="2023-11-14T05:20:32"/>
        <d v="2023-11-14T02:14:10"/>
        <d v="2023-11-14T05:51:57"/>
        <d v="2023-11-15T13:43:51"/>
        <d v="2023-11-15T19:04:12"/>
        <d v="2023-11-15T16:13:20"/>
        <d v="2023-11-15T15:32:02"/>
        <d v="2023-11-15T22:41:22"/>
        <d v="2023-11-15T08:13:13"/>
        <d v="2023-11-15T19:48:19"/>
        <d v="2023-11-15T17:46:50"/>
        <d v="2023-11-16T14:57:42"/>
        <d v="2023-11-16T02:43:21"/>
        <d v="2023-11-16T12:28:46"/>
        <d v="2023-11-16T05:59:23"/>
        <d v="2023-11-16T16:11:44"/>
        <d v="2023-11-16T03:18:36"/>
        <d v="2023-11-16T00:09:43"/>
        <d v="2023-11-17T21:49:34"/>
        <d v="2023-11-17T05:21:24"/>
        <d v="2023-11-17T07:52:27"/>
        <d v="2023-11-17T19:40:21"/>
        <d v="2023-11-17T10:04:40"/>
        <d v="2023-11-17T20:00:23"/>
        <d v="2023-11-17T15:36:27"/>
        <d v="2023-11-17T10:27:31"/>
        <d v="2023-11-18T02:08:40"/>
        <d v="2023-11-18T11:16:30"/>
        <d v="2023-11-18T20:23:28"/>
        <d v="2023-11-19T20:03:12"/>
        <d v="2023-11-19T01:53:46"/>
        <d v="2023-11-19T01:06:29"/>
        <d v="2023-11-19T07:13:50"/>
        <d v="2023-11-19T08:01:12"/>
        <d v="2023-11-20T21:50:19"/>
        <d v="2023-11-20T15:38:44"/>
        <d v="2023-11-20T04:03:51"/>
        <d v="2023-11-20T08:48:59"/>
        <d v="2023-11-20T16:00:41"/>
        <d v="2023-11-20T06:00:11"/>
        <d v="2023-11-20T19:02:57"/>
        <d v="2023-11-21T07:35:59"/>
        <d v="2023-11-21T00:03:06"/>
        <d v="2023-11-21T22:55:54"/>
        <d v="2023-11-21T06:59:06"/>
        <d v="2023-11-21T19:03:23"/>
        <d v="2023-11-21T23:09:47"/>
        <d v="2023-11-21T06:29:06"/>
        <d v="2023-11-21T15:47:44"/>
        <d v="2023-11-22T09:08:52"/>
        <d v="2023-11-22T04:35:34"/>
        <d v="2023-11-22T15:51:37"/>
        <d v="2023-11-22T09:38:49"/>
        <d v="2023-11-22T11:28:44"/>
        <d v="2023-11-22T06:02:56"/>
        <d v="2023-11-22T23:44:36"/>
        <d v="2023-11-22T14:26:53"/>
        <d v="2023-11-23T06:42:07"/>
        <d v="2023-11-23T19:35:42"/>
        <d v="2023-11-23T05:58:08"/>
        <d v="2023-11-23T10:29:17"/>
        <d v="2023-11-23T10:29:18"/>
        <d v="2023-11-24T00:20:37"/>
        <d v="2023-11-24T10:39:39"/>
        <d v="2023-11-24T01:46:54"/>
        <d v="2023-11-24T14:47:52"/>
        <d v="2023-11-24T02:11:22"/>
        <d v="2023-11-24T23:36:32"/>
        <d v="2023-11-24T10:27:27"/>
        <d v="2023-11-24T11:18:52"/>
        <d v="2023-11-24T04:11:59"/>
        <d v="2023-11-24T07:46:27"/>
        <d v="2023-11-24T15:45:32"/>
        <d v="2023-11-25T19:03:37"/>
        <d v="2023-11-25T11:16:49"/>
        <d v="2023-11-26T16:49:41"/>
        <d v="2023-11-26T02:11:43"/>
        <d v="2023-11-27T14:51:28"/>
        <d v="2023-11-27T09:25:50"/>
        <d v="2023-11-27T03:24:46"/>
        <d v="2023-11-27T07:00:19"/>
        <d v="2023-11-27T14:41:58"/>
        <d v="2023-11-27T20:44:12"/>
        <d v="2023-11-27T06:31:14"/>
        <d v="2023-11-27T04:05:38"/>
        <d v="2023-11-27T01:35:50"/>
        <d v="2023-11-28T01:50:18"/>
        <d v="2023-11-28T02:08:15"/>
        <d v="2023-11-28T10:37:48"/>
        <d v="2023-11-28T07:52:47"/>
        <d v="2023-11-28T18:20:48"/>
        <d v="2023-11-29T02:28:15"/>
        <d v="2023-11-29T15:15:55"/>
        <d v="2023-11-29T04:46:58"/>
        <d v="2023-11-29T03:34:33"/>
        <d v="2023-11-29T13:23:18"/>
        <d v="2023-11-29T11:04:30"/>
        <d v="2023-11-29T02:12:23"/>
        <d v="2023-11-29T03:46:33"/>
        <d v="2023-11-29T00:31:07"/>
        <d v="2023-11-29T12:46:20"/>
        <d v="2023-11-29T20:07:50"/>
        <d v="2023-11-30T07:39:04"/>
        <d v="2023-11-30T12:40:21"/>
        <d v="2023-11-30T08:39:54"/>
        <d v="2023-11-30T15:07:53"/>
        <d v="2023-11-30T15:06:50"/>
        <d v="2023-11-30T22:24:05"/>
        <d v="2023-11-30T01:16:32"/>
        <d v="2023-11-30T13:33:41"/>
        <d v="2023-11-30T01:43:27"/>
        <d v="2023-11-30T10:52:26"/>
        <d v="2023-11-30T11:14:08"/>
        <d v="2023-11-30T15:41:41"/>
        <d v="2023-11-30T12:36:28"/>
        <d v="2023-12-01T04:12:24"/>
        <d v="2023-12-01T10:27:24"/>
        <d v="2023-12-01T06:10:41"/>
        <d v="2023-12-01T05:04:05"/>
        <d v="2023-12-01T22:07:45"/>
        <d v="2023-12-01T08:23:02"/>
        <d v="2023-12-01T22:43:53"/>
        <d v="2023-12-02T03:13:09"/>
        <d v="2023-12-02T03:47:24"/>
        <d v="2023-12-02T17:40:06"/>
        <d v="2023-12-02T15:47:24"/>
        <d v="2023-12-02T01:33:34"/>
        <d v="2023-12-03T07:41:59"/>
        <d v="2023-12-03T23:02:15"/>
        <d v="2023-12-03T09:36:37"/>
        <d v="2023-12-03T12:13:20"/>
        <d v="2023-12-03T16:40:24"/>
        <d v="2023-12-03T08:41:50"/>
        <d v="2023-12-04T03:02:19"/>
        <d v="2023-12-04T14:53:51"/>
        <d v="2023-12-04T04:44:02"/>
        <d v="2023-12-04T17:21:19"/>
        <d v="2023-12-04T20:25:55"/>
        <d v="2023-12-04T18:47:16"/>
        <d v="2023-12-04T04:19:29"/>
        <d v="2023-12-04T07:48:05"/>
        <d v="2023-12-05T09:29:27"/>
        <d v="2023-12-05T20:35:11"/>
        <d v="2023-12-05T17:34:01"/>
        <d v="2023-12-05T02:07:14"/>
        <d v="2023-12-05T16:10:33"/>
        <d v="2023-12-05T17:19:35"/>
        <d v="2023-12-05T03:25:18"/>
        <d v="2023-12-05T16:52:36"/>
        <d v="2023-12-05T09:49:17"/>
        <d v="2023-12-06T07:16:35"/>
        <d v="2023-12-06T00:28:18"/>
        <d v="2023-12-06T21:29:10"/>
        <d v="2023-12-06T13:58:09"/>
        <d v="2023-12-06T09:54:13"/>
        <d v="2023-12-06T03:52:38"/>
        <d v="2023-12-06T17:56:14"/>
        <d v="2023-12-07T18:49:15"/>
        <d v="2023-12-07T22:00:48"/>
        <d v="2023-12-07T02:56:44"/>
        <d v="2023-12-07T03:27:04"/>
        <d v="2023-12-07T20:45:23"/>
        <d v="2023-12-07T01:47:33"/>
        <d v="2023-12-07T22:35:46"/>
        <d v="2023-12-07T01:02:40"/>
        <d v="2023-12-08T19:29:32"/>
        <d v="2023-12-08T22:29:50"/>
        <d v="2023-12-08T21:05:54"/>
        <d v="2023-12-08T15:21:56"/>
        <d v="2023-12-08T11:28:58"/>
        <d v="2023-12-08T16:08:01"/>
        <d v="2023-12-08T10:42:36"/>
        <d v="2023-12-08T13:42:26"/>
        <d v="2023-12-09T18:12:30"/>
        <d v="2023-12-09T02:41:17"/>
        <d v="2023-12-09T09:47:02"/>
        <d v="2023-12-09T09:30:21"/>
        <d v="2023-12-09T20:53:54"/>
        <d v="2023-12-10T00:08:27"/>
        <d v="2023-12-10T22:40:41"/>
        <d v="2023-12-10T17:29:44"/>
        <d v="2023-12-10T20:12:57"/>
        <d v="2023-12-10T19:12:58"/>
        <d v="2023-12-10T15:47:58"/>
        <d v="2023-12-11T06:10:27"/>
        <d v="2023-12-11T22:06:52"/>
        <d v="2023-12-11T01:00:06"/>
        <d v="2023-12-11T07:52:40"/>
        <d v="2023-12-11T01:16:44"/>
        <d v="2023-12-11T19:50:54"/>
        <d v="2023-12-11T04:32:49"/>
        <d v="2023-12-11T14:58:22"/>
        <d v="2023-12-12T06:24:10"/>
        <d v="2023-12-12T15:38:11"/>
        <d v="2023-12-12T08:40:16"/>
        <d v="2023-12-12T18:31:41"/>
        <d v="2023-12-12T06:13:31"/>
        <d v="2023-12-12T00:10:31"/>
        <d v="2023-12-13T08:49:29"/>
        <d v="2023-12-13T19:06:23"/>
        <d v="2023-12-13T18:00:56"/>
        <d v="2023-12-13T05:24:35"/>
        <d v="2023-12-13T10:53:21"/>
        <d v="2023-12-13T21:04:05"/>
        <d v="2023-12-13T05:54:19"/>
        <d v="2023-12-13T09:15:55"/>
        <d v="2023-12-14T17:49:40"/>
        <d v="2023-12-14T04:06:46"/>
        <d v="2023-12-14T17:09:24"/>
        <d v="2023-12-14T15:45:25"/>
        <d v="2023-12-14T15:07:48"/>
        <d v="2023-12-14T17:23:53"/>
        <d v="2023-12-15T20:30:21"/>
        <d v="2023-12-15T10:06:09"/>
        <d v="2023-12-15T13:19:40"/>
        <d v="2023-12-16T06:13:16"/>
        <d v="2023-12-16T20:08:02"/>
        <d v="2023-12-17T21:01:13"/>
        <d v="2023-12-17T08:24:18"/>
        <d v="2023-12-17T03:40:04"/>
        <d v="2023-12-17T10:12:25"/>
        <d v="2023-12-17T03:01:30"/>
        <d v="2023-12-17T01:45:34"/>
        <d v="2023-12-17T22:44:09"/>
        <d v="2023-12-18T23:41:27"/>
        <d v="2023-12-18T08:45:38"/>
        <d v="2023-12-18T06:00:25"/>
        <d v="2023-12-18T23:25:00"/>
        <d v="2023-12-18T17:02:21"/>
        <d v="2023-12-18T17:25:51"/>
        <d v="2023-12-18T08:25:11"/>
        <d v="2023-12-18T10:20:16"/>
        <d v="2023-12-18T13:29:29"/>
        <d v="2023-12-19T11:34:41"/>
        <d v="2023-12-19T05:55:21"/>
        <d v="2023-12-19T05:13:51"/>
        <d v="2023-12-19T00:47:28"/>
        <d v="2023-12-19T19:57:37"/>
        <d v="2023-12-19T23:05:20"/>
        <d v="2023-12-19T08:47:16"/>
        <d v="2023-12-19T05:32:23"/>
        <d v="2023-12-20T03:14:23"/>
        <d v="2023-12-20T06:19:31"/>
        <d v="2023-12-20T22:08:52"/>
        <d v="2023-12-20T18:03:42"/>
        <d v="2023-12-20T02:51:25"/>
        <d v="2023-12-20T23:24:36"/>
        <d v="2023-12-20T12:04:35"/>
        <d v="2023-12-20T19:52:48"/>
        <d v="2023-12-21T15:58:23"/>
        <d v="2023-12-21T20:19:02"/>
        <d v="2023-12-21T20:46:12"/>
        <d v="2023-12-21T09:23:15"/>
        <d v="2023-12-21T18:53:16"/>
        <d v="2023-12-22T08:37:49"/>
        <d v="2023-12-22T04:43:16"/>
        <d v="2023-12-22T15:36:22"/>
        <d v="2023-12-22T02:52:27"/>
        <d v="2023-12-22T13:17:01"/>
        <d v="2023-12-22T13:30:59"/>
        <d v="2023-12-22T17:12:34"/>
        <d v="2023-12-22T22:04:33"/>
        <d v="2023-12-22T07:38:22"/>
        <d v="2023-12-22T11:16:19"/>
        <d v="2023-12-23T09:16:43"/>
        <d v="2023-12-23T00:25:38"/>
        <d v="2023-12-23T04:29:19"/>
        <d v="2023-12-27T15:48:43"/>
        <d v="2023-12-27T11:10:03"/>
        <d v="2023-12-27T20:16:47"/>
        <d v="2023-12-27T04:33:46"/>
        <d v="2023-12-27T00:37:16"/>
        <d v="2023-12-27T19:22:36"/>
        <d v="2023-12-27T18:55:02"/>
        <d v="2023-12-27T15:22:32"/>
        <d v="2023-12-28T19:21:47"/>
        <d v="2023-12-28T12:19:41"/>
        <d v="2023-12-29T21:30:01"/>
        <d v="2023-12-29T14:27:25"/>
        <d v="2023-12-29T14:59:36"/>
        <d v="2023-12-29T16:43:21"/>
        <d v="2023-12-29T12:16:43"/>
        <d v="2023-12-29T14:00:44"/>
        <d v="2023-12-29T16:29:15"/>
        <d v="2023-12-29T21:52:38"/>
        <d v="2023-12-29T15:20:30"/>
        <d v="2023-12-29T03:33:04"/>
        <d v="2023-12-30T03:11:44"/>
        <d v="2023-12-30T04:51:54"/>
        <d v="2023-12-30T13:16:56"/>
        <d v="2023-12-30T19:49:51"/>
      </sharedItems>
      <fieldGroup par="30"/>
    </cacheField>
    <cacheField name="Expected SLA to resolve" numFmtId="22">
      <sharedItems containsSemiMixedTypes="0" containsNonDate="0" containsDate="1" containsString="0" minDate="2023-01-03T06:59:04" maxDate="2024-01-01T19:49:51"/>
    </cacheField>
    <cacheField name="Expected SLA to first response" numFmtId="22">
      <sharedItems containsSemiMixedTypes="0" containsNonDate="0" containsDate="1" containsString="0" minDate="2023-01-02T01:58:36" maxDate="2023-12-30T20:49:51"/>
    </cacheField>
    <cacheField name="First response time" numFmtId="0">
      <sharedItems containsNonDate="0" containsDate="1" containsString="0" containsBlank="1" minDate="2023-01-02T01:03:17" maxDate="2023-12-30T20:18:08"/>
    </cacheField>
    <cacheField name="SLA For first response" numFmtId="0">
      <sharedItems/>
    </cacheField>
    <cacheField name="Resolution time" numFmtId="0">
      <sharedItems containsNonDate="0" containsDate="1" containsString="0" containsBlank="1" minDate="2023-01-02T22:45:33" maxDate="2024-01-04T05:39:41"/>
    </cacheField>
    <cacheField name="SLA For Resolution" numFmtId="0">
      <sharedItems count="2">
        <s v="Within SLA"/>
        <s v="SLA Violated"/>
      </sharedItems>
    </cacheField>
    <cacheField name="Close time" numFmtId="0">
      <sharedItems containsNonDate="0" containsDate="1" containsString="0" containsBlank="1" minDate="2023-01-04T04:02:59" maxDate="2024-01-02T15:41:49"/>
    </cacheField>
    <cacheField name="Agent interactions" numFmtId="0">
      <sharedItems containsString="0" containsBlank="1" containsNumber="1" containsInteger="1" minValue="1" maxValue="60"/>
    </cacheField>
    <cacheField name="Survey results" numFmtId="0">
      <sharedItems containsString="0" containsBlank="1" containsNumber="1" containsInteger="1" minValue="1" maxValue="5"/>
    </cacheField>
    <cacheField name="Product group" numFmtId="0">
      <sharedItems count="4">
        <s v="Custom software development"/>
        <s v="Other"/>
        <s v="Ready to use Software"/>
        <s v="Training and Consulting Services"/>
      </sharedItems>
    </cacheField>
    <cacheField name="Support Level" numFmtId="0">
      <sharedItems count="2">
        <s v="Tier 1"/>
        <s v="Tier 2"/>
      </sharedItems>
    </cacheField>
    <cacheField name="Country" numFmtId="0">
      <sharedItems/>
    </cacheField>
    <cacheField name="Latitude" numFmtId="0">
      <sharedItems containsSemiMixedTypes="0" containsString="0" containsNumber="1" minValue="39.368279000000001" maxValue="55.378051999999997"/>
    </cacheField>
    <cacheField name="Longitude" numFmtId="0">
      <sharedItems containsSemiMixedTypes="0" containsString="0" containsNumber="1" minValue="-8.0196749999999994" maxValue="25.483303899999999"/>
    </cacheField>
    <cacheField name="Response Time check" numFmtId="0">
      <sharedItems/>
    </cacheField>
    <cacheField name="Resolution time before created time" numFmtId="0">
      <sharedItems/>
    </cacheField>
    <cacheField name="Close Time check" numFmtId="0">
      <sharedItems/>
    </cacheField>
    <cacheField name="Resolved/closed but missing resolution time" numFmtId="0">
      <sharedItems/>
    </cacheField>
    <cacheField name="First response SLA check" numFmtId="0">
      <sharedItems/>
    </cacheField>
    <cacheField name="Resolution SLA check" numFmtId="0">
      <sharedItems count="2">
        <s v="ok"/>
        <s v="no resolution"/>
      </sharedItems>
    </cacheField>
    <cacheField name="Resolution Hours" numFmtId="2">
      <sharedItems containsMixedTypes="1" containsNumber="1" minValue="1.9584166584536433E-2" maxValue="146.84666138881585"/>
    </cacheField>
    <cacheField name="Days (Created time)" numFmtId="0" databaseField="0">
      <fieldGroup base="7">
        <rangePr groupBy="days" startDate="2023-01-02T00:58:36" endDate="2023-12-30T19:49:51"/>
        <groupItems count="368">
          <s v="&lt;1/2/2023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0/2023"/>
        </groupItems>
      </fieldGroup>
    </cacheField>
    <cacheField name="Months (Created time)" numFmtId="0" databaseField="0">
      <fieldGroup base="7">
        <rangePr groupBy="months" startDate="2023-01-02T00:58:36" endDate="2023-12-30T19:49:51"/>
        <groupItems count="14">
          <s v="&lt;1/2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0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30">
  <r>
    <x v="0"/>
    <n v="1012"/>
    <x v="0"/>
    <x v="0"/>
    <x v="0"/>
    <s v="1st line support"/>
    <x v="0"/>
    <x v="0"/>
    <d v="2023-01-04T00:58:36"/>
    <d v="2023-01-02T01:58:36"/>
    <d v="2023-01-02T01:03:17"/>
    <s v="Within SLA"/>
    <d v="2023-01-04T00:31:52"/>
    <x v="0"/>
    <d v="2023-01-04T04:02:59"/>
    <n v="1"/>
    <n v="3"/>
    <x v="0"/>
    <x v="0"/>
    <s v="Republic of Ireland"/>
    <n v="53.094023999999997"/>
    <n v="-8.0196749999999994"/>
    <s v="ok"/>
    <s v="ok"/>
    <s v="ok"/>
    <s v="ok"/>
    <s v="ok"/>
    <x v="0"/>
    <n v="47.554359444358852"/>
  </r>
  <r>
    <x v="1"/>
    <n v="1013"/>
    <x v="1"/>
    <x v="1"/>
    <x v="1"/>
    <s v="2nd line support"/>
    <x v="1"/>
    <x v="1"/>
    <d v="2023-01-04T07:27:25"/>
    <d v="2023-01-02T07:29:25"/>
    <d v="2023-01-02T07:27:43"/>
    <s v="Within SLA"/>
    <m/>
    <x v="1"/>
    <m/>
    <n v="3"/>
    <m/>
    <x v="1"/>
    <x v="1"/>
    <s v="Italy"/>
    <n v="43.036776000000003"/>
    <n v="12.678565000000001"/>
    <s v="ok"/>
    <s v="ok"/>
    <s v="ok"/>
    <s v="ok"/>
    <s v="ok"/>
    <x v="1"/>
    <s v=""/>
  </r>
  <r>
    <x v="2"/>
    <n v="1014"/>
    <x v="0"/>
    <x v="2"/>
    <x v="2"/>
    <s v="1st line support"/>
    <x v="2"/>
    <x v="2"/>
    <d v="2023-01-03T06:59:04"/>
    <d v="2023-01-02T07:01:04"/>
    <d v="2023-01-02T06:59:57"/>
    <s v="Within SLA"/>
    <d v="2023-01-02T22:45:33"/>
    <x v="0"/>
    <m/>
    <n v="2"/>
    <m/>
    <x v="0"/>
    <x v="0"/>
    <s v="Austria"/>
    <n v="47.696471899999999"/>
    <n v="13.3457347"/>
    <s v="ok"/>
    <s v="ok"/>
    <s v="ok"/>
    <s v="ok"/>
    <s v="ok"/>
    <x v="0"/>
    <n v="15.774715000006836"/>
  </r>
  <r>
    <x v="0"/>
    <n v="1015"/>
    <x v="2"/>
    <x v="0"/>
    <x v="3"/>
    <s v="1st line support"/>
    <x v="3"/>
    <x v="3"/>
    <d v="2023-01-05T03:09:39"/>
    <d v="2023-01-03T04:09:39"/>
    <d v="2023-01-03T07:09:16"/>
    <s v="SLA Violated"/>
    <d v="2023-01-04T14:32:35"/>
    <x v="0"/>
    <d v="2023-01-08T04:24:55"/>
    <n v="10"/>
    <n v="4"/>
    <x v="2"/>
    <x v="0"/>
    <s v="Spain"/>
    <n v="39.673369999999998"/>
    <n v="-4.7677259999999997"/>
    <s v="ok"/>
    <s v="ok"/>
    <s v="ok"/>
    <s v="ok"/>
    <s v="ok"/>
    <x v="0"/>
    <n v="35.382216388767119"/>
  </r>
  <r>
    <x v="0"/>
    <n v="1016"/>
    <x v="0"/>
    <x v="0"/>
    <x v="1"/>
    <s v="1st line support"/>
    <x v="0"/>
    <x v="4"/>
    <d v="2023-01-05T00:03:58"/>
    <d v="2023-01-03T01:03:58"/>
    <d v="2023-01-03T00:08:02"/>
    <s v="Within SLA"/>
    <d v="2023-01-04T12:03:06"/>
    <x v="0"/>
    <d v="2023-01-06T06:05:09"/>
    <n v="1"/>
    <n v="2"/>
    <x v="1"/>
    <x v="0"/>
    <s v="Austria"/>
    <n v="47.696471899999999"/>
    <n v="13.3457347"/>
    <s v="ok"/>
    <s v="ok"/>
    <s v="ok"/>
    <s v="ok"/>
    <s v="ok"/>
    <x v="0"/>
    <n v="35.985551666817628"/>
  </r>
  <r>
    <x v="0"/>
    <n v="1017"/>
    <x v="0"/>
    <x v="0"/>
    <x v="2"/>
    <s v="1st line support"/>
    <x v="4"/>
    <x v="5"/>
    <d v="2023-01-05T14:25:42"/>
    <d v="2023-01-03T15:25:42"/>
    <d v="2023-01-03T14:45:14"/>
    <s v="Within SLA"/>
    <d v="2023-01-04T01:55:57"/>
    <x v="0"/>
    <d v="2023-01-10T16:41:08"/>
    <n v="2"/>
    <n v="2"/>
    <x v="2"/>
    <x v="0"/>
    <s v="Greece"/>
    <n v="39.368279000000001"/>
    <n v="21.863140999999999"/>
    <s v="ok"/>
    <s v="ok"/>
    <s v="ok"/>
    <s v="ok"/>
    <s v="ok"/>
    <x v="0"/>
    <n v="11.504036944534164"/>
  </r>
  <r>
    <x v="0"/>
    <n v="1018"/>
    <x v="0"/>
    <x v="1"/>
    <x v="1"/>
    <s v="1st line support"/>
    <x v="0"/>
    <x v="6"/>
    <d v="2023-01-05T15:32:02"/>
    <d v="2023-01-03T15:34:02"/>
    <d v="2023-01-03T15:34:00"/>
    <s v="Within SLA"/>
    <d v="2023-01-05T03:51:37"/>
    <x v="0"/>
    <d v="2023-01-07T21:52:35"/>
    <n v="2"/>
    <n v="3"/>
    <x v="2"/>
    <x v="0"/>
    <s v="Republic of Ireland"/>
    <n v="53.094023999999997"/>
    <n v="-8.0196749999999994"/>
    <s v="ok"/>
    <s v="ok"/>
    <s v="ok"/>
    <s v="ok"/>
    <s v="ok"/>
    <x v="0"/>
    <n v="36.326397500059102"/>
  </r>
  <r>
    <x v="2"/>
    <n v="1019"/>
    <x v="2"/>
    <x v="2"/>
    <x v="3"/>
    <s v="2nd line support"/>
    <x v="5"/>
    <x v="7"/>
    <d v="2023-01-04T00:38:48"/>
    <d v="2023-01-03T00:40:48"/>
    <d v="2023-01-03T00:39:30"/>
    <s v="Within SLA"/>
    <d v="2023-01-05T12:47:56"/>
    <x v="1"/>
    <m/>
    <n v="2"/>
    <m/>
    <x v="3"/>
    <x v="1"/>
    <s v="Poland"/>
    <n v="52.536273000000001"/>
    <n v="19.050639"/>
    <s v="ok"/>
    <s v="ok"/>
    <s v="ok"/>
    <s v="ok"/>
    <s v="ok"/>
    <x v="0"/>
    <n v="60.152164722327143"/>
  </r>
  <r>
    <x v="2"/>
    <n v="1020"/>
    <x v="2"/>
    <x v="2"/>
    <x v="1"/>
    <s v="1st line support"/>
    <x v="0"/>
    <x v="8"/>
    <d v="2023-01-04T09:37:54"/>
    <d v="2023-01-03T09:39:54"/>
    <d v="2023-01-03T09:41:55"/>
    <s v="SLA Violated"/>
    <d v="2023-01-03T20:31:38"/>
    <x v="0"/>
    <m/>
    <n v="6"/>
    <m/>
    <x v="1"/>
    <x v="0"/>
    <s v="Germany"/>
    <n v="51.165691000000002"/>
    <n v="10.451525999999999"/>
    <s v="ok"/>
    <s v="ok"/>
    <s v="ok"/>
    <s v="ok"/>
    <s v="ok"/>
    <x v="0"/>
    <n v="10.895526666718069"/>
  </r>
  <r>
    <x v="0"/>
    <n v="1021"/>
    <x v="0"/>
    <x v="0"/>
    <x v="1"/>
    <s v="1st line support"/>
    <x v="2"/>
    <x v="9"/>
    <d v="2023-01-05T09:27:35"/>
    <d v="2023-01-03T10:27:35"/>
    <d v="2023-01-03T10:24:48"/>
    <s v="Within SLA"/>
    <d v="2023-01-04T10:16:32"/>
    <x v="0"/>
    <d v="2023-01-07T20:25:29"/>
    <n v="1"/>
    <n v="4"/>
    <x v="3"/>
    <x v="0"/>
    <s v="Czech Republic"/>
    <n v="49.8037633"/>
    <n v="15.4749126"/>
    <s v="ok"/>
    <s v="ok"/>
    <s v="ok"/>
    <s v="ok"/>
    <s v="ok"/>
    <x v="0"/>
    <n v="24.815969999937806"/>
  </r>
  <r>
    <x v="0"/>
    <n v="1024"/>
    <x v="2"/>
    <x v="2"/>
    <x v="4"/>
    <s v="1st line support"/>
    <x v="2"/>
    <x v="10"/>
    <d v="2023-01-04T16:41:11"/>
    <d v="2023-01-03T16:43:11"/>
    <d v="2023-01-03T16:43:41"/>
    <s v="SLA Violated"/>
    <d v="2023-01-03T23:52:18"/>
    <x v="0"/>
    <d v="2023-01-06T00:38:59"/>
    <n v="60"/>
    <n v="5"/>
    <x v="0"/>
    <x v="0"/>
    <s v="Czech Republic"/>
    <n v="49.8037633"/>
    <n v="15.4749126"/>
    <s v="ok"/>
    <s v="ok"/>
    <s v="ok"/>
    <s v="ok"/>
    <s v="ok"/>
    <x v="0"/>
    <n v="7.185358889051713"/>
  </r>
  <r>
    <x v="0"/>
    <n v="1025"/>
    <x v="0"/>
    <x v="2"/>
    <x v="5"/>
    <s v="1st line support"/>
    <x v="4"/>
    <x v="11"/>
    <d v="2023-01-04T04:50:04"/>
    <d v="2023-01-03T04:52:04"/>
    <d v="2023-01-03T04:50:05"/>
    <s v="Within SLA"/>
    <d v="2023-01-07T13:17:12"/>
    <x v="1"/>
    <d v="2023-01-09T05:37:59"/>
    <n v="3"/>
    <n v="3"/>
    <x v="0"/>
    <x v="0"/>
    <s v="Poland"/>
    <n v="52.536273000000001"/>
    <n v="19.050639"/>
    <s v="ok"/>
    <s v="ok"/>
    <s v="ok"/>
    <s v="ok"/>
    <s v="ok"/>
    <x v="0"/>
    <n v="104.4523244445445"/>
  </r>
  <r>
    <x v="0"/>
    <n v="1026"/>
    <x v="0"/>
    <x v="2"/>
    <x v="5"/>
    <s v="1st line support"/>
    <x v="6"/>
    <x v="12"/>
    <d v="2023-01-05T10:49:27"/>
    <d v="2023-01-04T10:51:27"/>
    <d v="2023-01-04T10:50:42"/>
    <s v="Within SLA"/>
    <d v="2023-01-04T23:37:37"/>
    <x v="0"/>
    <d v="2023-01-05T12:53:53"/>
    <n v="2"/>
    <n v="4"/>
    <x v="2"/>
    <x v="0"/>
    <s v="Bulgaria"/>
    <n v="42.724992499999999"/>
    <n v="25.483303899999999"/>
    <s v="ok"/>
    <s v="ok"/>
    <s v="ok"/>
    <s v="ok"/>
    <s v="ok"/>
    <x v="0"/>
    <n v="12.802858333394397"/>
  </r>
  <r>
    <x v="2"/>
    <n v="1027"/>
    <x v="0"/>
    <x v="2"/>
    <x v="6"/>
    <s v="1st line support"/>
    <x v="2"/>
    <x v="13"/>
    <d v="2023-01-05T07:27:56"/>
    <d v="2023-01-04T07:29:56"/>
    <d v="2023-01-04T07:28:52"/>
    <s v="Within SLA"/>
    <d v="2023-01-05T04:41:41"/>
    <x v="0"/>
    <m/>
    <n v="3"/>
    <m/>
    <x v="3"/>
    <x v="0"/>
    <s v="United Kingdom"/>
    <n v="55.378051999999997"/>
    <n v="-3.4359730000000002"/>
    <s v="ok"/>
    <s v="ok"/>
    <s v="ok"/>
    <s v="ok"/>
    <s v="ok"/>
    <x v="0"/>
    <n v="21.229029444395564"/>
  </r>
  <r>
    <x v="2"/>
    <n v="1028"/>
    <x v="0"/>
    <x v="2"/>
    <x v="5"/>
    <s v="1st line support"/>
    <x v="0"/>
    <x v="14"/>
    <d v="2023-01-05T21:46:12"/>
    <d v="2023-01-04T21:48:12"/>
    <d v="2023-01-04T21:46:51"/>
    <s v="Within SLA"/>
    <d v="2023-01-05T13:28:20"/>
    <x v="0"/>
    <m/>
    <n v="2"/>
    <m/>
    <x v="2"/>
    <x v="0"/>
    <s v="Bulgaria"/>
    <n v="42.724992499999999"/>
    <n v="25.483303899999999"/>
    <s v="ok"/>
    <s v="ok"/>
    <s v="ok"/>
    <s v="ok"/>
    <s v="ok"/>
    <x v="0"/>
    <n v="15.702308055537287"/>
  </r>
  <r>
    <x v="0"/>
    <n v="1029"/>
    <x v="2"/>
    <x v="2"/>
    <x v="0"/>
    <s v="1st line support"/>
    <x v="2"/>
    <x v="15"/>
    <d v="2023-01-05T09:12:41"/>
    <d v="2023-01-04T09:14:41"/>
    <d v="2023-01-04T09:13:35"/>
    <s v="Within SLA"/>
    <d v="2023-01-05T07:45:18"/>
    <x v="0"/>
    <d v="2023-01-06T23:18:20"/>
    <n v="60"/>
    <n v="5"/>
    <x v="0"/>
    <x v="0"/>
    <s v="Germany"/>
    <n v="51.165691000000002"/>
    <n v="10.451525999999999"/>
    <s v="ok"/>
    <s v="ok"/>
    <s v="ok"/>
    <s v="ok"/>
    <s v="ok"/>
    <x v="0"/>
    <n v="22.543707222270314"/>
  </r>
  <r>
    <x v="0"/>
    <n v="1030"/>
    <x v="2"/>
    <x v="2"/>
    <x v="0"/>
    <s v="1st line support"/>
    <x v="3"/>
    <x v="16"/>
    <d v="2023-01-05T19:36:58"/>
    <d v="2023-01-04T19:38:58"/>
    <d v="2023-01-04T19:37:56"/>
    <s v="Within SLA"/>
    <d v="2023-01-05T02:24:20"/>
    <x v="0"/>
    <d v="2023-01-11T06:16:49"/>
    <n v="5"/>
    <n v="4"/>
    <x v="2"/>
    <x v="0"/>
    <s v="Germany"/>
    <n v="51.165691000000002"/>
    <n v="10.451525999999999"/>
    <s v="ok"/>
    <s v="ok"/>
    <s v="ok"/>
    <s v="ok"/>
    <s v="ok"/>
    <x v="0"/>
    <n v="6.7894466666621156"/>
  </r>
  <r>
    <x v="1"/>
    <n v="1031"/>
    <x v="0"/>
    <x v="0"/>
    <x v="0"/>
    <s v="1st line support"/>
    <x v="0"/>
    <x v="17"/>
    <d v="2023-01-06T18:08:24"/>
    <d v="2023-01-04T19:08:24"/>
    <d v="2023-01-04T18:13:04"/>
    <s v="Within SLA"/>
    <m/>
    <x v="1"/>
    <m/>
    <n v="4"/>
    <m/>
    <x v="2"/>
    <x v="0"/>
    <s v="United Kingdom"/>
    <n v="55.378051999999997"/>
    <n v="-3.4359730000000002"/>
    <s v="ok"/>
    <s v="ok"/>
    <s v="ok"/>
    <s v="ok"/>
    <s v="ok"/>
    <x v="1"/>
    <s v=""/>
  </r>
  <r>
    <x v="2"/>
    <n v="1032"/>
    <x v="0"/>
    <x v="0"/>
    <x v="1"/>
    <s v="2nd line support"/>
    <x v="7"/>
    <x v="18"/>
    <d v="2023-01-06T12:47:17"/>
    <d v="2023-01-04T13:47:17"/>
    <d v="2023-01-04T13:20:44"/>
    <s v="Within SLA"/>
    <d v="2023-01-05T07:54:03"/>
    <x v="0"/>
    <m/>
    <n v="2"/>
    <m/>
    <x v="1"/>
    <x v="1"/>
    <s v="Germany"/>
    <n v="51.165691000000002"/>
    <n v="10.451525999999999"/>
    <s v="ok"/>
    <s v="ok"/>
    <s v="ok"/>
    <s v="ok"/>
    <s v="ok"/>
    <x v="0"/>
    <n v="19.112902222259436"/>
  </r>
  <r>
    <x v="1"/>
    <n v="1034"/>
    <x v="0"/>
    <x v="2"/>
    <x v="4"/>
    <s v="1st line support"/>
    <x v="3"/>
    <x v="19"/>
    <d v="2023-01-05T19:06:20"/>
    <d v="2023-01-04T19:08:20"/>
    <d v="2023-01-04T19:07:35"/>
    <s v="Within SLA"/>
    <m/>
    <x v="1"/>
    <m/>
    <n v="9"/>
    <m/>
    <x v="3"/>
    <x v="0"/>
    <s v="Germany"/>
    <n v="51.165691000000002"/>
    <n v="10.451525999999999"/>
    <s v="ok"/>
    <s v="ok"/>
    <s v="ok"/>
    <s v="ok"/>
    <s v="ok"/>
    <x v="1"/>
    <s v=""/>
  </r>
  <r>
    <x v="1"/>
    <n v="1035"/>
    <x v="1"/>
    <x v="0"/>
    <x v="6"/>
    <s v="1st line support"/>
    <x v="3"/>
    <x v="20"/>
    <d v="2023-01-06T05:27:57"/>
    <d v="2023-01-04T06:27:57"/>
    <d v="2023-01-04T06:07:00"/>
    <s v="Within SLA"/>
    <m/>
    <x v="1"/>
    <m/>
    <n v="7"/>
    <m/>
    <x v="3"/>
    <x v="0"/>
    <s v="Germany"/>
    <n v="51.165691000000002"/>
    <n v="10.451525999999999"/>
    <s v="ok"/>
    <s v="ok"/>
    <s v="ok"/>
    <s v="ok"/>
    <s v="ok"/>
    <x v="1"/>
    <s v=""/>
  </r>
  <r>
    <x v="2"/>
    <n v="1037"/>
    <x v="0"/>
    <x v="0"/>
    <x v="1"/>
    <s v="1st line support"/>
    <x v="4"/>
    <x v="21"/>
    <d v="2023-01-07T12:10:27"/>
    <d v="2023-01-05T13:10:27"/>
    <d v="2023-01-05T12:34:20"/>
    <s v="Within SLA"/>
    <d v="2023-01-07T11:23:15"/>
    <x v="0"/>
    <m/>
    <n v="1"/>
    <m/>
    <x v="0"/>
    <x v="0"/>
    <s v="Poland"/>
    <n v="52.536273000000001"/>
    <n v="19.050639"/>
    <s v="ok"/>
    <s v="ok"/>
    <s v="ok"/>
    <s v="ok"/>
    <s v="ok"/>
    <x v="0"/>
    <n v="47.213348333258182"/>
  </r>
  <r>
    <x v="0"/>
    <n v="1038"/>
    <x v="1"/>
    <x v="2"/>
    <x v="4"/>
    <s v="1st line support"/>
    <x v="2"/>
    <x v="22"/>
    <d v="2023-01-06T04:18:55"/>
    <d v="2023-01-05T04:20:55"/>
    <d v="2023-01-05T04:19:42"/>
    <s v="Within SLA"/>
    <d v="2023-01-05T19:22:17"/>
    <x v="0"/>
    <d v="2023-01-12T18:08:54"/>
    <n v="3"/>
    <n v="3"/>
    <x v="1"/>
    <x v="0"/>
    <s v="Italy"/>
    <n v="43.036776000000003"/>
    <n v="12.678565000000001"/>
    <s v="ok"/>
    <s v="ok"/>
    <s v="ok"/>
    <s v="ok"/>
    <s v="ok"/>
    <x v="0"/>
    <n v="15.056155833299272"/>
  </r>
  <r>
    <x v="2"/>
    <n v="1039"/>
    <x v="2"/>
    <x v="2"/>
    <x v="2"/>
    <s v="2nd line support"/>
    <x v="1"/>
    <x v="23"/>
    <d v="2023-01-06T05:16:19"/>
    <d v="2023-01-05T05:18:19"/>
    <d v="2023-01-05T05:18:01"/>
    <s v="Within SLA"/>
    <d v="2023-01-05T07:37:11"/>
    <x v="0"/>
    <m/>
    <n v="3"/>
    <m/>
    <x v="0"/>
    <x v="1"/>
    <s v="Poland"/>
    <n v="52.536273000000001"/>
    <n v="19.050639"/>
    <s v="ok"/>
    <s v="ok"/>
    <s v="ok"/>
    <s v="ok"/>
    <s v="ok"/>
    <x v="0"/>
    <n v="2.3477319444646128"/>
  </r>
  <r>
    <x v="1"/>
    <n v="1040"/>
    <x v="1"/>
    <x v="2"/>
    <x v="5"/>
    <s v="2nd line support"/>
    <x v="7"/>
    <x v="24"/>
    <d v="2023-01-06T14:30:37"/>
    <d v="2023-01-05T14:32:37"/>
    <d v="2023-01-05T14:31:02"/>
    <s v="Within SLA"/>
    <m/>
    <x v="1"/>
    <m/>
    <n v="6"/>
    <m/>
    <x v="2"/>
    <x v="1"/>
    <s v="Poland"/>
    <n v="52.536273000000001"/>
    <n v="19.050639"/>
    <s v="ok"/>
    <s v="ok"/>
    <s v="ok"/>
    <s v="ok"/>
    <s v="ok"/>
    <x v="1"/>
    <s v=""/>
  </r>
  <r>
    <x v="0"/>
    <n v="1041"/>
    <x v="0"/>
    <x v="2"/>
    <x v="1"/>
    <s v="1st line support"/>
    <x v="2"/>
    <x v="25"/>
    <d v="2023-01-06T02:59:54"/>
    <d v="2023-01-05T03:01:54"/>
    <d v="2023-01-05T03:04:27"/>
    <s v="SLA Violated"/>
    <d v="2023-01-05T21:50:51"/>
    <x v="0"/>
    <d v="2023-01-06T11:37:32"/>
    <n v="8"/>
    <n v="2"/>
    <x v="2"/>
    <x v="0"/>
    <s v="Germany"/>
    <n v="51.165691000000002"/>
    <n v="10.451525999999999"/>
    <s v="ok"/>
    <s v="ok"/>
    <s v="ok"/>
    <s v="ok"/>
    <s v="ok"/>
    <x v="0"/>
    <n v="18.849229722283781"/>
  </r>
  <r>
    <x v="0"/>
    <n v="1043"/>
    <x v="1"/>
    <x v="0"/>
    <x v="3"/>
    <s v="1st line support"/>
    <x v="3"/>
    <x v="26"/>
    <d v="2023-01-07T03:31:45"/>
    <d v="2023-01-05T04:31:45"/>
    <d v="2023-01-05T04:02:05"/>
    <s v="Within SLA"/>
    <d v="2023-01-06T17:14:14"/>
    <x v="0"/>
    <d v="2023-01-09T18:40:34"/>
    <n v="3"/>
    <n v="5"/>
    <x v="0"/>
    <x v="0"/>
    <s v="Italy"/>
    <n v="43.036776000000003"/>
    <n v="12.678565000000001"/>
    <s v="ok"/>
    <s v="ok"/>
    <s v="ok"/>
    <s v="ok"/>
    <s v="ok"/>
    <x v="0"/>
    <n v="37.708128055441193"/>
  </r>
  <r>
    <x v="0"/>
    <n v="1044"/>
    <x v="0"/>
    <x v="2"/>
    <x v="1"/>
    <s v="1st line support"/>
    <x v="0"/>
    <x v="27"/>
    <d v="2023-01-07T20:45:42"/>
    <d v="2023-01-06T20:47:42"/>
    <d v="2023-01-06T20:47:41"/>
    <s v="Within SLA"/>
    <d v="2023-01-07T00:07:33"/>
    <x v="0"/>
    <d v="2023-01-13T23:39:59"/>
    <n v="3"/>
    <n v="2"/>
    <x v="0"/>
    <x v="0"/>
    <s v="Italy"/>
    <n v="43.036776000000003"/>
    <n v="12.678565000000001"/>
    <s v="ok"/>
    <s v="ok"/>
    <s v="ok"/>
    <s v="ok"/>
    <s v="ok"/>
    <x v="0"/>
    <n v="3.3641119444509968"/>
  </r>
  <r>
    <x v="2"/>
    <n v="1045"/>
    <x v="2"/>
    <x v="0"/>
    <x v="5"/>
    <s v="1st line support"/>
    <x v="0"/>
    <x v="28"/>
    <d v="2023-01-08T20:14:59"/>
    <d v="2023-01-06T21:14:59"/>
    <d v="2023-01-06T20:58:30"/>
    <s v="Within SLA"/>
    <d v="2023-01-08T07:15:33"/>
    <x v="0"/>
    <m/>
    <n v="4"/>
    <m/>
    <x v="2"/>
    <x v="0"/>
    <s v="Slovenia"/>
    <n v="46.149166399999999"/>
    <n v="14.9860106"/>
    <s v="ok"/>
    <s v="ok"/>
    <s v="ok"/>
    <s v="ok"/>
    <s v="ok"/>
    <x v="0"/>
    <n v="35.009545000037178"/>
  </r>
  <r>
    <x v="2"/>
    <n v="1046"/>
    <x v="1"/>
    <x v="0"/>
    <x v="5"/>
    <s v="1st line support"/>
    <x v="4"/>
    <x v="29"/>
    <d v="2023-01-08T15:11:41"/>
    <d v="2023-01-06T16:11:41"/>
    <d v="2023-01-06T15:35:55"/>
    <s v="Within SLA"/>
    <d v="2023-01-07T06:22:47"/>
    <x v="0"/>
    <m/>
    <n v="1"/>
    <m/>
    <x v="0"/>
    <x v="0"/>
    <s v="Poland"/>
    <n v="52.536273000000001"/>
    <n v="19.050639"/>
    <s v="ok"/>
    <s v="ok"/>
    <s v="ok"/>
    <s v="ok"/>
    <s v="ok"/>
    <x v="0"/>
    <n v="15.185134166793432"/>
  </r>
  <r>
    <x v="1"/>
    <n v="1047"/>
    <x v="0"/>
    <x v="0"/>
    <x v="3"/>
    <s v="1st line support"/>
    <x v="2"/>
    <x v="30"/>
    <d v="2023-01-08T03:15:21"/>
    <d v="2023-01-06T04:15:21"/>
    <d v="2023-01-06T04:07:58"/>
    <s v="Within SLA"/>
    <m/>
    <x v="1"/>
    <m/>
    <n v="1"/>
    <m/>
    <x v="3"/>
    <x v="0"/>
    <s v="Greece"/>
    <n v="39.368279000000001"/>
    <n v="21.863140999999999"/>
    <s v="ok"/>
    <s v="ok"/>
    <s v="ok"/>
    <s v="ok"/>
    <s v="ok"/>
    <x v="1"/>
    <s v=""/>
  </r>
  <r>
    <x v="1"/>
    <n v="1048"/>
    <x v="0"/>
    <x v="2"/>
    <x v="3"/>
    <s v="1st line support"/>
    <x v="2"/>
    <x v="31"/>
    <d v="2023-01-07T23:55:57"/>
    <d v="2023-01-06T23:57:57"/>
    <d v="2023-01-06T23:56:15"/>
    <s v="Within SLA"/>
    <m/>
    <x v="1"/>
    <m/>
    <n v="8"/>
    <m/>
    <x v="2"/>
    <x v="0"/>
    <s v="Greece"/>
    <n v="39.368279000000001"/>
    <n v="21.863140999999999"/>
    <s v="ok"/>
    <s v="ok"/>
    <s v="ok"/>
    <s v="ok"/>
    <s v="ok"/>
    <x v="1"/>
    <s v=""/>
  </r>
  <r>
    <x v="0"/>
    <n v="1049"/>
    <x v="2"/>
    <x v="2"/>
    <x v="3"/>
    <s v="1st line support"/>
    <x v="4"/>
    <x v="32"/>
    <d v="2023-01-07T12:05:00"/>
    <d v="2023-01-06T12:07:00"/>
    <d v="2023-01-06T12:06:37"/>
    <s v="Within SLA"/>
    <d v="2023-01-11T05:34:05"/>
    <x v="1"/>
    <d v="2023-01-11T20:40:58"/>
    <n v="3"/>
    <n v="4"/>
    <x v="0"/>
    <x v="0"/>
    <s v="Poland"/>
    <n v="52.536273000000001"/>
    <n v="19.050639"/>
    <s v="ok"/>
    <s v="ok"/>
    <s v="ok"/>
    <s v="ok"/>
    <s v="ok"/>
    <x v="0"/>
    <n v="113.48479861125816"/>
  </r>
  <r>
    <x v="0"/>
    <n v="1050"/>
    <x v="0"/>
    <x v="0"/>
    <x v="1"/>
    <s v="1st line support"/>
    <x v="6"/>
    <x v="33"/>
    <d v="2023-01-09T01:13:52"/>
    <d v="2023-01-07T02:13:52"/>
    <d v="2023-01-07T01:33:11"/>
    <s v="Within SLA"/>
    <d v="2023-01-12T02:26:02"/>
    <x v="1"/>
    <d v="2023-01-14T00:42:19"/>
    <n v="6"/>
    <n v="4"/>
    <x v="3"/>
    <x v="0"/>
    <s v="Spain"/>
    <n v="39.673369999999998"/>
    <n v="-4.7677259999999997"/>
    <s v="ok"/>
    <s v="ok"/>
    <s v="ok"/>
    <s v="ok"/>
    <s v="ok"/>
    <x v="0"/>
    <n v="121.20276583341183"/>
  </r>
  <r>
    <x v="0"/>
    <n v="1054"/>
    <x v="1"/>
    <x v="0"/>
    <x v="2"/>
    <s v="2nd line support"/>
    <x v="5"/>
    <x v="34"/>
    <d v="2023-01-09T05:28:54"/>
    <d v="2023-01-07T06:28:54"/>
    <d v="2023-01-07T06:09:50"/>
    <s v="Within SLA"/>
    <d v="2023-01-08T08:30:23"/>
    <x v="0"/>
    <d v="2023-01-14T16:18:51"/>
    <n v="2"/>
    <n v="5"/>
    <x v="0"/>
    <x v="1"/>
    <s v="Italy"/>
    <n v="43.036776000000003"/>
    <n v="12.678565000000001"/>
    <s v="ok"/>
    <s v="ok"/>
    <s v="ok"/>
    <s v="ok"/>
    <s v="ok"/>
    <x v="0"/>
    <n v="27.024620277690701"/>
  </r>
  <r>
    <x v="0"/>
    <n v="1055"/>
    <x v="1"/>
    <x v="0"/>
    <x v="5"/>
    <s v="1st line support"/>
    <x v="3"/>
    <x v="35"/>
    <d v="2023-01-09T18:09:17"/>
    <d v="2023-01-07T19:09:17"/>
    <d v="2023-01-07T19:04:58"/>
    <s v="Within SLA"/>
    <d v="2023-01-09T13:07:23"/>
    <x v="0"/>
    <d v="2023-01-12T22:16:01"/>
    <n v="8"/>
    <n v="4"/>
    <x v="2"/>
    <x v="0"/>
    <s v="Republic of Ireland"/>
    <n v="53.094023999999997"/>
    <n v="-8.0196749999999994"/>
    <s v="ok"/>
    <s v="ok"/>
    <s v="ok"/>
    <s v="ok"/>
    <s v="ok"/>
    <x v="0"/>
    <n v="42.968397777818609"/>
  </r>
  <r>
    <x v="2"/>
    <n v="1056"/>
    <x v="0"/>
    <x v="0"/>
    <x v="5"/>
    <s v="1st line support"/>
    <x v="0"/>
    <x v="36"/>
    <d v="2023-01-09T00:13:20"/>
    <d v="2023-01-07T01:13:20"/>
    <d v="2023-01-07T00:19:14"/>
    <s v="Within SLA"/>
    <d v="2023-01-08T13:56:20"/>
    <x v="0"/>
    <m/>
    <n v="8"/>
    <m/>
    <x v="0"/>
    <x v="0"/>
    <s v="Germany"/>
    <n v="51.165691000000002"/>
    <n v="10.451525999999999"/>
    <s v="ok"/>
    <s v="ok"/>
    <s v="ok"/>
    <s v="ok"/>
    <s v="ok"/>
    <x v="0"/>
    <n v="37.716534444421995"/>
  </r>
  <r>
    <x v="0"/>
    <n v="1057"/>
    <x v="2"/>
    <x v="0"/>
    <x v="0"/>
    <s v="1st line support"/>
    <x v="2"/>
    <x v="37"/>
    <d v="2023-01-09T09:55:14"/>
    <d v="2023-01-07T10:55:14"/>
    <d v="2023-01-07T10:35:51"/>
    <s v="Within SLA"/>
    <d v="2023-01-09T01:35:54"/>
    <x v="0"/>
    <d v="2023-01-09T09:28:10"/>
    <n v="7"/>
    <n v="5"/>
    <x v="2"/>
    <x v="0"/>
    <s v="Germany"/>
    <n v="51.165691000000002"/>
    <n v="10.451525999999999"/>
    <s v="ok"/>
    <s v="ok"/>
    <s v="ok"/>
    <s v="ok"/>
    <s v="ok"/>
    <x v="0"/>
    <n v="39.677783611114137"/>
  </r>
  <r>
    <x v="1"/>
    <n v="1058"/>
    <x v="2"/>
    <x v="0"/>
    <x v="3"/>
    <s v="1st line support"/>
    <x v="2"/>
    <x v="38"/>
    <d v="2023-01-10T13:39:52"/>
    <d v="2023-01-08T14:39:52"/>
    <d v="2023-01-08T14:36:27"/>
    <s v="Within SLA"/>
    <m/>
    <x v="1"/>
    <m/>
    <n v="10"/>
    <m/>
    <x v="2"/>
    <x v="0"/>
    <s v="France"/>
    <n v="48.864716000000001"/>
    <n v="2.3490139999999999"/>
    <s v="ok"/>
    <s v="ok"/>
    <s v="ok"/>
    <s v="ok"/>
    <s v="ok"/>
    <x v="1"/>
    <s v=""/>
  </r>
  <r>
    <x v="1"/>
    <n v="1062"/>
    <x v="0"/>
    <x v="2"/>
    <x v="3"/>
    <s v="1st line support"/>
    <x v="6"/>
    <x v="39"/>
    <d v="2023-01-09T19:35:27"/>
    <d v="2023-01-08T19:37:27"/>
    <d v="2023-01-08T19:36:35"/>
    <s v="Within SLA"/>
    <m/>
    <x v="1"/>
    <m/>
    <n v="60"/>
    <m/>
    <x v="0"/>
    <x v="0"/>
    <s v="Republic of Ireland"/>
    <n v="53.094023999999997"/>
    <n v="-8.0196749999999994"/>
    <s v="ok"/>
    <s v="ok"/>
    <s v="ok"/>
    <s v="ok"/>
    <s v="ok"/>
    <x v="1"/>
    <s v=""/>
  </r>
  <r>
    <x v="0"/>
    <n v="1063"/>
    <x v="0"/>
    <x v="1"/>
    <x v="0"/>
    <s v="1st line support"/>
    <x v="0"/>
    <x v="40"/>
    <d v="2023-01-10T04:56:45"/>
    <d v="2023-01-08T04:58:45"/>
    <d v="2023-01-08T05:01:41"/>
    <s v="SLA Violated"/>
    <d v="2023-01-08T08:51:45"/>
    <x v="0"/>
    <d v="2023-01-12T04:26:34"/>
    <n v="2"/>
    <n v="1"/>
    <x v="2"/>
    <x v="0"/>
    <s v="United Kingdom"/>
    <n v="55.378051999999997"/>
    <n v="-3.4359730000000002"/>
    <s v="ok"/>
    <s v="ok"/>
    <s v="ok"/>
    <s v="ok"/>
    <s v="ok"/>
    <x v="0"/>
    <n v="3.9167694445350207"/>
  </r>
  <r>
    <x v="0"/>
    <n v="1064"/>
    <x v="1"/>
    <x v="2"/>
    <x v="4"/>
    <s v="1st line support"/>
    <x v="3"/>
    <x v="41"/>
    <d v="2023-01-09T10:58:22"/>
    <d v="2023-01-08T11:00:22"/>
    <d v="2023-01-08T10:59:36"/>
    <s v="Within SLA"/>
    <d v="2023-01-08T17:42:49"/>
    <x v="0"/>
    <d v="2023-01-10T20:07:57"/>
    <n v="5"/>
    <n v="5"/>
    <x v="2"/>
    <x v="0"/>
    <s v="United Kingdom"/>
    <n v="55.378051999999997"/>
    <n v="-3.4359730000000002"/>
    <s v="ok"/>
    <s v="ok"/>
    <s v="ok"/>
    <s v="ok"/>
    <s v="ok"/>
    <x v="0"/>
    <n v="6.7409183332929388"/>
  </r>
  <r>
    <x v="0"/>
    <n v="1065"/>
    <x v="2"/>
    <x v="2"/>
    <x v="1"/>
    <s v="1st line support"/>
    <x v="4"/>
    <x v="42"/>
    <d v="2023-01-09T01:00:01"/>
    <d v="2023-01-08T01:02:01"/>
    <d v="2023-01-08T01:01:25"/>
    <s v="Within SLA"/>
    <d v="2023-01-08T04:07:24"/>
    <x v="0"/>
    <d v="2023-01-10T14:51:41"/>
    <n v="3"/>
    <n v="3"/>
    <x v="2"/>
    <x v="0"/>
    <s v="United Kingdom"/>
    <n v="55.378051999999997"/>
    <n v="-3.4359730000000002"/>
    <s v="ok"/>
    <s v="ok"/>
    <s v="ok"/>
    <s v="ok"/>
    <s v="ok"/>
    <x v="0"/>
    <n v="3.1229388888459653"/>
  </r>
  <r>
    <x v="2"/>
    <n v="1066"/>
    <x v="2"/>
    <x v="2"/>
    <x v="1"/>
    <s v="1st line support"/>
    <x v="4"/>
    <x v="43"/>
    <d v="2023-01-10T14:16:59"/>
    <d v="2023-01-09T14:18:59"/>
    <d v="2023-01-09T14:17:22"/>
    <s v="Within SLA"/>
    <d v="2023-01-10T06:21:29"/>
    <x v="0"/>
    <m/>
    <n v="6"/>
    <m/>
    <x v="2"/>
    <x v="0"/>
    <s v="Spain"/>
    <n v="39.673369999999998"/>
    <n v="-4.7677259999999997"/>
    <s v="ok"/>
    <s v="ok"/>
    <s v="ok"/>
    <s v="ok"/>
    <s v="ok"/>
    <x v="0"/>
    <n v="16.074963333376218"/>
  </r>
  <r>
    <x v="2"/>
    <n v="1067"/>
    <x v="0"/>
    <x v="0"/>
    <x v="1"/>
    <s v="1st line support"/>
    <x v="4"/>
    <x v="44"/>
    <d v="2023-01-11T15:09:10"/>
    <d v="2023-01-09T16:09:10"/>
    <d v="2023-01-09T15:37:19"/>
    <s v="Within SLA"/>
    <d v="2023-01-11T01:02:32"/>
    <x v="0"/>
    <m/>
    <n v="3"/>
    <m/>
    <x v="0"/>
    <x v="0"/>
    <s v="Germany"/>
    <n v="51.165691000000002"/>
    <n v="10.451525999999999"/>
    <s v="ok"/>
    <s v="ok"/>
    <s v="ok"/>
    <s v="ok"/>
    <s v="ok"/>
    <x v="0"/>
    <n v="33.889571944484487"/>
  </r>
  <r>
    <x v="0"/>
    <n v="1068"/>
    <x v="0"/>
    <x v="0"/>
    <x v="1"/>
    <s v="1st line support"/>
    <x v="0"/>
    <x v="45"/>
    <d v="2023-01-11T14:10:12"/>
    <d v="2023-01-09T15:10:12"/>
    <d v="2023-01-09T14:48:04"/>
    <s v="Within SLA"/>
    <d v="2023-01-10T19:32:17"/>
    <x v="0"/>
    <d v="2023-01-10T23:22:09"/>
    <n v="3"/>
    <n v="1"/>
    <x v="2"/>
    <x v="0"/>
    <s v="Greece"/>
    <n v="39.368279000000001"/>
    <n v="21.863140999999999"/>
    <s v="ok"/>
    <s v="ok"/>
    <s v="ok"/>
    <s v="ok"/>
    <s v="ok"/>
    <x v="0"/>
    <n v="29.368035555642564"/>
  </r>
  <r>
    <x v="0"/>
    <n v="1069"/>
    <x v="2"/>
    <x v="0"/>
    <x v="3"/>
    <s v="2nd line support"/>
    <x v="7"/>
    <x v="46"/>
    <d v="2023-01-11T17:25:30"/>
    <d v="2023-01-09T18:25:30"/>
    <d v="2023-01-09T17:57:42"/>
    <s v="Within SLA"/>
    <d v="2023-01-10T12:39:06"/>
    <x v="0"/>
    <d v="2023-01-15T09:04:12"/>
    <n v="2"/>
    <n v="5"/>
    <x v="0"/>
    <x v="1"/>
    <s v="Poland"/>
    <n v="52.536273000000001"/>
    <n v="19.050639"/>
    <s v="ok"/>
    <s v="ok"/>
    <s v="ok"/>
    <s v="ok"/>
    <s v="ok"/>
    <x v="0"/>
    <n v="19.226642777735833"/>
  </r>
  <r>
    <x v="2"/>
    <n v="1070"/>
    <x v="1"/>
    <x v="0"/>
    <x v="3"/>
    <s v="2nd line support"/>
    <x v="1"/>
    <x v="47"/>
    <d v="2023-01-11T18:55:21"/>
    <d v="2023-01-09T19:55:21"/>
    <d v="2023-01-09T19:32:12"/>
    <s v="Within SLA"/>
    <d v="2023-01-15T17:10:06"/>
    <x v="1"/>
    <m/>
    <n v="1"/>
    <m/>
    <x v="0"/>
    <x v="1"/>
    <s v="Germany"/>
    <n v="51.165691000000002"/>
    <n v="10.451525999999999"/>
    <s v="ok"/>
    <s v="ok"/>
    <s v="ok"/>
    <s v="ok"/>
    <s v="ok"/>
    <x v="0"/>
    <n v="142.24596805562032"/>
  </r>
  <r>
    <x v="0"/>
    <n v="1071"/>
    <x v="2"/>
    <x v="0"/>
    <x v="6"/>
    <s v="2nd line support"/>
    <x v="5"/>
    <x v="48"/>
    <d v="2023-01-11T11:56:11"/>
    <d v="2023-01-09T12:56:11"/>
    <d v="2023-01-09T12:16:08"/>
    <s v="Within SLA"/>
    <d v="2023-01-10T16:04:07"/>
    <x v="0"/>
    <d v="2023-01-12T10:45:03"/>
    <n v="1"/>
    <n v="4"/>
    <x v="3"/>
    <x v="1"/>
    <s v="Republic of Ireland"/>
    <n v="53.094023999999997"/>
    <n v="-8.0196749999999994"/>
    <s v="ok"/>
    <s v="ok"/>
    <s v="ok"/>
    <s v="ok"/>
    <s v="ok"/>
    <x v="0"/>
    <n v="28.132299166638404"/>
  </r>
  <r>
    <x v="0"/>
    <n v="1072"/>
    <x v="1"/>
    <x v="0"/>
    <x v="0"/>
    <s v="1st line support"/>
    <x v="4"/>
    <x v="49"/>
    <d v="2023-01-11T20:14:31"/>
    <d v="2023-01-09T21:14:31"/>
    <d v="2023-01-09T20:29:39"/>
    <s v="Within SLA"/>
    <d v="2023-01-09T20:44:54"/>
    <x v="0"/>
    <d v="2023-01-12T00:24:19"/>
    <n v="1"/>
    <n v="5"/>
    <x v="0"/>
    <x v="0"/>
    <s v="Germany"/>
    <n v="51.165691000000002"/>
    <n v="10.451525999999999"/>
    <s v="ok"/>
    <s v="ok"/>
    <s v="ok"/>
    <s v="ok"/>
    <s v="ok"/>
    <x v="0"/>
    <n v="0.50642333325231448"/>
  </r>
  <r>
    <x v="0"/>
    <n v="1073"/>
    <x v="2"/>
    <x v="0"/>
    <x v="3"/>
    <s v="1st line support"/>
    <x v="0"/>
    <x v="50"/>
    <d v="2023-01-11T09:10:39"/>
    <d v="2023-01-09T10:10:39"/>
    <d v="2023-01-09T09:17:01"/>
    <s v="Within SLA"/>
    <d v="2023-01-09T21:58:19"/>
    <x v="0"/>
    <d v="2023-01-11T01:48:08"/>
    <n v="7"/>
    <n v="3"/>
    <x v="2"/>
    <x v="0"/>
    <s v="Greece"/>
    <n v="39.368279000000001"/>
    <n v="21.863140999999999"/>
    <s v="ok"/>
    <s v="ok"/>
    <s v="ok"/>
    <s v="ok"/>
    <s v="ok"/>
    <x v="0"/>
    <n v="12.794446666783188"/>
  </r>
  <r>
    <x v="0"/>
    <n v="1074"/>
    <x v="0"/>
    <x v="2"/>
    <x v="3"/>
    <s v="1st line support"/>
    <x v="6"/>
    <x v="51"/>
    <d v="2023-01-10T06:50:00"/>
    <d v="2023-01-09T06:52:00"/>
    <d v="2023-01-09T06:54:54"/>
    <s v="SLA Violated"/>
    <d v="2023-01-09T22:42:50"/>
    <x v="0"/>
    <d v="2023-01-13T01:00:45"/>
    <n v="3"/>
    <n v="4"/>
    <x v="2"/>
    <x v="0"/>
    <s v="Slovenia"/>
    <n v="46.149166399999999"/>
    <n v="14.9860106"/>
    <s v="ok"/>
    <s v="ok"/>
    <s v="ok"/>
    <s v="ok"/>
    <s v="ok"/>
    <x v="0"/>
    <n v="15.880418055632617"/>
  </r>
  <r>
    <x v="0"/>
    <n v="1075"/>
    <x v="1"/>
    <x v="0"/>
    <x v="1"/>
    <s v="1st line support"/>
    <x v="0"/>
    <x v="52"/>
    <d v="2023-01-11T21:50:02"/>
    <d v="2023-01-09T22:50:02"/>
    <d v="2023-01-10T00:25:12"/>
    <s v="SLA Violated"/>
    <d v="2023-01-11T09:54:58"/>
    <x v="0"/>
    <d v="2023-01-16T14:36:37"/>
    <n v="5"/>
    <n v="2"/>
    <x v="2"/>
    <x v="0"/>
    <s v="Czech Republic"/>
    <n v="49.8037633"/>
    <n v="15.4749126"/>
    <s v="ok"/>
    <s v="ok"/>
    <s v="ok"/>
    <s v="ok"/>
    <s v="ok"/>
    <x v="0"/>
    <n v="36.082217777729966"/>
  </r>
  <r>
    <x v="0"/>
    <n v="1076"/>
    <x v="0"/>
    <x v="1"/>
    <x v="1"/>
    <s v="1st line support"/>
    <x v="2"/>
    <x v="53"/>
    <d v="2023-01-11T02:55:23"/>
    <d v="2023-01-09T02:57:23"/>
    <d v="2023-01-09T02:55:32"/>
    <s v="Within SLA"/>
    <d v="2023-01-10T22:20:44"/>
    <x v="0"/>
    <d v="2023-01-12T19:40:47"/>
    <n v="3"/>
    <n v="5"/>
    <x v="2"/>
    <x v="0"/>
    <s v="Germany"/>
    <n v="51.165691000000002"/>
    <n v="10.451525999999999"/>
    <s v="ok"/>
    <s v="ok"/>
    <s v="ok"/>
    <s v="ok"/>
    <s v="ok"/>
    <x v="0"/>
    <n v="43.422573888965417"/>
  </r>
  <r>
    <x v="2"/>
    <n v="1077"/>
    <x v="0"/>
    <x v="0"/>
    <x v="3"/>
    <s v="1st line support"/>
    <x v="4"/>
    <x v="54"/>
    <d v="2023-01-12T02:10:01"/>
    <d v="2023-01-10T03:10:01"/>
    <d v="2023-01-10T02:35:28"/>
    <s v="Within SLA"/>
    <d v="2023-01-11T21:39:27"/>
    <x v="0"/>
    <m/>
    <n v="2"/>
    <m/>
    <x v="2"/>
    <x v="0"/>
    <s v="Bulgaria"/>
    <n v="42.724992499999999"/>
    <n v="25.483303899999999"/>
    <s v="ok"/>
    <s v="ok"/>
    <s v="ok"/>
    <s v="ok"/>
    <s v="ok"/>
    <x v="0"/>
    <n v="43.490689166646916"/>
  </r>
  <r>
    <x v="0"/>
    <n v="1078"/>
    <x v="0"/>
    <x v="0"/>
    <x v="3"/>
    <s v="1st line support"/>
    <x v="4"/>
    <x v="55"/>
    <d v="2023-01-12T13:46:53"/>
    <d v="2023-01-10T14:46:53"/>
    <d v="2023-01-10T13:50:12"/>
    <s v="Within SLA"/>
    <d v="2023-01-12T06:52:28"/>
    <x v="0"/>
    <d v="2023-01-16T01:36:05"/>
    <n v="7"/>
    <n v="2"/>
    <x v="2"/>
    <x v="0"/>
    <s v="Germany"/>
    <n v="51.165691000000002"/>
    <n v="10.451525999999999"/>
    <s v="ok"/>
    <s v="ok"/>
    <s v="ok"/>
    <s v="ok"/>
    <s v="ok"/>
    <x v="0"/>
    <n v="41.093190555693582"/>
  </r>
  <r>
    <x v="2"/>
    <n v="1079"/>
    <x v="0"/>
    <x v="0"/>
    <x v="1"/>
    <s v="1st line support"/>
    <x v="0"/>
    <x v="56"/>
    <d v="2023-01-12T09:42:12"/>
    <d v="2023-01-10T10:42:12"/>
    <d v="2023-01-10T10:30:03"/>
    <s v="Within SLA"/>
    <d v="2023-01-12T01:12:11"/>
    <x v="0"/>
    <m/>
    <n v="2"/>
    <m/>
    <x v="1"/>
    <x v="0"/>
    <s v="Germany"/>
    <n v="51.165691000000002"/>
    <n v="10.451525999999999"/>
    <s v="ok"/>
    <s v="ok"/>
    <s v="ok"/>
    <s v="ok"/>
    <s v="ok"/>
    <x v="0"/>
    <n v="39.499622500094119"/>
  </r>
  <r>
    <x v="0"/>
    <n v="1080"/>
    <x v="0"/>
    <x v="2"/>
    <x v="1"/>
    <s v="1st line support"/>
    <x v="0"/>
    <x v="57"/>
    <d v="2023-01-11T03:17:26"/>
    <d v="2023-01-10T03:19:26"/>
    <d v="2023-01-10T03:17:37"/>
    <s v="Within SLA"/>
    <d v="2023-01-10T13:22:16"/>
    <x v="0"/>
    <d v="2023-01-11T12:32:24"/>
    <n v="3"/>
    <n v="3"/>
    <x v="3"/>
    <x v="0"/>
    <s v="Spain"/>
    <n v="39.673369999999998"/>
    <n v="-4.7677259999999997"/>
    <s v="ok"/>
    <s v="ok"/>
    <s v="ok"/>
    <s v="ok"/>
    <s v="ok"/>
    <x v="0"/>
    <n v="10.080536944500636"/>
  </r>
  <r>
    <x v="1"/>
    <n v="1081"/>
    <x v="2"/>
    <x v="2"/>
    <x v="1"/>
    <s v="1st line support"/>
    <x v="2"/>
    <x v="58"/>
    <d v="2023-01-11T04:29:04"/>
    <d v="2023-01-10T04:31:04"/>
    <d v="2023-01-10T04:29:36"/>
    <s v="Within SLA"/>
    <m/>
    <x v="1"/>
    <m/>
    <n v="3"/>
    <m/>
    <x v="0"/>
    <x v="0"/>
    <s v="Austria"/>
    <n v="47.696471899999999"/>
    <n v="13.3457347"/>
    <s v="ok"/>
    <s v="ok"/>
    <s v="ok"/>
    <s v="ok"/>
    <s v="ok"/>
    <x v="1"/>
    <s v=""/>
  </r>
  <r>
    <x v="0"/>
    <n v="1082"/>
    <x v="0"/>
    <x v="1"/>
    <x v="1"/>
    <s v="1st line support"/>
    <x v="3"/>
    <x v="59"/>
    <d v="2023-01-12T20:59:34"/>
    <d v="2023-01-10T21:01:34"/>
    <d v="2023-01-10T21:00:38"/>
    <s v="Within SLA"/>
    <d v="2023-01-12T17:31:37"/>
    <x v="0"/>
    <d v="2023-01-12T14:16:45"/>
    <n v="5"/>
    <n v="5"/>
    <x v="0"/>
    <x v="0"/>
    <s v="Poland"/>
    <n v="52.536273000000001"/>
    <n v="19.050639"/>
    <s v="ok"/>
    <s v="ok"/>
    <s v="check"/>
    <s v="ok"/>
    <s v="ok"/>
    <x v="0"/>
    <n v="44.534258055500686"/>
  </r>
  <r>
    <x v="2"/>
    <n v="1083"/>
    <x v="0"/>
    <x v="1"/>
    <x v="3"/>
    <s v="1st line support"/>
    <x v="4"/>
    <x v="60"/>
    <d v="2023-01-12T23:30:30"/>
    <d v="2023-01-10T23:32:30"/>
    <d v="2023-01-10T23:31:13"/>
    <s v="Within SLA"/>
    <d v="2023-01-12T00:58:24"/>
    <x v="0"/>
    <m/>
    <n v="1"/>
    <m/>
    <x v="2"/>
    <x v="0"/>
    <s v="Poland"/>
    <n v="52.536273000000001"/>
    <n v="19.050639"/>
    <s v="ok"/>
    <s v="ok"/>
    <s v="ok"/>
    <s v="ok"/>
    <s v="ok"/>
    <x v="0"/>
    <n v="25.464966666768305"/>
  </r>
  <r>
    <x v="2"/>
    <n v="1084"/>
    <x v="2"/>
    <x v="0"/>
    <x v="4"/>
    <s v="1st line support"/>
    <x v="3"/>
    <x v="61"/>
    <d v="2023-01-12T10:14:54"/>
    <d v="2023-01-10T11:14:54"/>
    <d v="2023-01-10T11:06:45"/>
    <s v="Within SLA"/>
    <d v="2023-01-11T20:40:17"/>
    <x v="0"/>
    <m/>
    <n v="7"/>
    <m/>
    <x v="1"/>
    <x v="0"/>
    <s v="United Kingdom"/>
    <n v="55.378051999999997"/>
    <n v="-3.4359730000000002"/>
    <s v="ok"/>
    <s v="ok"/>
    <s v="ok"/>
    <s v="ok"/>
    <s v="ok"/>
    <x v="0"/>
    <n v="34.423139722261112"/>
  </r>
  <r>
    <x v="0"/>
    <n v="1085"/>
    <x v="1"/>
    <x v="2"/>
    <x v="1"/>
    <s v="1st line support"/>
    <x v="2"/>
    <x v="62"/>
    <d v="2023-01-11T07:30:22"/>
    <d v="2023-01-10T07:32:22"/>
    <d v="2023-01-10T07:31:48"/>
    <s v="Within SLA"/>
    <d v="2023-01-10T10:50:31"/>
    <x v="0"/>
    <d v="2023-01-14T06:35:30"/>
    <n v="4"/>
    <n v="5"/>
    <x v="2"/>
    <x v="0"/>
    <s v="Germany"/>
    <n v="51.165691000000002"/>
    <n v="10.451525999999999"/>
    <s v="ok"/>
    <s v="ok"/>
    <s v="ok"/>
    <s v="ok"/>
    <s v="ok"/>
    <x v="0"/>
    <n v="3.3359547222498804"/>
  </r>
  <r>
    <x v="2"/>
    <n v="1086"/>
    <x v="2"/>
    <x v="0"/>
    <x v="2"/>
    <s v="1st line support"/>
    <x v="6"/>
    <x v="63"/>
    <d v="2023-01-12T17:16:11"/>
    <d v="2023-01-10T18:16:11"/>
    <d v="2023-01-10T17:44:05"/>
    <s v="Within SLA"/>
    <d v="2023-01-12T07:22:03"/>
    <x v="0"/>
    <m/>
    <n v="10"/>
    <m/>
    <x v="2"/>
    <x v="0"/>
    <s v="Germany"/>
    <n v="51.165691000000002"/>
    <n v="10.451525999999999"/>
    <s v="ok"/>
    <s v="ok"/>
    <s v="ok"/>
    <s v="ok"/>
    <s v="ok"/>
    <x v="0"/>
    <n v="38.097733611124568"/>
  </r>
  <r>
    <x v="0"/>
    <n v="1087"/>
    <x v="0"/>
    <x v="0"/>
    <x v="0"/>
    <s v="2nd line support"/>
    <x v="1"/>
    <x v="64"/>
    <d v="2023-01-13T19:17:35"/>
    <d v="2023-01-11T20:17:35"/>
    <d v="2023-01-11T19:18:54"/>
    <s v="Within SLA"/>
    <d v="2023-01-11T20:05:34"/>
    <x v="0"/>
    <d v="2023-01-15T01:15:05"/>
    <n v="8"/>
    <n v="5"/>
    <x v="2"/>
    <x v="1"/>
    <s v="Italy"/>
    <n v="43.036776000000003"/>
    <n v="12.678565000000001"/>
    <s v="ok"/>
    <s v="ok"/>
    <s v="ok"/>
    <s v="ok"/>
    <s v="ok"/>
    <x v="0"/>
    <n v="0.79981749993748963"/>
  </r>
  <r>
    <x v="0"/>
    <n v="1088"/>
    <x v="0"/>
    <x v="2"/>
    <x v="2"/>
    <s v="1st line support"/>
    <x v="6"/>
    <x v="65"/>
    <d v="2023-01-12T11:24:14"/>
    <d v="2023-01-11T11:26:14"/>
    <d v="2023-01-11T11:25:37"/>
    <s v="Within SLA"/>
    <d v="2023-01-11T20:49:43"/>
    <x v="0"/>
    <d v="2023-01-13T05:00:00"/>
    <n v="8"/>
    <n v="4"/>
    <x v="3"/>
    <x v="0"/>
    <s v="Spain"/>
    <n v="39.673369999999998"/>
    <n v="-4.7677259999999997"/>
    <s v="ok"/>
    <s v="ok"/>
    <s v="ok"/>
    <s v="ok"/>
    <s v="ok"/>
    <x v="0"/>
    <n v="9.4248161111609079"/>
  </r>
  <r>
    <x v="2"/>
    <n v="1090"/>
    <x v="0"/>
    <x v="2"/>
    <x v="0"/>
    <s v="1st line support"/>
    <x v="2"/>
    <x v="66"/>
    <d v="2023-01-12T00:49:24"/>
    <d v="2023-01-11T00:51:24"/>
    <d v="2023-01-11T00:50:16"/>
    <s v="Within SLA"/>
    <d v="2023-01-11T14:39:13"/>
    <x v="0"/>
    <m/>
    <n v="4"/>
    <m/>
    <x v="2"/>
    <x v="0"/>
    <s v="Italy"/>
    <n v="43.036776000000003"/>
    <n v="12.678565000000001"/>
    <s v="ok"/>
    <s v="ok"/>
    <s v="ok"/>
    <s v="ok"/>
    <s v="ok"/>
    <x v="0"/>
    <n v="13.830336388782598"/>
  </r>
  <r>
    <x v="2"/>
    <n v="1092"/>
    <x v="2"/>
    <x v="2"/>
    <x v="3"/>
    <s v="1st line support"/>
    <x v="2"/>
    <x v="67"/>
    <d v="2023-01-12T12:31:52"/>
    <d v="2023-01-11T12:33:52"/>
    <d v="2023-01-11T12:31:53"/>
    <s v="Within SLA"/>
    <d v="2023-01-12T12:24:21"/>
    <x v="0"/>
    <m/>
    <n v="3"/>
    <m/>
    <x v="0"/>
    <x v="0"/>
    <s v="Germany"/>
    <n v="51.165691000000002"/>
    <n v="10.451525999999999"/>
    <s v="ok"/>
    <s v="ok"/>
    <s v="ok"/>
    <s v="ok"/>
    <s v="ok"/>
    <x v="0"/>
    <n v="23.874713888915721"/>
  </r>
  <r>
    <x v="2"/>
    <n v="1093"/>
    <x v="0"/>
    <x v="0"/>
    <x v="1"/>
    <s v="1st line support"/>
    <x v="4"/>
    <x v="68"/>
    <d v="2023-01-13T13:45:35"/>
    <d v="2023-01-11T14:45:35"/>
    <d v="2023-01-11T14:12:45"/>
    <s v="Within SLA"/>
    <d v="2023-01-12T00:00:02"/>
    <x v="0"/>
    <m/>
    <n v="8"/>
    <m/>
    <x v="0"/>
    <x v="0"/>
    <s v="United Kingdom"/>
    <n v="55.378051999999997"/>
    <n v="-3.4359730000000002"/>
    <s v="ok"/>
    <s v="ok"/>
    <s v="ok"/>
    <s v="ok"/>
    <s v="ok"/>
    <x v="0"/>
    <n v="10.240857222292107"/>
  </r>
  <r>
    <x v="2"/>
    <n v="1094"/>
    <x v="0"/>
    <x v="2"/>
    <x v="2"/>
    <s v="1st line support"/>
    <x v="3"/>
    <x v="69"/>
    <d v="2023-01-12T04:04:47"/>
    <d v="2023-01-11T04:06:47"/>
    <d v="2023-01-11T04:05:35"/>
    <s v="Within SLA"/>
    <d v="2023-01-11T19:03:32"/>
    <x v="0"/>
    <m/>
    <n v="6"/>
    <m/>
    <x v="2"/>
    <x v="0"/>
    <s v="Czech Republic"/>
    <n v="49.8037633"/>
    <n v="15.4749126"/>
    <s v="ok"/>
    <s v="ok"/>
    <s v="ok"/>
    <s v="ok"/>
    <s v="ok"/>
    <x v="0"/>
    <n v="14.979274999990594"/>
  </r>
  <r>
    <x v="0"/>
    <n v="1095"/>
    <x v="0"/>
    <x v="2"/>
    <x v="0"/>
    <s v="1st line support"/>
    <x v="0"/>
    <x v="70"/>
    <d v="2023-01-12T13:40:47"/>
    <d v="2023-01-11T13:42:47"/>
    <d v="2023-01-11T13:43:27"/>
    <s v="SLA Violated"/>
    <d v="2023-01-16T11:43:29"/>
    <x v="1"/>
    <d v="2023-01-18T10:44:42"/>
    <n v="3"/>
    <n v="1"/>
    <x v="0"/>
    <x v="0"/>
    <s v="Czech Republic"/>
    <n v="49.8037633"/>
    <n v="15.4749126"/>
    <s v="ok"/>
    <s v="ok"/>
    <s v="ok"/>
    <s v="ok"/>
    <s v="ok"/>
    <x v="0"/>
    <n v="118.04490361124044"/>
  </r>
  <r>
    <x v="0"/>
    <n v="1097"/>
    <x v="0"/>
    <x v="0"/>
    <x v="1"/>
    <s v="1st line support"/>
    <x v="2"/>
    <x v="71"/>
    <d v="2023-01-13T05:29:41"/>
    <d v="2023-01-11T06:29:41"/>
    <d v="2023-01-11T06:04:14"/>
    <s v="Within SLA"/>
    <d v="2023-01-11T17:24:42"/>
    <x v="0"/>
    <d v="2023-01-16T15:48:08"/>
    <n v="1"/>
    <n v="1"/>
    <x v="2"/>
    <x v="0"/>
    <s v="Austria"/>
    <n v="47.696471899999999"/>
    <n v="13.3457347"/>
    <s v="ok"/>
    <s v="ok"/>
    <s v="ok"/>
    <s v="ok"/>
    <s v="ok"/>
    <x v="0"/>
    <n v="11.916990555706434"/>
  </r>
  <r>
    <x v="1"/>
    <n v="1098"/>
    <x v="2"/>
    <x v="2"/>
    <x v="4"/>
    <s v="1st line support"/>
    <x v="2"/>
    <x v="72"/>
    <d v="2023-01-13T12:18:45"/>
    <d v="2023-01-12T12:20:45"/>
    <d v="2023-01-12T12:19:19"/>
    <s v="Within SLA"/>
    <m/>
    <x v="1"/>
    <m/>
    <n v="6"/>
    <m/>
    <x v="2"/>
    <x v="0"/>
    <s v="Poland"/>
    <n v="52.536273000000001"/>
    <n v="19.050639"/>
    <s v="ok"/>
    <s v="ok"/>
    <s v="ok"/>
    <s v="ok"/>
    <s v="ok"/>
    <x v="1"/>
    <s v=""/>
  </r>
  <r>
    <x v="2"/>
    <n v="1100"/>
    <x v="2"/>
    <x v="0"/>
    <x v="0"/>
    <s v="2nd line support"/>
    <x v="7"/>
    <x v="73"/>
    <d v="2023-01-14T22:40:11"/>
    <d v="2023-01-12T23:40:11"/>
    <d v="2023-01-12T22:47:09"/>
    <s v="Within SLA"/>
    <d v="2023-01-13T13:58:23"/>
    <x v="0"/>
    <m/>
    <n v="7"/>
    <m/>
    <x v="0"/>
    <x v="1"/>
    <s v="Italy"/>
    <n v="43.036776000000003"/>
    <n v="12.678565000000001"/>
    <s v="ok"/>
    <s v="ok"/>
    <s v="ok"/>
    <s v="ok"/>
    <s v="ok"/>
    <x v="0"/>
    <n v="15.303258888772689"/>
  </r>
  <r>
    <x v="2"/>
    <n v="1101"/>
    <x v="1"/>
    <x v="2"/>
    <x v="5"/>
    <s v="1st line support"/>
    <x v="4"/>
    <x v="74"/>
    <d v="2023-01-14T15:00:14"/>
    <d v="2023-01-13T15:02:14"/>
    <d v="2023-01-13T15:00:36"/>
    <s v="Within SLA"/>
    <d v="2023-01-14T02:58:00"/>
    <x v="0"/>
    <m/>
    <n v="60"/>
    <m/>
    <x v="2"/>
    <x v="0"/>
    <s v="Austria"/>
    <n v="47.696471899999999"/>
    <n v="13.3457347"/>
    <s v="ok"/>
    <s v="ok"/>
    <s v="ok"/>
    <s v="ok"/>
    <s v="ok"/>
    <x v="0"/>
    <n v="11.962854722107295"/>
  </r>
  <r>
    <x v="2"/>
    <n v="1102"/>
    <x v="0"/>
    <x v="2"/>
    <x v="4"/>
    <s v="2nd line support"/>
    <x v="5"/>
    <x v="75"/>
    <d v="2023-01-14T15:16:58"/>
    <d v="2023-01-13T15:18:58"/>
    <d v="2023-01-13T15:17:31"/>
    <s v="Within SLA"/>
    <d v="2023-01-13T21:16:39"/>
    <x v="0"/>
    <m/>
    <n v="5"/>
    <m/>
    <x v="2"/>
    <x v="1"/>
    <s v="Germany"/>
    <n v="51.165691000000002"/>
    <n v="10.451525999999999"/>
    <s v="ok"/>
    <s v="ok"/>
    <s v="ok"/>
    <s v="ok"/>
    <s v="ok"/>
    <x v="0"/>
    <n v="5.9946369445533492"/>
  </r>
  <r>
    <x v="2"/>
    <n v="1103"/>
    <x v="2"/>
    <x v="2"/>
    <x v="3"/>
    <s v="1st line support"/>
    <x v="4"/>
    <x v="76"/>
    <d v="2023-01-14T12:58:56"/>
    <d v="2023-01-13T13:00:56"/>
    <d v="2023-01-13T12:59:40"/>
    <s v="Within SLA"/>
    <d v="2023-01-13T13:19:55"/>
    <x v="0"/>
    <m/>
    <n v="9"/>
    <m/>
    <x v="2"/>
    <x v="0"/>
    <s v="Bulgaria"/>
    <n v="42.724992499999999"/>
    <n v="25.483303899999999"/>
    <s v="ok"/>
    <s v="ok"/>
    <s v="ok"/>
    <s v="ok"/>
    <s v="ok"/>
    <x v="0"/>
    <n v="0.34983777778688818"/>
  </r>
  <r>
    <x v="0"/>
    <n v="1104"/>
    <x v="0"/>
    <x v="0"/>
    <x v="0"/>
    <s v="1st line support"/>
    <x v="3"/>
    <x v="77"/>
    <d v="2023-01-15T13:30:46"/>
    <d v="2023-01-13T14:30:46"/>
    <d v="2023-01-13T13:37:07"/>
    <s v="Within SLA"/>
    <d v="2023-01-15T09:50:57"/>
    <x v="0"/>
    <d v="2023-01-18T02:50:10"/>
    <n v="3"/>
    <n v="5"/>
    <x v="1"/>
    <x v="0"/>
    <s v="Italy"/>
    <n v="43.036776000000003"/>
    <n v="12.678565000000001"/>
    <s v="ok"/>
    <s v="ok"/>
    <s v="ok"/>
    <s v="ok"/>
    <s v="ok"/>
    <x v="0"/>
    <n v="44.336296666588169"/>
  </r>
  <r>
    <x v="0"/>
    <n v="1105"/>
    <x v="0"/>
    <x v="2"/>
    <x v="0"/>
    <s v="1st line support"/>
    <x v="0"/>
    <x v="78"/>
    <d v="2023-01-14T06:47:37"/>
    <d v="2023-01-13T06:49:37"/>
    <d v="2023-01-13T06:49:36"/>
    <s v="Within SLA"/>
    <d v="2023-01-13T09:11:25"/>
    <x v="0"/>
    <d v="2023-01-15T14:41:09"/>
    <n v="7"/>
    <n v="3"/>
    <x v="1"/>
    <x v="0"/>
    <s v="Italy"/>
    <n v="43.036776000000003"/>
    <n v="12.678565000000001"/>
    <s v="ok"/>
    <s v="ok"/>
    <s v="ok"/>
    <s v="ok"/>
    <s v="ok"/>
    <x v="0"/>
    <n v="2.3967658331966959"/>
  </r>
  <r>
    <x v="1"/>
    <n v="1106"/>
    <x v="0"/>
    <x v="2"/>
    <x v="4"/>
    <s v="1st line support"/>
    <x v="3"/>
    <x v="79"/>
    <d v="2023-01-14T23:18:45"/>
    <d v="2023-01-13T23:20:45"/>
    <d v="2023-01-13T23:20:44"/>
    <s v="Within SLA"/>
    <m/>
    <x v="1"/>
    <m/>
    <n v="3"/>
    <m/>
    <x v="0"/>
    <x v="0"/>
    <s v="Germany"/>
    <n v="51.165691000000002"/>
    <n v="10.451525999999999"/>
    <s v="ok"/>
    <s v="ok"/>
    <s v="ok"/>
    <s v="ok"/>
    <s v="ok"/>
    <x v="1"/>
    <s v=""/>
  </r>
  <r>
    <x v="0"/>
    <n v="1107"/>
    <x v="0"/>
    <x v="0"/>
    <x v="5"/>
    <s v="2nd line support"/>
    <x v="5"/>
    <x v="80"/>
    <d v="2023-01-15T11:19:44"/>
    <d v="2023-01-13T12:19:44"/>
    <d v="2023-01-13T11:34:08"/>
    <s v="Within SLA"/>
    <d v="2023-01-15T08:05:25"/>
    <x v="0"/>
    <d v="2023-01-15T11:12:25"/>
    <n v="1"/>
    <n v="5"/>
    <x v="2"/>
    <x v="1"/>
    <s v="Republic of Ireland"/>
    <n v="53.094023999999997"/>
    <n v="-8.0196749999999994"/>
    <s v="ok"/>
    <s v="ok"/>
    <s v="ok"/>
    <s v="ok"/>
    <s v="ok"/>
    <x v="0"/>
    <n v="44.761261944542639"/>
  </r>
  <r>
    <x v="0"/>
    <n v="1108"/>
    <x v="0"/>
    <x v="0"/>
    <x v="2"/>
    <s v="1st line support"/>
    <x v="2"/>
    <x v="81"/>
    <d v="2023-01-15T02:10:18"/>
    <d v="2023-01-13T03:10:18"/>
    <d v="2023-01-13T03:28:05"/>
    <s v="SLA Violated"/>
    <d v="2023-01-14T05:07:24"/>
    <x v="0"/>
    <d v="2023-01-16T18:08:35"/>
    <n v="4"/>
    <n v="4"/>
    <x v="2"/>
    <x v="0"/>
    <s v="Czech Republic"/>
    <n v="49.8037633"/>
    <n v="15.4749126"/>
    <s v="ok"/>
    <s v="ok"/>
    <s v="ok"/>
    <s v="ok"/>
    <s v="ok"/>
    <x v="0"/>
    <n v="26.951768333266955"/>
  </r>
  <r>
    <x v="0"/>
    <n v="1109"/>
    <x v="1"/>
    <x v="2"/>
    <x v="1"/>
    <s v="1st line support"/>
    <x v="6"/>
    <x v="82"/>
    <d v="2023-01-14T13:38:30"/>
    <d v="2023-01-13T13:40:30"/>
    <d v="2023-01-13T13:38:54"/>
    <s v="Within SLA"/>
    <d v="2023-01-13T15:29:47"/>
    <x v="0"/>
    <d v="2023-01-17T06:36:46"/>
    <n v="3"/>
    <n v="3"/>
    <x v="3"/>
    <x v="0"/>
    <s v="France"/>
    <n v="48.864716000000001"/>
    <n v="2.3490139999999999"/>
    <s v="ok"/>
    <s v="ok"/>
    <s v="ok"/>
    <s v="ok"/>
    <s v="ok"/>
    <x v="0"/>
    <n v="1.8546416666940786"/>
  </r>
  <r>
    <x v="0"/>
    <n v="1110"/>
    <x v="1"/>
    <x v="0"/>
    <x v="1"/>
    <s v="2nd line support"/>
    <x v="1"/>
    <x v="83"/>
    <d v="2023-01-15T21:32:08"/>
    <d v="2023-01-13T22:32:08"/>
    <d v="2023-01-13T22:27:03"/>
    <s v="Within SLA"/>
    <d v="2023-01-15T14:06:02"/>
    <x v="0"/>
    <d v="2023-01-19T05:07:28"/>
    <n v="8"/>
    <n v="2"/>
    <x v="2"/>
    <x v="1"/>
    <s v="United Kingdom"/>
    <n v="55.378051999999997"/>
    <n v="-3.4359730000000002"/>
    <s v="ok"/>
    <s v="ok"/>
    <s v="ok"/>
    <s v="ok"/>
    <s v="ok"/>
    <x v="0"/>
    <n v="40.565051111101639"/>
  </r>
  <r>
    <x v="1"/>
    <n v="1111"/>
    <x v="0"/>
    <x v="2"/>
    <x v="1"/>
    <s v="1st line support"/>
    <x v="4"/>
    <x v="84"/>
    <d v="2023-01-14T02:49:26"/>
    <d v="2023-01-13T02:51:26"/>
    <d v="2023-01-13T02:52:28"/>
    <s v="SLA Violated"/>
    <m/>
    <x v="1"/>
    <m/>
    <n v="9"/>
    <m/>
    <x v="2"/>
    <x v="0"/>
    <s v="Spain"/>
    <n v="39.673369999999998"/>
    <n v="-4.7677259999999997"/>
    <s v="ok"/>
    <s v="ok"/>
    <s v="ok"/>
    <s v="ok"/>
    <s v="ok"/>
    <x v="1"/>
    <s v=""/>
  </r>
  <r>
    <x v="1"/>
    <n v="1112"/>
    <x v="0"/>
    <x v="1"/>
    <x v="3"/>
    <s v="1st line support"/>
    <x v="2"/>
    <x v="85"/>
    <d v="2023-01-15T02:22:58"/>
    <d v="2023-01-13T02:24:58"/>
    <d v="2023-01-13T02:23:44"/>
    <s v="Within SLA"/>
    <m/>
    <x v="1"/>
    <m/>
    <n v="2"/>
    <m/>
    <x v="2"/>
    <x v="0"/>
    <s v="Republic of Ireland"/>
    <n v="53.094023999999997"/>
    <n v="-8.0196749999999994"/>
    <s v="ok"/>
    <s v="ok"/>
    <s v="ok"/>
    <s v="ok"/>
    <s v="ok"/>
    <x v="1"/>
    <s v=""/>
  </r>
  <r>
    <x v="2"/>
    <n v="1113"/>
    <x v="0"/>
    <x v="2"/>
    <x v="1"/>
    <s v="1st line support"/>
    <x v="2"/>
    <x v="86"/>
    <d v="2023-01-14T01:46:37"/>
    <d v="2023-01-13T01:48:37"/>
    <d v="2023-01-13T01:46:51"/>
    <s v="Within SLA"/>
    <d v="2023-01-17T07:29:52"/>
    <x v="1"/>
    <m/>
    <n v="6"/>
    <m/>
    <x v="0"/>
    <x v="0"/>
    <s v="Germany"/>
    <n v="51.165691000000002"/>
    <n v="10.451525999999999"/>
    <s v="ok"/>
    <s v="ok"/>
    <s v="ok"/>
    <s v="ok"/>
    <s v="ok"/>
    <x v="0"/>
    <n v="101.72079499997199"/>
  </r>
  <r>
    <x v="0"/>
    <n v="1114"/>
    <x v="2"/>
    <x v="0"/>
    <x v="1"/>
    <s v="1st line support"/>
    <x v="3"/>
    <x v="87"/>
    <d v="2023-01-15T07:20:20"/>
    <d v="2023-01-13T08:20:20"/>
    <d v="2023-01-13T08:01:52"/>
    <s v="Within SLA"/>
    <d v="2023-01-15T06:43:44"/>
    <x v="0"/>
    <d v="2023-01-21T00:17:22"/>
    <n v="10"/>
    <n v="5"/>
    <x v="1"/>
    <x v="0"/>
    <s v="Poland"/>
    <n v="52.536273000000001"/>
    <n v="19.050639"/>
    <s v="ok"/>
    <s v="ok"/>
    <s v="ok"/>
    <s v="ok"/>
    <s v="ok"/>
    <x v="0"/>
    <n v="47.390000833198428"/>
  </r>
  <r>
    <x v="2"/>
    <n v="1115"/>
    <x v="0"/>
    <x v="2"/>
    <x v="3"/>
    <s v="1st line support"/>
    <x v="4"/>
    <x v="88"/>
    <d v="2023-01-14T23:22:08"/>
    <d v="2023-01-13T23:24:08"/>
    <d v="2023-01-13T23:22:16"/>
    <s v="Within SLA"/>
    <d v="2023-01-14T05:14:59"/>
    <x v="0"/>
    <m/>
    <n v="3"/>
    <m/>
    <x v="2"/>
    <x v="0"/>
    <s v="Germany"/>
    <n v="51.165691000000002"/>
    <n v="10.451525999999999"/>
    <s v="ok"/>
    <s v="ok"/>
    <s v="ok"/>
    <s v="ok"/>
    <s v="ok"/>
    <x v="0"/>
    <n v="5.8809244443546049"/>
  </r>
  <r>
    <x v="2"/>
    <n v="1116"/>
    <x v="2"/>
    <x v="1"/>
    <x v="3"/>
    <s v="1st line support"/>
    <x v="6"/>
    <x v="89"/>
    <d v="2023-01-16T22:53:23"/>
    <d v="2023-01-14T22:55:23"/>
    <d v="2023-01-14T22:54:39"/>
    <s v="Within SLA"/>
    <d v="2023-01-16T03:46:01"/>
    <x v="0"/>
    <m/>
    <n v="7"/>
    <m/>
    <x v="3"/>
    <x v="0"/>
    <s v="United Kingdom"/>
    <n v="55.378051999999997"/>
    <n v="-3.4359730000000002"/>
    <s v="ok"/>
    <s v="ok"/>
    <s v="ok"/>
    <s v="ok"/>
    <s v="ok"/>
    <x v="0"/>
    <n v="28.877152222325094"/>
  </r>
  <r>
    <x v="0"/>
    <n v="1126"/>
    <x v="2"/>
    <x v="1"/>
    <x v="3"/>
    <s v="1st line support"/>
    <x v="0"/>
    <x v="90"/>
    <d v="2023-01-17T13:10:36"/>
    <d v="2023-01-15T13:12:36"/>
    <d v="2023-01-15T13:11:22"/>
    <s v="Within SLA"/>
    <d v="2023-01-19T09:22:44"/>
    <x v="1"/>
    <d v="2023-01-20T04:15:18"/>
    <n v="3"/>
    <n v="1"/>
    <x v="0"/>
    <x v="0"/>
    <s v="United Kingdom"/>
    <n v="55.378051999999997"/>
    <n v="-3.4359730000000002"/>
    <s v="ok"/>
    <s v="ok"/>
    <s v="ok"/>
    <s v="ok"/>
    <s v="ok"/>
    <x v="0"/>
    <n v="92.20219250000082"/>
  </r>
  <r>
    <x v="2"/>
    <n v="1127"/>
    <x v="1"/>
    <x v="0"/>
    <x v="1"/>
    <s v="1st line support"/>
    <x v="2"/>
    <x v="91"/>
    <d v="2023-01-17T06:08:54"/>
    <d v="2023-01-15T07:08:54"/>
    <d v="2023-01-15T06:47:30"/>
    <s v="Within SLA"/>
    <d v="2023-01-15T07:23:23"/>
    <x v="0"/>
    <m/>
    <n v="2"/>
    <m/>
    <x v="1"/>
    <x v="0"/>
    <s v="Czech Republic"/>
    <n v="49.8037633"/>
    <n v="15.4749126"/>
    <s v="ok"/>
    <s v="ok"/>
    <s v="ok"/>
    <s v="ok"/>
    <s v="ok"/>
    <x v="0"/>
    <n v="1.2415183333796449"/>
  </r>
  <r>
    <x v="0"/>
    <n v="1128"/>
    <x v="0"/>
    <x v="0"/>
    <x v="4"/>
    <s v="1st line support"/>
    <x v="2"/>
    <x v="92"/>
    <d v="2023-01-17T10:11:34"/>
    <d v="2023-01-15T11:11:34"/>
    <d v="2023-01-15T11:03:48"/>
    <s v="Within SLA"/>
    <d v="2023-01-17T07:11:51"/>
    <x v="0"/>
    <d v="2023-01-18T23:31:09"/>
    <n v="4"/>
    <n v="3"/>
    <x v="2"/>
    <x v="0"/>
    <s v="Germany"/>
    <n v="51.165691000000002"/>
    <n v="10.451525999999999"/>
    <s v="ok"/>
    <s v="ok"/>
    <s v="ok"/>
    <s v="ok"/>
    <s v="ok"/>
    <x v="0"/>
    <n v="45.004778333357535"/>
  </r>
  <r>
    <x v="0"/>
    <n v="1129"/>
    <x v="1"/>
    <x v="1"/>
    <x v="3"/>
    <s v="1st line support"/>
    <x v="0"/>
    <x v="93"/>
    <d v="2023-01-17T02:01:36"/>
    <d v="2023-01-15T02:03:36"/>
    <d v="2023-01-15T02:02:21"/>
    <s v="Within SLA"/>
    <d v="2023-01-16T14:49:45"/>
    <x v="0"/>
    <d v="2023-01-18T16:30:06"/>
    <n v="2"/>
    <n v="5"/>
    <x v="0"/>
    <x v="0"/>
    <s v="Slovenia"/>
    <n v="46.149166399999999"/>
    <n v="14.9860106"/>
    <s v="ok"/>
    <s v="ok"/>
    <s v="ok"/>
    <s v="ok"/>
    <s v="ok"/>
    <x v="0"/>
    <n v="36.802426944428589"/>
  </r>
  <r>
    <x v="1"/>
    <n v="1130"/>
    <x v="2"/>
    <x v="2"/>
    <x v="1"/>
    <s v="1st line support"/>
    <x v="3"/>
    <x v="94"/>
    <d v="2023-01-17T05:12:59"/>
    <d v="2023-01-16T05:14:59"/>
    <d v="2023-01-16T05:14:35"/>
    <s v="Within SLA"/>
    <m/>
    <x v="1"/>
    <m/>
    <n v="6"/>
    <m/>
    <x v="2"/>
    <x v="0"/>
    <s v="Spain"/>
    <n v="39.673369999999998"/>
    <n v="-4.7677259999999997"/>
    <s v="ok"/>
    <s v="ok"/>
    <s v="ok"/>
    <s v="ok"/>
    <s v="ok"/>
    <x v="1"/>
    <s v=""/>
  </r>
  <r>
    <x v="0"/>
    <n v="1131"/>
    <x v="0"/>
    <x v="0"/>
    <x v="1"/>
    <s v="1st line support"/>
    <x v="4"/>
    <x v="95"/>
    <d v="2023-01-18T20:38:34"/>
    <d v="2023-01-16T21:38:34"/>
    <d v="2023-01-16T21:35:39"/>
    <s v="Within SLA"/>
    <d v="2023-01-16T22:40:39"/>
    <x v="0"/>
    <d v="2023-01-20T05:35:10"/>
    <n v="1"/>
    <n v="5"/>
    <x v="2"/>
    <x v="0"/>
    <s v="Czech Republic"/>
    <n v="49.8037633"/>
    <n v="15.4749126"/>
    <s v="ok"/>
    <s v="ok"/>
    <s v="ok"/>
    <s v="ok"/>
    <s v="ok"/>
    <x v="0"/>
    <n v="2.0346358334063552"/>
  </r>
  <r>
    <x v="0"/>
    <n v="1132"/>
    <x v="0"/>
    <x v="0"/>
    <x v="3"/>
    <s v="1st line support"/>
    <x v="4"/>
    <x v="96"/>
    <d v="2023-01-18T15:44:20"/>
    <d v="2023-01-16T16:44:20"/>
    <d v="2023-01-16T16:39:29"/>
    <s v="Within SLA"/>
    <d v="2023-01-17T12:05:13"/>
    <x v="0"/>
    <d v="2023-01-22T20:45:34"/>
    <n v="9"/>
    <n v="3"/>
    <x v="3"/>
    <x v="0"/>
    <s v="Austria"/>
    <n v="47.696471899999999"/>
    <n v="13.3457347"/>
    <s v="ok"/>
    <s v="ok"/>
    <s v="ok"/>
    <s v="ok"/>
    <s v="ok"/>
    <x v="0"/>
    <n v="20.348177777719684"/>
  </r>
  <r>
    <x v="2"/>
    <n v="1133"/>
    <x v="1"/>
    <x v="2"/>
    <x v="1"/>
    <s v="1st line support"/>
    <x v="2"/>
    <x v="97"/>
    <d v="2023-01-17T19:19:41"/>
    <d v="2023-01-16T19:21:41"/>
    <d v="2023-01-16T19:19:49"/>
    <s v="Within SLA"/>
    <d v="2023-01-17T12:08:15"/>
    <x v="0"/>
    <m/>
    <n v="3"/>
    <m/>
    <x v="2"/>
    <x v="0"/>
    <s v="Bulgaria"/>
    <n v="42.724992499999999"/>
    <n v="25.483303899999999"/>
    <s v="ok"/>
    <s v="ok"/>
    <s v="ok"/>
    <s v="ok"/>
    <s v="ok"/>
    <x v="0"/>
    <n v="16.809476666618139"/>
  </r>
  <r>
    <x v="0"/>
    <n v="1134"/>
    <x v="0"/>
    <x v="2"/>
    <x v="1"/>
    <s v="1st line support"/>
    <x v="4"/>
    <x v="98"/>
    <d v="2023-01-17T12:50:35"/>
    <d v="2023-01-16T12:52:35"/>
    <d v="2023-01-16T12:51:00"/>
    <s v="Within SLA"/>
    <d v="2023-01-16T17:37:43"/>
    <x v="0"/>
    <d v="2023-01-20T18:38:43"/>
    <n v="60"/>
    <n v="5"/>
    <x v="0"/>
    <x v="0"/>
    <s v="Spain"/>
    <n v="39.673369999999998"/>
    <n v="-4.7677259999999997"/>
    <s v="ok"/>
    <s v="ok"/>
    <s v="ok"/>
    <s v="ok"/>
    <s v="ok"/>
    <x v="0"/>
    <n v="4.7856830556993373"/>
  </r>
  <r>
    <x v="2"/>
    <n v="1135"/>
    <x v="0"/>
    <x v="1"/>
    <x v="5"/>
    <s v="2nd line support"/>
    <x v="1"/>
    <x v="99"/>
    <d v="2023-01-18T14:37:40"/>
    <d v="2023-01-16T14:39:40"/>
    <d v="2023-01-16T14:40:47"/>
    <s v="SLA Violated"/>
    <d v="2023-01-16T19:04:14"/>
    <x v="0"/>
    <m/>
    <n v="1"/>
    <m/>
    <x v="3"/>
    <x v="1"/>
    <s v="Poland"/>
    <n v="52.536273000000001"/>
    <n v="19.050639"/>
    <s v="ok"/>
    <s v="ok"/>
    <s v="ok"/>
    <s v="ok"/>
    <s v="ok"/>
    <x v="0"/>
    <n v="4.4426458334201016"/>
  </r>
  <r>
    <x v="2"/>
    <n v="1136"/>
    <x v="0"/>
    <x v="0"/>
    <x v="5"/>
    <s v="1st line support"/>
    <x v="4"/>
    <x v="100"/>
    <d v="2023-01-18T15:35:28"/>
    <d v="2023-01-16T16:35:28"/>
    <d v="2023-01-16T16:08:02"/>
    <s v="Within SLA"/>
    <d v="2023-01-17T11:41:22"/>
    <x v="0"/>
    <m/>
    <n v="10"/>
    <m/>
    <x v="2"/>
    <x v="0"/>
    <s v="Germany"/>
    <n v="51.165691000000002"/>
    <n v="10.451525999999999"/>
    <s v="ok"/>
    <s v="ok"/>
    <s v="ok"/>
    <s v="ok"/>
    <s v="ok"/>
    <x v="0"/>
    <n v="20.098283611005172"/>
  </r>
  <r>
    <x v="2"/>
    <n v="1137"/>
    <x v="0"/>
    <x v="0"/>
    <x v="0"/>
    <s v="1st line support"/>
    <x v="0"/>
    <x v="101"/>
    <d v="2023-01-18T07:57:01"/>
    <d v="2023-01-16T08:57:01"/>
    <d v="2023-01-16T08:11:48"/>
    <s v="Within SLA"/>
    <d v="2023-01-18T02:08:32"/>
    <x v="0"/>
    <m/>
    <n v="1"/>
    <m/>
    <x v="2"/>
    <x v="0"/>
    <s v="Italy"/>
    <n v="43.036776000000003"/>
    <n v="12.678565000000001"/>
    <s v="ok"/>
    <s v="ok"/>
    <s v="ok"/>
    <s v="ok"/>
    <s v="ok"/>
    <x v="0"/>
    <n v="42.191868055611849"/>
  </r>
  <r>
    <x v="2"/>
    <n v="1138"/>
    <x v="0"/>
    <x v="0"/>
    <x v="1"/>
    <s v="2nd line support"/>
    <x v="7"/>
    <x v="102"/>
    <d v="2023-01-19T01:30:29"/>
    <d v="2023-01-17T02:30:29"/>
    <d v="2023-01-17T08:53:20"/>
    <s v="SLA Violated"/>
    <d v="2023-01-18T08:04:50"/>
    <x v="0"/>
    <m/>
    <n v="1"/>
    <m/>
    <x v="2"/>
    <x v="1"/>
    <s v="Spain"/>
    <n v="39.673369999999998"/>
    <n v="-4.7677259999999997"/>
    <s v="ok"/>
    <s v="ok"/>
    <s v="ok"/>
    <s v="ok"/>
    <s v="ok"/>
    <x v="0"/>
    <n v="30.572522500064224"/>
  </r>
  <r>
    <x v="0"/>
    <n v="1139"/>
    <x v="0"/>
    <x v="2"/>
    <x v="0"/>
    <s v="1st line support"/>
    <x v="6"/>
    <x v="103"/>
    <d v="2023-01-18T11:23:12"/>
    <d v="2023-01-17T11:25:12"/>
    <d v="2023-01-17T11:27:11"/>
    <s v="SLA Violated"/>
    <d v="2023-01-17T23:26:57"/>
    <x v="0"/>
    <d v="2023-01-18T21:05:44"/>
    <n v="6"/>
    <n v="1"/>
    <x v="0"/>
    <x v="0"/>
    <s v="Italy"/>
    <n v="43.036776000000003"/>
    <n v="12.678565000000001"/>
    <s v="ok"/>
    <s v="ok"/>
    <s v="ok"/>
    <s v="ok"/>
    <s v="ok"/>
    <x v="0"/>
    <n v="12.062557222147007"/>
  </r>
  <r>
    <x v="2"/>
    <n v="1140"/>
    <x v="0"/>
    <x v="2"/>
    <x v="2"/>
    <s v="1st line support"/>
    <x v="3"/>
    <x v="104"/>
    <d v="2023-01-18T14:03:25"/>
    <d v="2023-01-17T14:05:25"/>
    <d v="2023-01-17T14:03:47"/>
    <s v="Within SLA"/>
    <d v="2023-01-23T08:16:17"/>
    <x v="1"/>
    <m/>
    <n v="6"/>
    <m/>
    <x v="3"/>
    <x v="0"/>
    <s v="Greece"/>
    <n v="39.368279000000001"/>
    <n v="21.863140999999999"/>
    <s v="ok"/>
    <s v="ok"/>
    <s v="ok"/>
    <s v="ok"/>
    <s v="ok"/>
    <x v="0"/>
    <n v="138.21443305554567"/>
  </r>
  <r>
    <x v="2"/>
    <n v="1141"/>
    <x v="0"/>
    <x v="2"/>
    <x v="4"/>
    <s v="1st line support"/>
    <x v="6"/>
    <x v="105"/>
    <d v="2023-01-18T00:04:06"/>
    <d v="2023-01-17T00:06:06"/>
    <d v="2023-01-17T00:04:29"/>
    <s v="Within SLA"/>
    <d v="2023-01-18T05:24:11"/>
    <x v="1"/>
    <m/>
    <n v="3"/>
    <m/>
    <x v="2"/>
    <x v="0"/>
    <s v="Germany"/>
    <n v="51.165691000000002"/>
    <n v="10.451525999999999"/>
    <s v="ok"/>
    <s v="ok"/>
    <s v="ok"/>
    <s v="ok"/>
    <s v="ok"/>
    <x v="0"/>
    <n v="29.334785555431154"/>
  </r>
  <r>
    <x v="0"/>
    <n v="1142"/>
    <x v="0"/>
    <x v="0"/>
    <x v="3"/>
    <s v="1st line support"/>
    <x v="6"/>
    <x v="106"/>
    <d v="2023-01-19T16:42:23"/>
    <d v="2023-01-17T17:42:23"/>
    <d v="2023-01-17T17:00:19"/>
    <s v="Within SLA"/>
    <d v="2023-01-18T19:31:50"/>
    <x v="0"/>
    <d v="2023-01-22T16:25:53"/>
    <n v="5"/>
    <n v="1"/>
    <x v="2"/>
    <x v="0"/>
    <s v="Greece"/>
    <n v="39.368279000000001"/>
    <n v="21.863140999999999"/>
    <s v="ok"/>
    <s v="ok"/>
    <s v="ok"/>
    <s v="ok"/>
    <s v="ok"/>
    <x v="0"/>
    <n v="26.824206944438629"/>
  </r>
  <r>
    <x v="2"/>
    <n v="1143"/>
    <x v="0"/>
    <x v="0"/>
    <x v="4"/>
    <s v="2nd line support"/>
    <x v="1"/>
    <x v="107"/>
    <d v="2023-01-19T23:31:47"/>
    <d v="2023-01-18T00:31:47"/>
    <d v="2023-01-18T00:19:55"/>
    <s v="Within SLA"/>
    <d v="2023-01-18T01:20:43"/>
    <x v="0"/>
    <m/>
    <n v="2"/>
    <m/>
    <x v="3"/>
    <x v="1"/>
    <s v="Republic of Ireland"/>
    <n v="53.094023999999997"/>
    <n v="-8.0196749999999994"/>
    <s v="ok"/>
    <s v="ok"/>
    <s v="ok"/>
    <s v="ok"/>
    <s v="ok"/>
    <x v="0"/>
    <n v="1.8155708332196809"/>
  </r>
  <r>
    <x v="0"/>
    <n v="1144"/>
    <x v="0"/>
    <x v="0"/>
    <x v="3"/>
    <s v="1st line support"/>
    <x v="6"/>
    <x v="108"/>
    <d v="2023-01-19T23:24:52"/>
    <d v="2023-01-18T00:24:52"/>
    <d v="2023-01-18T00:24:45"/>
    <s v="Within SLA"/>
    <d v="2023-01-18T18:49:55"/>
    <x v="0"/>
    <d v="2023-01-24T11:50:19"/>
    <n v="9"/>
    <n v="4"/>
    <x v="2"/>
    <x v="0"/>
    <s v="Republic of Ireland"/>
    <n v="53.094023999999997"/>
    <n v="-8.0196749999999994"/>
    <s v="ok"/>
    <s v="ok"/>
    <s v="ok"/>
    <s v="ok"/>
    <s v="ok"/>
    <x v="0"/>
    <n v="19.417556666652672"/>
  </r>
  <r>
    <x v="2"/>
    <n v="1145"/>
    <x v="2"/>
    <x v="0"/>
    <x v="1"/>
    <s v="1st line support"/>
    <x v="6"/>
    <x v="109"/>
    <d v="2023-01-19T15:52:09"/>
    <d v="2023-01-17T16:52:09"/>
    <d v="2023-01-17T16:29:17"/>
    <s v="Within SLA"/>
    <d v="2023-01-18T11:55:59"/>
    <x v="0"/>
    <m/>
    <n v="1"/>
    <m/>
    <x v="2"/>
    <x v="0"/>
    <s v="France"/>
    <n v="48.864716000000001"/>
    <n v="2.3490139999999999"/>
    <s v="ok"/>
    <s v="ok"/>
    <s v="ok"/>
    <s v="ok"/>
    <s v="ok"/>
    <x v="0"/>
    <n v="20.063911111210473"/>
  </r>
  <r>
    <x v="0"/>
    <n v="1146"/>
    <x v="0"/>
    <x v="0"/>
    <x v="3"/>
    <s v="2nd line support"/>
    <x v="1"/>
    <x v="110"/>
    <d v="2023-01-20T02:02:20"/>
    <d v="2023-01-18T03:02:20"/>
    <d v="2023-01-18T02:41:38"/>
    <s v="Within SLA"/>
    <d v="2023-01-19T07:13:39"/>
    <x v="0"/>
    <d v="2023-01-20T03:16:41"/>
    <n v="8"/>
    <n v="3"/>
    <x v="2"/>
    <x v="1"/>
    <s v="Italy"/>
    <n v="43.036776000000003"/>
    <n v="12.678565000000001"/>
    <s v="ok"/>
    <s v="ok"/>
    <s v="ok"/>
    <s v="ok"/>
    <s v="ok"/>
    <x v="0"/>
    <n v="29.188709722075146"/>
  </r>
  <r>
    <x v="0"/>
    <n v="1147"/>
    <x v="0"/>
    <x v="0"/>
    <x v="1"/>
    <s v="1st line support"/>
    <x v="4"/>
    <x v="111"/>
    <d v="2023-01-20T10:59:28"/>
    <d v="2023-01-18T11:59:28"/>
    <d v="2023-01-18T17:43:11"/>
    <s v="SLA Violated"/>
    <d v="2023-01-19T23:48:34"/>
    <x v="0"/>
    <d v="2023-01-21T05:10:24"/>
    <n v="1"/>
    <n v="3"/>
    <x v="0"/>
    <x v="0"/>
    <s v="Germany"/>
    <n v="51.165691000000002"/>
    <n v="10.451525999999999"/>
    <s v="ok"/>
    <s v="ok"/>
    <s v="ok"/>
    <s v="ok"/>
    <s v="ok"/>
    <x v="0"/>
    <n v="36.818357499840204"/>
  </r>
  <r>
    <x v="0"/>
    <n v="1148"/>
    <x v="0"/>
    <x v="0"/>
    <x v="3"/>
    <s v="1st line support"/>
    <x v="4"/>
    <x v="112"/>
    <d v="2023-01-20T08:59:26"/>
    <d v="2023-01-18T09:59:26"/>
    <d v="2023-01-18T09:18:43"/>
    <s v="Within SLA"/>
    <d v="2023-01-19T04:42:50"/>
    <x v="0"/>
    <d v="2023-01-24T09:37:04"/>
    <n v="4"/>
    <n v="3"/>
    <x v="2"/>
    <x v="0"/>
    <s v="Italy"/>
    <n v="43.036776000000003"/>
    <n v="12.678565000000001"/>
    <s v="ok"/>
    <s v="ok"/>
    <s v="ok"/>
    <s v="ok"/>
    <s v="ok"/>
    <x v="0"/>
    <n v="19.72320777765708"/>
  </r>
  <r>
    <x v="1"/>
    <n v="1149"/>
    <x v="0"/>
    <x v="1"/>
    <x v="0"/>
    <s v="1st line support"/>
    <x v="4"/>
    <x v="113"/>
    <d v="2023-01-20T02:50:49"/>
    <d v="2023-01-18T02:52:49"/>
    <d v="2023-01-18T02:52:09"/>
    <s v="Within SLA"/>
    <m/>
    <x v="1"/>
    <m/>
    <n v="1"/>
    <m/>
    <x v="0"/>
    <x v="0"/>
    <s v="Italy"/>
    <n v="43.036776000000003"/>
    <n v="12.678565000000001"/>
    <s v="ok"/>
    <s v="ok"/>
    <s v="ok"/>
    <s v="ok"/>
    <s v="ok"/>
    <x v="1"/>
    <s v=""/>
  </r>
  <r>
    <x v="0"/>
    <n v="1150"/>
    <x v="0"/>
    <x v="0"/>
    <x v="2"/>
    <s v="1st line support"/>
    <x v="0"/>
    <x v="114"/>
    <d v="2023-01-20T03:19:26"/>
    <d v="2023-01-18T04:19:26"/>
    <d v="2023-01-18T03:37:53"/>
    <s v="Within SLA"/>
    <d v="2023-01-19T20:11:35"/>
    <x v="0"/>
    <d v="2023-01-24T03:52:10"/>
    <n v="3"/>
    <n v="1"/>
    <x v="1"/>
    <x v="0"/>
    <s v="Slovenia"/>
    <n v="46.149166399999999"/>
    <n v="14.9860106"/>
    <s v="ok"/>
    <s v="ok"/>
    <s v="ok"/>
    <s v="ok"/>
    <s v="ok"/>
    <x v="0"/>
    <n v="40.8691008334863"/>
  </r>
  <r>
    <x v="0"/>
    <n v="1151"/>
    <x v="1"/>
    <x v="2"/>
    <x v="1"/>
    <s v="1st line support"/>
    <x v="6"/>
    <x v="115"/>
    <d v="2023-01-19T06:48:43"/>
    <d v="2023-01-18T06:50:43"/>
    <d v="2023-01-18T06:50:22"/>
    <s v="Within SLA"/>
    <d v="2023-01-18T08:03:41"/>
    <x v="0"/>
    <d v="2023-01-23T04:03:48"/>
    <n v="7"/>
    <n v="2"/>
    <x v="2"/>
    <x v="0"/>
    <s v="United Kingdom"/>
    <n v="55.378051999999997"/>
    <n v="-3.4359730000000002"/>
    <s v="ok"/>
    <s v="ok"/>
    <s v="ok"/>
    <s v="ok"/>
    <s v="ok"/>
    <x v="0"/>
    <n v="1.2494183333474211"/>
  </r>
  <r>
    <x v="0"/>
    <n v="1152"/>
    <x v="2"/>
    <x v="1"/>
    <x v="3"/>
    <s v="2nd line support"/>
    <x v="1"/>
    <x v="116"/>
    <d v="2023-01-20T01:34:28"/>
    <d v="2023-01-18T01:36:28"/>
    <d v="2023-01-18T02:56:45"/>
    <s v="SLA Violated"/>
    <d v="2023-01-18T13:22:05"/>
    <x v="0"/>
    <d v="2023-01-21T02:40:21"/>
    <n v="4"/>
    <n v="3"/>
    <x v="2"/>
    <x v="1"/>
    <s v="Bulgaria"/>
    <n v="42.724992499999999"/>
    <n v="25.483303899999999"/>
    <s v="ok"/>
    <s v="ok"/>
    <s v="ok"/>
    <s v="ok"/>
    <s v="ok"/>
    <x v="0"/>
    <n v="11.793519722297788"/>
  </r>
  <r>
    <x v="0"/>
    <n v="1153"/>
    <x v="2"/>
    <x v="2"/>
    <x v="2"/>
    <s v="2nd line support"/>
    <x v="5"/>
    <x v="117"/>
    <d v="2023-01-19T02:18:40"/>
    <d v="2023-01-18T02:20:40"/>
    <d v="2023-01-18T02:20:38"/>
    <s v="Within SLA"/>
    <d v="2023-01-19T00:48:35"/>
    <x v="0"/>
    <d v="2023-01-24T19:17:08"/>
    <n v="6"/>
    <n v="4"/>
    <x v="2"/>
    <x v="1"/>
    <s v="Germany"/>
    <n v="51.165691000000002"/>
    <n v="10.451525999999999"/>
    <s v="ok"/>
    <s v="ok"/>
    <s v="ok"/>
    <s v="ok"/>
    <s v="ok"/>
    <x v="0"/>
    <n v="22.498722499993164"/>
  </r>
  <r>
    <x v="2"/>
    <n v="1154"/>
    <x v="0"/>
    <x v="0"/>
    <x v="3"/>
    <s v="1st line support"/>
    <x v="0"/>
    <x v="118"/>
    <d v="2023-01-20T07:25:42"/>
    <d v="2023-01-18T08:25:42"/>
    <d v="2023-01-18T08:25:00"/>
    <s v="Within SLA"/>
    <d v="2023-01-19T15:14:33"/>
    <x v="0"/>
    <m/>
    <n v="2"/>
    <m/>
    <x v="1"/>
    <x v="0"/>
    <s v="Italy"/>
    <n v="43.036776000000003"/>
    <n v="12.678565000000001"/>
    <s v="ok"/>
    <s v="ok"/>
    <s v="ok"/>
    <s v="ok"/>
    <s v="ok"/>
    <x v="0"/>
    <n v="31.814230277726892"/>
  </r>
  <r>
    <x v="0"/>
    <n v="1155"/>
    <x v="2"/>
    <x v="2"/>
    <x v="0"/>
    <s v="2nd line support"/>
    <x v="5"/>
    <x v="119"/>
    <d v="2023-01-19T15:27:11"/>
    <d v="2023-01-18T15:29:11"/>
    <d v="2023-01-18T15:27:12"/>
    <s v="Within SLA"/>
    <d v="2023-01-19T10:11:09"/>
    <x v="0"/>
    <d v="2023-01-21T00:33:40"/>
    <n v="6"/>
    <n v="3"/>
    <x v="0"/>
    <x v="1"/>
    <s v="United Kingdom"/>
    <n v="55.378051999999997"/>
    <n v="-3.4359730000000002"/>
    <s v="ok"/>
    <s v="ok"/>
    <s v="ok"/>
    <s v="ok"/>
    <s v="ok"/>
    <x v="0"/>
    <n v="18.732700555468909"/>
  </r>
  <r>
    <x v="2"/>
    <n v="1156"/>
    <x v="2"/>
    <x v="0"/>
    <x v="4"/>
    <s v="2nd line support"/>
    <x v="7"/>
    <x v="120"/>
    <d v="2023-01-20T04:20:21"/>
    <d v="2023-01-18T05:20:21"/>
    <d v="2023-01-18T05:08:18"/>
    <s v="Within SLA"/>
    <d v="2023-01-18T08:09:37"/>
    <x v="0"/>
    <m/>
    <n v="1"/>
    <m/>
    <x v="3"/>
    <x v="1"/>
    <s v="France"/>
    <n v="48.864716000000001"/>
    <n v="2.3490139999999999"/>
    <s v="ok"/>
    <s v="ok"/>
    <s v="ok"/>
    <s v="ok"/>
    <s v="ok"/>
    <x v="0"/>
    <n v="3.8210272222640924"/>
  </r>
  <r>
    <x v="2"/>
    <n v="1157"/>
    <x v="2"/>
    <x v="2"/>
    <x v="1"/>
    <s v="1st line support"/>
    <x v="2"/>
    <x v="121"/>
    <d v="2023-01-19T22:25:35"/>
    <d v="2023-01-18T22:27:35"/>
    <d v="2023-01-18T22:26:20"/>
    <s v="Within SLA"/>
    <d v="2023-01-19T03:42:59"/>
    <x v="0"/>
    <m/>
    <n v="5"/>
    <m/>
    <x v="2"/>
    <x v="0"/>
    <s v="Greece"/>
    <n v="39.368279000000001"/>
    <n v="21.863140999999999"/>
    <s v="ok"/>
    <s v="ok"/>
    <s v="ok"/>
    <s v="ok"/>
    <s v="ok"/>
    <x v="0"/>
    <n v="5.2899888888350688"/>
  </r>
  <r>
    <x v="0"/>
    <n v="1158"/>
    <x v="2"/>
    <x v="2"/>
    <x v="1"/>
    <s v="1st line support"/>
    <x v="0"/>
    <x v="122"/>
    <d v="2023-01-19T18:08:37"/>
    <d v="2023-01-18T18:10:37"/>
    <d v="2023-01-18T18:09:33"/>
    <s v="Within SLA"/>
    <d v="2023-01-18T21:55:19"/>
    <x v="0"/>
    <d v="2023-01-20T21:41:52"/>
    <n v="3"/>
    <n v="3"/>
    <x v="0"/>
    <x v="0"/>
    <s v="Republic of Ireland"/>
    <n v="53.094023999999997"/>
    <n v="-8.0196749999999994"/>
    <s v="ok"/>
    <s v="ok"/>
    <s v="ok"/>
    <s v="ok"/>
    <s v="ok"/>
    <x v="0"/>
    <n v="3.778232499898877"/>
  </r>
  <r>
    <x v="0"/>
    <n v="1159"/>
    <x v="0"/>
    <x v="2"/>
    <x v="1"/>
    <s v="2nd line support"/>
    <x v="7"/>
    <x v="123"/>
    <d v="2023-01-20T19:54:37"/>
    <d v="2023-01-19T19:56:37"/>
    <d v="2023-01-19T19:57:48"/>
    <s v="SLA Violated"/>
    <d v="2023-01-20T08:53:35"/>
    <x v="0"/>
    <d v="2023-01-25T14:55:40"/>
    <n v="6"/>
    <n v="5"/>
    <x v="3"/>
    <x v="1"/>
    <s v="United Kingdom"/>
    <n v="55.378051999999997"/>
    <n v="-3.4359730000000002"/>
    <s v="ok"/>
    <s v="ok"/>
    <s v="ok"/>
    <s v="ok"/>
    <s v="ok"/>
    <x v="0"/>
    <n v="12.982652222213801"/>
  </r>
  <r>
    <x v="2"/>
    <n v="1160"/>
    <x v="0"/>
    <x v="2"/>
    <x v="3"/>
    <s v="2nd line support"/>
    <x v="5"/>
    <x v="124"/>
    <d v="2023-01-20T09:56:57"/>
    <d v="2023-01-19T09:58:57"/>
    <d v="2023-01-19T09:58:32"/>
    <s v="Within SLA"/>
    <d v="2023-01-19T21:24:39"/>
    <x v="0"/>
    <m/>
    <n v="60"/>
    <m/>
    <x v="2"/>
    <x v="1"/>
    <s v="Italy"/>
    <n v="43.036776000000003"/>
    <n v="12.678565000000001"/>
    <s v="ok"/>
    <s v="ok"/>
    <s v="ok"/>
    <s v="ok"/>
    <s v="ok"/>
    <x v="0"/>
    <n v="11.461626388889272"/>
  </r>
  <r>
    <x v="1"/>
    <n v="1161"/>
    <x v="0"/>
    <x v="0"/>
    <x v="2"/>
    <s v="2nd line support"/>
    <x v="5"/>
    <x v="125"/>
    <d v="2023-01-21T11:56:06"/>
    <d v="2023-01-19T12:56:06"/>
    <d v="2023-01-19T12:55:03"/>
    <s v="Within SLA"/>
    <m/>
    <x v="1"/>
    <m/>
    <n v="2"/>
    <m/>
    <x v="1"/>
    <x v="1"/>
    <s v="Slovenia"/>
    <n v="46.149166399999999"/>
    <n v="14.9860106"/>
    <s v="ok"/>
    <s v="ok"/>
    <s v="ok"/>
    <s v="ok"/>
    <s v="ok"/>
    <x v="1"/>
    <s v=""/>
  </r>
  <r>
    <x v="0"/>
    <n v="1162"/>
    <x v="2"/>
    <x v="0"/>
    <x v="1"/>
    <s v="1st line support"/>
    <x v="2"/>
    <x v="126"/>
    <d v="2023-01-21T01:28:08"/>
    <d v="2023-01-19T02:28:08"/>
    <d v="2023-01-19T01:41:57"/>
    <s v="Within SLA"/>
    <d v="2023-01-20T16:50:03"/>
    <x v="0"/>
    <d v="2023-01-21T09:04:01"/>
    <n v="8"/>
    <n v="5"/>
    <x v="3"/>
    <x v="0"/>
    <s v="France"/>
    <n v="48.864716000000001"/>
    <n v="2.3490139999999999"/>
    <s v="ok"/>
    <s v="ok"/>
    <s v="ok"/>
    <s v="ok"/>
    <s v="ok"/>
    <x v="0"/>
    <n v="39.365141388843767"/>
  </r>
  <r>
    <x v="0"/>
    <n v="1163"/>
    <x v="0"/>
    <x v="0"/>
    <x v="1"/>
    <s v="1st line support"/>
    <x v="0"/>
    <x v="127"/>
    <d v="2023-01-21T02:31:19"/>
    <d v="2023-01-19T03:31:19"/>
    <d v="2023-01-19T02:37:16"/>
    <s v="Within SLA"/>
    <d v="2023-01-19T23:08:30"/>
    <x v="0"/>
    <d v="2023-01-22T03:44:53"/>
    <n v="4"/>
    <n v="1"/>
    <x v="2"/>
    <x v="0"/>
    <s v="Germany"/>
    <n v="51.165691000000002"/>
    <n v="10.451525999999999"/>
    <s v="ok"/>
    <s v="ok"/>
    <s v="ok"/>
    <s v="ok"/>
    <s v="ok"/>
    <x v="0"/>
    <n v="20.619653888919856"/>
  </r>
  <r>
    <x v="0"/>
    <n v="1164"/>
    <x v="0"/>
    <x v="2"/>
    <x v="1"/>
    <s v="1st line support"/>
    <x v="4"/>
    <x v="128"/>
    <d v="2023-01-20T08:14:44"/>
    <d v="2023-01-19T08:16:44"/>
    <d v="2023-01-19T10:00:37"/>
    <s v="SLA Violated"/>
    <d v="2023-01-19T15:09:19"/>
    <x v="0"/>
    <d v="2023-01-20T15:57:25"/>
    <n v="5"/>
    <n v="5"/>
    <x v="3"/>
    <x v="0"/>
    <s v="Italy"/>
    <n v="43.036776000000003"/>
    <n v="12.678565000000001"/>
    <s v="ok"/>
    <s v="ok"/>
    <s v="ok"/>
    <s v="ok"/>
    <s v="ok"/>
    <x v="0"/>
    <n v="6.9096608333056793"/>
  </r>
  <r>
    <x v="2"/>
    <n v="1165"/>
    <x v="1"/>
    <x v="2"/>
    <x v="1"/>
    <s v="1st line support"/>
    <x v="3"/>
    <x v="129"/>
    <d v="2023-01-20T02:00:02"/>
    <d v="2023-01-19T02:02:02"/>
    <d v="2023-01-19T02:01:24"/>
    <s v="Within SLA"/>
    <d v="2023-01-21T04:02:44"/>
    <x v="1"/>
    <m/>
    <n v="4"/>
    <m/>
    <x v="2"/>
    <x v="0"/>
    <s v="United Kingdom"/>
    <n v="55.378051999999997"/>
    <n v="-3.4359730000000002"/>
    <s v="ok"/>
    <s v="ok"/>
    <s v="ok"/>
    <s v="ok"/>
    <s v="ok"/>
    <x v="0"/>
    <n v="50.044997500022873"/>
  </r>
  <r>
    <x v="0"/>
    <n v="1166"/>
    <x v="0"/>
    <x v="0"/>
    <x v="3"/>
    <s v="1st line support"/>
    <x v="2"/>
    <x v="130"/>
    <d v="2023-01-21T16:07:40"/>
    <d v="2023-01-19T17:07:40"/>
    <d v="2023-01-19T16:27:09"/>
    <s v="Within SLA"/>
    <d v="2023-01-20T08:34:34"/>
    <x v="0"/>
    <d v="2023-01-23T14:00:07"/>
    <n v="10"/>
    <n v="4"/>
    <x v="2"/>
    <x v="0"/>
    <s v="Poland"/>
    <n v="52.536273000000001"/>
    <n v="19.050639"/>
    <s v="ok"/>
    <s v="ok"/>
    <s v="ok"/>
    <s v="ok"/>
    <s v="ok"/>
    <x v="0"/>
    <n v="16.448299722222146"/>
  </r>
  <r>
    <x v="0"/>
    <n v="1167"/>
    <x v="0"/>
    <x v="2"/>
    <x v="3"/>
    <s v="1st line support"/>
    <x v="0"/>
    <x v="131"/>
    <d v="2023-01-20T04:01:55"/>
    <d v="2023-01-19T04:03:55"/>
    <d v="2023-01-19T04:02:30"/>
    <s v="Within SLA"/>
    <d v="2023-01-19T04:21:53"/>
    <x v="0"/>
    <d v="2023-01-21T11:09:55"/>
    <n v="3"/>
    <n v="3"/>
    <x v="2"/>
    <x v="0"/>
    <s v="Italy"/>
    <n v="43.036776000000003"/>
    <n v="12.678565000000001"/>
    <s v="ok"/>
    <s v="ok"/>
    <s v="ok"/>
    <s v="ok"/>
    <s v="ok"/>
    <x v="0"/>
    <n v="0.33281472214730456"/>
  </r>
  <r>
    <x v="2"/>
    <n v="1168"/>
    <x v="1"/>
    <x v="0"/>
    <x v="4"/>
    <s v="2nd line support"/>
    <x v="5"/>
    <x v="132"/>
    <d v="2023-01-21T18:33:13"/>
    <d v="2023-01-19T19:33:13"/>
    <d v="2023-01-19T18:59:45"/>
    <s v="Within SLA"/>
    <d v="2023-01-20T14:33:26"/>
    <x v="0"/>
    <m/>
    <n v="5"/>
    <m/>
    <x v="1"/>
    <x v="1"/>
    <s v="Czech Republic"/>
    <n v="49.8037633"/>
    <n v="15.4749126"/>
    <s v="ok"/>
    <s v="ok"/>
    <s v="ok"/>
    <s v="ok"/>
    <s v="ok"/>
    <x v="0"/>
    <n v="20.003527222259436"/>
  </r>
  <r>
    <x v="0"/>
    <n v="1169"/>
    <x v="2"/>
    <x v="2"/>
    <x v="1"/>
    <s v="1st line support"/>
    <x v="6"/>
    <x v="133"/>
    <d v="2023-01-20T17:03:57"/>
    <d v="2023-01-19T17:05:57"/>
    <d v="2023-01-19T17:05:39"/>
    <s v="Within SLA"/>
    <d v="2023-01-19T21:18:49"/>
    <x v="0"/>
    <d v="2023-01-27T05:20:50"/>
    <n v="6"/>
    <n v="4"/>
    <x v="0"/>
    <x v="0"/>
    <s v="Poland"/>
    <n v="52.536273000000001"/>
    <n v="19.050639"/>
    <s v="ok"/>
    <s v="ok"/>
    <s v="ok"/>
    <s v="ok"/>
    <s v="ok"/>
    <x v="0"/>
    <n v="4.2477888887515292"/>
  </r>
  <r>
    <x v="1"/>
    <n v="1170"/>
    <x v="2"/>
    <x v="2"/>
    <x v="1"/>
    <s v="1st line support"/>
    <x v="2"/>
    <x v="134"/>
    <d v="2023-01-20T02:59:41"/>
    <d v="2023-01-19T03:01:41"/>
    <d v="2023-01-19T03:01:25"/>
    <s v="Within SLA"/>
    <m/>
    <x v="1"/>
    <m/>
    <n v="60"/>
    <m/>
    <x v="2"/>
    <x v="0"/>
    <s v="Austria"/>
    <n v="47.696471899999999"/>
    <n v="13.3457347"/>
    <s v="ok"/>
    <s v="ok"/>
    <s v="ok"/>
    <s v="ok"/>
    <s v="ok"/>
    <x v="1"/>
    <s v=""/>
  </r>
  <r>
    <x v="1"/>
    <n v="1171"/>
    <x v="1"/>
    <x v="0"/>
    <x v="0"/>
    <s v="2nd line support"/>
    <x v="5"/>
    <x v="135"/>
    <d v="2023-01-22T08:12:18"/>
    <d v="2023-01-20T09:12:18"/>
    <d v="2023-01-20T11:23:10"/>
    <s v="SLA Violated"/>
    <m/>
    <x v="1"/>
    <m/>
    <n v="2"/>
    <m/>
    <x v="1"/>
    <x v="1"/>
    <s v="Germany"/>
    <n v="51.165691000000002"/>
    <n v="10.451525999999999"/>
    <s v="ok"/>
    <s v="ok"/>
    <s v="ok"/>
    <s v="ok"/>
    <s v="ok"/>
    <x v="1"/>
    <s v=""/>
  </r>
  <r>
    <x v="1"/>
    <n v="1172"/>
    <x v="0"/>
    <x v="0"/>
    <x v="2"/>
    <s v="1st line support"/>
    <x v="0"/>
    <x v="136"/>
    <d v="2023-01-22T16:02:00"/>
    <d v="2023-01-20T17:02:00"/>
    <d v="2023-01-20T16:31:25"/>
    <s v="Within SLA"/>
    <m/>
    <x v="1"/>
    <m/>
    <n v="6"/>
    <m/>
    <x v="2"/>
    <x v="0"/>
    <s v="Germany"/>
    <n v="51.165691000000002"/>
    <n v="10.451525999999999"/>
    <s v="ok"/>
    <s v="ok"/>
    <s v="ok"/>
    <s v="ok"/>
    <s v="ok"/>
    <x v="1"/>
    <s v=""/>
  </r>
  <r>
    <x v="1"/>
    <n v="1173"/>
    <x v="0"/>
    <x v="0"/>
    <x v="1"/>
    <s v="1st line support"/>
    <x v="6"/>
    <x v="137"/>
    <d v="2023-01-22T18:26:33"/>
    <d v="2023-01-20T19:26:33"/>
    <d v="2023-01-20T18:51:24"/>
    <s v="Within SLA"/>
    <m/>
    <x v="1"/>
    <m/>
    <n v="3"/>
    <m/>
    <x v="2"/>
    <x v="0"/>
    <s v="United Kingdom"/>
    <n v="55.378051999999997"/>
    <n v="-3.4359730000000002"/>
    <s v="ok"/>
    <s v="ok"/>
    <s v="ok"/>
    <s v="ok"/>
    <s v="ok"/>
    <x v="1"/>
    <s v=""/>
  </r>
  <r>
    <x v="0"/>
    <n v="1174"/>
    <x v="0"/>
    <x v="0"/>
    <x v="1"/>
    <s v="1st line support"/>
    <x v="2"/>
    <x v="138"/>
    <d v="2023-01-22T16:12:23"/>
    <d v="2023-01-20T17:12:23"/>
    <d v="2023-01-20T16:41:52"/>
    <s v="Within SLA"/>
    <d v="2023-01-21T20:59:35"/>
    <x v="0"/>
    <d v="2023-01-26T19:39:02"/>
    <n v="2"/>
    <n v="3"/>
    <x v="2"/>
    <x v="0"/>
    <s v="Republic of Ireland"/>
    <n v="53.094023999999997"/>
    <n v="-8.0196749999999994"/>
    <s v="ok"/>
    <s v="ok"/>
    <s v="ok"/>
    <s v="ok"/>
    <s v="ok"/>
    <x v="0"/>
    <n v="28.786584166693501"/>
  </r>
  <r>
    <x v="0"/>
    <n v="1175"/>
    <x v="2"/>
    <x v="0"/>
    <x v="3"/>
    <s v="1st line support"/>
    <x v="4"/>
    <x v="139"/>
    <d v="2023-01-22T18:26:56"/>
    <d v="2023-01-20T19:26:56"/>
    <d v="2023-01-20T18:47:31"/>
    <s v="Within SLA"/>
    <d v="2023-01-23T09:12:25"/>
    <x v="1"/>
    <d v="2023-01-23T23:35:20"/>
    <n v="4"/>
    <n v="5"/>
    <x v="1"/>
    <x v="0"/>
    <s v="Greece"/>
    <n v="39.368279000000001"/>
    <n v="21.863140999999999"/>
    <s v="ok"/>
    <s v="ok"/>
    <s v="ok"/>
    <s v="ok"/>
    <s v="ok"/>
    <x v="0"/>
    <n v="62.758011111058295"/>
  </r>
  <r>
    <x v="1"/>
    <n v="1176"/>
    <x v="1"/>
    <x v="2"/>
    <x v="5"/>
    <s v="2nd line support"/>
    <x v="5"/>
    <x v="140"/>
    <d v="2023-01-21T12:41:24"/>
    <d v="2023-01-20T12:43:24"/>
    <d v="2023-01-20T12:42:08"/>
    <s v="Within SLA"/>
    <m/>
    <x v="1"/>
    <m/>
    <n v="6"/>
    <m/>
    <x v="2"/>
    <x v="1"/>
    <s v="Germany"/>
    <n v="51.165691000000002"/>
    <n v="10.451525999999999"/>
    <s v="ok"/>
    <s v="ok"/>
    <s v="ok"/>
    <s v="ok"/>
    <s v="ok"/>
    <x v="1"/>
    <s v=""/>
  </r>
  <r>
    <x v="1"/>
    <n v="1177"/>
    <x v="0"/>
    <x v="0"/>
    <x v="3"/>
    <s v="1st line support"/>
    <x v="0"/>
    <x v="141"/>
    <d v="2023-01-22T07:41:43"/>
    <d v="2023-01-20T08:41:43"/>
    <d v="2023-01-20T08:16:18"/>
    <s v="Within SLA"/>
    <m/>
    <x v="1"/>
    <m/>
    <n v="10"/>
    <m/>
    <x v="2"/>
    <x v="0"/>
    <s v="Republic of Ireland"/>
    <n v="53.094023999999997"/>
    <n v="-8.0196749999999994"/>
    <s v="ok"/>
    <s v="ok"/>
    <s v="ok"/>
    <s v="ok"/>
    <s v="ok"/>
    <x v="1"/>
    <s v=""/>
  </r>
  <r>
    <x v="2"/>
    <n v="1178"/>
    <x v="1"/>
    <x v="0"/>
    <x v="4"/>
    <s v="1st line support"/>
    <x v="6"/>
    <x v="142"/>
    <d v="2023-01-22T09:35:25"/>
    <d v="2023-01-20T10:35:25"/>
    <d v="2023-01-20T09:50:00"/>
    <s v="Within SLA"/>
    <d v="2023-01-21T08:18:23"/>
    <x v="0"/>
    <m/>
    <n v="1"/>
    <m/>
    <x v="2"/>
    <x v="0"/>
    <s v="Bulgaria"/>
    <n v="42.724992499999999"/>
    <n v="25.483303899999999"/>
    <s v="ok"/>
    <s v="ok"/>
    <s v="ok"/>
    <s v="ok"/>
    <s v="ok"/>
    <x v="0"/>
    <n v="22.716136666713282"/>
  </r>
  <r>
    <x v="0"/>
    <n v="1179"/>
    <x v="0"/>
    <x v="0"/>
    <x v="1"/>
    <s v="2nd line support"/>
    <x v="1"/>
    <x v="143"/>
    <d v="2023-01-22T15:19:25"/>
    <d v="2023-01-20T16:19:25"/>
    <d v="2023-01-20T15:54:48"/>
    <s v="Within SLA"/>
    <d v="2023-01-21T11:31:26"/>
    <x v="0"/>
    <d v="2023-01-23T07:11:32"/>
    <n v="1"/>
    <n v="5"/>
    <x v="0"/>
    <x v="1"/>
    <s v="Slovenia"/>
    <n v="46.149166399999999"/>
    <n v="14.9860106"/>
    <s v="ok"/>
    <s v="ok"/>
    <s v="ok"/>
    <s v="ok"/>
    <s v="ok"/>
    <x v="0"/>
    <n v="20.200178611034062"/>
  </r>
  <r>
    <x v="2"/>
    <n v="1180"/>
    <x v="0"/>
    <x v="2"/>
    <x v="2"/>
    <s v="1st line support"/>
    <x v="6"/>
    <x v="144"/>
    <d v="2023-01-21T08:49:49"/>
    <d v="2023-01-20T08:51:49"/>
    <d v="2023-01-20T08:51:34"/>
    <s v="Within SLA"/>
    <d v="2023-01-21T08:32:34"/>
    <x v="0"/>
    <m/>
    <n v="2"/>
    <m/>
    <x v="3"/>
    <x v="0"/>
    <s v="United Kingdom"/>
    <n v="55.378051999999997"/>
    <n v="-3.4359730000000002"/>
    <s v="ok"/>
    <s v="ok"/>
    <s v="ok"/>
    <s v="ok"/>
    <s v="ok"/>
    <x v="0"/>
    <n v="23.71258972218493"/>
  </r>
  <r>
    <x v="0"/>
    <n v="1181"/>
    <x v="0"/>
    <x v="0"/>
    <x v="6"/>
    <s v="1st line support"/>
    <x v="2"/>
    <x v="145"/>
    <d v="2023-01-22T11:54:54"/>
    <d v="2023-01-20T12:54:54"/>
    <d v="2023-01-20T12:07:47"/>
    <s v="Within SLA"/>
    <d v="2023-01-22T06:37:40"/>
    <x v="0"/>
    <d v="2023-01-24T04:21:18"/>
    <n v="9"/>
    <n v="2"/>
    <x v="3"/>
    <x v="0"/>
    <s v="Bulgaria"/>
    <n v="42.724992499999999"/>
    <n v="25.483303899999999"/>
    <s v="ok"/>
    <s v="ok"/>
    <s v="ok"/>
    <s v="ok"/>
    <s v="ok"/>
    <x v="0"/>
    <n v="42.712828888907097"/>
  </r>
  <r>
    <x v="0"/>
    <n v="1182"/>
    <x v="1"/>
    <x v="2"/>
    <x v="0"/>
    <s v="1st line support"/>
    <x v="0"/>
    <x v="146"/>
    <d v="2023-01-22T08:18:41"/>
    <d v="2023-01-21T08:20:41"/>
    <d v="2023-01-21T08:20:16"/>
    <s v="Within SLA"/>
    <d v="2023-01-21T20:06:34"/>
    <x v="0"/>
    <d v="2023-01-23T06:11:20"/>
    <n v="6"/>
    <n v="4"/>
    <x v="2"/>
    <x v="0"/>
    <s v="Spain"/>
    <n v="39.673369999999998"/>
    <n v="-4.7677259999999997"/>
    <s v="ok"/>
    <s v="ok"/>
    <s v="ok"/>
    <s v="ok"/>
    <s v="ok"/>
    <x v="0"/>
    <n v="11.797930000000633"/>
  </r>
  <r>
    <x v="0"/>
    <n v="1183"/>
    <x v="0"/>
    <x v="0"/>
    <x v="2"/>
    <s v="1st line support"/>
    <x v="6"/>
    <x v="147"/>
    <d v="2023-01-23T07:43:47"/>
    <d v="2023-01-21T08:43:47"/>
    <d v="2023-01-21T07:49:29"/>
    <s v="Within SLA"/>
    <d v="2023-01-21T18:04:08"/>
    <x v="0"/>
    <d v="2023-01-25T03:32:45"/>
    <n v="4"/>
    <n v="5"/>
    <x v="1"/>
    <x v="0"/>
    <s v="United Kingdom"/>
    <n v="55.378051999999997"/>
    <n v="-3.4359730000000002"/>
    <s v="ok"/>
    <s v="ok"/>
    <s v="ok"/>
    <s v="ok"/>
    <s v="ok"/>
    <x v="0"/>
    <n v="10.339234166778624"/>
  </r>
  <r>
    <x v="2"/>
    <n v="1184"/>
    <x v="1"/>
    <x v="2"/>
    <x v="3"/>
    <s v="1st line support"/>
    <x v="3"/>
    <x v="148"/>
    <d v="2023-01-22T17:21:38"/>
    <d v="2023-01-21T17:23:38"/>
    <d v="2023-01-21T17:22:51"/>
    <s v="Within SLA"/>
    <d v="2023-01-25T20:28:05"/>
    <x v="1"/>
    <m/>
    <n v="2"/>
    <m/>
    <x v="2"/>
    <x v="0"/>
    <s v="Austria"/>
    <n v="47.696471899999999"/>
    <n v="13.3457347"/>
    <s v="ok"/>
    <s v="ok"/>
    <s v="ok"/>
    <s v="ok"/>
    <s v="ok"/>
    <x v="0"/>
    <n v="99.107554999936838"/>
  </r>
  <r>
    <x v="2"/>
    <n v="1185"/>
    <x v="0"/>
    <x v="2"/>
    <x v="0"/>
    <s v="1st line support"/>
    <x v="4"/>
    <x v="149"/>
    <d v="2023-01-22T11:45:13"/>
    <d v="2023-01-21T11:47:13"/>
    <d v="2023-01-21T11:49:43"/>
    <s v="SLA Violated"/>
    <d v="2023-01-21T15:21:29"/>
    <x v="0"/>
    <m/>
    <n v="6"/>
    <m/>
    <x v="0"/>
    <x v="0"/>
    <s v="Bulgaria"/>
    <n v="42.724992499999999"/>
    <n v="25.483303899999999"/>
    <s v="ok"/>
    <s v="ok"/>
    <s v="ok"/>
    <s v="ok"/>
    <s v="ok"/>
    <x v="0"/>
    <n v="3.6045030554523692"/>
  </r>
  <r>
    <x v="0"/>
    <n v="1186"/>
    <x v="2"/>
    <x v="0"/>
    <x v="1"/>
    <s v="1st line support"/>
    <x v="3"/>
    <x v="150"/>
    <d v="2023-01-23T07:09:47"/>
    <d v="2023-01-21T08:09:47"/>
    <d v="2023-01-21T07:45:59"/>
    <s v="Within SLA"/>
    <d v="2023-01-22T12:53:46"/>
    <x v="0"/>
    <d v="2023-01-27T17:58:00"/>
    <n v="1"/>
    <n v="3"/>
    <x v="3"/>
    <x v="0"/>
    <s v="Greece"/>
    <n v="39.368279000000001"/>
    <n v="21.863140999999999"/>
    <s v="ok"/>
    <s v="ok"/>
    <s v="ok"/>
    <s v="ok"/>
    <s v="ok"/>
    <x v="0"/>
    <n v="29.733118611155078"/>
  </r>
  <r>
    <x v="1"/>
    <n v="1198"/>
    <x v="2"/>
    <x v="0"/>
    <x v="4"/>
    <s v="1st line support"/>
    <x v="4"/>
    <x v="151"/>
    <d v="2023-01-24T08:50:11"/>
    <d v="2023-01-22T09:50:11"/>
    <d v="2023-01-22T09:34:55"/>
    <s v="Within SLA"/>
    <m/>
    <x v="1"/>
    <m/>
    <n v="7"/>
    <m/>
    <x v="2"/>
    <x v="0"/>
    <s v="Republic of Ireland"/>
    <n v="53.094023999999997"/>
    <n v="-8.0196749999999994"/>
    <s v="ok"/>
    <s v="ok"/>
    <s v="ok"/>
    <s v="ok"/>
    <s v="ok"/>
    <x v="1"/>
    <s v=""/>
  </r>
  <r>
    <x v="2"/>
    <n v="1199"/>
    <x v="0"/>
    <x v="2"/>
    <x v="5"/>
    <s v="1st line support"/>
    <x v="6"/>
    <x v="152"/>
    <d v="2023-01-23T01:57:26"/>
    <d v="2023-01-22T01:59:26"/>
    <d v="2023-01-22T01:57:51"/>
    <s v="Within SLA"/>
    <d v="2023-01-22T04:33:20"/>
    <x v="0"/>
    <m/>
    <n v="3"/>
    <m/>
    <x v="3"/>
    <x v="0"/>
    <s v="Czech Republic"/>
    <n v="49.8037633"/>
    <n v="15.4749126"/>
    <s v="ok"/>
    <s v="ok"/>
    <s v="ok"/>
    <s v="ok"/>
    <s v="ok"/>
    <x v="0"/>
    <n v="2.5984222222468816"/>
  </r>
  <r>
    <x v="0"/>
    <n v="1200"/>
    <x v="2"/>
    <x v="0"/>
    <x v="0"/>
    <s v="1st line support"/>
    <x v="0"/>
    <x v="153"/>
    <d v="2023-01-24T06:50:05"/>
    <d v="2023-01-22T07:50:05"/>
    <d v="2023-01-22T07:08:43"/>
    <s v="Within SLA"/>
    <d v="2023-01-22T17:52:38"/>
    <x v="0"/>
    <d v="2023-01-25T09:12:18"/>
    <n v="1"/>
    <n v="1"/>
    <x v="0"/>
    <x v="0"/>
    <s v="Greece"/>
    <n v="39.368279000000001"/>
    <n v="21.863140999999999"/>
    <s v="ok"/>
    <s v="ok"/>
    <s v="ok"/>
    <s v="ok"/>
    <s v="ok"/>
    <x v="0"/>
    <n v="11.042501944291871"/>
  </r>
  <r>
    <x v="2"/>
    <n v="1201"/>
    <x v="1"/>
    <x v="0"/>
    <x v="6"/>
    <s v="1st line support"/>
    <x v="0"/>
    <x v="154"/>
    <d v="2023-01-24T23:42:43"/>
    <d v="2023-01-23T00:42:43"/>
    <d v="2023-01-23T00:06:48"/>
    <s v="Within SLA"/>
    <d v="2023-01-23T22:24:56"/>
    <x v="0"/>
    <m/>
    <n v="3"/>
    <m/>
    <x v="3"/>
    <x v="0"/>
    <s v="Poland"/>
    <n v="52.536273000000001"/>
    <n v="19.050639"/>
    <s v="ok"/>
    <s v="ok"/>
    <s v="ok"/>
    <s v="ok"/>
    <s v="ok"/>
    <x v="0"/>
    <n v="22.703506944410037"/>
  </r>
  <r>
    <x v="2"/>
    <n v="1202"/>
    <x v="0"/>
    <x v="0"/>
    <x v="0"/>
    <s v="1st line support"/>
    <x v="0"/>
    <x v="155"/>
    <d v="2023-01-24T13:18:02"/>
    <d v="2023-01-22T14:18:02"/>
    <d v="2023-01-22T13:34:22"/>
    <s v="Within SLA"/>
    <d v="2023-01-24T12:21:26"/>
    <x v="0"/>
    <m/>
    <n v="1"/>
    <m/>
    <x v="1"/>
    <x v="0"/>
    <s v="United Kingdom"/>
    <n v="55.378051999999997"/>
    <n v="-3.4359730000000002"/>
    <s v="ok"/>
    <s v="ok"/>
    <s v="ok"/>
    <s v="ok"/>
    <s v="ok"/>
    <x v="0"/>
    <n v="47.056768888898659"/>
  </r>
  <r>
    <x v="2"/>
    <n v="1203"/>
    <x v="2"/>
    <x v="0"/>
    <x v="5"/>
    <s v="1st line support"/>
    <x v="2"/>
    <x v="156"/>
    <d v="2023-01-24T14:32:27"/>
    <d v="2023-01-22T15:32:27"/>
    <d v="2023-01-22T15:02:56"/>
    <s v="Within SLA"/>
    <d v="2023-01-24T03:16:59"/>
    <x v="0"/>
    <m/>
    <n v="5"/>
    <m/>
    <x v="0"/>
    <x v="0"/>
    <s v="Poland"/>
    <n v="52.536273000000001"/>
    <n v="19.050639"/>
    <s v="ok"/>
    <s v="ok"/>
    <s v="ok"/>
    <s v="ok"/>
    <s v="ok"/>
    <x v="0"/>
    <n v="36.742202499881387"/>
  </r>
  <r>
    <x v="1"/>
    <n v="1204"/>
    <x v="0"/>
    <x v="0"/>
    <x v="2"/>
    <s v="1st line support"/>
    <x v="2"/>
    <x v="157"/>
    <d v="2023-01-25T02:36:31"/>
    <d v="2023-01-23T03:36:31"/>
    <d v="2023-01-23T03:15:10"/>
    <s v="Within SLA"/>
    <m/>
    <x v="1"/>
    <m/>
    <n v="9"/>
    <m/>
    <x v="1"/>
    <x v="0"/>
    <s v="Italy"/>
    <n v="43.036776000000003"/>
    <n v="12.678565000000001"/>
    <s v="ok"/>
    <s v="ok"/>
    <s v="ok"/>
    <s v="ok"/>
    <s v="ok"/>
    <x v="1"/>
    <s v=""/>
  </r>
  <r>
    <x v="2"/>
    <n v="1205"/>
    <x v="0"/>
    <x v="2"/>
    <x v="1"/>
    <s v="2nd line support"/>
    <x v="7"/>
    <x v="158"/>
    <d v="2023-01-24T04:12:42"/>
    <d v="2023-01-23T04:14:42"/>
    <d v="2023-01-23T04:14:34"/>
    <s v="Within SLA"/>
    <d v="2023-01-23T17:43:56"/>
    <x v="0"/>
    <m/>
    <n v="6"/>
    <m/>
    <x v="0"/>
    <x v="1"/>
    <s v="Spain"/>
    <n v="39.673369999999998"/>
    <n v="-4.7677259999999997"/>
    <s v="ok"/>
    <s v="ok"/>
    <s v="ok"/>
    <s v="ok"/>
    <s v="ok"/>
    <x v="0"/>
    <n v="13.520442500011995"/>
  </r>
  <r>
    <x v="0"/>
    <n v="1206"/>
    <x v="0"/>
    <x v="2"/>
    <x v="1"/>
    <s v="1st line support"/>
    <x v="0"/>
    <x v="159"/>
    <d v="2023-01-24T02:29:57"/>
    <d v="2023-01-23T02:31:57"/>
    <d v="2023-01-23T02:30:57"/>
    <s v="Within SLA"/>
    <d v="2023-01-23T12:11:13"/>
    <x v="0"/>
    <d v="2023-01-28T22:46:12"/>
    <n v="6"/>
    <n v="3"/>
    <x v="0"/>
    <x v="0"/>
    <s v="Germany"/>
    <n v="51.165691000000002"/>
    <n v="10.451525999999999"/>
    <s v="ok"/>
    <s v="ok"/>
    <s v="ok"/>
    <s v="ok"/>
    <s v="ok"/>
    <x v="0"/>
    <n v="9.6876513889292255"/>
  </r>
  <r>
    <x v="1"/>
    <n v="1207"/>
    <x v="0"/>
    <x v="0"/>
    <x v="0"/>
    <s v="1st line support"/>
    <x v="0"/>
    <x v="160"/>
    <d v="2023-01-25T20:37:56"/>
    <d v="2023-01-23T21:37:56"/>
    <d v="2023-01-23T21:15:22"/>
    <s v="Within SLA"/>
    <m/>
    <x v="1"/>
    <m/>
    <n v="5"/>
    <m/>
    <x v="2"/>
    <x v="0"/>
    <s v="Greece"/>
    <n v="39.368279000000001"/>
    <n v="21.863140999999999"/>
    <s v="ok"/>
    <s v="ok"/>
    <s v="ok"/>
    <s v="ok"/>
    <s v="ok"/>
    <x v="1"/>
    <s v=""/>
  </r>
  <r>
    <x v="2"/>
    <n v="1208"/>
    <x v="0"/>
    <x v="0"/>
    <x v="1"/>
    <s v="1st line support"/>
    <x v="4"/>
    <x v="161"/>
    <d v="2023-01-25T16:44:16"/>
    <d v="2023-01-23T17:44:16"/>
    <d v="2023-01-23T20:36:59"/>
    <s v="SLA Violated"/>
    <d v="2023-01-23T20:47:18"/>
    <x v="0"/>
    <m/>
    <n v="2"/>
    <m/>
    <x v="2"/>
    <x v="0"/>
    <s v="Germany"/>
    <n v="51.165691000000002"/>
    <n v="10.451525999999999"/>
    <s v="ok"/>
    <s v="ok"/>
    <s v="ok"/>
    <s v="ok"/>
    <s v="ok"/>
    <x v="0"/>
    <n v="4.0506411110982299"/>
  </r>
  <r>
    <x v="0"/>
    <n v="1209"/>
    <x v="2"/>
    <x v="2"/>
    <x v="0"/>
    <s v="1st line support"/>
    <x v="4"/>
    <x v="162"/>
    <d v="2023-01-24T13:00:51"/>
    <d v="2023-01-23T13:02:51"/>
    <d v="2023-01-23T13:01:49"/>
    <s v="Within SLA"/>
    <d v="2023-01-23T18:35:27"/>
    <x v="0"/>
    <d v="2023-01-26T16:36:51"/>
    <n v="6"/>
    <n v="5"/>
    <x v="2"/>
    <x v="0"/>
    <s v="United Kingdom"/>
    <n v="55.378051999999997"/>
    <n v="-3.4359730000000002"/>
    <s v="ok"/>
    <s v="ok"/>
    <s v="ok"/>
    <s v="ok"/>
    <s v="ok"/>
    <x v="0"/>
    <n v="5.5765991667285562"/>
  </r>
  <r>
    <x v="1"/>
    <n v="1210"/>
    <x v="0"/>
    <x v="0"/>
    <x v="4"/>
    <s v="2nd line support"/>
    <x v="5"/>
    <x v="163"/>
    <d v="2023-01-25T06:36:19"/>
    <d v="2023-01-23T07:36:19"/>
    <d v="2023-01-23T06:45:00"/>
    <s v="Within SLA"/>
    <m/>
    <x v="1"/>
    <m/>
    <n v="10"/>
    <m/>
    <x v="0"/>
    <x v="1"/>
    <s v="Germany"/>
    <n v="51.165691000000002"/>
    <n v="10.451525999999999"/>
    <s v="ok"/>
    <s v="ok"/>
    <s v="ok"/>
    <s v="ok"/>
    <s v="ok"/>
    <x v="1"/>
    <s v=""/>
  </r>
  <r>
    <x v="0"/>
    <n v="1211"/>
    <x v="0"/>
    <x v="0"/>
    <x v="2"/>
    <s v="1st line support"/>
    <x v="2"/>
    <x v="164"/>
    <d v="2023-01-26T15:26:28"/>
    <d v="2023-01-24T16:26:28"/>
    <d v="2023-01-24T16:20:28"/>
    <s v="Within SLA"/>
    <d v="2023-01-25T12:08:26"/>
    <x v="0"/>
    <d v="2023-01-28T19:09:32"/>
    <n v="7"/>
    <n v="4"/>
    <x v="3"/>
    <x v="0"/>
    <s v="United Kingdom"/>
    <n v="55.378051999999997"/>
    <n v="-3.4359730000000002"/>
    <s v="ok"/>
    <s v="ok"/>
    <s v="ok"/>
    <s v="ok"/>
    <s v="ok"/>
    <x v="0"/>
    <n v="20.699385277926922"/>
  </r>
  <r>
    <x v="0"/>
    <n v="1213"/>
    <x v="1"/>
    <x v="0"/>
    <x v="4"/>
    <s v="1st line support"/>
    <x v="4"/>
    <x v="165"/>
    <d v="2023-01-26T11:08:04"/>
    <d v="2023-01-24T12:08:04"/>
    <d v="2023-01-24T12:02:52"/>
    <s v="Within SLA"/>
    <d v="2023-01-25T17:16:23"/>
    <x v="0"/>
    <d v="2023-01-26T11:58:30"/>
    <n v="3"/>
    <n v="5"/>
    <x v="1"/>
    <x v="0"/>
    <s v="Poland"/>
    <n v="52.536273000000001"/>
    <n v="19.050639"/>
    <s v="ok"/>
    <s v="ok"/>
    <s v="ok"/>
    <s v="ok"/>
    <s v="ok"/>
    <x v="0"/>
    <n v="30.138736666529439"/>
  </r>
  <r>
    <x v="0"/>
    <n v="1214"/>
    <x v="0"/>
    <x v="2"/>
    <x v="4"/>
    <s v="1st line support"/>
    <x v="4"/>
    <x v="166"/>
    <d v="2023-01-25T07:06:15"/>
    <d v="2023-01-24T07:08:15"/>
    <d v="2023-01-24T07:07:53"/>
    <s v="Within SLA"/>
    <d v="2023-01-24T14:26:32"/>
    <x v="0"/>
    <d v="2023-01-29T04:04:01"/>
    <n v="60"/>
    <n v="5"/>
    <x v="2"/>
    <x v="0"/>
    <s v="United Kingdom"/>
    <n v="55.378051999999997"/>
    <n v="-3.4359730000000002"/>
    <s v="ok"/>
    <s v="ok"/>
    <s v="ok"/>
    <s v="ok"/>
    <s v="ok"/>
    <x v="0"/>
    <n v="7.3379419444827363"/>
  </r>
  <r>
    <x v="2"/>
    <n v="1216"/>
    <x v="2"/>
    <x v="0"/>
    <x v="1"/>
    <s v="1st line support"/>
    <x v="6"/>
    <x v="167"/>
    <d v="2023-01-26T21:48:35"/>
    <d v="2023-01-24T22:48:35"/>
    <d v="2023-01-24T22:20:36"/>
    <s v="Within SLA"/>
    <d v="2023-01-30T05:47:44"/>
    <x v="1"/>
    <m/>
    <n v="1"/>
    <m/>
    <x v="2"/>
    <x v="0"/>
    <s v="Austria"/>
    <n v="47.696471899999999"/>
    <n v="13.3457347"/>
    <s v="ok"/>
    <s v="ok"/>
    <s v="ok"/>
    <s v="ok"/>
    <s v="ok"/>
    <x v="0"/>
    <n v="127.9858949999325"/>
  </r>
  <r>
    <x v="1"/>
    <n v="1217"/>
    <x v="1"/>
    <x v="0"/>
    <x v="4"/>
    <s v="2nd line support"/>
    <x v="7"/>
    <x v="168"/>
    <d v="2023-01-26T16:15:21"/>
    <d v="2023-01-24T17:15:21"/>
    <d v="2023-01-24T16:41:24"/>
    <s v="Within SLA"/>
    <m/>
    <x v="1"/>
    <m/>
    <n v="10"/>
    <m/>
    <x v="1"/>
    <x v="1"/>
    <s v="Republic of Ireland"/>
    <n v="53.094023999999997"/>
    <n v="-8.0196749999999994"/>
    <s v="ok"/>
    <s v="ok"/>
    <s v="ok"/>
    <s v="ok"/>
    <s v="ok"/>
    <x v="1"/>
    <s v=""/>
  </r>
  <r>
    <x v="2"/>
    <n v="1218"/>
    <x v="0"/>
    <x v="2"/>
    <x v="2"/>
    <s v="1st line support"/>
    <x v="0"/>
    <x v="169"/>
    <d v="2023-01-25T12:06:06"/>
    <d v="2023-01-24T12:08:06"/>
    <d v="2023-01-24T12:06:38"/>
    <s v="Within SLA"/>
    <d v="2023-01-24T13:21:30"/>
    <x v="0"/>
    <m/>
    <n v="6"/>
    <m/>
    <x v="2"/>
    <x v="0"/>
    <s v="Czech Republic"/>
    <n v="49.8037633"/>
    <n v="15.4749126"/>
    <s v="ok"/>
    <s v="ok"/>
    <s v="ok"/>
    <s v="ok"/>
    <s v="ok"/>
    <x v="0"/>
    <n v="1.2565994443721138"/>
  </r>
  <r>
    <x v="2"/>
    <n v="1219"/>
    <x v="0"/>
    <x v="0"/>
    <x v="2"/>
    <s v="1st line support"/>
    <x v="3"/>
    <x v="170"/>
    <d v="2023-01-26T17:44:33"/>
    <d v="2023-01-24T18:44:33"/>
    <d v="2023-01-24T18:24:02"/>
    <s v="Within SLA"/>
    <d v="2023-01-26T06:26:43"/>
    <x v="0"/>
    <m/>
    <n v="8"/>
    <m/>
    <x v="2"/>
    <x v="0"/>
    <s v="Germany"/>
    <n v="51.165691000000002"/>
    <n v="10.451525999999999"/>
    <s v="ok"/>
    <s v="ok"/>
    <s v="ok"/>
    <s v="ok"/>
    <s v="ok"/>
    <x v="0"/>
    <n v="36.702742499881424"/>
  </r>
  <r>
    <x v="0"/>
    <n v="1220"/>
    <x v="0"/>
    <x v="2"/>
    <x v="0"/>
    <s v="2nd line support"/>
    <x v="7"/>
    <x v="171"/>
    <d v="2023-01-26T15:47:08"/>
    <d v="2023-01-25T15:49:08"/>
    <d v="2023-01-25T15:50:33"/>
    <s v="SLA Violated"/>
    <d v="2023-01-26T00:23:13"/>
    <x v="0"/>
    <d v="2023-02-01T12:08:36"/>
    <n v="4"/>
    <n v="3"/>
    <x v="2"/>
    <x v="1"/>
    <s v="Slovenia"/>
    <n v="46.149166399999999"/>
    <n v="14.9860106"/>
    <s v="ok"/>
    <s v="ok"/>
    <s v="ok"/>
    <s v="ok"/>
    <s v="ok"/>
    <x v="0"/>
    <n v="8.6013888889574446"/>
  </r>
  <r>
    <x v="2"/>
    <n v="1221"/>
    <x v="2"/>
    <x v="0"/>
    <x v="5"/>
    <s v="2nd line support"/>
    <x v="7"/>
    <x v="172"/>
    <d v="2023-01-27T15:29:35"/>
    <d v="2023-01-25T16:29:35"/>
    <d v="2023-01-25T23:19:35"/>
    <s v="SLA Violated"/>
    <d v="2023-01-25T16:52:46"/>
    <x v="0"/>
    <m/>
    <n v="1"/>
    <m/>
    <x v="0"/>
    <x v="1"/>
    <s v="Greece"/>
    <n v="39.368279000000001"/>
    <n v="21.863140999999999"/>
    <s v="ok"/>
    <s v="ok"/>
    <s v="ok"/>
    <s v="ok"/>
    <s v="ok"/>
    <x v="0"/>
    <n v="1.386295277858153"/>
  </r>
  <r>
    <x v="0"/>
    <n v="1222"/>
    <x v="2"/>
    <x v="0"/>
    <x v="1"/>
    <s v="1st line support"/>
    <x v="6"/>
    <x v="173"/>
    <d v="2023-01-27T09:37:54"/>
    <d v="2023-01-25T10:37:54"/>
    <d v="2023-01-25T09:50:47"/>
    <s v="Within SLA"/>
    <d v="2023-01-27T00:23:31"/>
    <x v="0"/>
    <d v="2023-01-27T08:13:58"/>
    <n v="1"/>
    <n v="3"/>
    <x v="3"/>
    <x v="0"/>
    <s v="Czech Republic"/>
    <n v="49.8037633"/>
    <n v="15.4749126"/>
    <s v="ok"/>
    <s v="ok"/>
    <s v="ok"/>
    <s v="ok"/>
    <s v="ok"/>
    <x v="0"/>
    <n v="38.760179444449022"/>
  </r>
  <r>
    <x v="2"/>
    <n v="1223"/>
    <x v="2"/>
    <x v="0"/>
    <x v="0"/>
    <s v="1st line support"/>
    <x v="0"/>
    <x v="174"/>
    <d v="2023-01-27T22:34:37"/>
    <d v="2023-01-25T23:34:37"/>
    <d v="2023-01-25T22:43:08"/>
    <s v="Within SLA"/>
    <d v="2023-01-26T08:09:09"/>
    <x v="0"/>
    <m/>
    <n v="1"/>
    <m/>
    <x v="1"/>
    <x v="0"/>
    <s v="United Kingdom"/>
    <n v="55.378051999999997"/>
    <n v="-3.4359730000000002"/>
    <s v="ok"/>
    <s v="ok"/>
    <s v="ok"/>
    <s v="ok"/>
    <s v="ok"/>
    <x v="0"/>
    <n v="9.5756458332762122"/>
  </r>
  <r>
    <x v="0"/>
    <n v="1224"/>
    <x v="2"/>
    <x v="0"/>
    <x v="3"/>
    <s v="1st line support"/>
    <x v="2"/>
    <x v="175"/>
    <d v="2023-01-27T08:08:00"/>
    <d v="2023-01-25T09:08:00"/>
    <d v="2023-01-25T08:57:55"/>
    <s v="Within SLA"/>
    <d v="2023-01-25T15:08:33"/>
    <x v="0"/>
    <d v="2023-01-29T11:24:03"/>
    <n v="1"/>
    <n v="4"/>
    <x v="2"/>
    <x v="0"/>
    <s v="Republic of Ireland"/>
    <n v="53.094023999999997"/>
    <n v="-8.0196749999999994"/>
    <s v="ok"/>
    <s v="ok"/>
    <s v="ok"/>
    <s v="ok"/>
    <s v="ok"/>
    <x v="0"/>
    <n v="7.0090994444908574"/>
  </r>
  <r>
    <x v="2"/>
    <n v="1225"/>
    <x v="1"/>
    <x v="0"/>
    <x v="3"/>
    <s v="1st line support"/>
    <x v="3"/>
    <x v="176"/>
    <d v="2023-01-27T06:10:06"/>
    <d v="2023-01-25T07:10:06"/>
    <d v="2023-01-25T06:44:03"/>
    <s v="Within SLA"/>
    <d v="2023-01-26T11:27:23"/>
    <x v="0"/>
    <m/>
    <n v="5"/>
    <m/>
    <x v="2"/>
    <x v="0"/>
    <s v="Italy"/>
    <n v="43.036776000000003"/>
    <n v="12.678565000000001"/>
    <s v="ok"/>
    <s v="ok"/>
    <s v="ok"/>
    <s v="ok"/>
    <s v="ok"/>
    <x v="0"/>
    <n v="29.287967777636368"/>
  </r>
  <r>
    <x v="1"/>
    <n v="1226"/>
    <x v="0"/>
    <x v="1"/>
    <x v="0"/>
    <s v="1st line support"/>
    <x v="4"/>
    <x v="177"/>
    <d v="2023-01-27T11:33:23"/>
    <d v="2023-01-25T11:35:23"/>
    <d v="2023-01-25T11:36:04"/>
    <s v="SLA Violated"/>
    <m/>
    <x v="1"/>
    <m/>
    <n v="1"/>
    <m/>
    <x v="2"/>
    <x v="0"/>
    <s v="Greece"/>
    <n v="39.368279000000001"/>
    <n v="21.863140999999999"/>
    <s v="ok"/>
    <s v="ok"/>
    <s v="ok"/>
    <s v="ok"/>
    <s v="ok"/>
    <x v="1"/>
    <s v=""/>
  </r>
  <r>
    <x v="2"/>
    <n v="1227"/>
    <x v="0"/>
    <x v="2"/>
    <x v="1"/>
    <s v="1st line support"/>
    <x v="4"/>
    <x v="178"/>
    <d v="2023-01-27T08:15:02"/>
    <d v="2023-01-26T08:17:02"/>
    <d v="2023-01-26T08:17:00"/>
    <s v="Within SLA"/>
    <d v="2023-01-26T22:11:02"/>
    <x v="0"/>
    <m/>
    <n v="7"/>
    <m/>
    <x v="0"/>
    <x v="0"/>
    <s v="Poland"/>
    <n v="52.536273000000001"/>
    <n v="19.050639"/>
    <s v="ok"/>
    <s v="ok"/>
    <s v="ok"/>
    <s v="ok"/>
    <s v="ok"/>
    <x v="0"/>
    <n v="13.933357500121929"/>
  </r>
  <r>
    <x v="0"/>
    <n v="1228"/>
    <x v="2"/>
    <x v="0"/>
    <x v="1"/>
    <s v="1st line support"/>
    <x v="0"/>
    <x v="179"/>
    <d v="2023-01-28T22:03:36"/>
    <d v="2023-01-26T23:03:36"/>
    <d v="2023-01-26T22:43:44"/>
    <s v="Within SLA"/>
    <d v="2023-01-27T07:01:51"/>
    <x v="0"/>
    <d v="2023-01-27T10:58:13"/>
    <n v="1"/>
    <n v="5"/>
    <x v="3"/>
    <x v="0"/>
    <s v="Republic of Ireland"/>
    <n v="53.094023999999997"/>
    <n v="-8.0196749999999994"/>
    <s v="ok"/>
    <s v="ok"/>
    <s v="ok"/>
    <s v="ok"/>
    <s v="ok"/>
    <x v="0"/>
    <n v="8.9709450000082143"/>
  </r>
  <r>
    <x v="2"/>
    <n v="1229"/>
    <x v="0"/>
    <x v="0"/>
    <x v="3"/>
    <s v="1st line support"/>
    <x v="2"/>
    <x v="180"/>
    <d v="2023-01-28T20:20:10"/>
    <d v="2023-01-26T21:20:10"/>
    <d v="2023-01-26T21:19:18"/>
    <s v="Within SLA"/>
    <d v="2023-01-27T08:25:16"/>
    <x v="0"/>
    <m/>
    <n v="1"/>
    <m/>
    <x v="2"/>
    <x v="0"/>
    <s v="Bulgaria"/>
    <n v="42.724992499999999"/>
    <n v="25.483303899999999"/>
    <s v="ok"/>
    <s v="ok"/>
    <s v="ok"/>
    <s v="ok"/>
    <s v="ok"/>
    <x v="0"/>
    <n v="12.085124999983236"/>
  </r>
  <r>
    <x v="2"/>
    <n v="1230"/>
    <x v="2"/>
    <x v="0"/>
    <x v="2"/>
    <s v="1st line support"/>
    <x v="4"/>
    <x v="181"/>
    <d v="2023-01-28T14:36:49"/>
    <d v="2023-01-26T15:36:49"/>
    <d v="2023-01-26T15:25:19"/>
    <s v="Within SLA"/>
    <d v="2023-01-28T12:46:00"/>
    <x v="0"/>
    <m/>
    <n v="10"/>
    <m/>
    <x v="3"/>
    <x v="0"/>
    <s v="France"/>
    <n v="48.864716000000001"/>
    <n v="2.3490139999999999"/>
    <s v="ok"/>
    <s v="ok"/>
    <s v="ok"/>
    <s v="ok"/>
    <s v="ok"/>
    <x v="0"/>
    <n v="46.153161666705273"/>
  </r>
  <r>
    <x v="0"/>
    <n v="1231"/>
    <x v="0"/>
    <x v="0"/>
    <x v="0"/>
    <s v="2nd line support"/>
    <x v="7"/>
    <x v="182"/>
    <d v="2023-01-28T22:13:13"/>
    <d v="2023-01-26T23:13:13"/>
    <d v="2023-01-26T22:19:21"/>
    <s v="Within SLA"/>
    <d v="2023-01-28T07:28:47"/>
    <x v="0"/>
    <d v="2023-01-30T22:38:01"/>
    <n v="6"/>
    <n v="1"/>
    <x v="2"/>
    <x v="1"/>
    <s v="Italy"/>
    <n v="43.036776000000003"/>
    <n v="12.678565000000001"/>
    <s v="ok"/>
    <s v="ok"/>
    <s v="ok"/>
    <s v="ok"/>
    <s v="ok"/>
    <x v="0"/>
    <n v="33.259508611110505"/>
  </r>
  <r>
    <x v="2"/>
    <n v="1232"/>
    <x v="0"/>
    <x v="2"/>
    <x v="1"/>
    <s v="1st line support"/>
    <x v="6"/>
    <x v="183"/>
    <d v="2023-01-27T16:23:13"/>
    <d v="2023-01-26T16:25:13"/>
    <d v="2023-01-26T16:24:37"/>
    <s v="Within SLA"/>
    <d v="2023-01-26T23:11:54"/>
    <x v="0"/>
    <m/>
    <n v="2"/>
    <m/>
    <x v="2"/>
    <x v="0"/>
    <s v="Italy"/>
    <n v="43.036776000000003"/>
    <n v="12.678565000000001"/>
    <s v="ok"/>
    <s v="ok"/>
    <s v="ok"/>
    <s v="ok"/>
    <s v="ok"/>
    <x v="0"/>
    <n v="6.8113927777740173"/>
  </r>
  <r>
    <x v="1"/>
    <n v="1233"/>
    <x v="1"/>
    <x v="0"/>
    <x v="2"/>
    <s v="2nd line support"/>
    <x v="1"/>
    <x v="184"/>
    <d v="2023-01-28T03:27:40"/>
    <d v="2023-01-26T04:27:40"/>
    <d v="2023-01-26T03:43:57"/>
    <s v="Within SLA"/>
    <m/>
    <x v="1"/>
    <m/>
    <n v="1"/>
    <m/>
    <x v="2"/>
    <x v="1"/>
    <s v="Italy"/>
    <n v="43.036776000000003"/>
    <n v="12.678565000000001"/>
    <s v="ok"/>
    <s v="ok"/>
    <s v="ok"/>
    <s v="ok"/>
    <s v="ok"/>
    <x v="1"/>
    <s v=""/>
  </r>
  <r>
    <x v="0"/>
    <n v="1234"/>
    <x v="1"/>
    <x v="0"/>
    <x v="1"/>
    <s v="1st line support"/>
    <x v="3"/>
    <x v="185"/>
    <d v="2023-01-28T23:23:34"/>
    <d v="2023-01-27T00:23:34"/>
    <d v="2023-01-26T23:47:56"/>
    <s v="Within SLA"/>
    <d v="2023-01-27T08:30:36"/>
    <x v="0"/>
    <d v="2023-01-30T21:48:25"/>
    <n v="8"/>
    <n v="3"/>
    <x v="0"/>
    <x v="0"/>
    <s v="Germany"/>
    <n v="51.165691000000002"/>
    <n v="10.451525999999999"/>
    <s v="ok"/>
    <s v="ok"/>
    <s v="ok"/>
    <s v="ok"/>
    <s v="ok"/>
    <x v="0"/>
    <n v="9.1172580555430613"/>
  </r>
  <r>
    <x v="1"/>
    <n v="1235"/>
    <x v="2"/>
    <x v="1"/>
    <x v="5"/>
    <s v="1st line support"/>
    <x v="6"/>
    <x v="186"/>
    <d v="2023-01-29T16:27:39"/>
    <d v="2023-01-27T16:29:39"/>
    <d v="2023-01-27T16:28:57"/>
    <s v="Within SLA"/>
    <m/>
    <x v="1"/>
    <m/>
    <n v="2"/>
    <m/>
    <x v="0"/>
    <x v="0"/>
    <s v="Republic of Ireland"/>
    <n v="53.094023999999997"/>
    <n v="-8.0196749999999994"/>
    <s v="ok"/>
    <s v="ok"/>
    <s v="ok"/>
    <s v="ok"/>
    <s v="ok"/>
    <x v="1"/>
    <s v=""/>
  </r>
  <r>
    <x v="2"/>
    <n v="1236"/>
    <x v="2"/>
    <x v="1"/>
    <x v="3"/>
    <s v="1st line support"/>
    <x v="6"/>
    <x v="187"/>
    <d v="2023-01-29T02:57:53"/>
    <d v="2023-01-27T02:59:53"/>
    <d v="2023-01-27T16:31:18"/>
    <s v="SLA Violated"/>
    <d v="2023-01-28T18:10:24"/>
    <x v="0"/>
    <m/>
    <n v="4"/>
    <m/>
    <x v="2"/>
    <x v="0"/>
    <s v="France"/>
    <n v="48.864716000000001"/>
    <n v="2.3490139999999999"/>
    <s v="ok"/>
    <s v="ok"/>
    <s v="ok"/>
    <s v="ok"/>
    <s v="ok"/>
    <x v="0"/>
    <n v="39.208691944484599"/>
  </r>
  <r>
    <x v="0"/>
    <n v="1237"/>
    <x v="0"/>
    <x v="0"/>
    <x v="2"/>
    <s v="1st line support"/>
    <x v="6"/>
    <x v="188"/>
    <d v="2023-01-29T22:18:17"/>
    <d v="2023-01-27T23:18:17"/>
    <d v="2023-01-27T22:32:55"/>
    <s v="Within SLA"/>
    <d v="2023-01-28T23:14:19"/>
    <x v="0"/>
    <d v="2023-01-31T01:04:29"/>
    <n v="1"/>
    <n v="4"/>
    <x v="1"/>
    <x v="0"/>
    <s v="United Kingdom"/>
    <n v="55.378051999999997"/>
    <n v="-3.4359730000000002"/>
    <s v="ok"/>
    <s v="ok"/>
    <s v="ok"/>
    <s v="ok"/>
    <s v="ok"/>
    <x v="0"/>
    <n v="24.933821111102588"/>
  </r>
  <r>
    <x v="0"/>
    <n v="1238"/>
    <x v="0"/>
    <x v="2"/>
    <x v="0"/>
    <s v="1st line support"/>
    <x v="6"/>
    <x v="189"/>
    <d v="2023-01-28T15:35:12"/>
    <d v="2023-01-27T15:37:12"/>
    <d v="2023-01-27T15:36:34"/>
    <s v="Within SLA"/>
    <d v="2023-01-27T23:35:09"/>
    <x v="0"/>
    <d v="2023-01-30T12:57:07"/>
    <n v="7"/>
    <n v="4"/>
    <x v="2"/>
    <x v="0"/>
    <s v="Greece"/>
    <n v="39.368279000000001"/>
    <n v="21.863140999999999"/>
    <s v="ok"/>
    <s v="ok"/>
    <s v="ok"/>
    <s v="ok"/>
    <s v="ok"/>
    <x v="0"/>
    <n v="7.9991855554981157"/>
  </r>
  <r>
    <x v="2"/>
    <n v="1239"/>
    <x v="2"/>
    <x v="0"/>
    <x v="3"/>
    <s v="1st line support"/>
    <x v="0"/>
    <x v="190"/>
    <d v="2023-01-29T21:11:53"/>
    <d v="2023-01-27T22:11:53"/>
    <d v="2023-01-27T21:22:49"/>
    <s v="Within SLA"/>
    <d v="2023-01-31T23:41:59"/>
    <x v="1"/>
    <m/>
    <n v="10"/>
    <m/>
    <x v="2"/>
    <x v="0"/>
    <s v="United Kingdom"/>
    <n v="55.378051999999997"/>
    <n v="-3.4359730000000002"/>
    <s v="ok"/>
    <s v="ok"/>
    <s v="ok"/>
    <s v="ok"/>
    <s v="ok"/>
    <x v="0"/>
    <n v="98.501698333304375"/>
  </r>
  <r>
    <x v="1"/>
    <n v="1240"/>
    <x v="0"/>
    <x v="2"/>
    <x v="3"/>
    <s v="1st line support"/>
    <x v="3"/>
    <x v="191"/>
    <d v="2023-01-28T06:05:21"/>
    <d v="2023-01-27T06:07:21"/>
    <d v="2023-01-27T06:06:23"/>
    <s v="Within SLA"/>
    <m/>
    <x v="1"/>
    <m/>
    <n v="6"/>
    <m/>
    <x v="0"/>
    <x v="0"/>
    <s v="France"/>
    <n v="48.864716000000001"/>
    <n v="2.3490139999999999"/>
    <s v="ok"/>
    <s v="ok"/>
    <s v="ok"/>
    <s v="ok"/>
    <s v="ok"/>
    <x v="1"/>
    <s v=""/>
  </r>
  <r>
    <x v="2"/>
    <n v="1241"/>
    <x v="2"/>
    <x v="2"/>
    <x v="2"/>
    <s v="1st line support"/>
    <x v="4"/>
    <x v="192"/>
    <d v="2023-01-28T01:00:46"/>
    <d v="2023-01-27T01:02:46"/>
    <d v="2023-01-27T01:02:05"/>
    <s v="Within SLA"/>
    <d v="2023-01-27T01:38:40"/>
    <x v="0"/>
    <m/>
    <n v="9"/>
    <m/>
    <x v="2"/>
    <x v="0"/>
    <s v="Italy"/>
    <n v="43.036776000000003"/>
    <n v="12.678565000000001"/>
    <s v="ok"/>
    <s v="ok"/>
    <s v="ok"/>
    <s v="ok"/>
    <s v="ok"/>
    <x v="0"/>
    <n v="0.63155138888396323"/>
  </r>
  <r>
    <x v="0"/>
    <n v="1242"/>
    <x v="2"/>
    <x v="1"/>
    <x v="3"/>
    <s v="2nd line support"/>
    <x v="7"/>
    <x v="193"/>
    <d v="2023-01-29T10:22:29"/>
    <d v="2023-01-27T10:24:29"/>
    <d v="2023-01-27T10:22:55"/>
    <s v="Within SLA"/>
    <d v="2023-01-27T16:43:18"/>
    <x v="0"/>
    <d v="2023-02-02T12:22:06"/>
    <n v="1"/>
    <n v="2"/>
    <x v="2"/>
    <x v="1"/>
    <s v="Slovenia"/>
    <n v="46.149166399999999"/>
    <n v="14.9860106"/>
    <s v="ok"/>
    <s v="ok"/>
    <s v="ok"/>
    <s v="ok"/>
    <s v="ok"/>
    <x v="0"/>
    <n v="6.3468377776443958"/>
  </r>
  <r>
    <x v="2"/>
    <n v="1243"/>
    <x v="2"/>
    <x v="1"/>
    <x v="3"/>
    <s v="1st line support"/>
    <x v="4"/>
    <x v="194"/>
    <d v="2023-01-29T20:50:46"/>
    <d v="2023-01-27T20:52:46"/>
    <d v="2023-01-27T20:50:57"/>
    <s v="Within SLA"/>
    <d v="2023-01-28T05:02:40"/>
    <x v="0"/>
    <m/>
    <n v="3"/>
    <m/>
    <x v="3"/>
    <x v="0"/>
    <s v="Slovenia"/>
    <n v="46.149166399999999"/>
    <n v="14.9860106"/>
    <s v="ok"/>
    <s v="ok"/>
    <s v="ok"/>
    <s v="ok"/>
    <s v="ok"/>
    <x v="0"/>
    <n v="8.1982875000103377"/>
  </r>
  <r>
    <x v="2"/>
    <n v="1244"/>
    <x v="0"/>
    <x v="0"/>
    <x v="1"/>
    <s v="1st line support"/>
    <x v="6"/>
    <x v="195"/>
    <d v="2023-01-29T08:33:52"/>
    <d v="2023-01-27T09:33:52"/>
    <d v="2023-01-27T08:47:05"/>
    <s v="Within SLA"/>
    <d v="2023-01-28T10:03:00"/>
    <x v="0"/>
    <m/>
    <n v="4"/>
    <m/>
    <x v="2"/>
    <x v="0"/>
    <s v="France"/>
    <n v="48.864716000000001"/>
    <n v="2.3490139999999999"/>
    <s v="ok"/>
    <s v="ok"/>
    <s v="ok"/>
    <s v="ok"/>
    <s v="ok"/>
    <x v="0"/>
    <n v="25.485516388958786"/>
  </r>
  <r>
    <x v="1"/>
    <n v="1245"/>
    <x v="0"/>
    <x v="0"/>
    <x v="5"/>
    <s v="1st line support"/>
    <x v="3"/>
    <x v="196"/>
    <d v="2023-01-29T21:50:03"/>
    <d v="2023-01-27T22:50:03"/>
    <d v="2023-01-27T21:58:33"/>
    <s v="Within SLA"/>
    <m/>
    <x v="1"/>
    <m/>
    <n v="2"/>
    <m/>
    <x v="2"/>
    <x v="0"/>
    <s v="Greece"/>
    <n v="39.368279000000001"/>
    <n v="21.863140999999999"/>
    <s v="ok"/>
    <s v="ok"/>
    <s v="ok"/>
    <s v="ok"/>
    <s v="ok"/>
    <x v="1"/>
    <s v=""/>
  </r>
  <r>
    <x v="0"/>
    <n v="1246"/>
    <x v="2"/>
    <x v="0"/>
    <x v="3"/>
    <s v="1st line support"/>
    <x v="6"/>
    <x v="197"/>
    <d v="2023-01-29T17:51:27"/>
    <d v="2023-01-27T18:51:27"/>
    <d v="2023-01-27T18:37:33"/>
    <s v="Within SLA"/>
    <d v="2023-01-28T21:33:47"/>
    <x v="0"/>
    <d v="2023-02-03T00:01:09"/>
    <n v="6"/>
    <n v="5"/>
    <x v="0"/>
    <x v="0"/>
    <s v="Czech Republic"/>
    <n v="49.8037633"/>
    <n v="15.4749126"/>
    <s v="ok"/>
    <s v="ok"/>
    <s v="ok"/>
    <s v="ok"/>
    <s v="ok"/>
    <x v="0"/>
    <n v="27.705446944339201"/>
  </r>
  <r>
    <x v="0"/>
    <n v="1247"/>
    <x v="1"/>
    <x v="2"/>
    <x v="4"/>
    <s v="1st line support"/>
    <x v="3"/>
    <x v="198"/>
    <d v="2023-01-29T13:39:05"/>
    <d v="2023-01-28T13:41:05"/>
    <d v="2023-01-28T13:40:14"/>
    <s v="Within SLA"/>
    <d v="2023-01-29T07:08:28"/>
    <x v="0"/>
    <d v="2023-02-01T19:45:06"/>
    <n v="3"/>
    <n v="4"/>
    <x v="0"/>
    <x v="0"/>
    <s v="Poland"/>
    <n v="52.536273000000001"/>
    <n v="19.050639"/>
    <s v="ok"/>
    <s v="ok"/>
    <s v="ok"/>
    <s v="ok"/>
    <s v="ok"/>
    <x v="0"/>
    <n v="17.489629444491584"/>
  </r>
  <r>
    <x v="2"/>
    <n v="1248"/>
    <x v="0"/>
    <x v="0"/>
    <x v="1"/>
    <s v="2nd line support"/>
    <x v="7"/>
    <x v="199"/>
    <d v="2023-01-30T20:03:25"/>
    <d v="2023-01-28T21:03:25"/>
    <d v="2023-01-28T20:33:08"/>
    <s v="Within SLA"/>
    <d v="2023-01-29T01:44:16"/>
    <x v="0"/>
    <m/>
    <n v="3"/>
    <m/>
    <x v="2"/>
    <x v="1"/>
    <s v="Republic of Ireland"/>
    <n v="53.094023999999997"/>
    <n v="-8.0196749999999994"/>
    <s v="ok"/>
    <s v="ok"/>
    <s v="ok"/>
    <s v="ok"/>
    <s v="ok"/>
    <x v="0"/>
    <n v="5.6807547222124413"/>
  </r>
  <r>
    <x v="0"/>
    <n v="1254"/>
    <x v="0"/>
    <x v="2"/>
    <x v="3"/>
    <s v="1st line support"/>
    <x v="4"/>
    <x v="200"/>
    <d v="2023-01-29T12:06:28"/>
    <d v="2023-01-28T12:08:28"/>
    <d v="2023-01-28T12:10:09"/>
    <s v="SLA Violated"/>
    <d v="2023-01-28T14:28:16"/>
    <x v="0"/>
    <d v="2023-02-01T05:42:01"/>
    <n v="4"/>
    <n v="3"/>
    <x v="0"/>
    <x v="0"/>
    <s v="Italy"/>
    <n v="43.036776000000003"/>
    <n v="12.678565000000001"/>
    <s v="ok"/>
    <s v="ok"/>
    <s v="ok"/>
    <s v="ok"/>
    <s v="ok"/>
    <x v="0"/>
    <n v="2.3634433333645575"/>
  </r>
  <r>
    <x v="0"/>
    <n v="1255"/>
    <x v="2"/>
    <x v="1"/>
    <x v="4"/>
    <s v="2nd line support"/>
    <x v="7"/>
    <x v="201"/>
    <d v="2023-01-30T21:26:52"/>
    <d v="2023-01-28T21:28:52"/>
    <d v="2023-01-28T21:28:27"/>
    <s v="Within SLA"/>
    <d v="2023-01-28T21:42:41"/>
    <x v="0"/>
    <d v="2023-01-31T10:52:43"/>
    <n v="2"/>
    <n v="3"/>
    <x v="2"/>
    <x v="1"/>
    <s v="France"/>
    <n v="48.864716000000001"/>
    <n v="2.3490139999999999"/>
    <s v="ok"/>
    <s v="ok"/>
    <s v="ok"/>
    <s v="ok"/>
    <s v="ok"/>
    <x v="0"/>
    <n v="0.26361527777044103"/>
  </r>
  <r>
    <x v="0"/>
    <n v="1256"/>
    <x v="1"/>
    <x v="2"/>
    <x v="3"/>
    <s v="1st line support"/>
    <x v="6"/>
    <x v="202"/>
    <d v="2023-01-30T00:51:51"/>
    <d v="2023-01-29T00:53:51"/>
    <d v="2023-01-29T00:54:36"/>
    <s v="SLA Violated"/>
    <d v="2023-01-29T01:38:25"/>
    <x v="0"/>
    <d v="2023-02-03T10:02:01"/>
    <n v="7"/>
    <n v="3"/>
    <x v="0"/>
    <x v="0"/>
    <s v="United Kingdom"/>
    <n v="55.378051999999997"/>
    <n v="-3.4359730000000002"/>
    <s v="ok"/>
    <s v="ok"/>
    <s v="ok"/>
    <s v="ok"/>
    <s v="ok"/>
    <x v="0"/>
    <n v="0.77610916667617857"/>
  </r>
  <r>
    <x v="1"/>
    <n v="1257"/>
    <x v="2"/>
    <x v="0"/>
    <x v="2"/>
    <s v="1st line support"/>
    <x v="6"/>
    <x v="203"/>
    <d v="2023-01-31T11:27:02"/>
    <d v="2023-01-29T12:27:02"/>
    <d v="2023-01-29T12:08:48"/>
    <s v="Within SLA"/>
    <m/>
    <x v="1"/>
    <m/>
    <n v="6"/>
    <m/>
    <x v="1"/>
    <x v="0"/>
    <s v="Poland"/>
    <n v="52.536273000000001"/>
    <n v="19.050639"/>
    <s v="ok"/>
    <s v="ok"/>
    <s v="ok"/>
    <s v="ok"/>
    <s v="ok"/>
    <x v="1"/>
    <s v=""/>
  </r>
  <r>
    <x v="0"/>
    <n v="1258"/>
    <x v="0"/>
    <x v="2"/>
    <x v="1"/>
    <s v="2nd line support"/>
    <x v="1"/>
    <x v="204"/>
    <d v="2023-01-30T07:22:44"/>
    <d v="2023-01-29T07:24:44"/>
    <d v="2023-01-29T07:24:23"/>
    <s v="Within SLA"/>
    <d v="2023-01-29T10:31:49"/>
    <x v="0"/>
    <d v="2023-02-02T12:28:35"/>
    <n v="6"/>
    <n v="4"/>
    <x v="2"/>
    <x v="1"/>
    <s v="Austria"/>
    <n v="47.696471899999999"/>
    <n v="13.3457347"/>
    <s v="ok"/>
    <s v="ok"/>
    <s v="ok"/>
    <s v="ok"/>
    <s v="ok"/>
    <x v="0"/>
    <n v="3.151266111060977"/>
  </r>
  <r>
    <x v="0"/>
    <n v="1259"/>
    <x v="1"/>
    <x v="0"/>
    <x v="5"/>
    <s v="1st line support"/>
    <x v="4"/>
    <x v="205"/>
    <d v="2023-01-31T02:59:46"/>
    <d v="2023-01-29T03:59:46"/>
    <d v="2023-01-29T06:22:31"/>
    <s v="SLA Violated"/>
    <d v="2023-01-31T00:27:29"/>
    <x v="0"/>
    <d v="2023-01-31T16:26:32"/>
    <n v="1"/>
    <n v="3"/>
    <x v="3"/>
    <x v="0"/>
    <s v="Spain"/>
    <n v="39.673369999999998"/>
    <n v="-4.7677259999999997"/>
    <s v="ok"/>
    <s v="ok"/>
    <s v="ok"/>
    <s v="ok"/>
    <s v="ok"/>
    <x v="0"/>
    <n v="45.462013611104339"/>
  </r>
  <r>
    <x v="0"/>
    <n v="1260"/>
    <x v="0"/>
    <x v="1"/>
    <x v="2"/>
    <s v="1st line support"/>
    <x v="3"/>
    <x v="206"/>
    <d v="2023-01-31T20:28:55"/>
    <d v="2023-01-29T20:30:55"/>
    <d v="2023-01-29T20:29:31"/>
    <s v="Within SLA"/>
    <d v="2023-01-31T14:01:18"/>
    <x v="0"/>
    <d v="2023-02-04T20:17:24"/>
    <n v="1"/>
    <n v="4"/>
    <x v="0"/>
    <x v="0"/>
    <s v="Germany"/>
    <n v="51.165691000000002"/>
    <n v="10.451525999999999"/>
    <s v="ok"/>
    <s v="ok"/>
    <s v="ok"/>
    <s v="ok"/>
    <s v="ok"/>
    <x v="0"/>
    <n v="41.539609722211026"/>
  </r>
  <r>
    <x v="2"/>
    <n v="1266"/>
    <x v="2"/>
    <x v="0"/>
    <x v="3"/>
    <s v="2nd line support"/>
    <x v="5"/>
    <x v="207"/>
    <d v="2023-01-31T22:11:14"/>
    <d v="2023-01-29T23:11:14"/>
    <d v="2023-01-29T22:43:30"/>
    <s v="Within SLA"/>
    <d v="2023-02-03T14:45:48"/>
    <x v="1"/>
    <m/>
    <n v="3"/>
    <m/>
    <x v="3"/>
    <x v="1"/>
    <s v="Austria"/>
    <n v="47.696471899999999"/>
    <n v="13.3457347"/>
    <s v="ok"/>
    <s v="ok"/>
    <s v="ok"/>
    <s v="ok"/>
    <s v="ok"/>
    <x v="0"/>
    <n v="112.57601249992149"/>
  </r>
  <r>
    <x v="2"/>
    <n v="1267"/>
    <x v="1"/>
    <x v="0"/>
    <x v="5"/>
    <s v="1st line support"/>
    <x v="0"/>
    <x v="208"/>
    <d v="2023-01-31T05:19:55"/>
    <d v="2023-01-29T06:19:55"/>
    <d v="2023-01-29T05:49:38"/>
    <s v="Within SLA"/>
    <d v="2023-01-30T14:04:22"/>
    <x v="0"/>
    <m/>
    <n v="7"/>
    <m/>
    <x v="3"/>
    <x v="0"/>
    <s v="Republic of Ireland"/>
    <n v="53.094023999999997"/>
    <n v="-8.0196749999999994"/>
    <s v="ok"/>
    <s v="ok"/>
    <s v="ok"/>
    <s v="ok"/>
    <s v="ok"/>
    <x v="0"/>
    <n v="32.740698055538815"/>
  </r>
  <r>
    <x v="0"/>
    <n v="1268"/>
    <x v="2"/>
    <x v="0"/>
    <x v="1"/>
    <s v="1st line support"/>
    <x v="2"/>
    <x v="209"/>
    <d v="2023-02-01T04:04:14"/>
    <d v="2023-01-30T05:04:14"/>
    <d v="2023-01-30T04:35:02"/>
    <s v="Within SLA"/>
    <d v="2023-01-30T15:12:54"/>
    <x v="0"/>
    <d v="2023-02-02T07:23:37"/>
    <n v="10"/>
    <n v="4"/>
    <x v="1"/>
    <x v="0"/>
    <s v="Poland"/>
    <n v="52.536273000000001"/>
    <n v="19.050639"/>
    <s v="ok"/>
    <s v="ok"/>
    <s v="ok"/>
    <s v="ok"/>
    <s v="ok"/>
    <x v="0"/>
    <n v="11.144372499897145"/>
  </r>
  <r>
    <x v="0"/>
    <n v="1269"/>
    <x v="2"/>
    <x v="2"/>
    <x v="1"/>
    <s v="1st line support"/>
    <x v="6"/>
    <x v="210"/>
    <d v="2023-01-31T12:20:07"/>
    <d v="2023-01-30T12:22:07"/>
    <d v="2023-01-30T12:21:53"/>
    <s v="Within SLA"/>
    <d v="2023-01-30T19:18:18"/>
    <x v="0"/>
    <d v="2023-02-04T07:17:15"/>
    <n v="7"/>
    <n v="2"/>
    <x v="0"/>
    <x v="0"/>
    <s v="Bulgaria"/>
    <n v="42.724992499999999"/>
    <n v="25.483303899999999"/>
    <s v="ok"/>
    <s v="ok"/>
    <s v="ok"/>
    <s v="ok"/>
    <s v="ok"/>
    <x v="0"/>
    <n v="6.9696627777884714"/>
  </r>
  <r>
    <x v="2"/>
    <n v="1270"/>
    <x v="2"/>
    <x v="0"/>
    <x v="0"/>
    <s v="1st line support"/>
    <x v="4"/>
    <x v="211"/>
    <d v="2023-02-01T02:02:01"/>
    <d v="2023-01-30T03:02:01"/>
    <d v="2023-01-30T02:52:03"/>
    <s v="Within SLA"/>
    <d v="2023-01-31T12:39:25"/>
    <x v="0"/>
    <m/>
    <n v="1"/>
    <m/>
    <x v="0"/>
    <x v="0"/>
    <s v="Czech Republic"/>
    <n v="49.8037633"/>
    <n v="15.4749126"/>
    <s v="ok"/>
    <s v="ok"/>
    <s v="ok"/>
    <s v="ok"/>
    <s v="ok"/>
    <x v="0"/>
    <n v="34.623236944433302"/>
  </r>
  <r>
    <x v="1"/>
    <n v="1271"/>
    <x v="2"/>
    <x v="0"/>
    <x v="3"/>
    <s v="1st line support"/>
    <x v="0"/>
    <x v="212"/>
    <d v="2023-02-01T14:51:28"/>
    <d v="2023-01-30T15:51:28"/>
    <d v="2023-01-30T14:54:02"/>
    <s v="Within SLA"/>
    <m/>
    <x v="1"/>
    <m/>
    <n v="10"/>
    <m/>
    <x v="0"/>
    <x v="0"/>
    <s v="Slovenia"/>
    <n v="46.149166399999999"/>
    <n v="14.9860106"/>
    <s v="ok"/>
    <s v="ok"/>
    <s v="ok"/>
    <s v="ok"/>
    <s v="ok"/>
    <x v="1"/>
    <s v=""/>
  </r>
  <r>
    <x v="2"/>
    <n v="1272"/>
    <x v="0"/>
    <x v="2"/>
    <x v="1"/>
    <s v="1st line support"/>
    <x v="0"/>
    <x v="213"/>
    <d v="2023-01-31T20:29:50"/>
    <d v="2023-01-30T20:31:50"/>
    <d v="2023-01-30T20:31:02"/>
    <s v="Within SLA"/>
    <d v="2023-01-30T22:10:57"/>
    <x v="0"/>
    <m/>
    <n v="7"/>
    <m/>
    <x v="1"/>
    <x v="0"/>
    <s v="Germany"/>
    <n v="51.165691000000002"/>
    <n v="10.451525999999999"/>
    <s v="ok"/>
    <s v="ok"/>
    <s v="ok"/>
    <s v="ok"/>
    <s v="ok"/>
    <x v="0"/>
    <n v="1.685354444431141"/>
  </r>
  <r>
    <x v="0"/>
    <n v="1273"/>
    <x v="0"/>
    <x v="2"/>
    <x v="0"/>
    <s v="1st line support"/>
    <x v="4"/>
    <x v="214"/>
    <d v="2023-01-31T16:27:43"/>
    <d v="2023-01-30T16:29:43"/>
    <d v="2023-01-30T16:29:33"/>
    <s v="Within SLA"/>
    <d v="2023-01-30T23:17:01"/>
    <x v="0"/>
    <d v="2023-02-02T05:10:43"/>
    <n v="2"/>
    <n v="4"/>
    <x v="0"/>
    <x v="0"/>
    <s v="Italy"/>
    <n v="43.036776000000003"/>
    <n v="12.678565000000001"/>
    <s v="ok"/>
    <s v="ok"/>
    <s v="ok"/>
    <s v="ok"/>
    <s v="ok"/>
    <x v="0"/>
    <n v="6.8215766666689888"/>
  </r>
  <r>
    <x v="0"/>
    <n v="1274"/>
    <x v="0"/>
    <x v="0"/>
    <x v="3"/>
    <s v="1st line support"/>
    <x v="4"/>
    <x v="215"/>
    <d v="2023-02-01T19:13:05"/>
    <d v="2023-01-30T20:13:05"/>
    <d v="2023-01-30T19:49:41"/>
    <s v="Within SLA"/>
    <d v="2023-01-31T06:09:58"/>
    <x v="0"/>
    <d v="2023-02-04T22:13:53"/>
    <n v="3"/>
    <n v="5"/>
    <x v="0"/>
    <x v="0"/>
    <s v="Poland"/>
    <n v="52.536273000000001"/>
    <n v="19.050639"/>
    <s v="ok"/>
    <s v="ok"/>
    <s v="ok"/>
    <s v="ok"/>
    <s v="ok"/>
    <x v="0"/>
    <n v="10.948158889019396"/>
  </r>
  <r>
    <x v="0"/>
    <n v="1275"/>
    <x v="1"/>
    <x v="2"/>
    <x v="1"/>
    <s v="1st line support"/>
    <x v="6"/>
    <x v="216"/>
    <d v="2023-01-31T03:48:00"/>
    <d v="2023-01-30T03:50:00"/>
    <d v="2023-01-30T03:48:31"/>
    <s v="Within SLA"/>
    <d v="2023-01-30T04:47:39"/>
    <x v="0"/>
    <d v="2023-02-04T09:59:40"/>
    <n v="8"/>
    <n v="3"/>
    <x v="1"/>
    <x v="0"/>
    <s v="United Kingdom"/>
    <n v="55.378051999999997"/>
    <n v="-3.4359730000000002"/>
    <s v="ok"/>
    <s v="ok"/>
    <s v="ok"/>
    <s v="ok"/>
    <s v="ok"/>
    <x v="0"/>
    <n v="0.99411416659131646"/>
  </r>
  <r>
    <x v="1"/>
    <n v="1276"/>
    <x v="0"/>
    <x v="2"/>
    <x v="1"/>
    <s v="1st line support"/>
    <x v="6"/>
    <x v="217"/>
    <d v="2023-01-31T16:43:16"/>
    <d v="2023-01-30T16:45:16"/>
    <d v="2023-01-30T16:44:18"/>
    <s v="Within SLA"/>
    <m/>
    <x v="1"/>
    <m/>
    <n v="4"/>
    <m/>
    <x v="3"/>
    <x v="0"/>
    <s v="Germany"/>
    <n v="51.165691000000002"/>
    <n v="10.451525999999999"/>
    <s v="ok"/>
    <s v="ok"/>
    <s v="ok"/>
    <s v="ok"/>
    <s v="ok"/>
    <x v="1"/>
    <s v=""/>
  </r>
  <r>
    <x v="1"/>
    <n v="1277"/>
    <x v="0"/>
    <x v="0"/>
    <x v="0"/>
    <s v="1st line support"/>
    <x v="6"/>
    <x v="218"/>
    <d v="2023-02-02T09:59:04"/>
    <d v="2023-01-31T10:59:04"/>
    <d v="2023-01-31T11:08:28"/>
    <s v="SLA Violated"/>
    <m/>
    <x v="1"/>
    <m/>
    <n v="1"/>
    <m/>
    <x v="0"/>
    <x v="0"/>
    <s v="France"/>
    <n v="48.864716000000001"/>
    <n v="2.3490139999999999"/>
    <s v="ok"/>
    <s v="ok"/>
    <s v="ok"/>
    <s v="ok"/>
    <s v="ok"/>
    <x v="1"/>
    <s v=""/>
  </r>
  <r>
    <x v="0"/>
    <n v="1278"/>
    <x v="1"/>
    <x v="0"/>
    <x v="3"/>
    <s v="1st line support"/>
    <x v="3"/>
    <x v="219"/>
    <d v="2023-02-02T08:43:50"/>
    <d v="2023-01-31T09:43:50"/>
    <d v="2023-01-31T08:59:04"/>
    <s v="Within SLA"/>
    <d v="2023-01-31T15:38:55"/>
    <x v="0"/>
    <d v="2023-02-05T16:21:59"/>
    <n v="2"/>
    <n v="3"/>
    <x v="0"/>
    <x v="0"/>
    <s v="Slovenia"/>
    <n v="46.149166399999999"/>
    <n v="14.9860106"/>
    <s v="ok"/>
    <s v="ok"/>
    <s v="ok"/>
    <s v="ok"/>
    <s v="ok"/>
    <x v="0"/>
    <n v="6.9181305554229766"/>
  </r>
  <r>
    <x v="0"/>
    <n v="1279"/>
    <x v="1"/>
    <x v="2"/>
    <x v="3"/>
    <s v="1st line support"/>
    <x v="3"/>
    <x v="220"/>
    <d v="2023-02-01T23:25:32"/>
    <d v="2023-01-31T23:27:32"/>
    <d v="2023-01-31T23:29:34"/>
    <s v="SLA Violated"/>
    <d v="2023-02-01T11:02:17"/>
    <x v="0"/>
    <d v="2023-02-03T13:08:22"/>
    <n v="2"/>
    <n v="4"/>
    <x v="0"/>
    <x v="0"/>
    <s v="Italy"/>
    <n v="43.036776000000003"/>
    <n v="12.678565000000001"/>
    <s v="ok"/>
    <s v="ok"/>
    <s v="ok"/>
    <s v="ok"/>
    <s v="ok"/>
    <x v="0"/>
    <n v="11.612609722302295"/>
  </r>
  <r>
    <x v="2"/>
    <n v="1280"/>
    <x v="0"/>
    <x v="2"/>
    <x v="0"/>
    <s v="1st line support"/>
    <x v="4"/>
    <x v="221"/>
    <d v="2023-02-01T12:27:46"/>
    <d v="2023-01-31T12:29:46"/>
    <d v="2023-01-31T12:29:39"/>
    <s v="Within SLA"/>
    <d v="2023-01-31T15:58:40"/>
    <x v="0"/>
    <m/>
    <n v="6"/>
    <m/>
    <x v="0"/>
    <x v="0"/>
    <s v="Germany"/>
    <n v="51.165691000000002"/>
    <n v="10.451525999999999"/>
    <s v="ok"/>
    <s v="ok"/>
    <s v="ok"/>
    <s v="ok"/>
    <s v="ok"/>
    <x v="0"/>
    <n v="3.5149352778098546"/>
  </r>
  <r>
    <x v="2"/>
    <n v="1281"/>
    <x v="1"/>
    <x v="0"/>
    <x v="1"/>
    <s v="2nd line support"/>
    <x v="7"/>
    <x v="222"/>
    <d v="2023-02-02T12:56:35"/>
    <d v="2023-01-31T13:56:35"/>
    <d v="2023-01-31T13:16:06"/>
    <s v="Within SLA"/>
    <d v="2023-02-02T01:02:20"/>
    <x v="0"/>
    <m/>
    <n v="1"/>
    <m/>
    <x v="3"/>
    <x v="1"/>
    <s v="Republic of Ireland"/>
    <n v="53.094023999999997"/>
    <n v="-8.0196749999999994"/>
    <s v="ok"/>
    <s v="ok"/>
    <s v="ok"/>
    <s v="ok"/>
    <s v="ok"/>
    <x v="0"/>
    <n v="36.095893888792489"/>
  </r>
  <r>
    <x v="2"/>
    <n v="1282"/>
    <x v="2"/>
    <x v="0"/>
    <x v="0"/>
    <s v="1st line support"/>
    <x v="6"/>
    <x v="223"/>
    <d v="2023-02-02T21:52:19"/>
    <d v="2023-01-31T22:52:19"/>
    <d v="2023-01-31T22:18:48"/>
    <s v="Within SLA"/>
    <d v="2023-02-01T19:15:36"/>
    <x v="0"/>
    <m/>
    <n v="4"/>
    <m/>
    <x v="0"/>
    <x v="0"/>
    <s v="Bulgaria"/>
    <n v="42.724992499999999"/>
    <n v="25.483303899999999"/>
    <s v="ok"/>
    <s v="ok"/>
    <s v="ok"/>
    <s v="ok"/>
    <s v="ok"/>
    <x v="0"/>
    <n v="21.388010833295994"/>
  </r>
  <r>
    <x v="0"/>
    <n v="1283"/>
    <x v="0"/>
    <x v="0"/>
    <x v="2"/>
    <s v="1st line support"/>
    <x v="3"/>
    <x v="224"/>
    <d v="2023-02-03T11:03:29"/>
    <d v="2023-02-01T12:03:29"/>
    <d v="2023-02-01T11:18:27"/>
    <s v="Within SLA"/>
    <d v="2023-02-02T06:17:38"/>
    <x v="0"/>
    <d v="2023-02-05T18:12:05"/>
    <n v="8"/>
    <n v="4"/>
    <x v="0"/>
    <x v="0"/>
    <s v="Republic of Ireland"/>
    <n v="53.094023999999997"/>
    <n v="-8.0196749999999994"/>
    <s v="ok"/>
    <s v="ok"/>
    <s v="ok"/>
    <s v="ok"/>
    <s v="ok"/>
    <x v="0"/>
    <n v="19.235741388809402"/>
  </r>
  <r>
    <x v="0"/>
    <n v="1284"/>
    <x v="2"/>
    <x v="0"/>
    <x v="1"/>
    <s v="2nd line support"/>
    <x v="7"/>
    <x v="225"/>
    <d v="2023-02-03T10:07:38"/>
    <d v="2023-02-01T11:07:38"/>
    <d v="2023-02-01T11:02:02"/>
    <s v="Within SLA"/>
    <d v="2023-02-02T09:11:15"/>
    <x v="0"/>
    <d v="2023-02-04T21:16:59"/>
    <n v="8"/>
    <n v="1"/>
    <x v="1"/>
    <x v="1"/>
    <s v="Austria"/>
    <n v="47.696471899999999"/>
    <n v="13.3457347"/>
    <s v="ok"/>
    <s v="ok"/>
    <s v="ok"/>
    <s v="ok"/>
    <s v="ok"/>
    <x v="0"/>
    <n v="23.060360833362211"/>
  </r>
  <r>
    <x v="1"/>
    <n v="1285"/>
    <x v="0"/>
    <x v="1"/>
    <x v="3"/>
    <s v="2nd line support"/>
    <x v="5"/>
    <x v="226"/>
    <d v="2023-02-03T01:05:14"/>
    <d v="2023-02-01T01:07:14"/>
    <d v="2023-02-01T01:06:10"/>
    <s v="Within SLA"/>
    <m/>
    <x v="1"/>
    <m/>
    <n v="2"/>
    <m/>
    <x v="0"/>
    <x v="1"/>
    <s v="United Kingdom"/>
    <n v="55.378051999999997"/>
    <n v="-3.4359730000000002"/>
    <s v="ok"/>
    <s v="ok"/>
    <s v="ok"/>
    <s v="ok"/>
    <s v="ok"/>
    <x v="1"/>
    <s v=""/>
  </r>
  <r>
    <x v="0"/>
    <n v="1286"/>
    <x v="2"/>
    <x v="0"/>
    <x v="0"/>
    <s v="1st line support"/>
    <x v="6"/>
    <x v="227"/>
    <d v="2023-02-03T12:49:26"/>
    <d v="2023-02-01T13:49:26"/>
    <d v="2023-02-01T13:40:08"/>
    <s v="Within SLA"/>
    <d v="2023-02-06T01:12:16"/>
    <x v="1"/>
    <d v="2023-02-07T04:04:48"/>
    <n v="10"/>
    <n v="4"/>
    <x v="0"/>
    <x v="0"/>
    <s v="Poland"/>
    <n v="52.536273000000001"/>
    <n v="19.050639"/>
    <s v="ok"/>
    <s v="ok"/>
    <s v="ok"/>
    <s v="ok"/>
    <s v="ok"/>
    <x v="0"/>
    <n v="108.38057222217321"/>
  </r>
  <r>
    <x v="2"/>
    <n v="1287"/>
    <x v="0"/>
    <x v="2"/>
    <x v="1"/>
    <s v="2nd line support"/>
    <x v="1"/>
    <x v="228"/>
    <d v="2023-02-02T20:49:32"/>
    <d v="2023-02-01T20:51:32"/>
    <d v="2023-02-01T20:50:00"/>
    <s v="Within SLA"/>
    <d v="2023-02-04T22:34:56"/>
    <x v="1"/>
    <m/>
    <n v="4"/>
    <m/>
    <x v="0"/>
    <x v="1"/>
    <s v="Germany"/>
    <n v="51.165691000000002"/>
    <n v="10.451525999999999"/>
    <s v="ok"/>
    <s v="ok"/>
    <s v="ok"/>
    <s v="ok"/>
    <s v="ok"/>
    <x v="0"/>
    <n v="73.756686666514724"/>
  </r>
  <r>
    <x v="0"/>
    <n v="1288"/>
    <x v="2"/>
    <x v="1"/>
    <x v="4"/>
    <s v="2nd line support"/>
    <x v="1"/>
    <x v="229"/>
    <d v="2023-02-03T19:56:22"/>
    <d v="2023-02-01T19:58:22"/>
    <d v="2023-02-01T01:10:54"/>
    <s v="Within SLA"/>
    <d v="2023-02-03T02:35:01"/>
    <x v="0"/>
    <d v="2023-02-06T23:55:03"/>
    <n v="2"/>
    <n v="5"/>
    <x v="3"/>
    <x v="1"/>
    <s v="Bulgaria"/>
    <n v="42.724992499999999"/>
    <n v="25.483303899999999"/>
    <s v="check"/>
    <s v="ok"/>
    <s v="ok"/>
    <s v="ok"/>
    <s v="ok"/>
    <x v="0"/>
    <n v="30.644130277738441"/>
  </r>
  <r>
    <x v="0"/>
    <n v="1289"/>
    <x v="0"/>
    <x v="0"/>
    <x v="4"/>
    <s v="1st line support"/>
    <x v="3"/>
    <x v="230"/>
    <d v="2023-02-03T09:34:09"/>
    <d v="2023-02-01T10:34:09"/>
    <d v="2023-02-01T10:03:29"/>
    <s v="Within SLA"/>
    <d v="2023-02-02T16:28:19"/>
    <x v="0"/>
    <d v="2023-02-06T09:35:55"/>
    <n v="3"/>
    <n v="3"/>
    <x v="2"/>
    <x v="0"/>
    <s v="Austria"/>
    <n v="47.696471899999999"/>
    <n v="13.3457347"/>
    <s v="ok"/>
    <s v="ok"/>
    <s v="ok"/>
    <s v="ok"/>
    <s v="ok"/>
    <x v="0"/>
    <n v="30.902773888839874"/>
  </r>
  <r>
    <x v="0"/>
    <n v="1291"/>
    <x v="2"/>
    <x v="0"/>
    <x v="3"/>
    <s v="1st line support"/>
    <x v="3"/>
    <x v="231"/>
    <d v="2023-02-03T01:23:17"/>
    <d v="2023-02-01T02:23:17"/>
    <d v="2023-02-01T06:04:23"/>
    <s v="SLA Violated"/>
    <d v="2023-02-01T21:26:38"/>
    <x v="0"/>
    <d v="2023-02-05T14:02:35"/>
    <n v="2"/>
    <n v="4"/>
    <x v="1"/>
    <x v="0"/>
    <s v="France"/>
    <n v="48.864716000000001"/>
    <n v="2.3490139999999999"/>
    <s v="ok"/>
    <s v="ok"/>
    <s v="ok"/>
    <s v="ok"/>
    <s v="ok"/>
    <x v="0"/>
    <n v="20.055817499931436"/>
  </r>
  <r>
    <x v="0"/>
    <n v="1292"/>
    <x v="0"/>
    <x v="2"/>
    <x v="1"/>
    <s v="1st line support"/>
    <x v="0"/>
    <x v="232"/>
    <d v="2023-02-02T08:00:59"/>
    <d v="2023-02-01T08:02:59"/>
    <d v="2023-02-01T08:02:38"/>
    <s v="Within SLA"/>
    <d v="2023-02-01T17:27:48"/>
    <x v="0"/>
    <d v="2023-02-08T06:53:35"/>
    <n v="8"/>
    <n v="2"/>
    <x v="2"/>
    <x v="0"/>
    <s v="Republic of Ireland"/>
    <n v="53.094023999999997"/>
    <n v="-8.0196749999999994"/>
    <s v="ok"/>
    <s v="ok"/>
    <s v="ok"/>
    <s v="ok"/>
    <s v="ok"/>
    <x v="0"/>
    <n v="9.4470794444787316"/>
  </r>
  <r>
    <x v="1"/>
    <n v="1294"/>
    <x v="0"/>
    <x v="0"/>
    <x v="0"/>
    <s v="1st line support"/>
    <x v="2"/>
    <x v="233"/>
    <d v="2023-02-04T15:20:34"/>
    <d v="2023-02-02T16:20:34"/>
    <d v="2023-02-02T15:44:23"/>
    <s v="Within SLA"/>
    <m/>
    <x v="1"/>
    <m/>
    <n v="4"/>
    <m/>
    <x v="1"/>
    <x v="0"/>
    <s v="Republic of Ireland"/>
    <n v="53.094023999999997"/>
    <n v="-8.0196749999999994"/>
    <s v="ok"/>
    <s v="ok"/>
    <s v="ok"/>
    <s v="ok"/>
    <s v="ok"/>
    <x v="1"/>
    <s v=""/>
  </r>
  <r>
    <x v="2"/>
    <n v="1295"/>
    <x v="0"/>
    <x v="0"/>
    <x v="0"/>
    <s v="1st line support"/>
    <x v="3"/>
    <x v="234"/>
    <d v="2023-02-04T00:08:59"/>
    <d v="2023-02-02T01:08:59"/>
    <d v="2023-02-02T00:44:07"/>
    <s v="Within SLA"/>
    <d v="2023-02-02T04:25:12"/>
    <x v="0"/>
    <m/>
    <n v="1"/>
    <m/>
    <x v="2"/>
    <x v="0"/>
    <s v="Bulgaria"/>
    <n v="42.724992499999999"/>
    <n v="25.483303899999999"/>
    <s v="ok"/>
    <s v="ok"/>
    <s v="ok"/>
    <s v="ok"/>
    <s v="ok"/>
    <x v="0"/>
    <n v="4.2703202777775005"/>
  </r>
  <r>
    <x v="0"/>
    <n v="1296"/>
    <x v="2"/>
    <x v="2"/>
    <x v="3"/>
    <s v="1st line support"/>
    <x v="6"/>
    <x v="235"/>
    <d v="2023-02-03T02:14:08"/>
    <d v="2023-02-02T02:16:08"/>
    <d v="2023-02-02T02:14:50"/>
    <s v="Within SLA"/>
    <d v="2023-02-02T14:39:24"/>
    <x v="0"/>
    <d v="2023-02-07T16:43:43"/>
    <n v="4"/>
    <n v="1"/>
    <x v="0"/>
    <x v="0"/>
    <s v="Italy"/>
    <n v="43.036776000000003"/>
    <n v="12.678565000000001"/>
    <s v="ok"/>
    <s v="ok"/>
    <s v="ok"/>
    <s v="ok"/>
    <s v="ok"/>
    <x v="0"/>
    <n v="12.421131111157592"/>
  </r>
  <r>
    <x v="0"/>
    <n v="1297"/>
    <x v="0"/>
    <x v="2"/>
    <x v="1"/>
    <s v="1st line support"/>
    <x v="4"/>
    <x v="236"/>
    <d v="2023-02-03T23:36:10"/>
    <d v="2023-02-02T23:38:10"/>
    <d v="2023-02-02T23:37:51"/>
    <s v="Within SLA"/>
    <d v="2023-02-03T22:56:53"/>
    <x v="0"/>
    <d v="2023-02-06T17:51:52"/>
    <n v="60"/>
    <n v="3"/>
    <x v="2"/>
    <x v="0"/>
    <s v="Czech Republic"/>
    <n v="49.8037633"/>
    <n v="15.4749126"/>
    <s v="ok"/>
    <s v="ok"/>
    <s v="ok"/>
    <s v="ok"/>
    <s v="ok"/>
    <x v="0"/>
    <n v="23.345173611072823"/>
  </r>
  <r>
    <x v="0"/>
    <n v="1298"/>
    <x v="0"/>
    <x v="0"/>
    <x v="0"/>
    <s v="1st line support"/>
    <x v="3"/>
    <x v="237"/>
    <d v="2023-02-04T16:29:15"/>
    <d v="2023-02-02T17:29:15"/>
    <d v="2023-02-02T17:16:37"/>
    <s v="Within SLA"/>
    <d v="2023-02-04T08:41:12"/>
    <x v="0"/>
    <d v="2023-02-05T15:55:45"/>
    <n v="8"/>
    <n v="5"/>
    <x v="2"/>
    <x v="0"/>
    <s v="Spain"/>
    <n v="39.673369999999998"/>
    <n v="-4.7677259999999997"/>
    <s v="ok"/>
    <s v="ok"/>
    <s v="ok"/>
    <s v="ok"/>
    <s v="ok"/>
    <x v="0"/>
    <n v="40.199231110978872"/>
  </r>
  <r>
    <x v="0"/>
    <n v="1299"/>
    <x v="0"/>
    <x v="1"/>
    <x v="0"/>
    <s v="1st line support"/>
    <x v="2"/>
    <x v="238"/>
    <d v="2023-02-04T07:41:17"/>
    <d v="2023-02-02T07:43:17"/>
    <d v="2023-02-02T07:43:04"/>
    <s v="Within SLA"/>
    <d v="2023-02-03T00:33:01"/>
    <x v="0"/>
    <d v="2023-02-05T11:51:03"/>
    <n v="2"/>
    <n v="1"/>
    <x v="0"/>
    <x v="0"/>
    <s v="Slovenia"/>
    <n v="46.149166399999999"/>
    <n v="14.9860106"/>
    <s v="ok"/>
    <s v="ok"/>
    <s v="ok"/>
    <s v="ok"/>
    <s v="ok"/>
    <x v="0"/>
    <n v="16.862174722307827"/>
  </r>
  <r>
    <x v="2"/>
    <n v="1300"/>
    <x v="2"/>
    <x v="2"/>
    <x v="3"/>
    <s v="1st line support"/>
    <x v="2"/>
    <x v="239"/>
    <d v="2023-02-04T14:41:04"/>
    <d v="2023-02-03T14:43:04"/>
    <d v="2023-02-03T14:42:45"/>
    <s v="Within SLA"/>
    <d v="2023-02-06T03:29:04"/>
    <x v="1"/>
    <m/>
    <n v="6"/>
    <m/>
    <x v="0"/>
    <x v="0"/>
    <s v="Czech Republic"/>
    <n v="49.8037633"/>
    <n v="15.4749126"/>
    <s v="ok"/>
    <s v="ok"/>
    <s v="ok"/>
    <s v="ok"/>
    <s v="ok"/>
    <x v="0"/>
    <n v="60.799956111120991"/>
  </r>
  <r>
    <x v="0"/>
    <n v="1301"/>
    <x v="0"/>
    <x v="1"/>
    <x v="1"/>
    <s v="1st line support"/>
    <x v="3"/>
    <x v="240"/>
    <d v="2023-02-05T23:09:18"/>
    <d v="2023-02-03T23:11:18"/>
    <d v="2023-02-03T23:09:35"/>
    <s v="Within SLA"/>
    <d v="2023-02-05T17:59:01"/>
    <x v="0"/>
    <d v="2023-02-06T16:06:04"/>
    <n v="1"/>
    <n v="3"/>
    <x v="2"/>
    <x v="0"/>
    <s v="Greece"/>
    <n v="39.368279000000001"/>
    <n v="21.863140999999999"/>
    <s v="ok"/>
    <s v="ok"/>
    <s v="ok"/>
    <s v="ok"/>
    <s v="ok"/>
    <x v="0"/>
    <n v="42.828477222297806"/>
  </r>
  <r>
    <x v="2"/>
    <n v="1302"/>
    <x v="1"/>
    <x v="0"/>
    <x v="3"/>
    <s v="1st line support"/>
    <x v="4"/>
    <x v="241"/>
    <d v="2023-02-05T20:17:28"/>
    <d v="2023-02-03T21:17:28"/>
    <d v="2023-02-03T21:10:14"/>
    <s v="Within SLA"/>
    <d v="2023-02-05T13:15:08"/>
    <x v="0"/>
    <m/>
    <n v="3"/>
    <m/>
    <x v="0"/>
    <x v="0"/>
    <s v="Italy"/>
    <n v="43.036776000000003"/>
    <n v="12.678565000000001"/>
    <s v="ok"/>
    <s v="ok"/>
    <s v="ok"/>
    <s v="ok"/>
    <s v="ok"/>
    <x v="0"/>
    <n v="40.961218333337456"/>
  </r>
  <r>
    <x v="2"/>
    <n v="1303"/>
    <x v="0"/>
    <x v="1"/>
    <x v="1"/>
    <s v="1st line support"/>
    <x v="6"/>
    <x v="242"/>
    <d v="2023-02-05T18:46:35"/>
    <d v="2023-02-03T18:48:35"/>
    <d v="2023-02-03T18:49:43"/>
    <s v="SLA Violated"/>
    <d v="2023-02-04T05:03:44"/>
    <x v="0"/>
    <m/>
    <n v="3"/>
    <m/>
    <x v="2"/>
    <x v="0"/>
    <s v="Slovenia"/>
    <n v="46.149166399999999"/>
    <n v="14.9860106"/>
    <s v="ok"/>
    <s v="ok"/>
    <s v="ok"/>
    <s v="ok"/>
    <s v="ok"/>
    <x v="0"/>
    <n v="10.285908888909034"/>
  </r>
  <r>
    <x v="2"/>
    <n v="1304"/>
    <x v="2"/>
    <x v="1"/>
    <x v="2"/>
    <s v="1st line support"/>
    <x v="4"/>
    <x v="243"/>
    <d v="2023-02-05T19:19:03"/>
    <d v="2023-02-03T19:21:03"/>
    <d v="2023-02-03T19:24:43"/>
    <s v="SLA Violated"/>
    <d v="2023-02-05T12:43:11"/>
    <x v="0"/>
    <m/>
    <n v="5"/>
    <m/>
    <x v="1"/>
    <x v="0"/>
    <s v="Germany"/>
    <n v="51.165691000000002"/>
    <n v="10.451525999999999"/>
    <s v="ok"/>
    <s v="ok"/>
    <s v="ok"/>
    <s v="ok"/>
    <s v="ok"/>
    <x v="0"/>
    <n v="41.402294999978039"/>
  </r>
  <r>
    <x v="2"/>
    <n v="1305"/>
    <x v="0"/>
    <x v="0"/>
    <x v="2"/>
    <s v="1st line support"/>
    <x v="2"/>
    <x v="244"/>
    <d v="2023-02-05T01:50:32"/>
    <d v="2023-02-03T02:50:32"/>
    <d v="2023-02-03T02:11:52"/>
    <s v="Within SLA"/>
    <d v="2023-02-03T05:17:30"/>
    <x v="0"/>
    <m/>
    <n v="1"/>
    <m/>
    <x v="2"/>
    <x v="0"/>
    <s v="Czech Republic"/>
    <n v="49.8037633"/>
    <n v="15.4749126"/>
    <s v="ok"/>
    <s v="ok"/>
    <s v="ok"/>
    <s v="ok"/>
    <s v="ok"/>
    <x v="0"/>
    <n v="3.4493102777050808"/>
  </r>
  <r>
    <x v="0"/>
    <n v="1306"/>
    <x v="1"/>
    <x v="2"/>
    <x v="5"/>
    <s v="1st line support"/>
    <x v="3"/>
    <x v="245"/>
    <d v="2023-02-05T13:06:47"/>
    <d v="2023-02-04T13:08:47"/>
    <d v="2023-02-04T13:08:10"/>
    <s v="Within SLA"/>
    <d v="2023-02-04T15:20:57"/>
    <x v="0"/>
    <d v="2023-02-08T02:49:12"/>
    <n v="7"/>
    <n v="5"/>
    <x v="3"/>
    <x v="0"/>
    <s v="United Kingdom"/>
    <n v="55.378051999999997"/>
    <n v="-3.4359730000000002"/>
    <s v="ok"/>
    <s v="ok"/>
    <s v="ok"/>
    <s v="ok"/>
    <s v="ok"/>
    <x v="0"/>
    <n v="2.2361716665909626"/>
  </r>
  <r>
    <x v="0"/>
    <n v="1307"/>
    <x v="0"/>
    <x v="0"/>
    <x v="1"/>
    <s v="1st line support"/>
    <x v="0"/>
    <x v="246"/>
    <d v="2023-02-06T22:36:42"/>
    <d v="2023-02-04T23:36:42"/>
    <d v="2023-02-04T23:15:14"/>
    <s v="Within SLA"/>
    <d v="2023-02-05T11:18:00"/>
    <x v="0"/>
    <d v="2023-02-09T00:46:27"/>
    <n v="10"/>
    <n v="5"/>
    <x v="2"/>
    <x v="0"/>
    <s v="Republic of Ireland"/>
    <n v="53.094023999999997"/>
    <n v="-8.0196749999999994"/>
    <s v="ok"/>
    <s v="ok"/>
    <s v="ok"/>
    <s v="ok"/>
    <s v="ok"/>
    <x v="0"/>
    <n v="12.68826249986887"/>
  </r>
  <r>
    <x v="2"/>
    <n v="1317"/>
    <x v="1"/>
    <x v="0"/>
    <x v="0"/>
    <s v="2nd line support"/>
    <x v="7"/>
    <x v="247"/>
    <d v="2023-02-07T00:18:33"/>
    <d v="2023-02-05T01:18:33"/>
    <d v="2023-02-05T00:52:10"/>
    <s v="Within SLA"/>
    <d v="2023-02-06T21:46:05"/>
    <x v="0"/>
    <m/>
    <n v="3"/>
    <m/>
    <x v="1"/>
    <x v="1"/>
    <s v="Austria"/>
    <n v="47.696471899999999"/>
    <n v="13.3457347"/>
    <s v="ok"/>
    <s v="ok"/>
    <s v="ok"/>
    <s v="ok"/>
    <s v="ok"/>
    <x v="0"/>
    <n v="45.458755833387841"/>
  </r>
  <r>
    <x v="0"/>
    <n v="1318"/>
    <x v="0"/>
    <x v="0"/>
    <x v="3"/>
    <s v="1st line support"/>
    <x v="6"/>
    <x v="248"/>
    <d v="2023-02-07T02:31:11"/>
    <d v="2023-02-05T03:31:11"/>
    <d v="2023-02-05T03:30:22"/>
    <s v="Within SLA"/>
    <d v="2023-02-06T16:16:34"/>
    <x v="0"/>
    <d v="2023-02-10T19:21:21"/>
    <n v="2"/>
    <n v="4"/>
    <x v="1"/>
    <x v="0"/>
    <s v="France"/>
    <n v="48.864716000000001"/>
    <n v="2.3490139999999999"/>
    <s v="ok"/>
    <s v="ok"/>
    <s v="ok"/>
    <s v="ok"/>
    <s v="ok"/>
    <x v="0"/>
    <n v="37.756461944372859"/>
  </r>
  <r>
    <x v="2"/>
    <n v="1319"/>
    <x v="2"/>
    <x v="2"/>
    <x v="5"/>
    <s v="2nd line support"/>
    <x v="7"/>
    <x v="249"/>
    <d v="2023-02-06T05:01:30"/>
    <d v="2023-02-05T05:03:30"/>
    <d v="2023-02-05T05:03:03"/>
    <s v="Within SLA"/>
    <d v="2023-02-05T17:35:48"/>
    <x v="0"/>
    <m/>
    <n v="4"/>
    <m/>
    <x v="0"/>
    <x v="1"/>
    <s v="Bulgaria"/>
    <n v="42.724992499999999"/>
    <n v="25.483303899999999"/>
    <s v="ok"/>
    <s v="ok"/>
    <s v="ok"/>
    <s v="ok"/>
    <s v="ok"/>
    <x v="0"/>
    <n v="12.57163861108711"/>
  </r>
  <r>
    <x v="1"/>
    <n v="1321"/>
    <x v="0"/>
    <x v="0"/>
    <x v="3"/>
    <s v="1st line support"/>
    <x v="0"/>
    <x v="250"/>
    <d v="2023-02-07T05:51:11"/>
    <d v="2023-02-05T06:51:11"/>
    <d v="2023-02-05T06:46:03"/>
    <s v="Within SLA"/>
    <m/>
    <x v="1"/>
    <m/>
    <n v="1"/>
    <m/>
    <x v="0"/>
    <x v="0"/>
    <s v="Republic of Ireland"/>
    <n v="53.094023999999997"/>
    <n v="-8.0196749999999994"/>
    <s v="ok"/>
    <s v="ok"/>
    <s v="ok"/>
    <s v="ok"/>
    <s v="ok"/>
    <x v="1"/>
    <s v=""/>
  </r>
  <r>
    <x v="2"/>
    <n v="1323"/>
    <x v="0"/>
    <x v="0"/>
    <x v="3"/>
    <s v="1st line support"/>
    <x v="6"/>
    <x v="251"/>
    <d v="2023-02-08T20:45:42"/>
    <d v="2023-02-06T21:45:42"/>
    <d v="2023-02-06T21:14:23"/>
    <s v="Within SLA"/>
    <d v="2023-02-06T23:33:16"/>
    <x v="0"/>
    <m/>
    <n v="3"/>
    <m/>
    <x v="2"/>
    <x v="0"/>
    <s v="Austria"/>
    <n v="47.696471899999999"/>
    <n v="13.3457347"/>
    <s v="ok"/>
    <s v="ok"/>
    <s v="ok"/>
    <s v="ok"/>
    <s v="ok"/>
    <x v="0"/>
    <n v="2.7927266666083597"/>
  </r>
  <r>
    <x v="2"/>
    <n v="1324"/>
    <x v="2"/>
    <x v="0"/>
    <x v="3"/>
    <s v="2nd line support"/>
    <x v="5"/>
    <x v="252"/>
    <d v="2023-02-08T08:09:22"/>
    <d v="2023-02-06T09:09:22"/>
    <d v="2023-02-06T08:19:30"/>
    <s v="Within SLA"/>
    <d v="2023-02-10T04:43:23"/>
    <x v="1"/>
    <m/>
    <n v="1"/>
    <m/>
    <x v="0"/>
    <x v="1"/>
    <s v="Germany"/>
    <n v="51.165691000000002"/>
    <n v="10.451525999999999"/>
    <s v="ok"/>
    <s v="ok"/>
    <s v="ok"/>
    <s v="ok"/>
    <s v="ok"/>
    <x v="0"/>
    <n v="92.56690833333414"/>
  </r>
  <r>
    <x v="0"/>
    <n v="1325"/>
    <x v="2"/>
    <x v="0"/>
    <x v="2"/>
    <s v="1st line support"/>
    <x v="4"/>
    <x v="253"/>
    <d v="2023-02-08T02:27:39"/>
    <d v="2023-02-06T03:27:39"/>
    <d v="2023-02-06T02:56:05"/>
    <s v="Within SLA"/>
    <d v="2023-02-06T09:55:49"/>
    <x v="0"/>
    <d v="2023-02-08T16:27:01"/>
    <n v="5"/>
    <n v="5"/>
    <x v="0"/>
    <x v="0"/>
    <s v="United Kingdom"/>
    <n v="55.378051999999997"/>
    <n v="-3.4359730000000002"/>
    <s v="ok"/>
    <s v="ok"/>
    <s v="ok"/>
    <s v="ok"/>
    <s v="ok"/>
    <x v="0"/>
    <n v="7.4693119443836622"/>
  </r>
  <r>
    <x v="0"/>
    <n v="1326"/>
    <x v="2"/>
    <x v="2"/>
    <x v="1"/>
    <s v="1st line support"/>
    <x v="0"/>
    <x v="254"/>
    <d v="2023-02-07T08:26:15"/>
    <d v="2023-02-06T08:28:15"/>
    <d v="2023-02-06T08:30:58"/>
    <s v="SLA Violated"/>
    <d v="2023-02-06T15:57:05"/>
    <x v="0"/>
    <d v="2023-02-12T09:14:08"/>
    <n v="4"/>
    <n v="4"/>
    <x v="1"/>
    <x v="0"/>
    <s v="France"/>
    <n v="48.864716000000001"/>
    <n v="2.3490139999999999"/>
    <s v="ok"/>
    <s v="ok"/>
    <s v="ok"/>
    <s v="ok"/>
    <s v="ok"/>
    <x v="0"/>
    <n v="7.5138805556343868"/>
  </r>
  <r>
    <x v="2"/>
    <n v="1327"/>
    <x v="1"/>
    <x v="2"/>
    <x v="5"/>
    <s v="1st line support"/>
    <x v="2"/>
    <x v="255"/>
    <d v="2023-02-07T03:34:48"/>
    <d v="2023-02-06T03:36:48"/>
    <d v="2023-02-06T03:35:39"/>
    <s v="Within SLA"/>
    <d v="2023-02-06T10:45:49"/>
    <x v="0"/>
    <m/>
    <n v="6"/>
    <m/>
    <x v="2"/>
    <x v="0"/>
    <s v="Republic of Ireland"/>
    <n v="53.094023999999997"/>
    <n v="-8.0196749999999994"/>
    <s v="ok"/>
    <s v="ok"/>
    <s v="ok"/>
    <s v="ok"/>
    <s v="ok"/>
    <x v="0"/>
    <n v="7.1837413888424635"/>
  </r>
  <r>
    <x v="1"/>
    <n v="1328"/>
    <x v="0"/>
    <x v="0"/>
    <x v="0"/>
    <s v="1st line support"/>
    <x v="3"/>
    <x v="256"/>
    <d v="2023-02-08T10:53:21"/>
    <d v="2023-02-06T11:53:21"/>
    <d v="2023-02-06T11:49:04"/>
    <s v="Within SLA"/>
    <m/>
    <x v="1"/>
    <m/>
    <n v="1"/>
    <m/>
    <x v="0"/>
    <x v="0"/>
    <s v="Bulgaria"/>
    <n v="42.724992499999999"/>
    <n v="25.483303899999999"/>
    <s v="ok"/>
    <s v="ok"/>
    <s v="ok"/>
    <s v="ok"/>
    <s v="ok"/>
    <x v="1"/>
    <s v=""/>
  </r>
  <r>
    <x v="1"/>
    <n v="1329"/>
    <x v="2"/>
    <x v="2"/>
    <x v="5"/>
    <s v="1st line support"/>
    <x v="2"/>
    <x v="257"/>
    <d v="2023-02-07T12:00:35"/>
    <d v="2023-02-06T12:02:35"/>
    <d v="2023-02-06T12:01:00"/>
    <s v="Within SLA"/>
    <m/>
    <x v="1"/>
    <m/>
    <n v="6"/>
    <m/>
    <x v="2"/>
    <x v="0"/>
    <s v="Republic of Ireland"/>
    <n v="53.094023999999997"/>
    <n v="-8.0196749999999994"/>
    <s v="ok"/>
    <s v="ok"/>
    <s v="ok"/>
    <s v="ok"/>
    <s v="ok"/>
    <x v="1"/>
    <s v=""/>
  </r>
  <r>
    <x v="2"/>
    <n v="1330"/>
    <x v="0"/>
    <x v="0"/>
    <x v="2"/>
    <s v="1st line support"/>
    <x v="2"/>
    <x v="258"/>
    <d v="2023-02-08T11:37:20"/>
    <d v="2023-02-06T12:37:20"/>
    <d v="2023-02-06T11:58:14"/>
    <s v="Within SLA"/>
    <d v="2023-02-07T06:23:53"/>
    <x v="0"/>
    <m/>
    <n v="3"/>
    <m/>
    <x v="0"/>
    <x v="0"/>
    <s v="Republic of Ireland"/>
    <n v="53.094023999999997"/>
    <n v="-8.0196749999999994"/>
    <s v="ok"/>
    <s v="ok"/>
    <s v="ok"/>
    <s v="ok"/>
    <s v="ok"/>
    <x v="0"/>
    <n v="18.775763333367649"/>
  </r>
  <r>
    <x v="2"/>
    <n v="1331"/>
    <x v="2"/>
    <x v="0"/>
    <x v="2"/>
    <s v="1st line support"/>
    <x v="6"/>
    <x v="259"/>
    <d v="2023-02-09T18:37:55"/>
    <d v="2023-02-07T19:37:55"/>
    <d v="2023-02-08T02:30:10"/>
    <s v="SLA Violated"/>
    <d v="2023-02-07T23:03:13"/>
    <x v="0"/>
    <m/>
    <n v="9"/>
    <m/>
    <x v="1"/>
    <x v="0"/>
    <s v="Slovenia"/>
    <n v="46.149166399999999"/>
    <n v="14.9860106"/>
    <s v="ok"/>
    <s v="ok"/>
    <s v="ok"/>
    <s v="ok"/>
    <s v="ok"/>
    <x v="0"/>
    <n v="4.4216625000117347"/>
  </r>
  <r>
    <x v="2"/>
    <n v="1332"/>
    <x v="1"/>
    <x v="0"/>
    <x v="1"/>
    <s v="1st line support"/>
    <x v="4"/>
    <x v="260"/>
    <d v="2023-02-09T11:38:34"/>
    <d v="2023-02-07T12:38:34"/>
    <d v="2023-02-07T11:58:34"/>
    <s v="Within SLA"/>
    <d v="2023-02-08T23:29:06"/>
    <x v="0"/>
    <m/>
    <n v="4"/>
    <m/>
    <x v="3"/>
    <x v="0"/>
    <s v="Austria"/>
    <n v="47.696471899999999"/>
    <n v="13.3457347"/>
    <s v="ok"/>
    <s v="ok"/>
    <s v="ok"/>
    <s v="ok"/>
    <s v="ok"/>
    <x v="0"/>
    <n v="35.842232499970123"/>
  </r>
  <r>
    <x v="0"/>
    <n v="1333"/>
    <x v="2"/>
    <x v="2"/>
    <x v="0"/>
    <s v="1st line support"/>
    <x v="4"/>
    <x v="261"/>
    <d v="2023-02-08T11:08:59"/>
    <d v="2023-02-07T11:10:59"/>
    <d v="2023-02-07T11:09:28"/>
    <s v="Within SLA"/>
    <d v="2023-02-10T19:20:00"/>
    <x v="1"/>
    <d v="2023-02-10T23:38:23"/>
    <n v="6"/>
    <n v="3"/>
    <x v="2"/>
    <x v="0"/>
    <s v="Slovenia"/>
    <n v="46.149166399999999"/>
    <n v="14.9860106"/>
    <s v="ok"/>
    <s v="ok"/>
    <s v="ok"/>
    <s v="ok"/>
    <s v="ok"/>
    <x v="0"/>
    <n v="80.183532222232316"/>
  </r>
  <r>
    <x v="0"/>
    <n v="1334"/>
    <x v="0"/>
    <x v="1"/>
    <x v="1"/>
    <s v="1st line support"/>
    <x v="6"/>
    <x v="262"/>
    <d v="2023-02-09T01:47:29"/>
    <d v="2023-02-07T01:49:29"/>
    <d v="2023-02-07T01:49:22"/>
    <s v="Within SLA"/>
    <d v="2023-02-08T23:23:23"/>
    <x v="0"/>
    <d v="2023-02-12T13:38:26"/>
    <n v="5"/>
    <n v="2"/>
    <x v="3"/>
    <x v="0"/>
    <s v="Spain"/>
    <n v="39.673369999999998"/>
    <n v="-4.7677259999999997"/>
    <s v="ok"/>
    <s v="ok"/>
    <s v="ok"/>
    <s v="ok"/>
    <s v="ok"/>
    <x v="0"/>
    <n v="45.598214722238481"/>
  </r>
  <r>
    <x v="1"/>
    <n v="1335"/>
    <x v="1"/>
    <x v="0"/>
    <x v="5"/>
    <s v="1st line support"/>
    <x v="4"/>
    <x v="263"/>
    <d v="2023-02-09T04:06:57"/>
    <d v="2023-02-07T05:06:57"/>
    <d v="2023-02-07T04:24:22"/>
    <s v="Within SLA"/>
    <m/>
    <x v="1"/>
    <m/>
    <n v="1"/>
    <m/>
    <x v="0"/>
    <x v="0"/>
    <s v="France"/>
    <n v="48.864716000000001"/>
    <n v="2.3490139999999999"/>
    <s v="ok"/>
    <s v="ok"/>
    <s v="ok"/>
    <s v="ok"/>
    <s v="ok"/>
    <x v="1"/>
    <s v=""/>
  </r>
  <r>
    <x v="0"/>
    <n v="1336"/>
    <x v="0"/>
    <x v="0"/>
    <x v="4"/>
    <s v="1st line support"/>
    <x v="3"/>
    <x v="264"/>
    <d v="2023-02-09T19:03:37"/>
    <d v="2023-02-07T20:03:37"/>
    <d v="2023-02-07T19:33:55"/>
    <s v="Within SLA"/>
    <d v="2023-02-08T08:23:06"/>
    <x v="0"/>
    <d v="2023-02-14T00:58:08"/>
    <n v="2"/>
    <n v="4"/>
    <x v="0"/>
    <x v="0"/>
    <s v="Germany"/>
    <n v="51.165691000000002"/>
    <n v="10.451525999999999"/>
    <s v="ok"/>
    <s v="ok"/>
    <s v="ok"/>
    <s v="ok"/>
    <s v="ok"/>
    <x v="0"/>
    <n v="13.324744722107425"/>
  </r>
  <r>
    <x v="0"/>
    <n v="1337"/>
    <x v="1"/>
    <x v="2"/>
    <x v="3"/>
    <s v="1st line support"/>
    <x v="6"/>
    <x v="265"/>
    <d v="2023-02-09T04:57:52"/>
    <d v="2023-02-08T04:59:52"/>
    <d v="2023-02-08T04:58:52"/>
    <s v="Within SLA"/>
    <d v="2023-02-08T16:56:10"/>
    <x v="0"/>
    <d v="2023-02-12T05:52:56"/>
    <n v="2"/>
    <n v="4"/>
    <x v="2"/>
    <x v="0"/>
    <s v="United Kingdom"/>
    <n v="55.378051999999997"/>
    <n v="-3.4359730000000002"/>
    <s v="ok"/>
    <s v="ok"/>
    <s v="ok"/>
    <s v="ok"/>
    <s v="ok"/>
    <x v="0"/>
    <n v="11.971657777845394"/>
  </r>
  <r>
    <x v="0"/>
    <n v="1338"/>
    <x v="0"/>
    <x v="0"/>
    <x v="1"/>
    <s v="1st line support"/>
    <x v="4"/>
    <x v="266"/>
    <d v="2023-02-10T16:09:53"/>
    <d v="2023-02-08T17:09:53"/>
    <d v="2023-02-08T16:23:16"/>
    <s v="Within SLA"/>
    <d v="2023-02-10T04:36:43"/>
    <x v="0"/>
    <d v="2023-02-10T19:50:04"/>
    <n v="2"/>
    <n v="3"/>
    <x v="3"/>
    <x v="0"/>
    <s v="United Kingdom"/>
    <n v="55.378051999999997"/>
    <n v="-3.4359730000000002"/>
    <s v="ok"/>
    <s v="ok"/>
    <s v="ok"/>
    <s v="ok"/>
    <s v="ok"/>
    <x v="0"/>
    <n v="36.447261111054104"/>
  </r>
  <r>
    <x v="2"/>
    <n v="1339"/>
    <x v="0"/>
    <x v="0"/>
    <x v="3"/>
    <s v="1st line support"/>
    <x v="0"/>
    <x v="267"/>
    <d v="2023-02-10T16:05:21"/>
    <d v="2023-02-08T17:05:21"/>
    <d v="2023-02-08T16:37:25"/>
    <s v="Within SLA"/>
    <d v="2023-02-09T16:52:50"/>
    <x v="0"/>
    <m/>
    <n v="1"/>
    <m/>
    <x v="3"/>
    <x v="0"/>
    <s v="Austria"/>
    <n v="47.696471899999999"/>
    <n v="13.3457347"/>
    <s v="ok"/>
    <s v="ok"/>
    <s v="ok"/>
    <s v="ok"/>
    <s v="ok"/>
    <x v="0"/>
    <n v="24.791250833251979"/>
  </r>
  <r>
    <x v="0"/>
    <n v="1340"/>
    <x v="0"/>
    <x v="1"/>
    <x v="4"/>
    <s v="2nd line support"/>
    <x v="5"/>
    <x v="268"/>
    <d v="2023-02-10T04:38:57"/>
    <d v="2023-02-08T04:40:57"/>
    <d v="2023-02-08T04:39:47"/>
    <s v="Within SLA"/>
    <d v="2023-02-09T03:39:36"/>
    <x v="0"/>
    <d v="2023-02-08T14:20:06"/>
    <n v="3"/>
    <n v="5"/>
    <x v="2"/>
    <x v="1"/>
    <s v="Poland"/>
    <n v="52.536273000000001"/>
    <n v="19.050639"/>
    <s v="ok"/>
    <s v="ok"/>
    <s v="check"/>
    <s v="ok"/>
    <s v="ok"/>
    <x v="0"/>
    <n v="23.010928333445918"/>
  </r>
  <r>
    <x v="1"/>
    <n v="1341"/>
    <x v="2"/>
    <x v="1"/>
    <x v="3"/>
    <s v="1st line support"/>
    <x v="0"/>
    <x v="269"/>
    <d v="2023-02-10T13:44:37"/>
    <d v="2023-02-08T13:46:37"/>
    <d v="2023-02-08T13:46:22"/>
    <s v="Within SLA"/>
    <m/>
    <x v="1"/>
    <m/>
    <n v="1"/>
    <m/>
    <x v="0"/>
    <x v="0"/>
    <s v="Poland"/>
    <n v="52.536273000000001"/>
    <n v="19.050639"/>
    <s v="ok"/>
    <s v="ok"/>
    <s v="ok"/>
    <s v="ok"/>
    <s v="ok"/>
    <x v="1"/>
    <s v=""/>
  </r>
  <r>
    <x v="2"/>
    <n v="1342"/>
    <x v="0"/>
    <x v="0"/>
    <x v="3"/>
    <s v="2nd line support"/>
    <x v="5"/>
    <x v="270"/>
    <d v="2023-02-11T08:50:38"/>
    <d v="2023-02-09T09:50:38"/>
    <d v="2023-02-09T09:22:37"/>
    <s v="Within SLA"/>
    <d v="2023-02-10T13:49:26"/>
    <x v="0"/>
    <m/>
    <n v="1"/>
    <m/>
    <x v="3"/>
    <x v="1"/>
    <s v="Slovenia"/>
    <n v="46.149166399999999"/>
    <n v="14.9860106"/>
    <s v="ok"/>
    <s v="ok"/>
    <s v="ok"/>
    <s v="ok"/>
    <s v="ok"/>
    <x v="0"/>
    <n v="28.979882499959785"/>
  </r>
  <r>
    <x v="2"/>
    <n v="1343"/>
    <x v="0"/>
    <x v="2"/>
    <x v="3"/>
    <s v="1st line support"/>
    <x v="0"/>
    <x v="271"/>
    <d v="2023-02-10T06:38:37"/>
    <d v="2023-02-09T06:40:37"/>
    <d v="2023-02-09T06:39:33"/>
    <s v="Within SLA"/>
    <d v="2023-02-10T02:18:46"/>
    <x v="0"/>
    <m/>
    <n v="60"/>
    <m/>
    <x v="2"/>
    <x v="0"/>
    <s v="Germany"/>
    <n v="51.165691000000002"/>
    <n v="10.451525999999999"/>
    <s v="ok"/>
    <s v="ok"/>
    <s v="ok"/>
    <s v="ok"/>
    <s v="ok"/>
    <x v="0"/>
    <n v="19.669151388981845"/>
  </r>
  <r>
    <x v="1"/>
    <n v="1344"/>
    <x v="1"/>
    <x v="2"/>
    <x v="1"/>
    <s v="1st line support"/>
    <x v="4"/>
    <x v="272"/>
    <d v="2023-02-10T07:54:38"/>
    <d v="2023-02-09T07:56:38"/>
    <d v="2023-02-09T07:59:36"/>
    <s v="SLA Violated"/>
    <m/>
    <x v="1"/>
    <m/>
    <n v="4"/>
    <m/>
    <x v="1"/>
    <x v="0"/>
    <s v="Italy"/>
    <n v="43.036776000000003"/>
    <n v="12.678565000000001"/>
    <s v="ok"/>
    <s v="ok"/>
    <s v="ok"/>
    <s v="ok"/>
    <s v="ok"/>
    <x v="1"/>
    <s v=""/>
  </r>
  <r>
    <x v="2"/>
    <n v="1345"/>
    <x v="2"/>
    <x v="0"/>
    <x v="1"/>
    <s v="2nd line support"/>
    <x v="1"/>
    <x v="273"/>
    <d v="2023-02-11T19:20:58"/>
    <d v="2023-02-09T20:20:58"/>
    <d v="2023-02-09T19:27:02"/>
    <s v="Within SLA"/>
    <d v="2023-02-10T06:49:49"/>
    <x v="0"/>
    <m/>
    <n v="2"/>
    <m/>
    <x v="0"/>
    <x v="1"/>
    <s v="Slovenia"/>
    <n v="46.149166399999999"/>
    <n v="14.9860106"/>
    <s v="ok"/>
    <s v="ok"/>
    <s v="ok"/>
    <s v="ok"/>
    <s v="ok"/>
    <x v="0"/>
    <n v="11.480823333200533"/>
  </r>
  <r>
    <x v="1"/>
    <n v="1346"/>
    <x v="2"/>
    <x v="2"/>
    <x v="5"/>
    <s v="1st line support"/>
    <x v="4"/>
    <x v="274"/>
    <d v="2023-02-10T03:51:03"/>
    <d v="2023-02-09T03:53:03"/>
    <d v="2023-02-09T03:51:47"/>
    <s v="Within SLA"/>
    <m/>
    <x v="1"/>
    <m/>
    <n v="6"/>
    <m/>
    <x v="0"/>
    <x v="0"/>
    <s v="Austria"/>
    <n v="47.696471899999999"/>
    <n v="13.3457347"/>
    <s v="ok"/>
    <s v="ok"/>
    <s v="ok"/>
    <s v="ok"/>
    <s v="ok"/>
    <x v="1"/>
    <s v=""/>
  </r>
  <r>
    <x v="1"/>
    <n v="1347"/>
    <x v="0"/>
    <x v="0"/>
    <x v="1"/>
    <s v="1st line support"/>
    <x v="6"/>
    <x v="275"/>
    <d v="2023-02-11T20:42:00"/>
    <d v="2023-02-09T21:42:00"/>
    <d v="2023-02-09T21:34:23"/>
    <s v="Within SLA"/>
    <m/>
    <x v="1"/>
    <m/>
    <n v="9"/>
    <m/>
    <x v="2"/>
    <x v="0"/>
    <s v="Italy"/>
    <n v="43.036776000000003"/>
    <n v="12.678565000000001"/>
    <s v="ok"/>
    <s v="ok"/>
    <s v="ok"/>
    <s v="ok"/>
    <s v="ok"/>
    <x v="1"/>
    <s v=""/>
  </r>
  <r>
    <x v="2"/>
    <n v="1348"/>
    <x v="1"/>
    <x v="0"/>
    <x v="5"/>
    <s v="2nd line support"/>
    <x v="5"/>
    <x v="276"/>
    <d v="2023-02-11T20:34:25"/>
    <d v="2023-02-09T21:34:25"/>
    <d v="2023-02-09T21:19:12"/>
    <s v="Within SLA"/>
    <d v="2023-02-10T10:21:07"/>
    <x v="0"/>
    <m/>
    <n v="6"/>
    <m/>
    <x v="3"/>
    <x v="1"/>
    <s v="Germany"/>
    <n v="51.165691000000002"/>
    <n v="10.451525999999999"/>
    <s v="ok"/>
    <s v="ok"/>
    <s v="ok"/>
    <s v="ok"/>
    <s v="ok"/>
    <x v="0"/>
    <n v="13.778247499954887"/>
  </r>
  <r>
    <x v="2"/>
    <n v="1349"/>
    <x v="0"/>
    <x v="0"/>
    <x v="5"/>
    <s v="1st line support"/>
    <x v="4"/>
    <x v="277"/>
    <d v="2023-02-11T03:04:22"/>
    <d v="2023-02-09T04:04:22"/>
    <d v="2023-02-09T03:32:29"/>
    <s v="Within SLA"/>
    <d v="2023-02-10T09:37:07"/>
    <x v="0"/>
    <m/>
    <n v="5"/>
    <m/>
    <x v="2"/>
    <x v="0"/>
    <s v="Greece"/>
    <n v="39.368279000000001"/>
    <n v="21.863140999999999"/>
    <s v="ok"/>
    <s v="ok"/>
    <s v="ok"/>
    <s v="ok"/>
    <s v="ok"/>
    <x v="0"/>
    <n v="30.545806388778146"/>
  </r>
  <r>
    <x v="0"/>
    <n v="1350"/>
    <x v="0"/>
    <x v="0"/>
    <x v="0"/>
    <s v="1st line support"/>
    <x v="0"/>
    <x v="278"/>
    <d v="2023-02-11T10:01:05"/>
    <d v="2023-02-09T11:01:05"/>
    <d v="2023-02-09T10:55:54"/>
    <s v="Within SLA"/>
    <d v="2023-02-09T14:23:58"/>
    <x v="0"/>
    <d v="2023-02-11T20:32:34"/>
    <n v="10"/>
    <n v="5"/>
    <x v="1"/>
    <x v="0"/>
    <s v="Spain"/>
    <n v="39.673369999999998"/>
    <n v="-4.7677259999999997"/>
    <s v="ok"/>
    <s v="ok"/>
    <s v="ok"/>
    <s v="ok"/>
    <s v="ok"/>
    <x v="0"/>
    <n v="4.3814650001004338"/>
  </r>
  <r>
    <x v="1"/>
    <n v="1351"/>
    <x v="2"/>
    <x v="0"/>
    <x v="2"/>
    <s v="1st line support"/>
    <x v="4"/>
    <x v="279"/>
    <d v="2023-02-11T11:28:08"/>
    <d v="2023-02-09T12:28:08"/>
    <d v="2023-02-09T11:52:03"/>
    <s v="Within SLA"/>
    <m/>
    <x v="1"/>
    <m/>
    <n v="3"/>
    <m/>
    <x v="0"/>
    <x v="0"/>
    <s v="Greece"/>
    <n v="39.368279000000001"/>
    <n v="21.863140999999999"/>
    <s v="ok"/>
    <s v="ok"/>
    <s v="ok"/>
    <s v="ok"/>
    <s v="ok"/>
    <x v="1"/>
    <s v=""/>
  </r>
  <r>
    <x v="1"/>
    <n v="1352"/>
    <x v="2"/>
    <x v="0"/>
    <x v="1"/>
    <s v="1st line support"/>
    <x v="3"/>
    <x v="280"/>
    <d v="2023-02-12T23:16:13"/>
    <d v="2023-02-11T00:16:13"/>
    <d v="2023-02-10T23:39:29"/>
    <s v="Within SLA"/>
    <m/>
    <x v="1"/>
    <m/>
    <n v="2"/>
    <m/>
    <x v="1"/>
    <x v="0"/>
    <s v="Republic of Ireland"/>
    <n v="53.094023999999997"/>
    <n v="-8.0196749999999994"/>
    <s v="ok"/>
    <s v="ok"/>
    <s v="ok"/>
    <s v="ok"/>
    <s v="ok"/>
    <x v="1"/>
    <s v=""/>
  </r>
  <r>
    <x v="2"/>
    <n v="1353"/>
    <x v="0"/>
    <x v="1"/>
    <x v="4"/>
    <s v="1st line support"/>
    <x v="3"/>
    <x v="281"/>
    <d v="2023-02-12T21:21:01"/>
    <d v="2023-02-10T21:23:01"/>
    <d v="2023-02-10T21:22:07"/>
    <s v="Within SLA"/>
    <d v="2023-02-11T05:27:01"/>
    <x v="0"/>
    <m/>
    <n v="3"/>
    <m/>
    <x v="0"/>
    <x v="0"/>
    <s v="Germany"/>
    <n v="51.165691000000002"/>
    <n v="10.451525999999999"/>
    <s v="ok"/>
    <s v="ok"/>
    <s v="ok"/>
    <s v="ok"/>
    <s v="ok"/>
    <x v="0"/>
    <n v="8.1000016666366719"/>
  </r>
  <r>
    <x v="0"/>
    <n v="1354"/>
    <x v="2"/>
    <x v="0"/>
    <x v="4"/>
    <s v="1st line support"/>
    <x v="6"/>
    <x v="282"/>
    <d v="2023-02-12T03:56:25"/>
    <d v="2023-02-10T04:56:25"/>
    <d v="2023-02-10T04:01:52"/>
    <s v="Within SLA"/>
    <d v="2023-02-13T07:35:55"/>
    <x v="1"/>
    <d v="2023-02-13T13:26:40"/>
    <n v="10"/>
    <n v="5"/>
    <x v="2"/>
    <x v="0"/>
    <s v="Poland"/>
    <n v="52.536273000000001"/>
    <n v="19.050639"/>
    <s v="ok"/>
    <s v="ok"/>
    <s v="ok"/>
    <s v="ok"/>
    <s v="ok"/>
    <x v="0"/>
    <n v="75.658270833373535"/>
  </r>
  <r>
    <x v="0"/>
    <n v="1355"/>
    <x v="1"/>
    <x v="1"/>
    <x v="3"/>
    <s v="1st line support"/>
    <x v="3"/>
    <x v="283"/>
    <d v="2023-02-12T10:39:29"/>
    <d v="2023-02-10T10:41:29"/>
    <d v="2023-02-10T10:43:14"/>
    <s v="SLA Violated"/>
    <d v="2023-02-13T09:15:16"/>
    <x v="1"/>
    <d v="2023-02-14T08:33:59"/>
    <n v="2"/>
    <n v="3"/>
    <x v="2"/>
    <x v="0"/>
    <s v="United Kingdom"/>
    <n v="55.378051999999997"/>
    <n v="-3.4359730000000002"/>
    <s v="ok"/>
    <s v="ok"/>
    <s v="ok"/>
    <s v="ok"/>
    <s v="ok"/>
    <x v="0"/>
    <n v="70.596290277899243"/>
  </r>
  <r>
    <x v="2"/>
    <n v="1356"/>
    <x v="1"/>
    <x v="2"/>
    <x v="3"/>
    <s v="1st line support"/>
    <x v="6"/>
    <x v="284"/>
    <d v="2023-02-11T07:48:37"/>
    <d v="2023-02-10T07:50:37"/>
    <d v="2023-02-10T07:49:02"/>
    <s v="Within SLA"/>
    <d v="2023-02-11T00:46:50"/>
    <x v="0"/>
    <m/>
    <n v="6"/>
    <m/>
    <x v="0"/>
    <x v="0"/>
    <s v="Italy"/>
    <n v="43.036776000000003"/>
    <n v="12.678565000000001"/>
    <s v="ok"/>
    <s v="ok"/>
    <s v="ok"/>
    <s v="ok"/>
    <s v="ok"/>
    <x v="0"/>
    <n v="16.970312222081702"/>
  </r>
  <r>
    <x v="2"/>
    <n v="1357"/>
    <x v="0"/>
    <x v="0"/>
    <x v="1"/>
    <s v="1st line support"/>
    <x v="0"/>
    <x v="285"/>
    <d v="2023-02-13T23:15:36"/>
    <d v="2023-02-12T00:15:36"/>
    <d v="2023-02-12T00:10:07"/>
    <s v="Within SLA"/>
    <d v="2023-02-13T08:12:22"/>
    <x v="0"/>
    <m/>
    <n v="6"/>
    <m/>
    <x v="3"/>
    <x v="0"/>
    <s v="Spain"/>
    <n v="39.673369999999998"/>
    <n v="-4.7677259999999997"/>
    <s v="ok"/>
    <s v="ok"/>
    <s v="ok"/>
    <s v="ok"/>
    <s v="ok"/>
    <x v="0"/>
    <n v="32.946050833328627"/>
  </r>
  <r>
    <x v="1"/>
    <n v="1358"/>
    <x v="2"/>
    <x v="0"/>
    <x v="5"/>
    <s v="1st line support"/>
    <x v="6"/>
    <x v="286"/>
    <d v="2023-02-13T17:13:31"/>
    <d v="2023-02-11T18:13:31"/>
    <d v="2023-02-11T22:22:15"/>
    <s v="SLA Violated"/>
    <m/>
    <x v="1"/>
    <m/>
    <n v="4"/>
    <m/>
    <x v="0"/>
    <x v="0"/>
    <s v="Italy"/>
    <n v="43.036776000000003"/>
    <n v="12.678565000000001"/>
    <s v="ok"/>
    <s v="ok"/>
    <s v="ok"/>
    <s v="ok"/>
    <s v="ok"/>
    <x v="1"/>
    <s v=""/>
  </r>
  <r>
    <x v="0"/>
    <n v="1359"/>
    <x v="2"/>
    <x v="2"/>
    <x v="1"/>
    <s v="1st line support"/>
    <x v="2"/>
    <x v="287"/>
    <d v="2023-02-12T23:00:44"/>
    <d v="2023-02-11T23:02:44"/>
    <d v="2023-02-11T23:02:37"/>
    <s v="Within SLA"/>
    <d v="2023-02-12T22:01:18"/>
    <x v="0"/>
    <d v="2023-02-16T07:06:27"/>
    <n v="2"/>
    <n v="3"/>
    <x v="2"/>
    <x v="0"/>
    <s v="United Kingdom"/>
    <n v="55.378051999999997"/>
    <n v="-3.4359730000000002"/>
    <s v="ok"/>
    <s v="ok"/>
    <s v="ok"/>
    <s v="ok"/>
    <s v="ok"/>
    <x v="0"/>
    <n v="23.009498055616859"/>
  </r>
  <r>
    <x v="2"/>
    <n v="1368"/>
    <x v="1"/>
    <x v="2"/>
    <x v="4"/>
    <s v="1st line support"/>
    <x v="0"/>
    <x v="288"/>
    <d v="2023-02-13T17:55:38"/>
    <d v="2023-02-12T17:57:38"/>
    <d v="2023-02-12T18:00:19"/>
    <s v="SLA Violated"/>
    <d v="2023-02-13T17:09:39"/>
    <x v="0"/>
    <m/>
    <n v="6"/>
    <m/>
    <x v="1"/>
    <x v="0"/>
    <s v="Spain"/>
    <n v="39.673369999999998"/>
    <n v="-4.7677259999999997"/>
    <s v="ok"/>
    <s v="ok"/>
    <s v="ok"/>
    <s v="ok"/>
    <s v="ok"/>
    <x v="0"/>
    <n v="23.233557777770329"/>
  </r>
  <r>
    <x v="0"/>
    <n v="1372"/>
    <x v="0"/>
    <x v="0"/>
    <x v="4"/>
    <s v="1st line support"/>
    <x v="6"/>
    <x v="289"/>
    <d v="2023-02-14T20:50:05"/>
    <d v="2023-02-12T21:50:05"/>
    <d v="2023-02-12T21:02:25"/>
    <s v="Within SLA"/>
    <d v="2023-02-13T14:36:10"/>
    <x v="0"/>
    <d v="2023-02-14T10:17:44"/>
    <n v="5"/>
    <n v="3"/>
    <x v="3"/>
    <x v="0"/>
    <s v="United Kingdom"/>
    <n v="55.378051999999997"/>
    <n v="-3.4359730000000002"/>
    <s v="ok"/>
    <s v="ok"/>
    <s v="ok"/>
    <s v="ok"/>
    <s v="ok"/>
    <x v="0"/>
    <n v="17.768026111240033"/>
  </r>
  <r>
    <x v="2"/>
    <n v="1373"/>
    <x v="1"/>
    <x v="2"/>
    <x v="1"/>
    <s v="1st line support"/>
    <x v="2"/>
    <x v="290"/>
    <d v="2023-02-13T13:46:33"/>
    <d v="2023-02-12T13:48:33"/>
    <d v="2023-02-12T13:47:11"/>
    <s v="Within SLA"/>
    <d v="2023-02-13T08:21:53"/>
    <x v="0"/>
    <m/>
    <n v="6"/>
    <m/>
    <x v="2"/>
    <x v="0"/>
    <s v="Bulgaria"/>
    <n v="42.724992499999999"/>
    <n v="25.483303899999999"/>
    <s v="ok"/>
    <s v="ok"/>
    <s v="ok"/>
    <s v="ok"/>
    <s v="ok"/>
    <x v="0"/>
    <n v="18.588765555527061"/>
  </r>
  <r>
    <x v="0"/>
    <n v="1374"/>
    <x v="1"/>
    <x v="0"/>
    <x v="1"/>
    <s v="1st line support"/>
    <x v="4"/>
    <x v="291"/>
    <d v="2023-02-15T16:58:46"/>
    <d v="2023-02-13T17:58:46"/>
    <d v="2023-02-13T17:26:52"/>
    <s v="Within SLA"/>
    <d v="2023-02-15T02:51:52"/>
    <x v="0"/>
    <d v="2023-02-19T15:33:51"/>
    <n v="7"/>
    <n v="4"/>
    <x v="2"/>
    <x v="0"/>
    <s v="Greece"/>
    <n v="39.368279000000001"/>
    <n v="21.863140999999999"/>
    <s v="ok"/>
    <s v="ok"/>
    <s v="ok"/>
    <s v="ok"/>
    <s v="ok"/>
    <x v="0"/>
    <n v="33.884976111177821"/>
  </r>
  <r>
    <x v="0"/>
    <n v="1375"/>
    <x v="1"/>
    <x v="2"/>
    <x v="0"/>
    <s v="1st line support"/>
    <x v="0"/>
    <x v="292"/>
    <d v="2023-02-14T05:54:09"/>
    <d v="2023-02-13T05:56:09"/>
    <d v="2023-02-13T05:54:13"/>
    <s v="Within SLA"/>
    <d v="2023-02-13T09:43:22"/>
    <x v="0"/>
    <d v="2023-02-15T09:20:39"/>
    <n v="8"/>
    <n v="4"/>
    <x v="0"/>
    <x v="0"/>
    <s v="United Kingdom"/>
    <n v="55.378051999999997"/>
    <n v="-3.4359730000000002"/>
    <s v="ok"/>
    <s v="ok"/>
    <s v="ok"/>
    <s v="ok"/>
    <s v="ok"/>
    <x v="0"/>
    <n v="3.8203683332540095"/>
  </r>
  <r>
    <x v="0"/>
    <n v="1376"/>
    <x v="2"/>
    <x v="0"/>
    <x v="0"/>
    <s v="2nd line support"/>
    <x v="7"/>
    <x v="293"/>
    <d v="2023-02-15T22:00:47"/>
    <d v="2023-02-13T23:00:47"/>
    <d v="2023-02-13T22:38:59"/>
    <s v="Within SLA"/>
    <d v="2023-02-14T18:30:48"/>
    <x v="0"/>
    <d v="2023-02-17T00:45:54"/>
    <n v="1"/>
    <n v="5"/>
    <x v="0"/>
    <x v="1"/>
    <s v="France"/>
    <n v="48.864716000000001"/>
    <n v="2.3490139999999999"/>
    <s v="ok"/>
    <s v="ok"/>
    <s v="ok"/>
    <s v="ok"/>
    <s v="ok"/>
    <x v="0"/>
    <n v="20.500213611172512"/>
  </r>
  <r>
    <x v="0"/>
    <n v="1377"/>
    <x v="2"/>
    <x v="2"/>
    <x v="1"/>
    <s v="1st line support"/>
    <x v="0"/>
    <x v="294"/>
    <d v="2023-02-14T15:35:36"/>
    <d v="2023-02-13T15:37:36"/>
    <d v="2023-02-13T15:36:45"/>
    <s v="Within SLA"/>
    <d v="2023-02-13T21:59:35"/>
    <x v="0"/>
    <d v="2023-02-18T12:49:55"/>
    <n v="2"/>
    <n v="5"/>
    <x v="2"/>
    <x v="0"/>
    <s v="Austria"/>
    <n v="47.696471899999999"/>
    <n v="13.3457347"/>
    <s v="ok"/>
    <s v="ok"/>
    <s v="ok"/>
    <s v="ok"/>
    <s v="ok"/>
    <x v="0"/>
    <n v="6.3997577777481638"/>
  </r>
  <r>
    <x v="1"/>
    <n v="1378"/>
    <x v="1"/>
    <x v="2"/>
    <x v="3"/>
    <s v="1st line support"/>
    <x v="6"/>
    <x v="295"/>
    <d v="2023-02-14T11:51:48"/>
    <d v="2023-02-13T11:53:48"/>
    <d v="2023-02-13T11:53:42"/>
    <s v="Within SLA"/>
    <m/>
    <x v="1"/>
    <m/>
    <n v="6"/>
    <m/>
    <x v="1"/>
    <x v="0"/>
    <s v="Germany"/>
    <n v="51.165691000000002"/>
    <n v="10.451525999999999"/>
    <s v="ok"/>
    <s v="ok"/>
    <s v="ok"/>
    <s v="ok"/>
    <s v="ok"/>
    <x v="1"/>
    <s v=""/>
  </r>
  <r>
    <x v="0"/>
    <n v="1379"/>
    <x v="0"/>
    <x v="0"/>
    <x v="1"/>
    <s v="1st line support"/>
    <x v="4"/>
    <x v="296"/>
    <d v="2023-02-16T15:59:53"/>
    <d v="2023-02-14T16:59:53"/>
    <d v="2023-02-14T16:11:38"/>
    <s v="Within SLA"/>
    <d v="2023-02-16T12:20:04"/>
    <x v="0"/>
    <d v="2023-02-15T19:54:53"/>
    <n v="3"/>
    <n v="4"/>
    <x v="2"/>
    <x v="0"/>
    <s v="Poland"/>
    <n v="52.536273000000001"/>
    <n v="19.050639"/>
    <s v="ok"/>
    <s v="ok"/>
    <s v="check"/>
    <s v="ok"/>
    <s v="ok"/>
    <x v="0"/>
    <n v="44.336250555468723"/>
  </r>
  <r>
    <x v="1"/>
    <n v="1380"/>
    <x v="0"/>
    <x v="0"/>
    <x v="5"/>
    <s v="2nd line support"/>
    <x v="1"/>
    <x v="297"/>
    <d v="2023-02-16T14:37:36"/>
    <d v="2023-02-14T15:37:36"/>
    <d v="2023-02-14T15:28:41"/>
    <s v="Within SLA"/>
    <m/>
    <x v="1"/>
    <m/>
    <n v="2"/>
    <m/>
    <x v="2"/>
    <x v="1"/>
    <s v="United Kingdom"/>
    <n v="55.378051999999997"/>
    <n v="-3.4359730000000002"/>
    <s v="ok"/>
    <s v="ok"/>
    <s v="ok"/>
    <s v="ok"/>
    <s v="ok"/>
    <x v="1"/>
    <s v=""/>
  </r>
  <r>
    <x v="0"/>
    <n v="1381"/>
    <x v="2"/>
    <x v="0"/>
    <x v="3"/>
    <s v="2nd line support"/>
    <x v="7"/>
    <x v="298"/>
    <d v="2023-02-16T13:50:42"/>
    <d v="2023-02-14T14:50:42"/>
    <d v="2023-02-14T14:34:00"/>
    <s v="Within SLA"/>
    <d v="2023-02-15T09:50:36"/>
    <x v="0"/>
    <d v="2023-02-20T00:57:44"/>
    <n v="1"/>
    <n v="1"/>
    <x v="0"/>
    <x v="1"/>
    <s v="Germany"/>
    <n v="51.165691000000002"/>
    <n v="10.451525999999999"/>
    <s v="ok"/>
    <s v="ok"/>
    <s v="ok"/>
    <s v="ok"/>
    <s v="ok"/>
    <x v="0"/>
    <n v="19.998241388937458"/>
  </r>
  <r>
    <x v="2"/>
    <n v="1382"/>
    <x v="1"/>
    <x v="0"/>
    <x v="3"/>
    <s v="1st line support"/>
    <x v="3"/>
    <x v="299"/>
    <d v="2023-02-16T22:46:19"/>
    <d v="2023-02-14T23:46:19"/>
    <d v="2023-02-14T23:57:06"/>
    <s v="SLA Violated"/>
    <d v="2023-02-15T07:22:08"/>
    <x v="0"/>
    <m/>
    <n v="3"/>
    <m/>
    <x v="1"/>
    <x v="0"/>
    <s v="Greece"/>
    <n v="39.368279000000001"/>
    <n v="21.863140999999999"/>
    <s v="ok"/>
    <s v="ok"/>
    <s v="ok"/>
    <s v="ok"/>
    <s v="ok"/>
    <x v="0"/>
    <n v="8.596810833318159"/>
  </r>
  <r>
    <x v="2"/>
    <n v="1383"/>
    <x v="0"/>
    <x v="2"/>
    <x v="1"/>
    <s v="1st line support"/>
    <x v="0"/>
    <x v="300"/>
    <d v="2023-02-15T05:47:05"/>
    <d v="2023-02-14T05:49:05"/>
    <d v="2023-02-14T05:48:39"/>
    <s v="Within SLA"/>
    <d v="2023-02-14T09:08:57"/>
    <x v="0"/>
    <m/>
    <n v="7"/>
    <m/>
    <x v="2"/>
    <x v="0"/>
    <s v="Bulgaria"/>
    <n v="42.724992499999999"/>
    <n v="25.483303899999999"/>
    <s v="ok"/>
    <s v="ok"/>
    <s v="ok"/>
    <s v="ok"/>
    <s v="ok"/>
    <x v="0"/>
    <n v="3.3645027777529322"/>
  </r>
  <r>
    <x v="2"/>
    <n v="1384"/>
    <x v="0"/>
    <x v="1"/>
    <x v="3"/>
    <s v="1st line support"/>
    <x v="0"/>
    <x v="301"/>
    <d v="2023-02-16T15:54:07"/>
    <d v="2023-02-14T15:56:07"/>
    <d v="2023-02-14T15:56:42"/>
    <s v="SLA Violated"/>
    <d v="2023-02-14T20:39:01"/>
    <x v="0"/>
    <m/>
    <n v="6"/>
    <m/>
    <x v="2"/>
    <x v="0"/>
    <s v="Germany"/>
    <n v="51.165691000000002"/>
    <n v="10.451525999999999"/>
    <s v="ok"/>
    <s v="ok"/>
    <s v="ok"/>
    <s v="ok"/>
    <s v="ok"/>
    <x v="0"/>
    <n v="4.7483319444581866"/>
  </r>
  <r>
    <x v="0"/>
    <n v="1385"/>
    <x v="0"/>
    <x v="0"/>
    <x v="1"/>
    <s v="2nd line support"/>
    <x v="5"/>
    <x v="302"/>
    <d v="2023-02-16T10:28:47"/>
    <d v="2023-02-14T11:28:47"/>
    <d v="2023-02-14T10:59:14"/>
    <s v="Within SLA"/>
    <d v="2023-02-15T08:28:40"/>
    <x v="0"/>
    <d v="2023-02-20T05:47:09"/>
    <n v="1"/>
    <n v="1"/>
    <x v="2"/>
    <x v="1"/>
    <s v="Austria"/>
    <n v="47.696471899999999"/>
    <n v="13.3457347"/>
    <s v="ok"/>
    <s v="ok"/>
    <s v="ok"/>
    <s v="ok"/>
    <s v="ok"/>
    <x v="0"/>
    <n v="21.998020277882461"/>
  </r>
  <r>
    <x v="0"/>
    <n v="1386"/>
    <x v="1"/>
    <x v="1"/>
    <x v="0"/>
    <s v="2nd line support"/>
    <x v="5"/>
    <x v="303"/>
    <d v="2023-02-16T08:24:35"/>
    <d v="2023-02-14T08:26:35"/>
    <d v="2023-02-14T08:27:31"/>
    <s v="SLA Violated"/>
    <d v="2023-02-14T17:14:24"/>
    <x v="0"/>
    <d v="2023-02-16T03:22:16"/>
    <n v="2"/>
    <n v="1"/>
    <x v="1"/>
    <x v="1"/>
    <s v="Italy"/>
    <n v="43.036776000000003"/>
    <n v="12.678565000000001"/>
    <s v="ok"/>
    <s v="ok"/>
    <s v="ok"/>
    <s v="ok"/>
    <s v="ok"/>
    <x v="0"/>
    <n v="8.830296944535803"/>
  </r>
  <r>
    <x v="1"/>
    <n v="1387"/>
    <x v="2"/>
    <x v="1"/>
    <x v="4"/>
    <s v="1st line support"/>
    <x v="0"/>
    <x v="304"/>
    <d v="2023-02-17T18:19:14"/>
    <d v="2023-02-15T18:21:14"/>
    <d v="2023-02-15T18:19:28"/>
    <s v="Within SLA"/>
    <m/>
    <x v="1"/>
    <m/>
    <n v="2"/>
    <m/>
    <x v="2"/>
    <x v="0"/>
    <s v="Poland"/>
    <n v="52.536273000000001"/>
    <n v="19.050639"/>
    <s v="ok"/>
    <s v="ok"/>
    <s v="ok"/>
    <s v="ok"/>
    <s v="ok"/>
    <x v="1"/>
    <s v=""/>
  </r>
  <r>
    <x v="0"/>
    <n v="1388"/>
    <x v="0"/>
    <x v="0"/>
    <x v="3"/>
    <s v="1st line support"/>
    <x v="4"/>
    <x v="305"/>
    <d v="2023-02-17T17:28:46"/>
    <d v="2023-02-15T18:28:46"/>
    <d v="2023-02-15T18:02:57"/>
    <s v="Within SLA"/>
    <d v="2023-02-17T12:53:44"/>
    <x v="0"/>
    <d v="2023-02-21T07:14:46"/>
    <n v="7"/>
    <n v="5"/>
    <x v="2"/>
    <x v="0"/>
    <s v="Italy"/>
    <n v="43.036776000000003"/>
    <n v="12.678565000000001"/>
    <s v="ok"/>
    <s v="ok"/>
    <s v="ok"/>
    <s v="ok"/>
    <s v="ok"/>
    <x v="0"/>
    <n v="43.416222777741496"/>
  </r>
  <r>
    <x v="0"/>
    <n v="1389"/>
    <x v="0"/>
    <x v="0"/>
    <x v="3"/>
    <s v="2nd line support"/>
    <x v="5"/>
    <x v="306"/>
    <d v="2023-02-17T17:13:03"/>
    <d v="2023-02-15T18:13:03"/>
    <d v="2023-02-15T17:23:53"/>
    <s v="Within SLA"/>
    <d v="2023-02-16T14:43:12"/>
    <x v="0"/>
    <d v="2023-02-17T13:39:07"/>
    <n v="6"/>
    <n v="1"/>
    <x v="0"/>
    <x v="1"/>
    <s v="Greece"/>
    <n v="39.368279000000001"/>
    <n v="21.863140999999999"/>
    <s v="ok"/>
    <s v="ok"/>
    <s v="ok"/>
    <s v="ok"/>
    <s v="ok"/>
    <x v="0"/>
    <n v="21.502464999910444"/>
  </r>
  <r>
    <x v="2"/>
    <n v="1390"/>
    <x v="1"/>
    <x v="0"/>
    <x v="1"/>
    <s v="1st line support"/>
    <x v="6"/>
    <x v="307"/>
    <d v="2023-02-17T02:01:20"/>
    <d v="2023-02-15T03:01:20"/>
    <d v="2023-02-15T02:27:28"/>
    <s v="Within SLA"/>
    <d v="2023-02-17T00:02:38"/>
    <x v="0"/>
    <m/>
    <n v="10"/>
    <m/>
    <x v="2"/>
    <x v="0"/>
    <s v="Poland"/>
    <n v="52.536273000000001"/>
    <n v="19.050639"/>
    <s v="ok"/>
    <s v="ok"/>
    <s v="ok"/>
    <s v="ok"/>
    <s v="ok"/>
    <x v="0"/>
    <n v="46.021731111046392"/>
  </r>
  <r>
    <x v="2"/>
    <n v="1391"/>
    <x v="0"/>
    <x v="0"/>
    <x v="5"/>
    <s v="1st line support"/>
    <x v="4"/>
    <x v="308"/>
    <d v="2023-02-17T00:06:37"/>
    <d v="2023-02-15T01:06:37"/>
    <d v="2023-02-15T00:23:30"/>
    <s v="Within SLA"/>
    <d v="2023-02-15T11:07:33"/>
    <x v="0"/>
    <m/>
    <n v="8"/>
    <m/>
    <x v="2"/>
    <x v="0"/>
    <s v="United Kingdom"/>
    <n v="55.378051999999997"/>
    <n v="-3.4359730000000002"/>
    <s v="ok"/>
    <s v="ok"/>
    <s v="ok"/>
    <s v="ok"/>
    <s v="ok"/>
    <x v="0"/>
    <n v="11.015661666810047"/>
  </r>
  <r>
    <x v="0"/>
    <n v="1392"/>
    <x v="0"/>
    <x v="0"/>
    <x v="3"/>
    <s v="1st line support"/>
    <x v="2"/>
    <x v="309"/>
    <d v="2023-02-17T12:18:14"/>
    <d v="2023-02-15T13:18:14"/>
    <d v="2023-02-15T12:20:53"/>
    <s v="Within SLA"/>
    <d v="2023-02-18T15:38:03"/>
    <x v="1"/>
    <d v="2023-02-20T05:56:49"/>
    <n v="5"/>
    <n v="5"/>
    <x v="0"/>
    <x v="0"/>
    <s v="Spain"/>
    <n v="39.673369999999998"/>
    <n v="-4.7677259999999997"/>
    <s v="ok"/>
    <s v="ok"/>
    <s v="ok"/>
    <s v="ok"/>
    <s v="ok"/>
    <x v="0"/>
    <n v="75.330394722288474"/>
  </r>
  <r>
    <x v="2"/>
    <n v="1393"/>
    <x v="1"/>
    <x v="1"/>
    <x v="3"/>
    <s v="1st line support"/>
    <x v="0"/>
    <x v="310"/>
    <d v="2023-02-17T00:29:04"/>
    <d v="2023-02-15T00:31:04"/>
    <d v="2023-02-15T00:29:51"/>
    <s v="Within SLA"/>
    <d v="2023-02-15T17:52:43"/>
    <x v="0"/>
    <m/>
    <n v="1"/>
    <m/>
    <x v="0"/>
    <x v="0"/>
    <s v="Italy"/>
    <n v="43.036776000000003"/>
    <n v="12.678565000000001"/>
    <s v="ok"/>
    <s v="ok"/>
    <s v="ok"/>
    <s v="ok"/>
    <s v="ok"/>
    <x v="0"/>
    <n v="17.394121389021166"/>
  </r>
  <r>
    <x v="2"/>
    <n v="1394"/>
    <x v="1"/>
    <x v="0"/>
    <x v="3"/>
    <s v="2nd line support"/>
    <x v="7"/>
    <x v="311"/>
    <d v="2023-02-17T16:04:53"/>
    <d v="2023-02-15T17:04:53"/>
    <d v="2023-02-15T16:15:06"/>
    <s v="Within SLA"/>
    <d v="2023-02-17T07:27:19"/>
    <x v="0"/>
    <m/>
    <n v="1"/>
    <m/>
    <x v="2"/>
    <x v="1"/>
    <s v="United Kingdom"/>
    <n v="55.378051999999997"/>
    <n v="-3.4359730000000002"/>
    <s v="ok"/>
    <s v="ok"/>
    <s v="ok"/>
    <s v="ok"/>
    <s v="ok"/>
    <x v="0"/>
    <n v="39.373826388968155"/>
  </r>
  <r>
    <x v="0"/>
    <n v="1395"/>
    <x v="2"/>
    <x v="2"/>
    <x v="1"/>
    <s v="1st line support"/>
    <x v="2"/>
    <x v="312"/>
    <d v="2023-02-16T10:04:09"/>
    <d v="2023-02-15T10:06:09"/>
    <d v="2023-02-15T10:05:31"/>
    <s v="Within SLA"/>
    <d v="2023-02-15T17:21:21"/>
    <x v="0"/>
    <d v="2023-02-21T04:09:25"/>
    <n v="6"/>
    <n v="4"/>
    <x v="1"/>
    <x v="0"/>
    <s v="Poland"/>
    <n v="52.536273000000001"/>
    <n v="19.050639"/>
    <s v="ok"/>
    <s v="ok"/>
    <s v="ok"/>
    <s v="ok"/>
    <s v="ok"/>
    <x v="0"/>
    <n v="7.2865447220974602"/>
  </r>
  <r>
    <x v="2"/>
    <n v="1396"/>
    <x v="0"/>
    <x v="0"/>
    <x v="2"/>
    <s v="1st line support"/>
    <x v="0"/>
    <x v="313"/>
    <d v="2023-02-17T04:35:29"/>
    <d v="2023-02-15T05:35:29"/>
    <d v="2023-02-15T06:58:33"/>
    <s v="SLA Violated"/>
    <d v="2023-02-16T12:44:22"/>
    <x v="0"/>
    <m/>
    <n v="1"/>
    <m/>
    <x v="2"/>
    <x v="0"/>
    <s v="Italy"/>
    <n v="43.036776000000003"/>
    <n v="12.678565000000001"/>
    <s v="ok"/>
    <s v="ok"/>
    <s v="ok"/>
    <s v="ok"/>
    <s v="ok"/>
    <x v="0"/>
    <n v="32.148102222243324"/>
  </r>
  <r>
    <x v="2"/>
    <n v="1397"/>
    <x v="0"/>
    <x v="0"/>
    <x v="1"/>
    <s v="1st line support"/>
    <x v="4"/>
    <x v="314"/>
    <d v="2023-02-18T00:26:24"/>
    <d v="2023-02-16T01:26:24"/>
    <d v="2023-02-16T00:55:24"/>
    <s v="Within SLA"/>
    <d v="2023-02-16T06:30:34"/>
    <x v="0"/>
    <m/>
    <n v="1"/>
    <m/>
    <x v="1"/>
    <x v="0"/>
    <s v="Bulgaria"/>
    <n v="42.724992499999999"/>
    <n v="25.483303899999999"/>
    <s v="ok"/>
    <s v="ok"/>
    <s v="ok"/>
    <s v="ok"/>
    <s v="ok"/>
    <x v="0"/>
    <n v="6.0693908332614228"/>
  </r>
  <r>
    <x v="0"/>
    <n v="1398"/>
    <x v="1"/>
    <x v="0"/>
    <x v="0"/>
    <s v="1st line support"/>
    <x v="4"/>
    <x v="315"/>
    <d v="2023-02-18T07:38:48"/>
    <d v="2023-02-16T08:38:48"/>
    <d v="2023-02-16T08:18:49"/>
    <s v="Within SLA"/>
    <d v="2023-02-17T18:32:13"/>
    <x v="0"/>
    <d v="2023-02-19T09:43:18"/>
    <n v="9"/>
    <n v="4"/>
    <x v="2"/>
    <x v="0"/>
    <s v="Germany"/>
    <n v="51.165691000000002"/>
    <n v="10.451525999999999"/>
    <s v="ok"/>
    <s v="ok"/>
    <s v="ok"/>
    <s v="ok"/>
    <s v="ok"/>
    <x v="0"/>
    <n v="34.890194166626316"/>
  </r>
  <r>
    <x v="1"/>
    <n v="1399"/>
    <x v="2"/>
    <x v="2"/>
    <x v="3"/>
    <s v="2nd line support"/>
    <x v="5"/>
    <x v="316"/>
    <d v="2023-02-17T12:00:03"/>
    <d v="2023-02-16T12:02:03"/>
    <d v="2023-02-16T12:01:20"/>
    <s v="Within SLA"/>
    <m/>
    <x v="1"/>
    <m/>
    <n v="60"/>
    <m/>
    <x v="0"/>
    <x v="1"/>
    <s v="Poland"/>
    <n v="52.536273000000001"/>
    <n v="19.050639"/>
    <s v="ok"/>
    <s v="ok"/>
    <s v="ok"/>
    <s v="ok"/>
    <s v="ok"/>
    <x v="1"/>
    <s v=""/>
  </r>
  <r>
    <x v="0"/>
    <n v="1400"/>
    <x v="2"/>
    <x v="2"/>
    <x v="1"/>
    <s v="1st line support"/>
    <x v="6"/>
    <x v="317"/>
    <d v="2023-02-17T18:57:00"/>
    <d v="2023-02-16T18:59:00"/>
    <d v="2023-02-16T18:57:39"/>
    <s v="Within SLA"/>
    <d v="2023-02-16T23:33:58"/>
    <x v="0"/>
    <d v="2023-02-22T23:05:47"/>
    <n v="6"/>
    <n v="4"/>
    <x v="3"/>
    <x v="0"/>
    <s v="Slovenia"/>
    <n v="46.149166399999999"/>
    <n v="14.9860106"/>
    <s v="ok"/>
    <s v="ok"/>
    <s v="ok"/>
    <s v="ok"/>
    <s v="ok"/>
    <x v="0"/>
    <n v="4.6161775000509806"/>
  </r>
  <r>
    <x v="2"/>
    <n v="1401"/>
    <x v="0"/>
    <x v="0"/>
    <x v="1"/>
    <s v="2nd line support"/>
    <x v="7"/>
    <x v="318"/>
    <d v="2023-02-18T06:49:55"/>
    <d v="2023-02-16T07:49:55"/>
    <d v="2023-02-16T07:09:33"/>
    <s v="Within SLA"/>
    <d v="2023-02-16T21:16:34"/>
    <x v="0"/>
    <m/>
    <n v="1"/>
    <m/>
    <x v="0"/>
    <x v="1"/>
    <s v="Poland"/>
    <n v="52.536273000000001"/>
    <n v="19.050639"/>
    <s v="ok"/>
    <s v="ok"/>
    <s v="ok"/>
    <s v="ok"/>
    <s v="ok"/>
    <x v="0"/>
    <n v="14.444231666740961"/>
  </r>
  <r>
    <x v="2"/>
    <n v="1402"/>
    <x v="0"/>
    <x v="2"/>
    <x v="1"/>
    <s v="1st line support"/>
    <x v="2"/>
    <x v="319"/>
    <d v="2023-02-18T21:06:58"/>
    <d v="2023-02-17T21:08:58"/>
    <d v="2023-02-17T21:11:16"/>
    <s v="SLA Violated"/>
    <d v="2023-02-18T15:04:41"/>
    <x v="0"/>
    <m/>
    <n v="6"/>
    <m/>
    <x v="3"/>
    <x v="0"/>
    <s v="Germany"/>
    <n v="51.165691000000002"/>
    <n v="10.451525999999999"/>
    <s v="ok"/>
    <s v="ok"/>
    <s v="ok"/>
    <s v="ok"/>
    <s v="ok"/>
    <x v="0"/>
    <n v="17.961901388887782"/>
  </r>
  <r>
    <x v="1"/>
    <n v="1403"/>
    <x v="0"/>
    <x v="0"/>
    <x v="1"/>
    <s v="1st line support"/>
    <x v="2"/>
    <x v="320"/>
    <d v="2023-02-19T07:44:46"/>
    <d v="2023-02-17T08:44:46"/>
    <d v="2023-02-17T08:16:25"/>
    <s v="Within SLA"/>
    <m/>
    <x v="1"/>
    <m/>
    <n v="5"/>
    <m/>
    <x v="1"/>
    <x v="0"/>
    <s v="Italy"/>
    <n v="43.036776000000003"/>
    <n v="12.678565000000001"/>
    <s v="ok"/>
    <s v="ok"/>
    <s v="ok"/>
    <s v="ok"/>
    <s v="ok"/>
    <x v="1"/>
    <s v=""/>
  </r>
  <r>
    <x v="2"/>
    <n v="1404"/>
    <x v="0"/>
    <x v="0"/>
    <x v="1"/>
    <s v="2nd line support"/>
    <x v="7"/>
    <x v="321"/>
    <d v="2023-02-19T15:53:25"/>
    <d v="2023-02-17T16:53:25"/>
    <d v="2023-02-17T15:59:56"/>
    <s v="Within SLA"/>
    <d v="2023-02-19T07:10:47"/>
    <x v="0"/>
    <m/>
    <n v="4"/>
    <m/>
    <x v="1"/>
    <x v="1"/>
    <s v="Poland"/>
    <n v="52.536273000000001"/>
    <n v="19.050639"/>
    <s v="ok"/>
    <s v="ok"/>
    <s v="ok"/>
    <s v="ok"/>
    <s v="ok"/>
    <x v="0"/>
    <n v="39.289340555551462"/>
  </r>
  <r>
    <x v="2"/>
    <n v="1405"/>
    <x v="0"/>
    <x v="0"/>
    <x v="3"/>
    <s v="1st line support"/>
    <x v="4"/>
    <x v="322"/>
    <d v="2023-02-19T02:42:19"/>
    <d v="2023-02-17T03:42:19"/>
    <d v="2023-02-17T03:25:04"/>
    <s v="Within SLA"/>
    <d v="2023-02-18T12:14:14"/>
    <x v="0"/>
    <m/>
    <n v="1"/>
    <m/>
    <x v="0"/>
    <x v="0"/>
    <s v="Germany"/>
    <n v="51.165691000000002"/>
    <n v="10.451525999999999"/>
    <s v="ok"/>
    <s v="ok"/>
    <s v="ok"/>
    <s v="ok"/>
    <s v="ok"/>
    <x v="0"/>
    <n v="33.531828611099627"/>
  </r>
  <r>
    <x v="1"/>
    <n v="1406"/>
    <x v="0"/>
    <x v="0"/>
    <x v="3"/>
    <s v="1st line support"/>
    <x v="3"/>
    <x v="323"/>
    <d v="2023-02-19T04:27:39"/>
    <d v="2023-02-17T05:27:39"/>
    <d v="2023-02-17T05:02:23"/>
    <s v="Within SLA"/>
    <m/>
    <x v="1"/>
    <m/>
    <n v="2"/>
    <m/>
    <x v="1"/>
    <x v="0"/>
    <s v="United Kingdom"/>
    <n v="55.378051999999997"/>
    <n v="-3.4359730000000002"/>
    <s v="ok"/>
    <s v="ok"/>
    <s v="ok"/>
    <s v="ok"/>
    <s v="ok"/>
    <x v="1"/>
    <s v=""/>
  </r>
  <r>
    <x v="1"/>
    <n v="1407"/>
    <x v="2"/>
    <x v="0"/>
    <x v="3"/>
    <s v="1st line support"/>
    <x v="2"/>
    <x v="324"/>
    <d v="2023-02-19T19:44:39"/>
    <d v="2023-02-17T20:44:39"/>
    <d v="2023-02-18T00:25:35"/>
    <s v="SLA Violated"/>
    <m/>
    <x v="1"/>
    <m/>
    <n v="1"/>
    <m/>
    <x v="0"/>
    <x v="0"/>
    <s v="Italy"/>
    <n v="43.036776000000003"/>
    <n v="12.678565000000001"/>
    <s v="ok"/>
    <s v="ok"/>
    <s v="ok"/>
    <s v="ok"/>
    <s v="ok"/>
    <x v="1"/>
    <s v=""/>
  </r>
  <r>
    <x v="0"/>
    <n v="1408"/>
    <x v="0"/>
    <x v="0"/>
    <x v="0"/>
    <s v="1st line support"/>
    <x v="0"/>
    <x v="325"/>
    <d v="2023-02-19T03:04:37"/>
    <d v="2023-02-17T04:04:37"/>
    <d v="2023-02-17T03:15:53"/>
    <s v="Within SLA"/>
    <d v="2023-02-17T05:15:44"/>
    <x v="0"/>
    <d v="2023-02-18T20:06:00"/>
    <n v="9"/>
    <n v="2"/>
    <x v="0"/>
    <x v="0"/>
    <s v="Poland"/>
    <n v="52.536273000000001"/>
    <n v="19.050639"/>
    <s v="ok"/>
    <s v="ok"/>
    <s v="ok"/>
    <s v="ok"/>
    <s v="ok"/>
    <x v="0"/>
    <n v="2.1852688888320699"/>
  </r>
  <r>
    <x v="2"/>
    <n v="1409"/>
    <x v="1"/>
    <x v="1"/>
    <x v="0"/>
    <s v="2nd line support"/>
    <x v="7"/>
    <x v="326"/>
    <d v="2023-02-19T12:53:12"/>
    <d v="2023-02-17T12:55:12"/>
    <d v="2023-02-17T12:54:47"/>
    <s v="Within SLA"/>
    <d v="2023-02-17T18:56:52"/>
    <x v="0"/>
    <m/>
    <n v="2"/>
    <m/>
    <x v="2"/>
    <x v="1"/>
    <s v="Slovenia"/>
    <n v="46.149166399999999"/>
    <n v="14.9860106"/>
    <s v="ok"/>
    <s v="ok"/>
    <s v="ok"/>
    <s v="ok"/>
    <s v="ok"/>
    <x v="0"/>
    <n v="6.060974444495514"/>
  </r>
  <r>
    <x v="0"/>
    <n v="1410"/>
    <x v="1"/>
    <x v="0"/>
    <x v="1"/>
    <s v="2nd line support"/>
    <x v="1"/>
    <x v="327"/>
    <d v="2023-02-19T11:53:04"/>
    <d v="2023-02-17T12:53:04"/>
    <d v="2023-02-17T12:50:04"/>
    <s v="Within SLA"/>
    <d v="2023-02-17T20:58:47"/>
    <x v="0"/>
    <d v="2023-02-18T08:33:49"/>
    <n v="5"/>
    <n v="5"/>
    <x v="1"/>
    <x v="1"/>
    <s v="Republic of Ireland"/>
    <n v="53.094023999999997"/>
    <n v="-8.0196749999999994"/>
    <s v="ok"/>
    <s v="ok"/>
    <s v="ok"/>
    <s v="ok"/>
    <s v="ok"/>
    <x v="0"/>
    <n v="9.0953005555202253"/>
  </r>
  <r>
    <x v="3"/>
    <n v="1411"/>
    <x v="2"/>
    <x v="0"/>
    <x v="3"/>
    <s v="1st line support"/>
    <x v="0"/>
    <x v="328"/>
    <d v="2023-02-20T01:40:47"/>
    <d v="2023-02-18T02:40:47"/>
    <m/>
    <s v="SLA Violated"/>
    <m/>
    <x v="1"/>
    <m/>
    <m/>
    <m/>
    <x v="2"/>
    <x v="0"/>
    <s v="Spain"/>
    <n v="39.673369999999998"/>
    <n v="-4.7677259999999997"/>
    <s v="check"/>
    <s v="ok"/>
    <s v="ok"/>
    <s v="ok"/>
    <s v="no response"/>
    <x v="1"/>
    <s v=""/>
  </r>
  <r>
    <x v="2"/>
    <n v="1412"/>
    <x v="1"/>
    <x v="0"/>
    <x v="0"/>
    <s v="2nd line support"/>
    <x v="1"/>
    <x v="329"/>
    <d v="2023-02-20T01:11:10"/>
    <d v="2023-02-18T02:11:10"/>
    <d v="2023-02-18T01:56:03"/>
    <s v="SLA Violated"/>
    <d v="2023-02-23T10:16:46"/>
    <x v="1"/>
    <m/>
    <n v="2"/>
    <m/>
    <x v="2"/>
    <x v="1"/>
    <s v="Greece"/>
    <n v="39.368279000000001"/>
    <n v="21.863140999999999"/>
    <s v="ok"/>
    <s v="ok"/>
    <s v="ok"/>
    <s v="ok"/>
    <s v="check"/>
    <x v="0"/>
    <n v="129.09340277774027"/>
  </r>
  <r>
    <x v="0"/>
    <n v="1413"/>
    <x v="1"/>
    <x v="0"/>
    <x v="1"/>
    <s v="2nd line support"/>
    <x v="7"/>
    <x v="330"/>
    <d v="2023-02-20T10:17:59"/>
    <d v="2023-02-18T11:17:59"/>
    <d v="2023-02-18T11:00:22"/>
    <s v="SLA Violated"/>
    <d v="2023-02-20T15:00:00"/>
    <x v="1"/>
    <d v="2023-02-22T10:52:17"/>
    <n v="1"/>
    <n v="4"/>
    <x v="2"/>
    <x v="1"/>
    <s v="Austria"/>
    <n v="47.696471899999999"/>
    <n v="13.3457347"/>
    <s v="ok"/>
    <s v="ok"/>
    <s v="ok"/>
    <s v="ok"/>
    <s v="check"/>
    <x v="0"/>
    <n v="52.700300555618014"/>
  </r>
  <r>
    <x v="0"/>
    <n v="1420"/>
    <x v="0"/>
    <x v="0"/>
    <x v="2"/>
    <s v="1st line support"/>
    <x v="2"/>
    <x v="331"/>
    <d v="2023-02-21T00:43:57"/>
    <d v="2023-02-19T01:43:57"/>
    <d v="2023-02-19T01:01:40"/>
    <s v="SLA Violated"/>
    <d v="2023-02-20T06:53:05"/>
    <x v="0"/>
    <d v="2023-02-22T10:28:50"/>
    <n v="10"/>
    <n v="4"/>
    <x v="1"/>
    <x v="0"/>
    <s v="United Kingdom"/>
    <n v="55.378051999999997"/>
    <n v="-3.4359730000000002"/>
    <s v="ok"/>
    <s v="ok"/>
    <s v="ok"/>
    <s v="ok"/>
    <s v="check"/>
    <x v="0"/>
    <n v="30.152305277937558"/>
  </r>
  <r>
    <x v="0"/>
    <n v="1421"/>
    <x v="2"/>
    <x v="0"/>
    <x v="2"/>
    <s v="1st line support"/>
    <x v="0"/>
    <x v="332"/>
    <d v="2023-02-21T22:39:31"/>
    <d v="2023-02-19T23:39:31"/>
    <d v="2023-02-19T23:27:32"/>
    <s v="SLA Violated"/>
    <d v="2023-02-21T00:56:25"/>
    <x v="0"/>
    <d v="2023-02-23T11:23:25"/>
    <n v="9"/>
    <n v="5"/>
    <x v="1"/>
    <x v="0"/>
    <s v="Spain"/>
    <n v="39.673369999999998"/>
    <n v="-4.7677259999999997"/>
    <s v="ok"/>
    <s v="ok"/>
    <s v="ok"/>
    <s v="ok"/>
    <s v="check"/>
    <x v="0"/>
    <n v="26.281667499861214"/>
  </r>
  <r>
    <x v="2"/>
    <n v="1422"/>
    <x v="2"/>
    <x v="1"/>
    <x v="0"/>
    <s v="1st line support"/>
    <x v="3"/>
    <x v="333"/>
    <d v="2023-02-21T22:29:15"/>
    <d v="2023-02-19T22:31:15"/>
    <d v="2023-02-19T22:32:09"/>
    <s v="SLA Violated"/>
    <d v="2023-02-21T18:37:04"/>
    <x v="0"/>
    <m/>
    <n v="1"/>
    <m/>
    <x v="1"/>
    <x v="0"/>
    <s v="United Kingdom"/>
    <n v="55.378051999999997"/>
    <n v="-3.4359730000000002"/>
    <s v="ok"/>
    <s v="ok"/>
    <s v="ok"/>
    <s v="ok"/>
    <s v="ok"/>
    <x v="0"/>
    <n v="44.130274444352835"/>
  </r>
  <r>
    <x v="3"/>
    <n v="1423"/>
    <x v="0"/>
    <x v="0"/>
    <x v="0"/>
    <s v="1st line support"/>
    <x v="0"/>
    <x v="334"/>
    <d v="2023-02-21T07:26:50"/>
    <d v="2023-02-19T08:26:50"/>
    <m/>
    <s v="SLA Violated"/>
    <m/>
    <x v="1"/>
    <m/>
    <m/>
    <m/>
    <x v="1"/>
    <x v="0"/>
    <s v="United Kingdom"/>
    <n v="55.378051999999997"/>
    <n v="-3.4359730000000002"/>
    <s v="check"/>
    <s v="ok"/>
    <s v="ok"/>
    <s v="ok"/>
    <s v="no response"/>
    <x v="1"/>
    <s v=""/>
  </r>
  <r>
    <x v="0"/>
    <n v="1424"/>
    <x v="0"/>
    <x v="1"/>
    <x v="3"/>
    <s v="1st line support"/>
    <x v="2"/>
    <x v="335"/>
    <d v="2023-02-21T00:21:43"/>
    <d v="2023-02-19T00:23:43"/>
    <d v="2023-02-19T00:22:15"/>
    <s v="SLA Violated"/>
    <d v="2023-02-20T02:58:47"/>
    <x v="0"/>
    <d v="2023-02-23T11:24:57"/>
    <n v="2"/>
    <n v="5"/>
    <x v="2"/>
    <x v="0"/>
    <s v="Poland"/>
    <n v="52.536273000000001"/>
    <n v="19.050639"/>
    <s v="ok"/>
    <s v="ok"/>
    <s v="ok"/>
    <s v="ok"/>
    <s v="check"/>
    <x v="0"/>
    <n v="26.617796111153439"/>
  </r>
  <r>
    <x v="0"/>
    <n v="1425"/>
    <x v="2"/>
    <x v="0"/>
    <x v="3"/>
    <s v="1st line support"/>
    <x v="2"/>
    <x v="336"/>
    <d v="2023-02-21T04:46:26"/>
    <d v="2023-02-19T05:46:26"/>
    <d v="2023-02-19T04:50:10"/>
    <s v="SLA Violated"/>
    <d v="2023-02-20T10:42:07"/>
    <x v="0"/>
    <d v="2023-02-22T18:21:09"/>
    <n v="8"/>
    <n v="1"/>
    <x v="0"/>
    <x v="0"/>
    <s v="United Kingdom"/>
    <n v="55.378051999999997"/>
    <n v="-3.4359730000000002"/>
    <s v="ok"/>
    <s v="ok"/>
    <s v="ok"/>
    <s v="ok"/>
    <s v="check"/>
    <x v="0"/>
    <n v="29.928047500143293"/>
  </r>
  <r>
    <x v="2"/>
    <n v="1426"/>
    <x v="2"/>
    <x v="1"/>
    <x v="6"/>
    <s v="2nd line support"/>
    <x v="5"/>
    <x v="337"/>
    <d v="2023-02-22T03:12:04"/>
    <d v="2023-02-20T03:14:04"/>
    <d v="2023-02-20T03:12:05"/>
    <s v="SLA Violated"/>
    <d v="2023-02-21T15:04:02"/>
    <x v="0"/>
    <m/>
    <n v="6"/>
    <m/>
    <x v="3"/>
    <x v="1"/>
    <s v="Germany"/>
    <n v="51.165691000000002"/>
    <n v="10.451525999999999"/>
    <s v="ok"/>
    <s v="ok"/>
    <s v="ok"/>
    <s v="ok"/>
    <s v="check"/>
    <x v="0"/>
    <n v="35.866017777705565"/>
  </r>
  <r>
    <x v="2"/>
    <n v="1427"/>
    <x v="2"/>
    <x v="0"/>
    <x v="5"/>
    <s v="1st line support"/>
    <x v="6"/>
    <x v="338"/>
    <d v="2023-02-22T06:04:53"/>
    <d v="2023-02-20T07:04:53"/>
    <d v="2023-02-20T06:39:18"/>
    <s v="SLA Violated"/>
    <d v="2023-02-21T23:56:36"/>
    <x v="0"/>
    <m/>
    <n v="2"/>
    <m/>
    <x v="2"/>
    <x v="0"/>
    <s v="Greece"/>
    <n v="39.368279000000001"/>
    <n v="21.863140999999999"/>
    <s v="ok"/>
    <s v="ok"/>
    <s v="ok"/>
    <s v="ok"/>
    <s v="check"/>
    <x v="0"/>
    <n v="41.862060833314899"/>
  </r>
  <r>
    <x v="2"/>
    <n v="1428"/>
    <x v="2"/>
    <x v="0"/>
    <x v="2"/>
    <s v="1st line support"/>
    <x v="6"/>
    <x v="339"/>
    <d v="2023-02-22T08:22:32"/>
    <d v="2023-02-20T09:22:32"/>
    <d v="2023-02-20T09:19:06"/>
    <s v="SLA Violated"/>
    <d v="2023-02-21T19:47:22"/>
    <x v="0"/>
    <m/>
    <n v="3"/>
    <m/>
    <x v="1"/>
    <x v="0"/>
    <s v="Czech Republic"/>
    <n v="49.8037633"/>
    <n v="15.4749126"/>
    <s v="ok"/>
    <s v="ok"/>
    <s v="ok"/>
    <s v="ok"/>
    <s v="check"/>
    <x v="0"/>
    <n v="35.41388111107517"/>
  </r>
  <r>
    <x v="2"/>
    <n v="1429"/>
    <x v="0"/>
    <x v="0"/>
    <x v="0"/>
    <s v="2nd line support"/>
    <x v="1"/>
    <x v="340"/>
    <d v="2023-02-22T17:13:46"/>
    <d v="2023-02-20T18:13:46"/>
    <d v="2023-02-20T18:04:32"/>
    <s v="SLA Violated"/>
    <d v="2023-02-21T18:04:01"/>
    <x v="0"/>
    <m/>
    <n v="2"/>
    <m/>
    <x v="1"/>
    <x v="1"/>
    <s v="Italy"/>
    <n v="43.036776000000003"/>
    <n v="12.678565000000001"/>
    <s v="ok"/>
    <s v="ok"/>
    <s v="ok"/>
    <s v="ok"/>
    <s v="check"/>
    <x v="0"/>
    <n v="24.837572499993257"/>
  </r>
  <r>
    <x v="0"/>
    <n v="1430"/>
    <x v="0"/>
    <x v="0"/>
    <x v="1"/>
    <s v="1st line support"/>
    <x v="6"/>
    <x v="341"/>
    <d v="2023-02-22T21:22:01"/>
    <d v="2023-02-20T22:22:01"/>
    <d v="2023-02-20T21:55:56"/>
    <s v="SLA Violated"/>
    <d v="2023-02-20T23:14:04"/>
    <x v="0"/>
    <d v="2023-02-22T22:01:01"/>
    <n v="1"/>
    <n v="1"/>
    <x v="1"/>
    <x v="0"/>
    <s v="Slovenia"/>
    <n v="46.149166399999999"/>
    <n v="14.9860106"/>
    <s v="ok"/>
    <s v="ok"/>
    <s v="ok"/>
    <s v="ok"/>
    <s v="check"/>
    <x v="0"/>
    <n v="1.8673899999121204"/>
  </r>
  <r>
    <x v="2"/>
    <n v="1431"/>
    <x v="0"/>
    <x v="2"/>
    <x v="2"/>
    <s v="2nd line support"/>
    <x v="7"/>
    <x v="342"/>
    <d v="2023-02-21T22:01:33"/>
    <d v="2023-02-20T22:03:33"/>
    <d v="2023-02-20T22:04:06"/>
    <s v="SLA Violated"/>
    <d v="2023-02-21T10:33:22"/>
    <x v="0"/>
    <m/>
    <n v="2"/>
    <m/>
    <x v="0"/>
    <x v="1"/>
    <s v="Germany"/>
    <n v="51.165691000000002"/>
    <n v="10.451525999999999"/>
    <s v="ok"/>
    <s v="ok"/>
    <s v="ok"/>
    <s v="ok"/>
    <s v="ok"/>
    <x v="0"/>
    <n v="12.530233333236538"/>
  </r>
  <r>
    <x v="2"/>
    <n v="1432"/>
    <x v="2"/>
    <x v="0"/>
    <x v="0"/>
    <s v="1st line support"/>
    <x v="2"/>
    <x v="343"/>
    <d v="2023-02-22T02:07:52"/>
    <d v="2023-02-20T03:07:52"/>
    <d v="2023-02-20T02:46:20"/>
    <s v="SLA Violated"/>
    <d v="2023-02-20T17:37:23"/>
    <x v="0"/>
    <m/>
    <n v="1"/>
    <m/>
    <x v="1"/>
    <x v="0"/>
    <s v="Greece"/>
    <n v="39.368279000000001"/>
    <n v="21.863140999999999"/>
    <s v="ok"/>
    <s v="ok"/>
    <s v="ok"/>
    <s v="ok"/>
    <s v="check"/>
    <x v="0"/>
    <n v="15.491887222335208"/>
  </r>
  <r>
    <x v="0"/>
    <n v="1433"/>
    <x v="0"/>
    <x v="2"/>
    <x v="3"/>
    <s v="2nd line support"/>
    <x v="7"/>
    <x v="344"/>
    <d v="2023-02-21T21:27:54"/>
    <d v="2023-02-20T21:29:54"/>
    <d v="2023-02-20T21:29:46"/>
    <s v="SLA Violated"/>
    <d v="2023-02-21T21:00:53"/>
    <x v="0"/>
    <d v="2023-02-26T07:53:01"/>
    <n v="2"/>
    <n v="5"/>
    <x v="2"/>
    <x v="1"/>
    <s v="Italy"/>
    <n v="43.036776000000003"/>
    <n v="12.678565000000001"/>
    <s v="ok"/>
    <s v="ok"/>
    <s v="ok"/>
    <s v="ok"/>
    <s v="check"/>
    <x v="0"/>
    <n v="23.549731944396626"/>
  </r>
  <r>
    <x v="1"/>
    <n v="1434"/>
    <x v="0"/>
    <x v="0"/>
    <x v="3"/>
    <s v="2nd line support"/>
    <x v="5"/>
    <x v="345"/>
    <d v="2023-02-22T11:10:43"/>
    <d v="2023-02-20T12:10:43"/>
    <d v="2023-02-20T11:14:31"/>
    <s v="SLA Violated"/>
    <m/>
    <x v="1"/>
    <m/>
    <n v="2"/>
    <m/>
    <x v="3"/>
    <x v="1"/>
    <s v="Austria"/>
    <n v="47.696471899999999"/>
    <n v="13.3457347"/>
    <s v="ok"/>
    <s v="ok"/>
    <s v="ok"/>
    <s v="ok"/>
    <s v="check"/>
    <x v="1"/>
    <s v=""/>
  </r>
  <r>
    <x v="0"/>
    <n v="1435"/>
    <x v="1"/>
    <x v="1"/>
    <x v="1"/>
    <s v="2nd line support"/>
    <x v="7"/>
    <x v="346"/>
    <d v="2023-02-23T19:30:54"/>
    <d v="2023-02-21T19:32:54"/>
    <d v="2023-02-21T19:31:02"/>
    <s v="Within SLA"/>
    <d v="2023-02-22T21:05:05"/>
    <x v="0"/>
    <d v="2023-02-22T05:19:21"/>
    <n v="1"/>
    <n v="3"/>
    <x v="2"/>
    <x v="1"/>
    <s v="Italy"/>
    <n v="43.036776000000003"/>
    <n v="12.678565000000001"/>
    <s v="ok"/>
    <s v="ok"/>
    <s v="check"/>
    <s v="ok"/>
    <s v="ok"/>
    <x v="0"/>
    <n v="25.569612222199794"/>
  </r>
  <r>
    <x v="1"/>
    <n v="1436"/>
    <x v="1"/>
    <x v="2"/>
    <x v="1"/>
    <s v="1st line support"/>
    <x v="4"/>
    <x v="347"/>
    <d v="2023-02-22T04:21:55"/>
    <d v="2023-02-21T04:23:55"/>
    <d v="2023-02-21T04:23:35"/>
    <s v="Within SLA"/>
    <m/>
    <x v="1"/>
    <m/>
    <n v="4"/>
    <m/>
    <x v="3"/>
    <x v="0"/>
    <s v="Italy"/>
    <n v="43.036776000000003"/>
    <n v="12.678565000000001"/>
    <s v="ok"/>
    <s v="ok"/>
    <s v="ok"/>
    <s v="ok"/>
    <s v="ok"/>
    <x v="1"/>
    <s v=""/>
  </r>
  <r>
    <x v="1"/>
    <n v="1437"/>
    <x v="0"/>
    <x v="2"/>
    <x v="3"/>
    <s v="1st line support"/>
    <x v="6"/>
    <x v="348"/>
    <d v="2023-02-22T11:56:08"/>
    <d v="2023-02-21T11:58:08"/>
    <d v="2023-02-21T11:57:49"/>
    <s v="Within SLA"/>
    <m/>
    <x v="1"/>
    <m/>
    <n v="6"/>
    <m/>
    <x v="1"/>
    <x v="0"/>
    <s v="Germany"/>
    <n v="51.165691000000002"/>
    <n v="10.451525999999999"/>
    <s v="ok"/>
    <s v="ok"/>
    <s v="ok"/>
    <s v="ok"/>
    <s v="ok"/>
    <x v="1"/>
    <s v=""/>
  </r>
  <r>
    <x v="1"/>
    <n v="1438"/>
    <x v="1"/>
    <x v="0"/>
    <x v="4"/>
    <s v="1st line support"/>
    <x v="2"/>
    <x v="349"/>
    <d v="2023-02-23T17:45:06"/>
    <d v="2023-02-21T18:45:06"/>
    <d v="2023-02-21T18:16:20"/>
    <s v="Within SLA"/>
    <m/>
    <x v="1"/>
    <m/>
    <n v="1"/>
    <m/>
    <x v="0"/>
    <x v="0"/>
    <s v="Poland"/>
    <n v="52.536273000000001"/>
    <n v="19.050639"/>
    <s v="ok"/>
    <s v="ok"/>
    <s v="ok"/>
    <s v="ok"/>
    <s v="ok"/>
    <x v="1"/>
    <s v=""/>
  </r>
  <r>
    <x v="0"/>
    <n v="1439"/>
    <x v="2"/>
    <x v="0"/>
    <x v="3"/>
    <s v="1st line support"/>
    <x v="6"/>
    <x v="350"/>
    <d v="2023-02-23T21:30:05"/>
    <d v="2023-02-21T22:30:05"/>
    <d v="2023-02-21T22:08:39"/>
    <s v="Within SLA"/>
    <d v="2023-02-23T11:59:47"/>
    <x v="0"/>
    <d v="2023-02-24T14:43:23"/>
    <n v="2"/>
    <n v="1"/>
    <x v="2"/>
    <x v="0"/>
    <s v="Austria"/>
    <n v="47.696471899999999"/>
    <n v="13.3457347"/>
    <s v="ok"/>
    <s v="ok"/>
    <s v="ok"/>
    <s v="ok"/>
    <s v="ok"/>
    <x v="0"/>
    <n v="38.495092222234234"/>
  </r>
  <r>
    <x v="2"/>
    <n v="1440"/>
    <x v="2"/>
    <x v="0"/>
    <x v="5"/>
    <s v="1st line support"/>
    <x v="0"/>
    <x v="351"/>
    <d v="2023-02-24T01:36:39"/>
    <d v="2023-02-22T02:36:39"/>
    <d v="2023-02-22T01:47:14"/>
    <s v="Within SLA"/>
    <d v="2023-02-25T15:30:15"/>
    <x v="1"/>
    <m/>
    <n v="6"/>
    <m/>
    <x v="2"/>
    <x v="0"/>
    <s v="Poland"/>
    <n v="52.536273000000001"/>
    <n v="19.050639"/>
    <s v="ok"/>
    <s v="ok"/>
    <s v="ok"/>
    <s v="ok"/>
    <s v="ok"/>
    <x v="0"/>
    <n v="85.893362777656876"/>
  </r>
  <r>
    <x v="2"/>
    <n v="1441"/>
    <x v="2"/>
    <x v="2"/>
    <x v="3"/>
    <s v="1st line support"/>
    <x v="3"/>
    <x v="352"/>
    <d v="2023-02-23T15:41:33"/>
    <d v="2023-02-22T15:43:33"/>
    <d v="2023-02-22T15:43:14"/>
    <s v="Within SLA"/>
    <d v="2023-02-22T23:55:15"/>
    <x v="0"/>
    <m/>
    <n v="4"/>
    <m/>
    <x v="2"/>
    <x v="0"/>
    <s v="Italy"/>
    <n v="43.036776000000003"/>
    <n v="12.678565000000001"/>
    <s v="ok"/>
    <s v="ok"/>
    <s v="ok"/>
    <s v="ok"/>
    <s v="ok"/>
    <x v="0"/>
    <n v="8.2282997222500853"/>
  </r>
  <r>
    <x v="1"/>
    <n v="1442"/>
    <x v="0"/>
    <x v="0"/>
    <x v="3"/>
    <s v="1st line support"/>
    <x v="0"/>
    <x v="353"/>
    <d v="2023-02-24T16:13:29"/>
    <d v="2023-02-22T17:13:29"/>
    <d v="2023-02-22T20:30:12"/>
    <s v="SLA Violated"/>
    <m/>
    <x v="1"/>
    <m/>
    <n v="2"/>
    <m/>
    <x v="0"/>
    <x v="0"/>
    <s v="Austria"/>
    <n v="47.696471899999999"/>
    <n v="13.3457347"/>
    <s v="ok"/>
    <s v="ok"/>
    <s v="ok"/>
    <s v="ok"/>
    <s v="ok"/>
    <x v="1"/>
    <s v=""/>
  </r>
  <r>
    <x v="2"/>
    <n v="1443"/>
    <x v="0"/>
    <x v="0"/>
    <x v="6"/>
    <s v="2nd line support"/>
    <x v="7"/>
    <x v="354"/>
    <d v="2023-02-24T03:36:16"/>
    <d v="2023-02-22T04:36:16"/>
    <d v="2023-02-22T04:07:03"/>
    <s v="Within SLA"/>
    <d v="2023-02-22T23:45:08"/>
    <x v="0"/>
    <m/>
    <n v="1"/>
    <m/>
    <x v="3"/>
    <x v="1"/>
    <s v="Czech Republic"/>
    <n v="49.8037633"/>
    <n v="15.4749126"/>
    <s v="ok"/>
    <s v="ok"/>
    <s v="ok"/>
    <s v="ok"/>
    <s v="ok"/>
    <x v="0"/>
    <n v="20.147648888931144"/>
  </r>
  <r>
    <x v="2"/>
    <n v="1444"/>
    <x v="0"/>
    <x v="0"/>
    <x v="3"/>
    <s v="1st line support"/>
    <x v="0"/>
    <x v="355"/>
    <d v="2023-02-24T17:31:18"/>
    <d v="2023-02-22T18:31:18"/>
    <d v="2023-02-22T18:07:30"/>
    <s v="Within SLA"/>
    <d v="2023-02-23T22:15:14"/>
    <x v="0"/>
    <m/>
    <n v="10"/>
    <m/>
    <x v="3"/>
    <x v="0"/>
    <s v="France"/>
    <n v="48.864716000000001"/>
    <n v="2.3490139999999999"/>
    <s v="ok"/>
    <s v="ok"/>
    <s v="ok"/>
    <s v="ok"/>
    <s v="ok"/>
    <x v="0"/>
    <n v="28.732172500051092"/>
  </r>
  <r>
    <x v="0"/>
    <n v="1445"/>
    <x v="2"/>
    <x v="0"/>
    <x v="5"/>
    <s v="2nd line support"/>
    <x v="5"/>
    <x v="356"/>
    <d v="2023-02-25T07:34:07"/>
    <d v="2023-02-23T08:34:07"/>
    <d v="2023-02-23T08:27:04"/>
    <s v="Within SLA"/>
    <d v="2023-02-24T03:24:29"/>
    <x v="0"/>
    <d v="2023-02-28T12:38:49"/>
    <n v="10"/>
    <n v="5"/>
    <x v="0"/>
    <x v="1"/>
    <s v="Poland"/>
    <n v="52.536273000000001"/>
    <n v="19.050639"/>
    <s v="ok"/>
    <s v="ok"/>
    <s v="ok"/>
    <s v="ok"/>
    <s v="ok"/>
    <x v="0"/>
    <n v="19.83953083329834"/>
  </r>
  <r>
    <x v="1"/>
    <n v="1446"/>
    <x v="0"/>
    <x v="0"/>
    <x v="6"/>
    <s v="1st line support"/>
    <x v="0"/>
    <x v="357"/>
    <d v="2023-02-25T12:45:18"/>
    <d v="2023-02-23T13:45:18"/>
    <d v="2023-02-23T13:20:11"/>
    <s v="Within SLA"/>
    <m/>
    <x v="1"/>
    <m/>
    <n v="9"/>
    <m/>
    <x v="3"/>
    <x v="0"/>
    <s v="Germany"/>
    <n v="51.165691000000002"/>
    <n v="10.451525999999999"/>
    <s v="ok"/>
    <s v="ok"/>
    <s v="ok"/>
    <s v="ok"/>
    <s v="ok"/>
    <x v="1"/>
    <s v=""/>
  </r>
  <r>
    <x v="1"/>
    <n v="1447"/>
    <x v="1"/>
    <x v="0"/>
    <x v="1"/>
    <s v="1st line support"/>
    <x v="2"/>
    <x v="358"/>
    <d v="2023-02-25T01:02:33"/>
    <d v="2023-02-23T02:02:33"/>
    <d v="2023-02-23T01:19:03"/>
    <s v="Within SLA"/>
    <m/>
    <x v="1"/>
    <m/>
    <n v="3"/>
    <m/>
    <x v="2"/>
    <x v="0"/>
    <s v="Czech Republic"/>
    <n v="49.8037633"/>
    <n v="15.4749126"/>
    <s v="ok"/>
    <s v="ok"/>
    <s v="ok"/>
    <s v="ok"/>
    <s v="ok"/>
    <x v="1"/>
    <s v=""/>
  </r>
  <r>
    <x v="1"/>
    <n v="1448"/>
    <x v="0"/>
    <x v="2"/>
    <x v="3"/>
    <s v="1st line support"/>
    <x v="6"/>
    <x v="359"/>
    <d v="2023-02-24T20:11:55"/>
    <d v="2023-02-23T20:13:55"/>
    <d v="2023-02-23T20:12:54"/>
    <s v="Within SLA"/>
    <m/>
    <x v="1"/>
    <m/>
    <n v="6"/>
    <m/>
    <x v="0"/>
    <x v="0"/>
    <s v="Italy"/>
    <n v="43.036776000000003"/>
    <n v="12.678565000000001"/>
    <s v="ok"/>
    <s v="ok"/>
    <s v="ok"/>
    <s v="ok"/>
    <s v="ok"/>
    <x v="1"/>
    <s v=""/>
  </r>
  <r>
    <x v="0"/>
    <n v="1449"/>
    <x v="1"/>
    <x v="2"/>
    <x v="2"/>
    <s v="2nd line support"/>
    <x v="1"/>
    <x v="360"/>
    <d v="2023-02-25T04:39:16"/>
    <d v="2023-02-24T04:41:16"/>
    <d v="2023-02-24T04:43:41"/>
    <s v="SLA Violated"/>
    <d v="2023-02-25T00:35:50"/>
    <x v="0"/>
    <d v="2023-02-26T15:56:24"/>
    <n v="6"/>
    <n v="3"/>
    <x v="2"/>
    <x v="1"/>
    <s v="Italy"/>
    <n v="43.036776000000003"/>
    <n v="12.678565000000001"/>
    <s v="ok"/>
    <s v="ok"/>
    <s v="ok"/>
    <s v="ok"/>
    <s v="ok"/>
    <x v="0"/>
    <n v="19.942701944557484"/>
  </r>
  <r>
    <x v="0"/>
    <n v="1450"/>
    <x v="0"/>
    <x v="2"/>
    <x v="5"/>
    <s v="1st line support"/>
    <x v="6"/>
    <x v="361"/>
    <d v="2023-02-25T09:50:10"/>
    <d v="2023-02-24T09:52:10"/>
    <d v="2023-02-24T09:52:02"/>
    <s v="Within SLA"/>
    <d v="2023-02-24T12:22:35"/>
    <x v="0"/>
    <d v="2023-02-28T04:34:56"/>
    <n v="2"/>
    <n v="4"/>
    <x v="2"/>
    <x v="0"/>
    <s v="France"/>
    <n v="48.864716000000001"/>
    <n v="2.3490139999999999"/>
    <s v="ok"/>
    <s v="ok"/>
    <s v="ok"/>
    <s v="ok"/>
    <s v="ok"/>
    <x v="0"/>
    <n v="2.5403363888617605"/>
  </r>
  <r>
    <x v="1"/>
    <n v="1451"/>
    <x v="1"/>
    <x v="0"/>
    <x v="2"/>
    <s v="1st line support"/>
    <x v="6"/>
    <x v="362"/>
    <d v="2023-02-26T09:10:47"/>
    <d v="2023-02-24T10:10:47"/>
    <d v="2023-02-24T09:15:30"/>
    <s v="Within SLA"/>
    <m/>
    <x v="1"/>
    <m/>
    <n v="2"/>
    <m/>
    <x v="3"/>
    <x v="0"/>
    <s v="France"/>
    <n v="48.864716000000001"/>
    <n v="2.3490139999999999"/>
    <s v="ok"/>
    <s v="ok"/>
    <s v="ok"/>
    <s v="ok"/>
    <s v="ok"/>
    <x v="1"/>
    <s v=""/>
  </r>
  <r>
    <x v="1"/>
    <n v="1452"/>
    <x v="0"/>
    <x v="0"/>
    <x v="4"/>
    <s v="2nd line support"/>
    <x v="7"/>
    <x v="363"/>
    <d v="2023-02-26T04:28:22"/>
    <d v="2023-02-24T05:28:22"/>
    <d v="2023-02-24T04:44:06"/>
    <s v="Within SLA"/>
    <m/>
    <x v="1"/>
    <m/>
    <n v="7"/>
    <m/>
    <x v="0"/>
    <x v="1"/>
    <s v="Austria"/>
    <n v="47.696471899999999"/>
    <n v="13.3457347"/>
    <s v="ok"/>
    <s v="ok"/>
    <s v="ok"/>
    <s v="ok"/>
    <s v="ok"/>
    <x v="1"/>
    <s v=""/>
  </r>
  <r>
    <x v="0"/>
    <n v="1453"/>
    <x v="1"/>
    <x v="0"/>
    <x v="3"/>
    <s v="1st line support"/>
    <x v="6"/>
    <x v="364"/>
    <d v="2023-02-26T21:10:42"/>
    <d v="2023-02-24T22:10:42"/>
    <d v="2023-02-24T21:40:04"/>
    <s v="Within SLA"/>
    <d v="2023-02-26T03:21:22"/>
    <x v="0"/>
    <d v="2023-02-27T07:36:41"/>
    <n v="6"/>
    <n v="1"/>
    <x v="0"/>
    <x v="0"/>
    <s v="Germany"/>
    <n v="51.165691000000002"/>
    <n v="10.451525999999999"/>
    <s v="ok"/>
    <s v="ok"/>
    <s v="ok"/>
    <s v="ok"/>
    <s v="ok"/>
    <x v="0"/>
    <n v="30.177680833381601"/>
  </r>
  <r>
    <x v="1"/>
    <n v="1454"/>
    <x v="0"/>
    <x v="0"/>
    <x v="3"/>
    <s v="1st line support"/>
    <x v="6"/>
    <x v="365"/>
    <d v="2023-02-27T01:51:32"/>
    <d v="2023-02-25T02:51:32"/>
    <d v="2023-02-25T06:52:32"/>
    <s v="SLA Violated"/>
    <m/>
    <x v="1"/>
    <m/>
    <n v="1"/>
    <m/>
    <x v="0"/>
    <x v="0"/>
    <s v="Germany"/>
    <n v="51.165691000000002"/>
    <n v="10.451525999999999"/>
    <s v="ok"/>
    <s v="ok"/>
    <s v="ok"/>
    <s v="ok"/>
    <s v="ok"/>
    <x v="1"/>
    <s v=""/>
  </r>
  <r>
    <x v="0"/>
    <n v="1455"/>
    <x v="2"/>
    <x v="0"/>
    <x v="5"/>
    <s v="1st line support"/>
    <x v="2"/>
    <x v="366"/>
    <d v="2023-02-27T14:45:30"/>
    <d v="2023-02-25T15:45:30"/>
    <d v="2023-02-25T14:59:47"/>
    <s v="Within SLA"/>
    <d v="2023-02-26T22:23:28"/>
    <x v="0"/>
    <d v="2023-03-02T14:33:05"/>
    <n v="10"/>
    <n v="5"/>
    <x v="2"/>
    <x v="0"/>
    <s v="Czech Republic"/>
    <n v="49.8037633"/>
    <n v="15.4749126"/>
    <s v="ok"/>
    <s v="ok"/>
    <s v="ok"/>
    <s v="ok"/>
    <s v="ok"/>
    <x v="0"/>
    <n v="31.632885277736932"/>
  </r>
  <r>
    <x v="0"/>
    <n v="1466"/>
    <x v="1"/>
    <x v="0"/>
    <x v="1"/>
    <s v="1st line support"/>
    <x v="0"/>
    <x v="367"/>
    <d v="2023-02-28T08:44:33"/>
    <d v="2023-02-26T09:44:33"/>
    <d v="2023-02-26T08:44:37"/>
    <s v="Within SLA"/>
    <d v="2023-02-28T05:27:26"/>
    <x v="0"/>
    <d v="2023-03-05T10:09:06"/>
    <n v="10"/>
    <n v="3"/>
    <x v="1"/>
    <x v="0"/>
    <s v="Republic of Ireland"/>
    <n v="53.094023999999997"/>
    <n v="-8.0196749999999994"/>
    <s v="ok"/>
    <s v="ok"/>
    <s v="ok"/>
    <s v="ok"/>
    <s v="ok"/>
    <x v="0"/>
    <n v="44.714756110974122"/>
  </r>
  <r>
    <x v="2"/>
    <n v="1467"/>
    <x v="1"/>
    <x v="2"/>
    <x v="4"/>
    <s v="1st line support"/>
    <x v="4"/>
    <x v="368"/>
    <d v="2023-02-27T03:47:31"/>
    <d v="2023-02-26T03:49:31"/>
    <d v="2023-02-26T03:48:19"/>
    <s v="Within SLA"/>
    <d v="2023-02-26T06:00:10"/>
    <x v="0"/>
    <m/>
    <n v="2"/>
    <m/>
    <x v="2"/>
    <x v="0"/>
    <s v="Greece"/>
    <n v="39.368279000000001"/>
    <n v="21.863140999999999"/>
    <s v="ok"/>
    <s v="ok"/>
    <s v="ok"/>
    <s v="ok"/>
    <s v="ok"/>
    <x v="0"/>
    <n v="2.2109180556144565"/>
  </r>
  <r>
    <x v="0"/>
    <n v="1468"/>
    <x v="0"/>
    <x v="0"/>
    <x v="0"/>
    <s v="1st line support"/>
    <x v="0"/>
    <x v="369"/>
    <d v="2023-02-28T21:50:54"/>
    <d v="2023-02-26T22:50:54"/>
    <d v="2023-02-26T22:39:15"/>
    <s v="Within SLA"/>
    <d v="2023-03-04T00:05:57"/>
    <x v="1"/>
    <d v="2023-03-05T10:04:38"/>
    <n v="1"/>
    <n v="2"/>
    <x v="2"/>
    <x v="0"/>
    <s v="Germany"/>
    <n v="51.165691000000002"/>
    <n v="10.451525999999999"/>
    <s v="ok"/>
    <s v="ok"/>
    <s v="ok"/>
    <s v="ok"/>
    <s v="ok"/>
    <x v="0"/>
    <n v="122.25087388901738"/>
  </r>
  <r>
    <x v="0"/>
    <n v="1469"/>
    <x v="1"/>
    <x v="1"/>
    <x v="3"/>
    <s v="1st line support"/>
    <x v="4"/>
    <x v="370"/>
    <d v="2023-02-28T18:41:30"/>
    <d v="2023-02-26T18:43:30"/>
    <d v="2023-02-26T18:42:19"/>
    <s v="Within SLA"/>
    <d v="2023-02-28T18:30:06"/>
    <x v="0"/>
    <d v="2023-03-05T14:00:58"/>
    <n v="1"/>
    <n v="2"/>
    <x v="2"/>
    <x v="0"/>
    <s v="Czech Republic"/>
    <n v="49.8037633"/>
    <n v="15.4749126"/>
    <s v="ok"/>
    <s v="ok"/>
    <s v="ok"/>
    <s v="ok"/>
    <s v="ok"/>
    <x v="0"/>
    <n v="47.810074166685808"/>
  </r>
  <r>
    <x v="0"/>
    <n v="1470"/>
    <x v="2"/>
    <x v="2"/>
    <x v="3"/>
    <s v="1st line support"/>
    <x v="3"/>
    <x v="371"/>
    <d v="2023-02-28T17:25:50"/>
    <d v="2023-02-27T17:27:50"/>
    <d v="2023-02-27T17:26:15"/>
    <s v="Within SLA"/>
    <d v="2023-02-27T17:58:27"/>
    <x v="0"/>
    <d v="2023-03-02T17:34:29"/>
    <n v="2"/>
    <n v="5"/>
    <x v="0"/>
    <x v="0"/>
    <s v="Slovenia"/>
    <n v="46.149166399999999"/>
    <n v="14.9860106"/>
    <s v="ok"/>
    <s v="ok"/>
    <s v="ok"/>
    <s v="ok"/>
    <s v="ok"/>
    <x v="0"/>
    <n v="0.54348805564222857"/>
  </r>
  <r>
    <x v="1"/>
    <n v="1471"/>
    <x v="2"/>
    <x v="2"/>
    <x v="3"/>
    <s v="2nd line support"/>
    <x v="5"/>
    <x v="372"/>
    <d v="2023-02-28T02:21:58"/>
    <d v="2023-02-27T02:23:58"/>
    <d v="2023-02-27T02:23:24"/>
    <s v="Within SLA"/>
    <m/>
    <x v="1"/>
    <m/>
    <n v="6"/>
    <m/>
    <x v="0"/>
    <x v="1"/>
    <s v="Germany"/>
    <n v="51.165691000000002"/>
    <n v="10.451525999999999"/>
    <s v="ok"/>
    <s v="ok"/>
    <s v="ok"/>
    <s v="ok"/>
    <s v="ok"/>
    <x v="1"/>
    <s v=""/>
  </r>
  <r>
    <x v="0"/>
    <n v="1472"/>
    <x v="2"/>
    <x v="2"/>
    <x v="0"/>
    <s v="1st line support"/>
    <x v="0"/>
    <x v="373"/>
    <d v="2023-02-28T15:33:36"/>
    <d v="2023-02-27T15:35:36"/>
    <d v="2023-02-27T15:34:13"/>
    <s v="Within SLA"/>
    <d v="2023-02-27T23:50:12"/>
    <x v="0"/>
    <d v="2023-03-03T07:29:56"/>
    <n v="4"/>
    <n v="5"/>
    <x v="2"/>
    <x v="0"/>
    <s v="Greece"/>
    <n v="39.368279000000001"/>
    <n v="21.863140999999999"/>
    <s v="ok"/>
    <s v="ok"/>
    <s v="ok"/>
    <s v="ok"/>
    <s v="ok"/>
    <x v="0"/>
    <n v="8.2766816667281091"/>
  </r>
  <r>
    <x v="0"/>
    <n v="1473"/>
    <x v="2"/>
    <x v="2"/>
    <x v="3"/>
    <s v="1st line support"/>
    <x v="6"/>
    <x v="374"/>
    <d v="2023-02-28T22:04:36"/>
    <d v="2023-02-27T22:06:36"/>
    <d v="2023-02-27T22:06:20"/>
    <s v="Within SLA"/>
    <d v="2023-02-28T01:25:22"/>
    <x v="0"/>
    <d v="2023-03-04T02:32:24"/>
    <n v="4"/>
    <n v="4"/>
    <x v="0"/>
    <x v="0"/>
    <s v="Austria"/>
    <n v="47.696471899999999"/>
    <n v="13.3457347"/>
    <s v="ok"/>
    <s v="ok"/>
    <s v="ok"/>
    <s v="ok"/>
    <s v="ok"/>
    <x v="0"/>
    <n v="3.3460497221094556"/>
  </r>
  <r>
    <x v="0"/>
    <n v="1474"/>
    <x v="0"/>
    <x v="2"/>
    <x v="1"/>
    <s v="2nd line support"/>
    <x v="1"/>
    <x v="375"/>
    <d v="2023-03-01T07:57:24"/>
    <d v="2023-02-28T07:59:24"/>
    <d v="2023-02-28T08:01:00"/>
    <s v="SLA Violated"/>
    <d v="2023-02-28T20:26:45"/>
    <x v="0"/>
    <d v="2023-03-03T21:52:39"/>
    <n v="5"/>
    <n v="4"/>
    <x v="2"/>
    <x v="1"/>
    <s v="Slovenia"/>
    <n v="46.149166399999999"/>
    <n v="14.9860106"/>
    <s v="ok"/>
    <s v="ok"/>
    <s v="ok"/>
    <s v="ok"/>
    <s v="ok"/>
    <x v="0"/>
    <n v="12.489250833343249"/>
  </r>
  <r>
    <x v="1"/>
    <n v="1475"/>
    <x v="1"/>
    <x v="2"/>
    <x v="5"/>
    <s v="1st line support"/>
    <x v="2"/>
    <x v="376"/>
    <d v="2023-03-01T12:00:49"/>
    <d v="2023-02-28T12:02:49"/>
    <d v="2023-02-28T12:01:00"/>
    <s v="Within SLA"/>
    <m/>
    <x v="1"/>
    <m/>
    <n v="6"/>
    <m/>
    <x v="0"/>
    <x v="0"/>
    <s v="Poland"/>
    <n v="52.536273000000001"/>
    <n v="19.050639"/>
    <s v="ok"/>
    <s v="ok"/>
    <s v="ok"/>
    <s v="ok"/>
    <s v="ok"/>
    <x v="1"/>
    <s v=""/>
  </r>
  <r>
    <x v="2"/>
    <n v="1476"/>
    <x v="0"/>
    <x v="2"/>
    <x v="3"/>
    <s v="1st line support"/>
    <x v="0"/>
    <x v="377"/>
    <d v="2023-03-01T22:29:10"/>
    <d v="2023-02-28T22:31:10"/>
    <d v="2023-02-28T22:30:24"/>
    <s v="Within SLA"/>
    <d v="2023-03-01T17:11:04"/>
    <x v="0"/>
    <m/>
    <n v="8"/>
    <m/>
    <x v="0"/>
    <x v="0"/>
    <s v="Bulgaria"/>
    <n v="42.724992499999999"/>
    <n v="25.483303899999999"/>
    <s v="ok"/>
    <s v="ok"/>
    <s v="ok"/>
    <s v="ok"/>
    <s v="ok"/>
    <x v="0"/>
    <n v="18.698444444336928"/>
  </r>
  <r>
    <x v="2"/>
    <n v="1477"/>
    <x v="0"/>
    <x v="2"/>
    <x v="2"/>
    <s v="1st line support"/>
    <x v="4"/>
    <x v="378"/>
    <d v="2023-03-01T18:38:27"/>
    <d v="2023-02-28T18:40:27"/>
    <d v="2023-02-28T18:42:40"/>
    <s v="SLA Violated"/>
    <d v="2023-02-28T21:58:58"/>
    <x v="0"/>
    <m/>
    <n v="6"/>
    <m/>
    <x v="0"/>
    <x v="0"/>
    <s v="Poland"/>
    <n v="52.536273000000001"/>
    <n v="19.050639"/>
    <s v="ok"/>
    <s v="ok"/>
    <s v="ok"/>
    <s v="ok"/>
    <s v="ok"/>
    <x v="0"/>
    <n v="3.3418177777784877"/>
  </r>
  <r>
    <x v="0"/>
    <n v="1478"/>
    <x v="1"/>
    <x v="0"/>
    <x v="5"/>
    <s v="1st line support"/>
    <x v="2"/>
    <x v="379"/>
    <d v="2023-03-02T17:42:31"/>
    <d v="2023-02-28T18:42:31"/>
    <d v="2023-02-28T17:46:03"/>
    <s v="Within SLA"/>
    <d v="2023-03-01T13:03:45"/>
    <x v="0"/>
    <d v="2023-03-04T18:32:19"/>
    <n v="2"/>
    <n v="4"/>
    <x v="0"/>
    <x v="0"/>
    <s v="Czech Republic"/>
    <n v="49.8037633"/>
    <n v="15.4749126"/>
    <s v="ok"/>
    <s v="ok"/>
    <s v="ok"/>
    <s v="ok"/>
    <s v="ok"/>
    <x v="0"/>
    <n v="19.353820555494167"/>
  </r>
  <r>
    <x v="1"/>
    <n v="1479"/>
    <x v="2"/>
    <x v="1"/>
    <x v="3"/>
    <s v="1st line support"/>
    <x v="3"/>
    <x v="380"/>
    <d v="2023-03-02T04:14:22"/>
    <d v="2023-02-28T04:16:22"/>
    <d v="2023-02-28T04:14:39"/>
    <s v="Within SLA"/>
    <m/>
    <x v="1"/>
    <m/>
    <n v="1"/>
    <m/>
    <x v="0"/>
    <x v="0"/>
    <s v="Germany"/>
    <n v="51.165691000000002"/>
    <n v="10.451525999999999"/>
    <s v="ok"/>
    <s v="ok"/>
    <s v="ok"/>
    <s v="ok"/>
    <s v="ok"/>
    <x v="1"/>
    <s v=""/>
  </r>
  <r>
    <x v="0"/>
    <n v="1480"/>
    <x v="0"/>
    <x v="2"/>
    <x v="4"/>
    <s v="2nd line support"/>
    <x v="5"/>
    <x v="381"/>
    <d v="2023-03-01T10:13:16"/>
    <d v="2023-02-28T10:15:16"/>
    <d v="2023-02-28T10:14:07"/>
    <s v="Within SLA"/>
    <d v="2023-03-01T03:14:59"/>
    <x v="0"/>
    <d v="2023-03-04T04:04:02"/>
    <n v="9"/>
    <n v="1"/>
    <x v="2"/>
    <x v="1"/>
    <s v="Poland"/>
    <n v="52.536273000000001"/>
    <n v="19.050639"/>
    <s v="ok"/>
    <s v="ok"/>
    <s v="ok"/>
    <s v="ok"/>
    <s v="ok"/>
    <x v="0"/>
    <n v="17.028623611084186"/>
  </r>
  <r>
    <x v="0"/>
    <n v="1481"/>
    <x v="0"/>
    <x v="1"/>
    <x v="1"/>
    <s v="1st line support"/>
    <x v="2"/>
    <x v="382"/>
    <d v="2023-03-02T13:27:04"/>
    <d v="2023-02-28T13:29:04"/>
    <d v="2023-02-28T13:28:04"/>
    <s v="Within SLA"/>
    <d v="2023-03-01T20:46:07"/>
    <x v="0"/>
    <d v="2023-03-02T23:09:46"/>
    <n v="7"/>
    <n v="5"/>
    <x v="1"/>
    <x v="0"/>
    <s v="United Kingdom"/>
    <n v="55.378051999999997"/>
    <n v="-3.4359730000000002"/>
    <s v="ok"/>
    <s v="ok"/>
    <s v="ok"/>
    <s v="ok"/>
    <s v="ok"/>
    <x v="0"/>
    <n v="31.317370277771261"/>
  </r>
  <r>
    <x v="0"/>
    <n v="1482"/>
    <x v="0"/>
    <x v="0"/>
    <x v="5"/>
    <s v="2nd line support"/>
    <x v="5"/>
    <x v="383"/>
    <d v="2023-03-03T22:02:52"/>
    <d v="2023-03-01T23:02:52"/>
    <d v="2023-03-01T22:54:39"/>
    <s v="Within SLA"/>
    <d v="2023-03-02T10:58:24"/>
    <x v="0"/>
    <d v="2023-03-06T13:52:04"/>
    <n v="8"/>
    <n v="5"/>
    <x v="3"/>
    <x v="1"/>
    <s v="Poland"/>
    <n v="52.536273000000001"/>
    <n v="19.050639"/>
    <s v="ok"/>
    <s v="ok"/>
    <s v="ok"/>
    <s v="ok"/>
    <s v="ok"/>
    <x v="0"/>
    <n v="12.925578889029566"/>
  </r>
  <r>
    <x v="0"/>
    <n v="1483"/>
    <x v="0"/>
    <x v="1"/>
    <x v="1"/>
    <s v="1st line support"/>
    <x v="3"/>
    <x v="384"/>
    <d v="2023-03-03T23:03:38"/>
    <d v="2023-03-01T23:05:38"/>
    <d v="2023-03-01T23:04:45"/>
    <s v="Within SLA"/>
    <d v="2023-03-03T15:08:18"/>
    <x v="0"/>
    <d v="2023-03-04T03:05:13"/>
    <n v="4"/>
    <n v="4"/>
    <x v="2"/>
    <x v="0"/>
    <s v="Republic of Ireland"/>
    <n v="53.094023999999997"/>
    <n v="-8.0196749999999994"/>
    <s v="ok"/>
    <s v="ok"/>
    <s v="ok"/>
    <s v="ok"/>
    <s v="ok"/>
    <x v="0"/>
    <n v="40.077873333182652"/>
  </r>
  <r>
    <x v="0"/>
    <n v="1484"/>
    <x v="0"/>
    <x v="1"/>
    <x v="2"/>
    <s v="1st line support"/>
    <x v="0"/>
    <x v="385"/>
    <d v="2023-03-03T09:33:46"/>
    <d v="2023-03-01T09:35:46"/>
    <d v="2023-03-01T09:36:29"/>
    <s v="SLA Violated"/>
    <d v="2023-03-02T05:13:30"/>
    <x v="0"/>
    <d v="2023-03-03T05:21:46"/>
    <n v="4"/>
    <n v="4"/>
    <x v="2"/>
    <x v="0"/>
    <s v="Italy"/>
    <n v="43.036776000000003"/>
    <n v="12.678565000000001"/>
    <s v="ok"/>
    <s v="ok"/>
    <s v="ok"/>
    <s v="ok"/>
    <s v="ok"/>
    <x v="0"/>
    <n v="19.662154999910854"/>
  </r>
  <r>
    <x v="2"/>
    <n v="1485"/>
    <x v="0"/>
    <x v="0"/>
    <x v="1"/>
    <s v="2nd line support"/>
    <x v="5"/>
    <x v="386"/>
    <d v="2023-03-03T18:50:42"/>
    <d v="2023-03-01T19:50:42"/>
    <d v="2023-03-01T19:11:19"/>
    <s v="Within SLA"/>
    <d v="2023-03-02T20:50:25"/>
    <x v="0"/>
    <m/>
    <n v="2"/>
    <m/>
    <x v="0"/>
    <x v="1"/>
    <s v="Italy"/>
    <n v="43.036776000000003"/>
    <n v="12.678565000000001"/>
    <s v="ok"/>
    <s v="ok"/>
    <s v="ok"/>
    <s v="ok"/>
    <s v="ok"/>
    <x v="0"/>
    <n v="25.995270277722739"/>
  </r>
  <r>
    <x v="0"/>
    <n v="1486"/>
    <x v="0"/>
    <x v="0"/>
    <x v="1"/>
    <s v="1st line support"/>
    <x v="6"/>
    <x v="387"/>
    <d v="2023-03-03T06:21:31"/>
    <d v="2023-03-01T07:21:31"/>
    <d v="2023-03-01T06:23:37"/>
    <s v="Within SLA"/>
    <d v="2023-03-02T04:46:21"/>
    <x v="0"/>
    <d v="2023-03-02T18:53:42"/>
    <n v="7"/>
    <n v="3"/>
    <x v="1"/>
    <x v="0"/>
    <s v="Italy"/>
    <n v="43.036776000000003"/>
    <n v="12.678565000000001"/>
    <s v="ok"/>
    <s v="ok"/>
    <s v="ok"/>
    <s v="ok"/>
    <s v="ok"/>
    <x v="0"/>
    <n v="22.413803888834082"/>
  </r>
  <r>
    <x v="0"/>
    <n v="1487"/>
    <x v="0"/>
    <x v="2"/>
    <x v="3"/>
    <s v="1st line support"/>
    <x v="6"/>
    <x v="388"/>
    <d v="2023-03-03T23:55:40"/>
    <d v="2023-03-02T23:57:40"/>
    <d v="2023-03-02T23:57:34"/>
    <s v="Within SLA"/>
    <d v="2023-03-03T04:43:26"/>
    <x v="0"/>
    <d v="2023-03-07T05:05:18"/>
    <n v="5"/>
    <n v="4"/>
    <x v="2"/>
    <x v="0"/>
    <s v="France"/>
    <n v="48.864716000000001"/>
    <n v="2.3490139999999999"/>
    <s v="ok"/>
    <s v="ok"/>
    <s v="ok"/>
    <s v="ok"/>
    <s v="ok"/>
    <x v="0"/>
    <n v="4.7960919443867169"/>
  </r>
  <r>
    <x v="2"/>
    <n v="1488"/>
    <x v="0"/>
    <x v="0"/>
    <x v="3"/>
    <s v="1st line support"/>
    <x v="3"/>
    <x v="389"/>
    <d v="2023-03-04T03:37:30"/>
    <d v="2023-03-02T04:37:30"/>
    <d v="2023-03-02T06:50:04"/>
    <s v="SLA Violated"/>
    <d v="2023-03-03T02:13:16"/>
    <x v="0"/>
    <m/>
    <n v="1"/>
    <m/>
    <x v="2"/>
    <x v="0"/>
    <s v="Spain"/>
    <n v="39.673369999999998"/>
    <n v="-4.7677259999999997"/>
    <s v="ok"/>
    <s v="ok"/>
    <s v="ok"/>
    <s v="ok"/>
    <s v="ok"/>
    <x v="0"/>
    <n v="22.596165555529296"/>
  </r>
  <r>
    <x v="0"/>
    <n v="1489"/>
    <x v="1"/>
    <x v="1"/>
    <x v="0"/>
    <s v="1st line support"/>
    <x v="0"/>
    <x v="390"/>
    <d v="2023-03-04T07:15:57"/>
    <d v="2023-03-02T07:17:57"/>
    <d v="2023-03-02T07:21:52"/>
    <s v="SLA Violated"/>
    <d v="2023-03-03T09:51:10"/>
    <x v="0"/>
    <d v="2023-03-05T08:03:29"/>
    <n v="2"/>
    <n v="4"/>
    <x v="2"/>
    <x v="0"/>
    <s v="Germany"/>
    <n v="51.165691000000002"/>
    <n v="10.451525999999999"/>
    <s v="ok"/>
    <s v="ok"/>
    <s v="ok"/>
    <s v="ok"/>
    <s v="ok"/>
    <x v="0"/>
    <n v="26.586841111129615"/>
  </r>
  <r>
    <x v="2"/>
    <n v="1490"/>
    <x v="0"/>
    <x v="2"/>
    <x v="5"/>
    <s v="2nd line support"/>
    <x v="7"/>
    <x v="391"/>
    <d v="2023-03-03T20:46:03"/>
    <d v="2023-03-02T20:48:03"/>
    <d v="2023-03-02T20:47:32"/>
    <s v="Within SLA"/>
    <d v="2023-03-03T07:27:26"/>
    <x v="0"/>
    <m/>
    <n v="5"/>
    <m/>
    <x v="2"/>
    <x v="1"/>
    <s v="Greece"/>
    <n v="39.368279000000001"/>
    <n v="21.863140999999999"/>
    <s v="ok"/>
    <s v="ok"/>
    <s v="ok"/>
    <s v="ok"/>
    <s v="ok"/>
    <x v="0"/>
    <n v="10.689711111132056"/>
  </r>
  <r>
    <x v="2"/>
    <n v="1491"/>
    <x v="0"/>
    <x v="2"/>
    <x v="4"/>
    <s v="2nd line support"/>
    <x v="1"/>
    <x v="392"/>
    <d v="2023-03-03T00:14:40"/>
    <d v="2023-03-02T00:16:40"/>
    <d v="2023-03-02T00:16:06"/>
    <s v="Within SLA"/>
    <d v="2023-03-02T06:22:49"/>
    <x v="0"/>
    <m/>
    <n v="3"/>
    <m/>
    <x v="0"/>
    <x v="1"/>
    <s v="Bulgaria"/>
    <n v="42.724992499999999"/>
    <n v="25.483303899999999"/>
    <s v="ok"/>
    <s v="ok"/>
    <s v="ok"/>
    <s v="ok"/>
    <s v="ok"/>
    <x v="0"/>
    <n v="6.1358266665483825"/>
  </r>
  <r>
    <x v="2"/>
    <n v="1492"/>
    <x v="0"/>
    <x v="0"/>
    <x v="0"/>
    <s v="1st line support"/>
    <x v="6"/>
    <x v="393"/>
    <d v="2023-03-04T12:11:42"/>
    <d v="2023-03-02T13:11:42"/>
    <d v="2023-03-02T12:58:52"/>
    <s v="Within SLA"/>
    <d v="2023-03-03T04:06:41"/>
    <x v="0"/>
    <m/>
    <n v="1"/>
    <m/>
    <x v="2"/>
    <x v="0"/>
    <s v="Italy"/>
    <n v="43.036776000000003"/>
    <n v="12.678565000000001"/>
    <s v="ok"/>
    <s v="ok"/>
    <s v="ok"/>
    <s v="ok"/>
    <s v="ok"/>
    <x v="0"/>
    <n v="15.916450833377894"/>
  </r>
  <r>
    <x v="0"/>
    <n v="1493"/>
    <x v="0"/>
    <x v="0"/>
    <x v="1"/>
    <s v="1st line support"/>
    <x v="3"/>
    <x v="394"/>
    <d v="2023-03-04T04:22:49"/>
    <d v="2023-03-02T05:22:49"/>
    <d v="2023-03-02T04:34:46"/>
    <s v="Within SLA"/>
    <d v="2023-03-03T20:18:33"/>
    <x v="0"/>
    <d v="2023-03-05T09:38:47"/>
    <n v="9"/>
    <n v="5"/>
    <x v="2"/>
    <x v="0"/>
    <s v="Bulgaria"/>
    <n v="42.724992499999999"/>
    <n v="25.483303899999999"/>
    <s v="ok"/>
    <s v="ok"/>
    <s v="ok"/>
    <s v="ok"/>
    <s v="ok"/>
    <x v="0"/>
    <n v="39.928787777898833"/>
  </r>
  <r>
    <x v="0"/>
    <n v="1494"/>
    <x v="2"/>
    <x v="0"/>
    <x v="1"/>
    <s v="1st line support"/>
    <x v="2"/>
    <x v="395"/>
    <d v="2023-03-04T15:32:25"/>
    <d v="2023-03-02T16:32:25"/>
    <d v="2023-03-02T15:34:54"/>
    <s v="Within SLA"/>
    <d v="2023-03-02T21:26:26"/>
    <x v="0"/>
    <d v="2023-03-07T10:27:16"/>
    <n v="9"/>
    <n v="1"/>
    <x v="1"/>
    <x v="0"/>
    <s v="United Kingdom"/>
    <n v="55.378051999999997"/>
    <n v="-3.4359730000000002"/>
    <s v="ok"/>
    <s v="ok"/>
    <s v="ok"/>
    <s v="ok"/>
    <s v="ok"/>
    <x v="0"/>
    <n v="5.9001980554894544"/>
  </r>
  <r>
    <x v="1"/>
    <n v="1495"/>
    <x v="2"/>
    <x v="2"/>
    <x v="0"/>
    <s v="1st line support"/>
    <x v="3"/>
    <x v="396"/>
    <d v="2023-03-03T17:46:57"/>
    <d v="2023-03-02T17:48:57"/>
    <d v="2023-03-02T17:48:48"/>
    <s v="Within SLA"/>
    <m/>
    <x v="1"/>
    <m/>
    <n v="6"/>
    <m/>
    <x v="2"/>
    <x v="0"/>
    <s v="France"/>
    <n v="48.864716000000001"/>
    <n v="2.3490139999999999"/>
    <s v="ok"/>
    <s v="ok"/>
    <s v="ok"/>
    <s v="ok"/>
    <s v="ok"/>
    <x v="1"/>
    <s v=""/>
  </r>
  <r>
    <x v="2"/>
    <n v="1496"/>
    <x v="2"/>
    <x v="1"/>
    <x v="0"/>
    <s v="1st line support"/>
    <x v="0"/>
    <x v="397"/>
    <d v="2023-03-04T22:28:26"/>
    <d v="2023-03-02T22:30:26"/>
    <d v="2023-03-02T22:30:35"/>
    <s v="SLA Violated"/>
    <d v="2023-03-07T10:24:19"/>
    <x v="1"/>
    <m/>
    <n v="1"/>
    <m/>
    <x v="2"/>
    <x v="0"/>
    <s v="Slovenia"/>
    <n v="46.149166399999999"/>
    <n v="14.9860106"/>
    <s v="ok"/>
    <s v="ok"/>
    <s v="ok"/>
    <s v="ok"/>
    <s v="ok"/>
    <x v="0"/>
    <n v="107.9313830556348"/>
  </r>
  <r>
    <x v="2"/>
    <n v="1497"/>
    <x v="2"/>
    <x v="2"/>
    <x v="2"/>
    <s v="1st line support"/>
    <x v="0"/>
    <x v="398"/>
    <d v="2023-03-04T16:18:18"/>
    <d v="2023-03-03T16:20:18"/>
    <d v="2023-03-03T16:19:41"/>
    <s v="Within SLA"/>
    <d v="2023-03-09T02:46:46"/>
    <x v="1"/>
    <m/>
    <n v="6"/>
    <m/>
    <x v="2"/>
    <x v="0"/>
    <s v="Slovenia"/>
    <n v="46.149166399999999"/>
    <n v="14.9860106"/>
    <s v="ok"/>
    <s v="ok"/>
    <s v="ok"/>
    <s v="ok"/>
    <s v="ok"/>
    <x v="0"/>
    <n v="130.47433972230647"/>
  </r>
  <r>
    <x v="1"/>
    <n v="1498"/>
    <x v="0"/>
    <x v="0"/>
    <x v="1"/>
    <s v="1st line support"/>
    <x v="0"/>
    <x v="399"/>
    <d v="2023-03-05T13:32:16"/>
    <d v="2023-03-03T14:32:16"/>
    <d v="2023-03-03T14:28:07"/>
    <s v="Within SLA"/>
    <m/>
    <x v="1"/>
    <m/>
    <n v="2"/>
    <m/>
    <x v="3"/>
    <x v="0"/>
    <s v="Poland"/>
    <n v="52.536273000000001"/>
    <n v="19.050639"/>
    <s v="ok"/>
    <s v="ok"/>
    <s v="ok"/>
    <s v="ok"/>
    <s v="ok"/>
    <x v="1"/>
    <s v=""/>
  </r>
  <r>
    <x v="2"/>
    <n v="1499"/>
    <x v="0"/>
    <x v="2"/>
    <x v="1"/>
    <s v="1st line support"/>
    <x v="0"/>
    <x v="400"/>
    <d v="2023-03-04T21:03:44"/>
    <d v="2023-03-03T21:05:44"/>
    <d v="2023-03-03T21:03:46"/>
    <s v="Within SLA"/>
    <d v="2023-03-04T14:17:01"/>
    <x v="0"/>
    <m/>
    <n v="8"/>
    <m/>
    <x v="2"/>
    <x v="0"/>
    <s v="Spain"/>
    <n v="39.673369999999998"/>
    <n v="-4.7677259999999997"/>
    <s v="ok"/>
    <s v="ok"/>
    <s v="ok"/>
    <s v="ok"/>
    <s v="ok"/>
    <x v="0"/>
    <n v="17.221522777690552"/>
  </r>
  <r>
    <x v="1"/>
    <n v="1500"/>
    <x v="2"/>
    <x v="0"/>
    <x v="3"/>
    <s v="1st line support"/>
    <x v="6"/>
    <x v="401"/>
    <d v="2023-03-05T06:08:20"/>
    <d v="2023-03-03T07:08:20"/>
    <d v="2023-03-03T06:46:14"/>
    <s v="Within SLA"/>
    <m/>
    <x v="1"/>
    <m/>
    <n v="1"/>
    <m/>
    <x v="0"/>
    <x v="0"/>
    <s v="Greece"/>
    <n v="39.368279000000001"/>
    <n v="21.863140999999999"/>
    <s v="ok"/>
    <s v="ok"/>
    <s v="ok"/>
    <s v="ok"/>
    <s v="ok"/>
    <x v="1"/>
    <s v=""/>
  </r>
  <r>
    <x v="0"/>
    <n v="1501"/>
    <x v="0"/>
    <x v="0"/>
    <x v="2"/>
    <s v="1st line support"/>
    <x v="3"/>
    <x v="402"/>
    <d v="2023-03-06T07:14:23"/>
    <d v="2023-03-04T08:14:23"/>
    <d v="2023-03-04T08:13:37"/>
    <s v="Within SLA"/>
    <d v="2023-03-05T06:47:22"/>
    <x v="0"/>
    <d v="2023-03-07T16:51:39"/>
    <n v="6"/>
    <n v="3"/>
    <x v="0"/>
    <x v="0"/>
    <s v="United Kingdom"/>
    <n v="55.378051999999997"/>
    <n v="-3.4359730000000002"/>
    <s v="ok"/>
    <s v="ok"/>
    <s v="ok"/>
    <s v="ok"/>
    <s v="ok"/>
    <x v="0"/>
    <n v="23.549625000043306"/>
  </r>
  <r>
    <x v="2"/>
    <n v="1502"/>
    <x v="0"/>
    <x v="2"/>
    <x v="4"/>
    <s v="1st line support"/>
    <x v="3"/>
    <x v="403"/>
    <d v="2023-03-05T18:27:23"/>
    <d v="2023-03-04T18:29:23"/>
    <d v="2023-03-04T18:27:30"/>
    <s v="Within SLA"/>
    <d v="2023-03-05T06:00:45"/>
    <x v="0"/>
    <m/>
    <n v="60"/>
    <m/>
    <x v="2"/>
    <x v="0"/>
    <s v="Greece"/>
    <n v="39.368279000000001"/>
    <n v="21.863140999999999"/>
    <s v="ok"/>
    <s v="ok"/>
    <s v="ok"/>
    <s v="ok"/>
    <s v="ok"/>
    <x v="0"/>
    <n v="11.556000555516221"/>
  </r>
  <r>
    <x v="1"/>
    <n v="1503"/>
    <x v="0"/>
    <x v="0"/>
    <x v="4"/>
    <s v="1st line support"/>
    <x v="6"/>
    <x v="404"/>
    <d v="2023-03-06T10:20:16"/>
    <d v="2023-03-04T11:20:16"/>
    <d v="2023-03-04T15:18:01"/>
    <s v="SLA Violated"/>
    <m/>
    <x v="1"/>
    <m/>
    <n v="9"/>
    <m/>
    <x v="0"/>
    <x v="0"/>
    <s v="Austria"/>
    <n v="47.696471899999999"/>
    <n v="13.3457347"/>
    <s v="ok"/>
    <s v="ok"/>
    <s v="ok"/>
    <s v="ok"/>
    <s v="ok"/>
    <x v="1"/>
    <s v=""/>
  </r>
  <r>
    <x v="2"/>
    <n v="1504"/>
    <x v="0"/>
    <x v="0"/>
    <x v="2"/>
    <s v="1st line support"/>
    <x v="6"/>
    <x v="405"/>
    <d v="2023-03-06T17:46:47"/>
    <d v="2023-03-04T18:46:47"/>
    <d v="2023-03-04T18:36:49"/>
    <s v="Within SLA"/>
    <d v="2023-03-05T18:51:13"/>
    <x v="0"/>
    <m/>
    <n v="5"/>
    <m/>
    <x v="1"/>
    <x v="0"/>
    <s v="Poland"/>
    <n v="52.536273000000001"/>
    <n v="19.050639"/>
    <s v="ok"/>
    <s v="ok"/>
    <s v="ok"/>
    <s v="ok"/>
    <s v="ok"/>
    <x v="0"/>
    <n v="25.074003888876177"/>
  </r>
  <r>
    <x v="0"/>
    <n v="1512"/>
    <x v="1"/>
    <x v="0"/>
    <x v="3"/>
    <s v="1st line support"/>
    <x v="6"/>
    <x v="406"/>
    <d v="2023-03-07T15:14:42"/>
    <d v="2023-03-05T16:14:42"/>
    <d v="2023-03-05T15:41:36"/>
    <s v="Within SLA"/>
    <d v="2023-03-06T10:13:39"/>
    <x v="0"/>
    <d v="2023-03-07T15:04:50"/>
    <n v="1"/>
    <n v="4"/>
    <x v="0"/>
    <x v="0"/>
    <s v="Poland"/>
    <n v="52.536273000000001"/>
    <n v="19.050639"/>
    <s v="ok"/>
    <s v="ok"/>
    <s v="ok"/>
    <s v="ok"/>
    <s v="ok"/>
    <x v="0"/>
    <n v="18.982539166754577"/>
  </r>
  <r>
    <x v="0"/>
    <n v="1513"/>
    <x v="0"/>
    <x v="2"/>
    <x v="6"/>
    <s v="2nd line support"/>
    <x v="1"/>
    <x v="407"/>
    <d v="2023-03-06T03:42:25"/>
    <d v="2023-03-05T03:44:25"/>
    <d v="2023-03-05T03:43:46"/>
    <s v="Within SLA"/>
    <d v="2023-03-05T04:06:04"/>
    <x v="0"/>
    <d v="2023-03-07T23:00:18"/>
    <n v="6"/>
    <n v="4"/>
    <x v="3"/>
    <x v="1"/>
    <s v="Greece"/>
    <n v="39.368279000000001"/>
    <n v="21.863140999999999"/>
    <s v="ok"/>
    <s v="ok"/>
    <s v="ok"/>
    <s v="ok"/>
    <s v="ok"/>
    <x v="0"/>
    <n v="0.39413111109752208"/>
  </r>
  <r>
    <x v="0"/>
    <n v="1514"/>
    <x v="0"/>
    <x v="0"/>
    <x v="0"/>
    <s v="1st line support"/>
    <x v="6"/>
    <x v="408"/>
    <d v="2023-03-07T07:03:21"/>
    <d v="2023-03-05T08:03:21"/>
    <d v="2023-03-05T08:00:55"/>
    <s v="Within SLA"/>
    <d v="2023-03-07T04:09:54"/>
    <x v="0"/>
    <d v="2023-03-11T16:51:13"/>
    <n v="3"/>
    <n v="3"/>
    <x v="2"/>
    <x v="0"/>
    <s v="Austria"/>
    <n v="47.696471899999999"/>
    <n v="13.3457347"/>
    <s v="ok"/>
    <s v="ok"/>
    <s v="ok"/>
    <s v="ok"/>
    <s v="ok"/>
    <x v="0"/>
    <n v="45.109167222166434"/>
  </r>
  <r>
    <x v="2"/>
    <n v="1515"/>
    <x v="0"/>
    <x v="0"/>
    <x v="0"/>
    <s v="1st line support"/>
    <x v="6"/>
    <x v="409"/>
    <d v="2023-03-07T04:57:01"/>
    <d v="2023-03-05T05:57:01"/>
    <d v="2023-03-05T05:36:34"/>
    <s v="Within SLA"/>
    <d v="2023-03-06T23:59:58"/>
    <x v="0"/>
    <m/>
    <n v="2"/>
    <m/>
    <x v="0"/>
    <x v="0"/>
    <s v="Czech Republic"/>
    <n v="49.8037633"/>
    <n v="15.4749126"/>
    <s v="ok"/>
    <s v="ok"/>
    <s v="ok"/>
    <s v="ok"/>
    <s v="ok"/>
    <x v="0"/>
    <n v="43.049305000109598"/>
  </r>
  <r>
    <x v="2"/>
    <n v="1516"/>
    <x v="0"/>
    <x v="0"/>
    <x v="4"/>
    <s v="1st line support"/>
    <x v="0"/>
    <x v="410"/>
    <d v="2023-03-07T07:34:22"/>
    <d v="2023-03-05T08:34:22"/>
    <d v="2023-03-05T07:45:47"/>
    <s v="Within SLA"/>
    <d v="2023-03-06T16:20:27"/>
    <x v="0"/>
    <m/>
    <n v="2"/>
    <m/>
    <x v="0"/>
    <x v="0"/>
    <s v="Germany"/>
    <n v="51.165691000000002"/>
    <n v="10.451525999999999"/>
    <s v="ok"/>
    <s v="ok"/>
    <s v="ok"/>
    <s v="ok"/>
    <s v="ok"/>
    <x v="0"/>
    <n v="32.767960277677048"/>
  </r>
  <r>
    <x v="0"/>
    <n v="1517"/>
    <x v="0"/>
    <x v="2"/>
    <x v="3"/>
    <s v="1st line support"/>
    <x v="4"/>
    <x v="411"/>
    <d v="2023-03-07T10:44:14"/>
    <d v="2023-03-06T10:46:14"/>
    <d v="2023-03-06T10:46:00"/>
    <s v="Within SLA"/>
    <d v="2023-03-09T07:26:40"/>
    <x v="1"/>
    <d v="2023-03-10T00:31:42"/>
    <n v="6"/>
    <n v="4"/>
    <x v="2"/>
    <x v="0"/>
    <s v="Greece"/>
    <n v="39.368279000000001"/>
    <n v="21.863140999999999"/>
    <s v="ok"/>
    <s v="ok"/>
    <s v="ok"/>
    <s v="ok"/>
    <s v="ok"/>
    <x v="0"/>
    <n v="68.70720666681882"/>
  </r>
  <r>
    <x v="0"/>
    <n v="1518"/>
    <x v="0"/>
    <x v="2"/>
    <x v="0"/>
    <s v="1st line support"/>
    <x v="3"/>
    <x v="412"/>
    <d v="2023-03-07T10:48:32"/>
    <d v="2023-03-06T10:50:32"/>
    <d v="2023-03-06T10:49:22"/>
    <s v="Within SLA"/>
    <d v="2023-03-06T11:41:58"/>
    <x v="0"/>
    <d v="2023-03-11T23:48:58"/>
    <n v="7"/>
    <n v="4"/>
    <x v="2"/>
    <x v="0"/>
    <s v="Italy"/>
    <n v="43.036776000000003"/>
    <n v="12.678565000000001"/>
    <s v="ok"/>
    <s v="ok"/>
    <s v="ok"/>
    <s v="ok"/>
    <s v="ok"/>
    <x v="0"/>
    <n v="0.89058222208404914"/>
  </r>
  <r>
    <x v="0"/>
    <n v="1519"/>
    <x v="0"/>
    <x v="1"/>
    <x v="3"/>
    <s v="2nd line support"/>
    <x v="7"/>
    <x v="413"/>
    <d v="2023-03-08T07:01:46"/>
    <d v="2023-03-06T07:03:46"/>
    <d v="2023-03-06T07:03:34"/>
    <s v="Within SLA"/>
    <d v="2023-03-06T12:51:27"/>
    <x v="0"/>
    <d v="2023-03-12T16:05:12"/>
    <n v="4"/>
    <n v="4"/>
    <x v="0"/>
    <x v="1"/>
    <s v="United Kingdom"/>
    <n v="55.378051999999997"/>
    <n v="-3.4359730000000002"/>
    <s v="ok"/>
    <s v="ok"/>
    <s v="ok"/>
    <s v="ok"/>
    <s v="ok"/>
    <x v="0"/>
    <n v="5.8281530555686913"/>
  </r>
  <r>
    <x v="1"/>
    <n v="1520"/>
    <x v="0"/>
    <x v="2"/>
    <x v="3"/>
    <s v="1st line support"/>
    <x v="2"/>
    <x v="414"/>
    <d v="2023-03-07T21:19:53"/>
    <d v="2023-03-06T21:21:53"/>
    <d v="2023-03-06T21:21:26"/>
    <s v="Within SLA"/>
    <m/>
    <x v="1"/>
    <m/>
    <n v="6"/>
    <m/>
    <x v="0"/>
    <x v="0"/>
    <s v="Bulgaria"/>
    <n v="42.724992499999999"/>
    <n v="25.483303899999999"/>
    <s v="ok"/>
    <s v="ok"/>
    <s v="ok"/>
    <s v="ok"/>
    <s v="ok"/>
    <x v="1"/>
    <s v=""/>
  </r>
  <r>
    <x v="1"/>
    <n v="1521"/>
    <x v="0"/>
    <x v="2"/>
    <x v="3"/>
    <s v="2nd line support"/>
    <x v="7"/>
    <x v="415"/>
    <d v="2023-03-07T10:20:35"/>
    <d v="2023-03-06T10:22:35"/>
    <d v="2023-03-06T10:23:37"/>
    <s v="SLA Violated"/>
    <m/>
    <x v="1"/>
    <m/>
    <n v="6"/>
    <m/>
    <x v="2"/>
    <x v="1"/>
    <s v="Italy"/>
    <n v="43.036776000000003"/>
    <n v="12.678565000000001"/>
    <s v="ok"/>
    <s v="ok"/>
    <s v="ok"/>
    <s v="ok"/>
    <s v="ok"/>
    <x v="1"/>
    <s v=""/>
  </r>
  <r>
    <x v="0"/>
    <n v="1522"/>
    <x v="2"/>
    <x v="0"/>
    <x v="2"/>
    <s v="1st line support"/>
    <x v="2"/>
    <x v="416"/>
    <d v="2023-03-08T06:16:39"/>
    <d v="2023-03-06T07:16:39"/>
    <d v="2023-03-06T10:22:09"/>
    <s v="SLA Violated"/>
    <d v="2023-03-07T21:24:53"/>
    <x v="0"/>
    <d v="2023-03-08T08:17:22"/>
    <n v="8"/>
    <n v="4"/>
    <x v="1"/>
    <x v="0"/>
    <s v="Czech Republic"/>
    <n v="49.8037633"/>
    <n v="15.4749126"/>
    <s v="ok"/>
    <s v="ok"/>
    <s v="ok"/>
    <s v="ok"/>
    <s v="ok"/>
    <x v="0"/>
    <n v="39.137251111096703"/>
  </r>
  <r>
    <x v="0"/>
    <n v="1523"/>
    <x v="1"/>
    <x v="2"/>
    <x v="3"/>
    <s v="1st line support"/>
    <x v="4"/>
    <x v="417"/>
    <d v="2023-03-07T12:24:32"/>
    <d v="2023-03-06T12:26:32"/>
    <d v="2023-03-06T12:24:54"/>
    <s v="Within SLA"/>
    <d v="2023-03-06T23:54:51"/>
    <x v="0"/>
    <d v="2023-03-12T03:34:48"/>
    <n v="3"/>
    <n v="3"/>
    <x v="1"/>
    <x v="0"/>
    <s v="Republic of Ireland"/>
    <n v="53.094023999999997"/>
    <n v="-8.0196749999999994"/>
    <s v="ok"/>
    <s v="ok"/>
    <s v="ok"/>
    <s v="ok"/>
    <s v="ok"/>
    <x v="0"/>
    <n v="11.505193888850044"/>
  </r>
  <r>
    <x v="0"/>
    <n v="1524"/>
    <x v="2"/>
    <x v="2"/>
    <x v="0"/>
    <s v="1st line support"/>
    <x v="2"/>
    <x v="418"/>
    <d v="2023-03-07T07:24:21"/>
    <d v="2023-03-06T07:26:21"/>
    <d v="2023-03-06T07:25:33"/>
    <s v="Within SLA"/>
    <d v="2023-03-06T13:09:32"/>
    <x v="0"/>
    <d v="2023-03-09T07:28:22"/>
    <n v="4"/>
    <n v="4"/>
    <x v="0"/>
    <x v="0"/>
    <s v="France"/>
    <n v="48.864716000000001"/>
    <n v="2.3490139999999999"/>
    <s v="ok"/>
    <s v="ok"/>
    <s v="ok"/>
    <s v="ok"/>
    <s v="ok"/>
    <x v="0"/>
    <n v="5.7530874999356456"/>
  </r>
  <r>
    <x v="2"/>
    <n v="1525"/>
    <x v="1"/>
    <x v="0"/>
    <x v="3"/>
    <s v="1st line support"/>
    <x v="4"/>
    <x v="419"/>
    <d v="2023-03-08T15:56:32"/>
    <d v="2023-03-06T16:56:32"/>
    <d v="2023-03-06T16:19:03"/>
    <s v="Within SLA"/>
    <d v="2023-03-07T08:25:55"/>
    <x v="0"/>
    <m/>
    <n v="4"/>
    <m/>
    <x v="2"/>
    <x v="0"/>
    <s v="Slovenia"/>
    <n v="46.149166399999999"/>
    <n v="14.9860106"/>
    <s v="ok"/>
    <s v="ok"/>
    <s v="ok"/>
    <s v="ok"/>
    <s v="ok"/>
    <x v="0"/>
    <n v="16.489655555575155"/>
  </r>
  <r>
    <x v="1"/>
    <n v="1526"/>
    <x v="2"/>
    <x v="0"/>
    <x v="5"/>
    <s v="1st line support"/>
    <x v="6"/>
    <x v="420"/>
    <d v="2023-03-08T07:21:44"/>
    <d v="2023-03-06T08:21:44"/>
    <d v="2023-03-06T07:57:56"/>
    <s v="Within SLA"/>
    <m/>
    <x v="1"/>
    <m/>
    <n v="2"/>
    <m/>
    <x v="2"/>
    <x v="0"/>
    <s v="Italy"/>
    <n v="43.036776000000003"/>
    <n v="12.678565000000001"/>
    <s v="ok"/>
    <s v="ok"/>
    <s v="ok"/>
    <s v="ok"/>
    <s v="ok"/>
    <x v="1"/>
    <s v=""/>
  </r>
  <r>
    <x v="1"/>
    <n v="1527"/>
    <x v="1"/>
    <x v="0"/>
    <x v="1"/>
    <s v="2nd line support"/>
    <x v="1"/>
    <x v="421"/>
    <d v="2023-03-08T18:06:51"/>
    <d v="2023-03-06T19:06:51"/>
    <d v="2023-03-06T18:27:13"/>
    <s v="Within SLA"/>
    <m/>
    <x v="1"/>
    <m/>
    <n v="7"/>
    <m/>
    <x v="3"/>
    <x v="1"/>
    <s v="United Kingdom"/>
    <n v="55.378051999999997"/>
    <n v="-3.4359730000000002"/>
    <s v="ok"/>
    <s v="ok"/>
    <s v="ok"/>
    <s v="ok"/>
    <s v="ok"/>
    <x v="1"/>
    <s v=""/>
  </r>
  <r>
    <x v="2"/>
    <n v="1528"/>
    <x v="0"/>
    <x v="1"/>
    <x v="3"/>
    <s v="1st line support"/>
    <x v="3"/>
    <x v="422"/>
    <d v="2023-03-08T04:37:11"/>
    <d v="2023-03-06T04:39:11"/>
    <d v="2023-03-06T04:37:27"/>
    <s v="Within SLA"/>
    <d v="2023-03-07T18:57:16"/>
    <x v="0"/>
    <m/>
    <n v="3"/>
    <m/>
    <x v="2"/>
    <x v="0"/>
    <s v="United Kingdom"/>
    <n v="55.378051999999997"/>
    <n v="-3.4359730000000002"/>
    <s v="ok"/>
    <s v="ok"/>
    <s v="ok"/>
    <s v="ok"/>
    <s v="ok"/>
    <x v="0"/>
    <n v="38.334715555538423"/>
  </r>
  <r>
    <x v="0"/>
    <n v="1529"/>
    <x v="2"/>
    <x v="2"/>
    <x v="0"/>
    <s v="2nd line support"/>
    <x v="1"/>
    <x v="423"/>
    <d v="2023-03-07T04:25:30"/>
    <d v="2023-03-06T04:27:30"/>
    <d v="2023-03-06T04:26:31"/>
    <s v="Within SLA"/>
    <d v="2023-03-06T08:39:09"/>
    <x v="0"/>
    <d v="2023-03-10T17:48:50"/>
    <n v="9"/>
    <n v="5"/>
    <x v="2"/>
    <x v="1"/>
    <s v="Germany"/>
    <n v="51.165691000000002"/>
    <n v="10.451525999999999"/>
    <s v="ok"/>
    <s v="ok"/>
    <s v="ok"/>
    <s v="ok"/>
    <s v="ok"/>
    <x v="0"/>
    <n v="4.2275902778492309"/>
  </r>
  <r>
    <x v="2"/>
    <n v="1530"/>
    <x v="0"/>
    <x v="2"/>
    <x v="3"/>
    <s v="1st line support"/>
    <x v="6"/>
    <x v="424"/>
    <d v="2023-03-08T13:30:45"/>
    <d v="2023-03-07T13:32:45"/>
    <d v="2023-03-07T13:31:30"/>
    <s v="Within SLA"/>
    <d v="2023-03-11T01:36:14"/>
    <x v="1"/>
    <m/>
    <n v="4"/>
    <m/>
    <x v="2"/>
    <x v="0"/>
    <s v="Czech Republic"/>
    <n v="49.8037633"/>
    <n v="15.4749126"/>
    <s v="ok"/>
    <s v="ok"/>
    <s v="ok"/>
    <s v="ok"/>
    <s v="ok"/>
    <x v="0"/>
    <n v="84.091499999980442"/>
  </r>
  <r>
    <x v="0"/>
    <n v="1531"/>
    <x v="0"/>
    <x v="1"/>
    <x v="1"/>
    <s v="1st line support"/>
    <x v="3"/>
    <x v="425"/>
    <d v="2023-03-09T21:19:19"/>
    <d v="2023-03-07T21:21:19"/>
    <d v="2023-03-07T21:24:45"/>
    <s v="SLA Violated"/>
    <d v="2023-03-09T18:59:49"/>
    <x v="0"/>
    <d v="2023-03-10T14:58:08"/>
    <n v="1"/>
    <n v="5"/>
    <x v="2"/>
    <x v="0"/>
    <s v="Germany"/>
    <n v="51.165691000000002"/>
    <n v="10.451525999999999"/>
    <s v="ok"/>
    <s v="ok"/>
    <s v="ok"/>
    <s v="ok"/>
    <s v="ok"/>
    <x v="0"/>
    <n v="45.675100277701858"/>
  </r>
  <r>
    <x v="2"/>
    <n v="1532"/>
    <x v="0"/>
    <x v="0"/>
    <x v="0"/>
    <s v="1st line support"/>
    <x v="0"/>
    <x v="426"/>
    <d v="2023-03-09T05:15:02"/>
    <d v="2023-03-07T06:15:02"/>
    <d v="2023-03-07T06:03:00"/>
    <s v="Within SLA"/>
    <d v="2023-03-08T19:41:51"/>
    <x v="0"/>
    <m/>
    <n v="1"/>
    <m/>
    <x v="1"/>
    <x v="0"/>
    <s v="United Kingdom"/>
    <n v="55.378051999999997"/>
    <n v="-3.4359730000000002"/>
    <s v="ok"/>
    <s v="ok"/>
    <s v="ok"/>
    <s v="ok"/>
    <s v="ok"/>
    <x v="0"/>
    <n v="38.446892777807079"/>
  </r>
  <r>
    <x v="2"/>
    <n v="1533"/>
    <x v="1"/>
    <x v="0"/>
    <x v="2"/>
    <s v="1st line support"/>
    <x v="4"/>
    <x v="427"/>
    <d v="2023-03-09T23:13:52"/>
    <d v="2023-03-08T00:13:52"/>
    <d v="2023-03-07T23:20:56"/>
    <s v="Within SLA"/>
    <d v="2023-03-09T07:21:44"/>
    <x v="0"/>
    <m/>
    <n v="9"/>
    <m/>
    <x v="3"/>
    <x v="0"/>
    <s v="United Kingdom"/>
    <n v="55.378051999999997"/>
    <n v="-3.4359730000000002"/>
    <s v="ok"/>
    <s v="ok"/>
    <s v="ok"/>
    <s v="ok"/>
    <s v="ok"/>
    <x v="0"/>
    <n v="32.130988333316054"/>
  </r>
  <r>
    <x v="0"/>
    <n v="1534"/>
    <x v="1"/>
    <x v="0"/>
    <x v="3"/>
    <s v="1st line support"/>
    <x v="4"/>
    <x v="428"/>
    <d v="2023-03-09T20:40:50"/>
    <d v="2023-03-07T21:40:50"/>
    <d v="2023-03-07T21:03:31"/>
    <s v="Within SLA"/>
    <d v="2023-03-08T18:36:36"/>
    <x v="0"/>
    <d v="2023-03-11T16:22:33"/>
    <n v="1"/>
    <n v="4"/>
    <x v="0"/>
    <x v="0"/>
    <s v="Austria"/>
    <n v="47.696471899999999"/>
    <n v="13.3457347"/>
    <s v="ok"/>
    <s v="ok"/>
    <s v="ok"/>
    <s v="ok"/>
    <s v="ok"/>
    <x v="0"/>
    <n v="21.929371111036744"/>
  </r>
  <r>
    <x v="2"/>
    <n v="1535"/>
    <x v="2"/>
    <x v="0"/>
    <x v="0"/>
    <s v="2nd line support"/>
    <x v="5"/>
    <x v="429"/>
    <d v="2023-03-09T19:26:05"/>
    <d v="2023-03-07T20:26:05"/>
    <d v="2023-03-07T19:29:50"/>
    <s v="Within SLA"/>
    <d v="2023-03-09T16:27:17"/>
    <x v="0"/>
    <m/>
    <n v="2"/>
    <m/>
    <x v="1"/>
    <x v="1"/>
    <s v="United Kingdom"/>
    <n v="55.378051999999997"/>
    <n v="-3.4359730000000002"/>
    <s v="ok"/>
    <s v="ok"/>
    <s v="ok"/>
    <s v="ok"/>
    <s v="ok"/>
    <x v="0"/>
    <n v="45.020092500024475"/>
  </r>
  <r>
    <x v="2"/>
    <n v="1536"/>
    <x v="2"/>
    <x v="0"/>
    <x v="1"/>
    <s v="1st line support"/>
    <x v="6"/>
    <x v="430"/>
    <d v="2023-03-09T02:09:56"/>
    <d v="2023-03-07T03:09:56"/>
    <d v="2023-03-07T02:27:03"/>
    <s v="Within SLA"/>
    <d v="2023-03-08T13:46:05"/>
    <x v="0"/>
    <m/>
    <n v="5"/>
    <m/>
    <x v="0"/>
    <x v="0"/>
    <s v="Slovenia"/>
    <n v="46.149166399999999"/>
    <n v="14.9860106"/>
    <s v="ok"/>
    <s v="ok"/>
    <s v="ok"/>
    <s v="ok"/>
    <s v="ok"/>
    <x v="0"/>
    <n v="35.602636388910469"/>
  </r>
  <r>
    <x v="0"/>
    <n v="1537"/>
    <x v="0"/>
    <x v="2"/>
    <x v="1"/>
    <s v="1st line support"/>
    <x v="2"/>
    <x v="431"/>
    <d v="2023-03-09T01:02:26"/>
    <d v="2023-03-08T01:04:26"/>
    <d v="2023-03-08T01:03:38"/>
    <s v="Within SLA"/>
    <d v="2023-03-08T12:54:44"/>
    <x v="0"/>
    <d v="2023-03-14T12:24:12"/>
    <n v="5"/>
    <n v="4"/>
    <x v="0"/>
    <x v="0"/>
    <s v="Slovenia"/>
    <n v="46.149166399999999"/>
    <n v="14.9860106"/>
    <s v="ok"/>
    <s v="ok"/>
    <s v="ok"/>
    <s v="ok"/>
    <s v="ok"/>
    <x v="0"/>
    <n v="11.871735833294224"/>
  </r>
  <r>
    <x v="0"/>
    <n v="1538"/>
    <x v="1"/>
    <x v="0"/>
    <x v="1"/>
    <s v="1st line support"/>
    <x v="6"/>
    <x v="432"/>
    <d v="2023-03-10T10:00:28"/>
    <d v="2023-03-08T11:00:28"/>
    <d v="2023-03-08T10:02:01"/>
    <s v="Within SLA"/>
    <d v="2023-03-09T18:21:32"/>
    <x v="0"/>
    <d v="2023-03-13T06:45:17"/>
    <n v="1"/>
    <n v="5"/>
    <x v="3"/>
    <x v="0"/>
    <s v="Italy"/>
    <n v="43.036776000000003"/>
    <n v="12.678565000000001"/>
    <s v="ok"/>
    <s v="ok"/>
    <s v="ok"/>
    <s v="ok"/>
    <s v="ok"/>
    <x v="0"/>
    <n v="32.351165833300911"/>
  </r>
  <r>
    <x v="2"/>
    <n v="1539"/>
    <x v="0"/>
    <x v="0"/>
    <x v="5"/>
    <s v="2nd line support"/>
    <x v="7"/>
    <x v="433"/>
    <d v="2023-03-10T19:03:39"/>
    <d v="2023-03-08T20:03:39"/>
    <d v="2023-03-08T19:17:36"/>
    <s v="Within SLA"/>
    <d v="2023-03-08T23:27:57"/>
    <x v="0"/>
    <m/>
    <n v="10"/>
    <m/>
    <x v="2"/>
    <x v="1"/>
    <s v="Germany"/>
    <n v="51.165691000000002"/>
    <n v="10.451525999999999"/>
    <s v="ok"/>
    <s v="ok"/>
    <s v="ok"/>
    <s v="ok"/>
    <s v="ok"/>
    <x v="0"/>
    <n v="4.404909722157754"/>
  </r>
  <r>
    <x v="0"/>
    <n v="1540"/>
    <x v="0"/>
    <x v="0"/>
    <x v="5"/>
    <s v="2nd line support"/>
    <x v="7"/>
    <x v="434"/>
    <d v="2023-03-10T02:37:45"/>
    <d v="2023-03-08T03:37:45"/>
    <d v="2023-03-08T02:43:28"/>
    <s v="Within SLA"/>
    <d v="2023-03-09T09:09:21"/>
    <x v="0"/>
    <d v="2023-03-15T07:13:59"/>
    <n v="4"/>
    <n v="3"/>
    <x v="3"/>
    <x v="1"/>
    <s v="Germany"/>
    <n v="51.165691000000002"/>
    <n v="10.451525999999999"/>
    <s v="ok"/>
    <s v="ok"/>
    <s v="ok"/>
    <s v="ok"/>
    <s v="ok"/>
    <x v="0"/>
    <n v="30.526577222335618"/>
  </r>
  <r>
    <x v="2"/>
    <n v="1541"/>
    <x v="2"/>
    <x v="2"/>
    <x v="1"/>
    <s v="1st line support"/>
    <x v="0"/>
    <x v="435"/>
    <d v="2023-03-09T19:55:45"/>
    <d v="2023-03-08T19:57:45"/>
    <d v="2023-03-08T19:56:12"/>
    <s v="Within SLA"/>
    <d v="2023-03-08T22:25:39"/>
    <x v="0"/>
    <m/>
    <n v="60"/>
    <m/>
    <x v="2"/>
    <x v="0"/>
    <s v="United Kingdom"/>
    <n v="55.378051999999997"/>
    <n v="-3.4359730000000002"/>
    <s v="ok"/>
    <s v="ok"/>
    <s v="ok"/>
    <s v="ok"/>
    <s v="ok"/>
    <x v="0"/>
    <n v="2.4984194445423782"/>
  </r>
  <r>
    <x v="0"/>
    <n v="1542"/>
    <x v="0"/>
    <x v="2"/>
    <x v="1"/>
    <s v="1st line support"/>
    <x v="3"/>
    <x v="436"/>
    <d v="2023-03-09T06:49:26"/>
    <d v="2023-03-08T06:51:26"/>
    <d v="2023-03-08T06:52:21"/>
    <s v="SLA Violated"/>
    <d v="2023-03-11T03:05:34"/>
    <x v="1"/>
    <d v="2023-03-11T05:12:54"/>
    <n v="6"/>
    <n v="4"/>
    <x v="2"/>
    <x v="0"/>
    <s v="United Kingdom"/>
    <n v="55.378051999999997"/>
    <n v="-3.4359730000000002"/>
    <s v="ok"/>
    <s v="ok"/>
    <s v="ok"/>
    <s v="ok"/>
    <s v="ok"/>
    <x v="0"/>
    <n v="68.268829444481526"/>
  </r>
  <r>
    <x v="0"/>
    <n v="1543"/>
    <x v="2"/>
    <x v="2"/>
    <x v="3"/>
    <s v="1st line support"/>
    <x v="2"/>
    <x v="437"/>
    <d v="2023-03-09T18:53:10"/>
    <d v="2023-03-08T18:55:10"/>
    <d v="2023-03-08T18:54:54"/>
    <s v="Within SLA"/>
    <d v="2023-03-10T15:18:30"/>
    <x v="1"/>
    <d v="2023-03-11T22:21:08"/>
    <n v="9"/>
    <n v="4"/>
    <x v="3"/>
    <x v="0"/>
    <s v="Poland"/>
    <n v="52.536273000000001"/>
    <n v="19.050639"/>
    <s v="ok"/>
    <s v="ok"/>
    <s v="ok"/>
    <s v="ok"/>
    <s v="ok"/>
    <x v="0"/>
    <n v="44.42213833326241"/>
  </r>
  <r>
    <x v="0"/>
    <n v="1544"/>
    <x v="0"/>
    <x v="2"/>
    <x v="1"/>
    <s v="1st line support"/>
    <x v="3"/>
    <x v="438"/>
    <d v="2023-03-09T21:01:00"/>
    <d v="2023-03-08T21:03:00"/>
    <d v="2023-03-08T21:02:08"/>
    <s v="Within SLA"/>
    <d v="2023-03-09T11:28:21"/>
    <x v="0"/>
    <d v="2023-03-12T02:19:29"/>
    <n v="6"/>
    <n v="4"/>
    <x v="0"/>
    <x v="0"/>
    <s v="France"/>
    <n v="48.864716000000001"/>
    <n v="2.3490139999999999"/>
    <s v="ok"/>
    <s v="ok"/>
    <s v="ok"/>
    <s v="ok"/>
    <s v="ok"/>
    <x v="0"/>
    <n v="14.455879722198006"/>
  </r>
  <r>
    <x v="1"/>
    <n v="1545"/>
    <x v="0"/>
    <x v="2"/>
    <x v="0"/>
    <s v="1st line support"/>
    <x v="2"/>
    <x v="439"/>
    <d v="2023-03-09T19:24:41"/>
    <d v="2023-03-08T19:26:41"/>
    <d v="2023-03-08T19:30:31"/>
    <s v="SLA Violated"/>
    <m/>
    <x v="1"/>
    <m/>
    <n v="6"/>
    <m/>
    <x v="0"/>
    <x v="0"/>
    <s v="Bulgaria"/>
    <n v="42.724992499999999"/>
    <n v="25.483303899999999"/>
    <s v="ok"/>
    <s v="ok"/>
    <s v="ok"/>
    <s v="ok"/>
    <s v="ok"/>
    <x v="1"/>
    <s v=""/>
  </r>
  <r>
    <x v="1"/>
    <n v="1546"/>
    <x v="2"/>
    <x v="2"/>
    <x v="4"/>
    <s v="2nd line support"/>
    <x v="7"/>
    <x v="440"/>
    <d v="2023-03-09T01:14:25"/>
    <d v="2023-03-08T01:16:25"/>
    <d v="2023-03-08T01:16:09"/>
    <s v="Within SLA"/>
    <m/>
    <x v="1"/>
    <m/>
    <n v="4"/>
    <m/>
    <x v="0"/>
    <x v="1"/>
    <s v="Italy"/>
    <n v="43.036776000000003"/>
    <n v="12.678565000000001"/>
    <s v="ok"/>
    <s v="ok"/>
    <s v="ok"/>
    <s v="ok"/>
    <s v="ok"/>
    <x v="1"/>
    <s v=""/>
  </r>
  <r>
    <x v="2"/>
    <n v="1547"/>
    <x v="0"/>
    <x v="0"/>
    <x v="4"/>
    <s v="2nd line support"/>
    <x v="1"/>
    <x v="441"/>
    <d v="2023-03-10T16:10:52"/>
    <d v="2023-03-08T17:10:52"/>
    <d v="2023-03-08T17:01:41"/>
    <s v="Within SLA"/>
    <d v="2023-03-10T06:07:39"/>
    <x v="0"/>
    <m/>
    <n v="3"/>
    <m/>
    <x v="2"/>
    <x v="1"/>
    <s v="Austria"/>
    <n v="47.696471899999999"/>
    <n v="13.3457347"/>
    <s v="ok"/>
    <s v="ok"/>
    <s v="ok"/>
    <s v="ok"/>
    <s v="ok"/>
    <x v="0"/>
    <n v="37.94639583339449"/>
  </r>
  <r>
    <x v="0"/>
    <n v="1548"/>
    <x v="2"/>
    <x v="0"/>
    <x v="4"/>
    <s v="1st line support"/>
    <x v="6"/>
    <x v="442"/>
    <d v="2023-03-10T07:47:06"/>
    <d v="2023-03-08T08:47:06"/>
    <d v="2023-03-08T15:27:01"/>
    <s v="SLA Violated"/>
    <d v="2023-03-09T17:09:31"/>
    <x v="0"/>
    <d v="2023-03-15T20:16:13"/>
    <n v="4"/>
    <n v="2"/>
    <x v="3"/>
    <x v="0"/>
    <s v="Italy"/>
    <n v="43.036776000000003"/>
    <n v="12.678565000000001"/>
    <s v="ok"/>
    <s v="ok"/>
    <s v="ok"/>
    <s v="ok"/>
    <s v="ok"/>
    <x v="0"/>
    <n v="33.373662777885329"/>
  </r>
  <r>
    <x v="1"/>
    <n v="1549"/>
    <x v="0"/>
    <x v="2"/>
    <x v="2"/>
    <s v="1st line support"/>
    <x v="4"/>
    <x v="443"/>
    <d v="2023-03-09T19:22:33"/>
    <d v="2023-03-08T19:24:33"/>
    <d v="2023-03-08T19:22:43"/>
    <s v="Within SLA"/>
    <m/>
    <x v="1"/>
    <m/>
    <n v="9"/>
    <m/>
    <x v="3"/>
    <x v="0"/>
    <s v="Republic of Ireland"/>
    <n v="53.094023999999997"/>
    <n v="-8.0196749999999994"/>
    <s v="ok"/>
    <s v="ok"/>
    <s v="ok"/>
    <s v="ok"/>
    <s v="ok"/>
    <x v="1"/>
    <s v=""/>
  </r>
  <r>
    <x v="2"/>
    <n v="1550"/>
    <x v="0"/>
    <x v="2"/>
    <x v="0"/>
    <s v="1st line support"/>
    <x v="2"/>
    <x v="444"/>
    <d v="2023-03-10T07:31:05"/>
    <d v="2023-03-09T07:33:05"/>
    <d v="2023-03-09T07:31:47"/>
    <s v="Within SLA"/>
    <d v="2023-03-09T18:22:38"/>
    <x v="0"/>
    <m/>
    <n v="5"/>
    <m/>
    <x v="2"/>
    <x v="0"/>
    <s v="Poland"/>
    <n v="52.536273000000001"/>
    <n v="19.050639"/>
    <s v="ok"/>
    <s v="ok"/>
    <s v="ok"/>
    <s v="ok"/>
    <s v="ok"/>
    <x v="0"/>
    <n v="10.859080000023823"/>
  </r>
  <r>
    <x v="0"/>
    <n v="1551"/>
    <x v="1"/>
    <x v="0"/>
    <x v="3"/>
    <s v="1st line support"/>
    <x v="0"/>
    <x v="445"/>
    <d v="2023-03-11T18:37:17"/>
    <d v="2023-03-09T19:37:17"/>
    <d v="2023-03-09T18:50:07"/>
    <s v="Within SLA"/>
    <d v="2023-03-10T18:31:50"/>
    <x v="0"/>
    <d v="2023-03-15T04:39:09"/>
    <n v="3"/>
    <n v="4"/>
    <x v="1"/>
    <x v="0"/>
    <s v="Bulgaria"/>
    <n v="42.724992499999999"/>
    <n v="25.483303899999999"/>
    <s v="ok"/>
    <s v="ok"/>
    <s v="ok"/>
    <s v="ok"/>
    <s v="ok"/>
    <x v="0"/>
    <n v="23.909226388845127"/>
  </r>
  <r>
    <x v="0"/>
    <n v="1552"/>
    <x v="0"/>
    <x v="0"/>
    <x v="3"/>
    <s v="1st line support"/>
    <x v="6"/>
    <x v="446"/>
    <d v="2023-03-11T05:24:36"/>
    <d v="2023-03-09T06:24:36"/>
    <d v="2023-03-09T06:07:17"/>
    <s v="Within SLA"/>
    <d v="2023-03-10T19:09:52"/>
    <x v="0"/>
    <d v="2023-03-10T17:01:09"/>
    <n v="2"/>
    <n v="1"/>
    <x v="0"/>
    <x v="0"/>
    <s v="Austria"/>
    <n v="47.696471899999999"/>
    <n v="13.3457347"/>
    <s v="ok"/>
    <s v="ok"/>
    <s v="check"/>
    <s v="ok"/>
    <s v="ok"/>
    <x v="0"/>
    <n v="37.754317499930039"/>
  </r>
  <r>
    <x v="1"/>
    <n v="1553"/>
    <x v="2"/>
    <x v="0"/>
    <x v="0"/>
    <s v="1st line support"/>
    <x v="3"/>
    <x v="447"/>
    <d v="2023-03-11T22:52:40"/>
    <d v="2023-03-09T23:52:40"/>
    <d v="2023-03-09T22:53:39"/>
    <s v="Within SLA"/>
    <m/>
    <x v="1"/>
    <m/>
    <n v="2"/>
    <m/>
    <x v="2"/>
    <x v="0"/>
    <s v="Italy"/>
    <n v="43.036776000000003"/>
    <n v="12.678565000000001"/>
    <s v="ok"/>
    <s v="ok"/>
    <s v="ok"/>
    <s v="ok"/>
    <s v="ok"/>
    <x v="1"/>
    <s v=""/>
  </r>
  <r>
    <x v="0"/>
    <n v="1556"/>
    <x v="1"/>
    <x v="0"/>
    <x v="1"/>
    <s v="1st line support"/>
    <x v="2"/>
    <x v="448"/>
    <d v="2023-03-11T20:08:56"/>
    <d v="2023-03-09T21:08:56"/>
    <d v="2023-03-09T20:26:57"/>
    <s v="Within SLA"/>
    <d v="2023-03-10T17:53:37"/>
    <x v="0"/>
    <d v="2023-03-11T06:54:21"/>
    <n v="3"/>
    <n v="3"/>
    <x v="1"/>
    <x v="0"/>
    <s v="United Kingdom"/>
    <n v="55.378051999999997"/>
    <n v="-3.4359730000000002"/>
    <s v="ok"/>
    <s v="ok"/>
    <s v="ok"/>
    <s v="ok"/>
    <s v="ok"/>
    <x v="0"/>
    <n v="21.744612777780276"/>
  </r>
  <r>
    <x v="2"/>
    <n v="1557"/>
    <x v="2"/>
    <x v="0"/>
    <x v="3"/>
    <s v="1st line support"/>
    <x v="4"/>
    <x v="449"/>
    <d v="2023-03-11T01:51:28"/>
    <d v="2023-03-09T02:51:28"/>
    <d v="2023-03-09T02:21:02"/>
    <s v="Within SLA"/>
    <d v="2023-03-11T00:55:06"/>
    <x v="0"/>
    <m/>
    <n v="3"/>
    <m/>
    <x v="3"/>
    <x v="0"/>
    <s v="Republic of Ireland"/>
    <n v="53.094023999999997"/>
    <n v="-8.0196749999999994"/>
    <s v="ok"/>
    <s v="ok"/>
    <s v="ok"/>
    <s v="ok"/>
    <s v="ok"/>
    <x v="0"/>
    <n v="47.060552500071935"/>
  </r>
  <r>
    <x v="0"/>
    <n v="1560"/>
    <x v="1"/>
    <x v="0"/>
    <x v="0"/>
    <s v="2nd line support"/>
    <x v="5"/>
    <x v="450"/>
    <d v="2023-03-12T04:09:11"/>
    <d v="2023-03-10T05:09:11"/>
    <d v="2023-03-10T04:34:11"/>
    <s v="Within SLA"/>
    <d v="2023-03-11T15:42:37"/>
    <x v="0"/>
    <d v="2023-03-13T15:37:12"/>
    <n v="2"/>
    <n v="3"/>
    <x v="2"/>
    <x v="1"/>
    <s v="Austria"/>
    <n v="47.696471899999999"/>
    <n v="13.3457347"/>
    <s v="ok"/>
    <s v="ok"/>
    <s v="ok"/>
    <s v="ok"/>
    <s v="ok"/>
    <x v="0"/>
    <n v="35.557326111244038"/>
  </r>
  <r>
    <x v="0"/>
    <n v="1561"/>
    <x v="0"/>
    <x v="2"/>
    <x v="0"/>
    <s v="2nd line support"/>
    <x v="1"/>
    <x v="451"/>
    <d v="2023-03-11T17:41:12"/>
    <d v="2023-03-10T17:43:12"/>
    <d v="2023-03-10T17:42:59"/>
    <s v="Within SLA"/>
    <d v="2023-03-11T03:12:54"/>
    <x v="0"/>
    <d v="2023-03-11T18:26:04"/>
    <n v="6"/>
    <n v="3"/>
    <x v="1"/>
    <x v="1"/>
    <s v="United Kingdom"/>
    <n v="55.378051999999997"/>
    <n v="-3.4359730000000002"/>
    <s v="ok"/>
    <s v="ok"/>
    <s v="ok"/>
    <s v="ok"/>
    <s v="ok"/>
    <x v="0"/>
    <n v="9.5283308334765024"/>
  </r>
  <r>
    <x v="1"/>
    <n v="1562"/>
    <x v="0"/>
    <x v="0"/>
    <x v="0"/>
    <s v="2nd line support"/>
    <x v="1"/>
    <x v="452"/>
    <d v="2023-03-12T00:32:45"/>
    <d v="2023-03-10T01:32:45"/>
    <d v="2023-03-10T01:13:09"/>
    <s v="Within SLA"/>
    <m/>
    <x v="1"/>
    <m/>
    <n v="2"/>
    <m/>
    <x v="1"/>
    <x v="1"/>
    <s v="United Kingdom"/>
    <n v="55.378051999999997"/>
    <n v="-3.4359730000000002"/>
    <s v="ok"/>
    <s v="ok"/>
    <s v="ok"/>
    <s v="ok"/>
    <s v="ok"/>
    <x v="1"/>
    <s v=""/>
  </r>
  <r>
    <x v="2"/>
    <n v="1563"/>
    <x v="0"/>
    <x v="2"/>
    <x v="0"/>
    <s v="1st line support"/>
    <x v="4"/>
    <x v="453"/>
    <d v="2023-03-11T00:43:40"/>
    <d v="2023-03-10T00:45:40"/>
    <d v="2023-03-10T00:45:18"/>
    <s v="Within SLA"/>
    <d v="2023-03-10T14:07:43"/>
    <x v="0"/>
    <m/>
    <n v="3"/>
    <m/>
    <x v="0"/>
    <x v="0"/>
    <s v="Bulgaria"/>
    <n v="42.724992499999999"/>
    <n v="25.483303899999999"/>
    <s v="ok"/>
    <s v="ok"/>
    <s v="ok"/>
    <s v="ok"/>
    <s v="ok"/>
    <x v="0"/>
    <n v="13.400919166684616"/>
  </r>
  <r>
    <x v="0"/>
    <n v="1565"/>
    <x v="2"/>
    <x v="0"/>
    <x v="3"/>
    <s v="1st line support"/>
    <x v="2"/>
    <x v="454"/>
    <d v="2023-03-12T06:44:13"/>
    <d v="2023-03-10T07:44:13"/>
    <d v="2023-03-10T07:40:30"/>
    <s v="Within SLA"/>
    <d v="2023-03-10T22:31:11"/>
    <x v="0"/>
    <d v="2023-03-13T13:36:51"/>
    <n v="8"/>
    <n v="3"/>
    <x v="0"/>
    <x v="0"/>
    <s v="United Kingdom"/>
    <n v="55.378051999999997"/>
    <n v="-3.4359730000000002"/>
    <s v="ok"/>
    <s v="ok"/>
    <s v="ok"/>
    <s v="ok"/>
    <s v="ok"/>
    <x v="0"/>
    <n v="15.782806389033794"/>
  </r>
  <r>
    <x v="1"/>
    <n v="1567"/>
    <x v="2"/>
    <x v="0"/>
    <x v="4"/>
    <s v="1st line support"/>
    <x v="3"/>
    <x v="455"/>
    <d v="2023-03-13T22:08:57"/>
    <d v="2023-03-11T23:08:57"/>
    <d v="2023-03-11T22:37:10"/>
    <s v="Within SLA"/>
    <m/>
    <x v="1"/>
    <m/>
    <n v="3"/>
    <m/>
    <x v="2"/>
    <x v="0"/>
    <s v="Austria"/>
    <n v="47.696471899999999"/>
    <n v="13.3457347"/>
    <s v="ok"/>
    <s v="ok"/>
    <s v="ok"/>
    <s v="ok"/>
    <s v="ok"/>
    <x v="1"/>
    <s v=""/>
  </r>
  <r>
    <x v="2"/>
    <n v="1568"/>
    <x v="2"/>
    <x v="0"/>
    <x v="1"/>
    <s v="1st line support"/>
    <x v="4"/>
    <x v="456"/>
    <d v="2023-03-13T04:34:35"/>
    <d v="2023-03-11T05:34:35"/>
    <d v="2023-03-11T05:02:24"/>
    <s v="Within SLA"/>
    <d v="2023-03-12T00:49:07"/>
    <x v="0"/>
    <m/>
    <n v="4"/>
    <m/>
    <x v="2"/>
    <x v="0"/>
    <s v="Czech Republic"/>
    <n v="49.8037633"/>
    <n v="15.4749126"/>
    <s v="ok"/>
    <s v="ok"/>
    <s v="ok"/>
    <s v="ok"/>
    <s v="ok"/>
    <x v="0"/>
    <n v="20.242214444442652"/>
  </r>
  <r>
    <x v="2"/>
    <n v="1573"/>
    <x v="0"/>
    <x v="0"/>
    <x v="1"/>
    <s v="2nd line support"/>
    <x v="7"/>
    <x v="457"/>
    <d v="2023-03-13T01:06:38"/>
    <d v="2023-03-11T02:06:38"/>
    <d v="2023-03-11T01:50:22"/>
    <s v="Within SLA"/>
    <d v="2023-03-12T00:53:42"/>
    <x v="0"/>
    <m/>
    <n v="2"/>
    <m/>
    <x v="2"/>
    <x v="1"/>
    <s v="United Kingdom"/>
    <n v="55.378051999999997"/>
    <n v="-3.4359730000000002"/>
    <s v="ok"/>
    <s v="ok"/>
    <s v="ok"/>
    <s v="ok"/>
    <s v="ok"/>
    <x v="0"/>
    <n v="23.784322777879424"/>
  </r>
  <r>
    <x v="2"/>
    <n v="1574"/>
    <x v="2"/>
    <x v="2"/>
    <x v="4"/>
    <s v="1st line support"/>
    <x v="6"/>
    <x v="458"/>
    <d v="2023-03-12T15:34:51"/>
    <d v="2023-03-11T15:36:51"/>
    <d v="2023-03-11T15:35:14"/>
    <s v="Within SLA"/>
    <d v="2023-03-12T09:31:07"/>
    <x v="0"/>
    <m/>
    <n v="6"/>
    <m/>
    <x v="2"/>
    <x v="0"/>
    <s v="United Kingdom"/>
    <n v="55.378051999999997"/>
    <n v="-3.4359730000000002"/>
    <s v="ok"/>
    <s v="ok"/>
    <s v="ok"/>
    <s v="ok"/>
    <s v="ok"/>
    <x v="0"/>
    <n v="17.937764444563072"/>
  </r>
  <r>
    <x v="2"/>
    <n v="1575"/>
    <x v="1"/>
    <x v="0"/>
    <x v="0"/>
    <s v="1st line support"/>
    <x v="4"/>
    <x v="459"/>
    <d v="2023-03-14T03:04:01"/>
    <d v="2023-03-12T04:04:01"/>
    <d v="2023-03-12T03:31:01"/>
    <s v="Within SLA"/>
    <d v="2023-03-15T23:42:25"/>
    <x v="1"/>
    <m/>
    <n v="3"/>
    <m/>
    <x v="0"/>
    <x v="0"/>
    <s v="Italy"/>
    <n v="43.036776000000003"/>
    <n v="12.678565000000001"/>
    <s v="ok"/>
    <s v="ok"/>
    <s v="ok"/>
    <s v="ok"/>
    <s v="ok"/>
    <x v="0"/>
    <n v="92.639928055694327"/>
  </r>
  <r>
    <x v="2"/>
    <n v="1576"/>
    <x v="0"/>
    <x v="0"/>
    <x v="2"/>
    <s v="2nd line support"/>
    <x v="5"/>
    <x v="460"/>
    <d v="2023-03-14T01:00:06"/>
    <d v="2023-03-12T02:00:06"/>
    <d v="2023-03-12T01:46:15"/>
    <s v="Within SLA"/>
    <d v="2023-03-12T05:29:28"/>
    <x v="0"/>
    <m/>
    <n v="2"/>
    <m/>
    <x v="2"/>
    <x v="1"/>
    <s v="Austria"/>
    <n v="47.696471899999999"/>
    <n v="13.3457347"/>
    <s v="ok"/>
    <s v="ok"/>
    <s v="ok"/>
    <s v="ok"/>
    <s v="ok"/>
    <x v="0"/>
    <n v="4.4894611111376435"/>
  </r>
  <r>
    <x v="0"/>
    <n v="1577"/>
    <x v="2"/>
    <x v="0"/>
    <x v="5"/>
    <s v="1st line support"/>
    <x v="3"/>
    <x v="461"/>
    <d v="2023-03-14T19:12:49"/>
    <d v="2023-03-12T20:12:49"/>
    <d v="2023-03-12T19:48:43"/>
    <s v="Within SLA"/>
    <d v="2023-03-13T03:38:18"/>
    <x v="0"/>
    <d v="2023-03-18T07:48:25"/>
    <n v="8"/>
    <n v="3"/>
    <x v="2"/>
    <x v="0"/>
    <s v="United Kingdom"/>
    <n v="55.378051999999997"/>
    <n v="-3.4359730000000002"/>
    <s v="ok"/>
    <s v="ok"/>
    <s v="ok"/>
    <s v="ok"/>
    <s v="ok"/>
    <x v="0"/>
    <n v="8.4247222222038545"/>
  </r>
  <r>
    <x v="0"/>
    <n v="1581"/>
    <x v="0"/>
    <x v="0"/>
    <x v="5"/>
    <s v="2nd line support"/>
    <x v="5"/>
    <x v="462"/>
    <d v="2023-03-15T15:58:26"/>
    <d v="2023-03-13T16:58:26"/>
    <d v="2023-03-13T16:19:07"/>
    <s v="Within SLA"/>
    <d v="2023-03-14T23:11:28"/>
    <x v="0"/>
    <d v="2023-03-16T15:44:35"/>
    <n v="6"/>
    <n v="4"/>
    <x v="2"/>
    <x v="1"/>
    <s v="Bulgaria"/>
    <n v="42.724992499999999"/>
    <n v="25.483303899999999"/>
    <s v="ok"/>
    <s v="ok"/>
    <s v="ok"/>
    <s v="ok"/>
    <s v="ok"/>
    <x v="0"/>
    <n v="31.217313055589329"/>
  </r>
  <r>
    <x v="2"/>
    <n v="1582"/>
    <x v="0"/>
    <x v="1"/>
    <x v="2"/>
    <s v="1st line support"/>
    <x v="6"/>
    <x v="463"/>
    <d v="2023-03-15T11:05:16"/>
    <d v="2023-03-13T11:07:16"/>
    <d v="2023-03-13T11:05:29"/>
    <s v="Within SLA"/>
    <d v="2023-03-15T09:34:07"/>
    <x v="0"/>
    <m/>
    <n v="3"/>
    <m/>
    <x v="2"/>
    <x v="0"/>
    <s v="Poland"/>
    <n v="52.536273000000001"/>
    <n v="19.050639"/>
    <s v="ok"/>
    <s v="ok"/>
    <s v="ok"/>
    <s v="ok"/>
    <s v="ok"/>
    <x v="0"/>
    <n v="46.480785277846735"/>
  </r>
  <r>
    <x v="0"/>
    <n v="1583"/>
    <x v="2"/>
    <x v="2"/>
    <x v="6"/>
    <s v="1st line support"/>
    <x v="0"/>
    <x v="464"/>
    <d v="2023-03-14T05:33:38"/>
    <d v="2023-03-13T05:35:38"/>
    <d v="2023-03-13T05:35:00"/>
    <s v="Within SLA"/>
    <d v="2023-03-14T00:01:28"/>
    <x v="0"/>
    <d v="2023-03-17T06:57:34"/>
    <n v="3"/>
    <n v="5"/>
    <x v="3"/>
    <x v="0"/>
    <s v="Poland"/>
    <n v="52.536273000000001"/>
    <n v="19.050639"/>
    <s v="ok"/>
    <s v="ok"/>
    <s v="ok"/>
    <s v="ok"/>
    <s v="ok"/>
    <x v="0"/>
    <n v="18.463913055660669"/>
  </r>
  <r>
    <x v="1"/>
    <n v="1584"/>
    <x v="0"/>
    <x v="2"/>
    <x v="0"/>
    <s v="1st line support"/>
    <x v="3"/>
    <x v="465"/>
    <d v="2023-03-14T13:19:39"/>
    <d v="2023-03-13T13:21:39"/>
    <d v="2023-03-13T13:20:29"/>
    <s v="Within SLA"/>
    <m/>
    <x v="1"/>
    <m/>
    <n v="9"/>
    <m/>
    <x v="1"/>
    <x v="0"/>
    <s v="United Kingdom"/>
    <n v="55.378051999999997"/>
    <n v="-3.4359730000000002"/>
    <s v="ok"/>
    <s v="ok"/>
    <s v="ok"/>
    <s v="ok"/>
    <s v="ok"/>
    <x v="1"/>
    <s v=""/>
  </r>
  <r>
    <x v="0"/>
    <n v="1585"/>
    <x v="0"/>
    <x v="0"/>
    <x v="1"/>
    <s v="2nd line support"/>
    <x v="5"/>
    <x v="466"/>
    <d v="2023-03-15T21:36:55"/>
    <d v="2023-03-13T22:36:55"/>
    <d v="2023-03-13T22:31:55"/>
    <s v="Within SLA"/>
    <d v="2023-03-14T19:08:44"/>
    <x v="0"/>
    <d v="2023-03-16T16:20:17"/>
    <n v="6"/>
    <n v="2"/>
    <x v="3"/>
    <x v="1"/>
    <s v="Slovenia"/>
    <n v="46.149166399999999"/>
    <n v="14.9860106"/>
    <s v="ok"/>
    <s v="ok"/>
    <s v="ok"/>
    <s v="ok"/>
    <s v="ok"/>
    <x v="0"/>
    <n v="21.530295277771074"/>
  </r>
  <r>
    <x v="3"/>
    <n v="1586"/>
    <x v="2"/>
    <x v="0"/>
    <x v="1"/>
    <s v="1st line support"/>
    <x v="6"/>
    <x v="467"/>
    <d v="2023-03-15T17:00:43"/>
    <d v="2023-03-13T18:00:43"/>
    <m/>
    <s v="SLA Violated"/>
    <m/>
    <x v="1"/>
    <m/>
    <m/>
    <m/>
    <x v="2"/>
    <x v="0"/>
    <s v="Greece"/>
    <n v="39.368279000000001"/>
    <n v="21.863140999999999"/>
    <s v="check"/>
    <s v="ok"/>
    <s v="ok"/>
    <s v="ok"/>
    <s v="no response"/>
    <x v="1"/>
    <s v=""/>
  </r>
  <r>
    <x v="0"/>
    <n v="1587"/>
    <x v="2"/>
    <x v="0"/>
    <x v="3"/>
    <s v="1st line support"/>
    <x v="3"/>
    <x v="468"/>
    <d v="2023-03-15T08:21:06"/>
    <d v="2023-03-13T09:21:06"/>
    <d v="2023-03-13T09:04:46"/>
    <s v="Within SLA"/>
    <d v="2023-03-13T12:09:45"/>
    <x v="0"/>
    <d v="2023-03-15T15:22:43"/>
    <n v="8"/>
    <n v="3"/>
    <x v="1"/>
    <x v="0"/>
    <s v="United Kingdom"/>
    <n v="55.378051999999997"/>
    <n v="-3.4359730000000002"/>
    <s v="ok"/>
    <s v="ok"/>
    <s v="ok"/>
    <s v="ok"/>
    <s v="ok"/>
    <x v="0"/>
    <n v="3.8109180555911735"/>
  </r>
  <r>
    <x v="2"/>
    <n v="1588"/>
    <x v="0"/>
    <x v="2"/>
    <x v="2"/>
    <s v="2nd line support"/>
    <x v="7"/>
    <x v="469"/>
    <d v="2023-03-14T15:59:29"/>
    <d v="2023-03-13T16:01:29"/>
    <d v="2023-03-13T16:00:42"/>
    <s v="Within SLA"/>
    <d v="2023-03-15T07:19:23"/>
    <x v="1"/>
    <m/>
    <n v="4"/>
    <m/>
    <x v="2"/>
    <x v="1"/>
    <s v="Greece"/>
    <n v="39.368279000000001"/>
    <n v="21.863140999999999"/>
    <s v="ok"/>
    <s v="ok"/>
    <s v="ok"/>
    <s v="ok"/>
    <s v="ok"/>
    <x v="0"/>
    <n v="39.331700555572752"/>
  </r>
  <r>
    <x v="0"/>
    <n v="1589"/>
    <x v="0"/>
    <x v="2"/>
    <x v="0"/>
    <s v="1st line support"/>
    <x v="4"/>
    <x v="470"/>
    <d v="2023-03-14T20:46:16"/>
    <d v="2023-03-13T20:48:16"/>
    <d v="2023-03-13T20:47:37"/>
    <s v="Within SLA"/>
    <d v="2023-03-14T16:57:26"/>
    <x v="0"/>
    <d v="2023-03-16T00:58:51"/>
    <n v="8"/>
    <n v="2"/>
    <x v="1"/>
    <x v="0"/>
    <s v="Greece"/>
    <n v="39.368279000000001"/>
    <n v="21.863140999999999"/>
    <s v="ok"/>
    <s v="ok"/>
    <s v="ok"/>
    <s v="ok"/>
    <s v="ok"/>
    <x v="0"/>
    <n v="20.186105833388865"/>
  </r>
  <r>
    <x v="1"/>
    <n v="1590"/>
    <x v="0"/>
    <x v="0"/>
    <x v="2"/>
    <s v="1st line support"/>
    <x v="6"/>
    <x v="471"/>
    <d v="2023-03-15T10:15:38"/>
    <d v="2023-03-13T11:15:38"/>
    <d v="2023-03-13T10:41:31"/>
    <s v="Within SLA"/>
    <m/>
    <x v="1"/>
    <m/>
    <n v="2"/>
    <m/>
    <x v="3"/>
    <x v="0"/>
    <s v="Czech Republic"/>
    <n v="49.8037633"/>
    <n v="15.4749126"/>
    <s v="ok"/>
    <s v="ok"/>
    <s v="ok"/>
    <s v="ok"/>
    <s v="ok"/>
    <x v="1"/>
    <s v=""/>
  </r>
  <r>
    <x v="0"/>
    <n v="1591"/>
    <x v="0"/>
    <x v="2"/>
    <x v="0"/>
    <s v="1st line support"/>
    <x v="4"/>
    <x v="472"/>
    <d v="2023-03-14T11:05:15"/>
    <d v="2023-03-13T11:07:15"/>
    <d v="2023-03-13T11:06:20"/>
    <s v="Within SLA"/>
    <d v="2023-03-13T18:27:02"/>
    <x v="0"/>
    <d v="2023-03-14T17:06:18"/>
    <n v="6"/>
    <n v="3"/>
    <x v="1"/>
    <x v="0"/>
    <s v="Italy"/>
    <n v="43.036776000000003"/>
    <n v="12.678565000000001"/>
    <s v="ok"/>
    <s v="ok"/>
    <s v="ok"/>
    <s v="ok"/>
    <s v="ok"/>
    <x v="0"/>
    <n v="7.3629586111055687"/>
  </r>
  <r>
    <x v="1"/>
    <n v="1592"/>
    <x v="0"/>
    <x v="0"/>
    <x v="4"/>
    <s v="1st line support"/>
    <x v="4"/>
    <x v="473"/>
    <d v="2023-03-15T07:20:49"/>
    <d v="2023-03-13T08:20:49"/>
    <d v="2023-03-13T08:03:16"/>
    <s v="Within SLA"/>
    <m/>
    <x v="1"/>
    <m/>
    <n v="5"/>
    <m/>
    <x v="2"/>
    <x v="0"/>
    <s v="Slovenia"/>
    <n v="46.149166399999999"/>
    <n v="14.9860106"/>
    <s v="ok"/>
    <s v="ok"/>
    <s v="ok"/>
    <s v="ok"/>
    <s v="ok"/>
    <x v="1"/>
    <s v=""/>
  </r>
  <r>
    <x v="2"/>
    <n v="1593"/>
    <x v="2"/>
    <x v="0"/>
    <x v="1"/>
    <s v="2nd line support"/>
    <x v="5"/>
    <x v="474"/>
    <d v="2023-03-16T09:39:52"/>
    <d v="2023-03-14T10:39:52"/>
    <d v="2023-03-14T10:12:46"/>
    <s v="Within SLA"/>
    <d v="2023-03-16T06:06:00"/>
    <x v="0"/>
    <m/>
    <n v="1"/>
    <m/>
    <x v="2"/>
    <x v="1"/>
    <s v="Italy"/>
    <n v="43.036776000000003"/>
    <n v="12.678565000000001"/>
    <s v="ok"/>
    <s v="ok"/>
    <s v="ok"/>
    <s v="ok"/>
    <s v="ok"/>
    <x v="0"/>
    <n v="44.435543055413291"/>
  </r>
  <r>
    <x v="0"/>
    <n v="1594"/>
    <x v="1"/>
    <x v="0"/>
    <x v="1"/>
    <s v="1st line support"/>
    <x v="0"/>
    <x v="475"/>
    <d v="2023-03-16T10:08:38"/>
    <d v="2023-03-14T11:08:38"/>
    <d v="2023-03-14T10:18:40"/>
    <s v="Within SLA"/>
    <d v="2023-03-14T14:26:39"/>
    <x v="0"/>
    <d v="2023-03-21T16:13:27"/>
    <n v="3"/>
    <n v="5"/>
    <x v="0"/>
    <x v="0"/>
    <s v="United Kingdom"/>
    <n v="55.378051999999997"/>
    <n v="-3.4359730000000002"/>
    <s v="ok"/>
    <s v="ok"/>
    <s v="ok"/>
    <s v="ok"/>
    <s v="ok"/>
    <x v="0"/>
    <n v="4.300142222258728"/>
  </r>
  <r>
    <x v="2"/>
    <n v="1595"/>
    <x v="0"/>
    <x v="0"/>
    <x v="3"/>
    <s v="1st line support"/>
    <x v="4"/>
    <x v="476"/>
    <d v="2023-03-16T18:42:04"/>
    <d v="2023-03-14T19:42:04"/>
    <d v="2023-03-14T19:30:39"/>
    <s v="Within SLA"/>
    <d v="2023-03-16T16:46:56"/>
    <x v="0"/>
    <m/>
    <n v="10"/>
    <m/>
    <x v="1"/>
    <x v="0"/>
    <s v="Spain"/>
    <n v="39.673369999999998"/>
    <n v="-4.7677259999999997"/>
    <s v="ok"/>
    <s v="ok"/>
    <s v="ok"/>
    <s v="ok"/>
    <s v="ok"/>
    <x v="0"/>
    <n v="46.081146389013156"/>
  </r>
  <r>
    <x v="0"/>
    <n v="1596"/>
    <x v="0"/>
    <x v="2"/>
    <x v="1"/>
    <s v="1st line support"/>
    <x v="2"/>
    <x v="477"/>
    <d v="2023-03-15T03:18:49"/>
    <d v="2023-03-14T03:20:49"/>
    <d v="2023-03-14T03:22:14"/>
    <s v="SLA Violated"/>
    <d v="2023-03-14T04:59:40"/>
    <x v="0"/>
    <d v="2023-03-18T12:26:14"/>
    <n v="3"/>
    <n v="3"/>
    <x v="0"/>
    <x v="0"/>
    <s v="Slovenia"/>
    <n v="46.149166399999999"/>
    <n v="14.9860106"/>
    <s v="ok"/>
    <s v="ok"/>
    <s v="ok"/>
    <s v="ok"/>
    <s v="ok"/>
    <x v="0"/>
    <n v="1.6808874999987893"/>
  </r>
  <r>
    <x v="0"/>
    <n v="1597"/>
    <x v="0"/>
    <x v="0"/>
    <x v="3"/>
    <s v="1st line support"/>
    <x v="3"/>
    <x v="478"/>
    <d v="2023-03-16T19:42:01"/>
    <d v="2023-03-14T20:42:01"/>
    <d v="2023-03-14T20:04:44"/>
    <s v="Within SLA"/>
    <d v="2023-03-16T01:11:49"/>
    <x v="0"/>
    <d v="2023-03-17T22:23:49"/>
    <n v="2"/>
    <n v="5"/>
    <x v="3"/>
    <x v="0"/>
    <s v="Italy"/>
    <n v="43.036776000000003"/>
    <n v="12.678565000000001"/>
    <s v="ok"/>
    <s v="ok"/>
    <s v="ok"/>
    <s v="ok"/>
    <s v="ok"/>
    <x v="0"/>
    <n v="29.496591944480315"/>
  </r>
  <r>
    <x v="0"/>
    <n v="1598"/>
    <x v="2"/>
    <x v="0"/>
    <x v="1"/>
    <s v="1st line support"/>
    <x v="0"/>
    <x v="479"/>
    <d v="2023-03-16T12:18:12"/>
    <d v="2023-03-14T13:18:12"/>
    <d v="2023-03-14T13:01:04"/>
    <s v="Within SLA"/>
    <d v="2023-03-16T02:47:03"/>
    <x v="0"/>
    <d v="2023-03-20T18:49:42"/>
    <n v="4"/>
    <n v="3"/>
    <x v="1"/>
    <x v="0"/>
    <s v="Italy"/>
    <n v="43.036776000000003"/>
    <n v="12.678565000000001"/>
    <s v="ok"/>
    <s v="ok"/>
    <s v="ok"/>
    <s v="ok"/>
    <s v="ok"/>
    <x v="0"/>
    <n v="38.480954722152092"/>
  </r>
  <r>
    <x v="0"/>
    <n v="1599"/>
    <x v="2"/>
    <x v="1"/>
    <x v="1"/>
    <s v="1st line support"/>
    <x v="0"/>
    <x v="480"/>
    <d v="2023-03-16T10:19:11"/>
    <d v="2023-03-14T10:21:11"/>
    <d v="2023-03-14T10:21:17"/>
    <s v="SLA Violated"/>
    <d v="2023-03-16T07:07:00"/>
    <x v="0"/>
    <d v="2023-03-16T11:08:15"/>
    <n v="3"/>
    <n v="1"/>
    <x v="0"/>
    <x v="0"/>
    <s v="Bulgaria"/>
    <n v="42.724992499999999"/>
    <n v="25.483303899999999"/>
    <s v="ok"/>
    <s v="ok"/>
    <s v="ok"/>
    <s v="ok"/>
    <s v="ok"/>
    <x v="0"/>
    <n v="44.796951666707173"/>
  </r>
  <r>
    <x v="0"/>
    <n v="1600"/>
    <x v="2"/>
    <x v="0"/>
    <x v="4"/>
    <s v="1st line support"/>
    <x v="4"/>
    <x v="481"/>
    <d v="2023-03-16T11:12:15"/>
    <d v="2023-03-14T12:12:15"/>
    <d v="2023-03-14T11:37:40"/>
    <s v="Within SLA"/>
    <d v="2023-03-15T02:27:17"/>
    <x v="0"/>
    <d v="2023-03-19T09:35:41"/>
    <n v="2"/>
    <n v="4"/>
    <x v="3"/>
    <x v="0"/>
    <s v="United Kingdom"/>
    <n v="55.378051999999997"/>
    <n v="-3.4359730000000002"/>
    <s v="ok"/>
    <s v="ok"/>
    <s v="ok"/>
    <s v="ok"/>
    <s v="ok"/>
    <x v="0"/>
    <n v="15.250638611207251"/>
  </r>
  <r>
    <x v="0"/>
    <n v="1601"/>
    <x v="0"/>
    <x v="0"/>
    <x v="1"/>
    <s v="1st line support"/>
    <x v="4"/>
    <x v="482"/>
    <d v="2023-03-17T00:21:06"/>
    <d v="2023-03-15T01:21:06"/>
    <d v="2023-03-15T00:31:01"/>
    <s v="Within SLA"/>
    <d v="2023-03-16T10:55:59"/>
    <x v="0"/>
    <d v="2023-03-17T06:27:01"/>
    <n v="2"/>
    <n v="3"/>
    <x v="1"/>
    <x v="0"/>
    <s v="Austria"/>
    <n v="47.696471899999999"/>
    <n v="13.3457347"/>
    <s v="ok"/>
    <s v="ok"/>
    <s v="ok"/>
    <s v="ok"/>
    <s v="ok"/>
    <x v="0"/>
    <n v="34.581444444484077"/>
  </r>
  <r>
    <x v="2"/>
    <n v="1602"/>
    <x v="1"/>
    <x v="0"/>
    <x v="0"/>
    <s v="2nd line support"/>
    <x v="5"/>
    <x v="483"/>
    <d v="2023-03-17T00:44:09"/>
    <d v="2023-03-15T01:44:09"/>
    <d v="2023-03-15T01:35:42"/>
    <s v="Within SLA"/>
    <d v="2023-03-16T12:29:40"/>
    <x v="0"/>
    <m/>
    <n v="2"/>
    <m/>
    <x v="2"/>
    <x v="1"/>
    <s v="Germany"/>
    <n v="51.165691000000002"/>
    <n v="10.451525999999999"/>
    <s v="ok"/>
    <s v="ok"/>
    <s v="ok"/>
    <s v="ok"/>
    <s v="ok"/>
    <x v="0"/>
    <n v="35.758604999980889"/>
  </r>
  <r>
    <x v="2"/>
    <n v="1603"/>
    <x v="2"/>
    <x v="0"/>
    <x v="0"/>
    <s v="1st line support"/>
    <x v="4"/>
    <x v="484"/>
    <d v="2023-03-17T12:59:00"/>
    <d v="2023-03-15T13:59:00"/>
    <d v="2023-03-15T13:35:22"/>
    <s v="Within SLA"/>
    <d v="2023-03-20T04:08:16"/>
    <x v="1"/>
    <m/>
    <n v="10"/>
    <m/>
    <x v="2"/>
    <x v="0"/>
    <s v="Poland"/>
    <n v="52.536273000000001"/>
    <n v="19.050639"/>
    <s v="ok"/>
    <s v="ok"/>
    <s v="ok"/>
    <s v="ok"/>
    <s v="ok"/>
    <x v="0"/>
    <n v="111.15454249992035"/>
  </r>
  <r>
    <x v="1"/>
    <n v="1604"/>
    <x v="1"/>
    <x v="0"/>
    <x v="1"/>
    <s v="1st line support"/>
    <x v="4"/>
    <x v="485"/>
    <d v="2023-03-17T03:33:55"/>
    <d v="2023-03-15T04:33:55"/>
    <d v="2023-03-15T03:48:41"/>
    <s v="Within SLA"/>
    <m/>
    <x v="1"/>
    <m/>
    <n v="9"/>
    <m/>
    <x v="0"/>
    <x v="0"/>
    <s v="Poland"/>
    <n v="52.536273000000001"/>
    <n v="19.050639"/>
    <s v="ok"/>
    <s v="ok"/>
    <s v="ok"/>
    <s v="ok"/>
    <s v="ok"/>
    <x v="1"/>
    <s v=""/>
  </r>
  <r>
    <x v="0"/>
    <n v="1605"/>
    <x v="1"/>
    <x v="1"/>
    <x v="1"/>
    <s v="1st line support"/>
    <x v="2"/>
    <x v="486"/>
    <d v="2023-03-17T10:58:56"/>
    <d v="2023-03-15T11:00:56"/>
    <d v="2023-03-15T11:04:40"/>
    <s v="SLA Violated"/>
    <d v="2023-03-16T02:19:17"/>
    <x v="0"/>
    <d v="2023-03-17T08:48:12"/>
    <n v="5"/>
    <n v="3"/>
    <x v="0"/>
    <x v="0"/>
    <s v="Poland"/>
    <n v="52.536273000000001"/>
    <n v="19.050639"/>
    <s v="ok"/>
    <s v="ok"/>
    <s v="ok"/>
    <s v="ok"/>
    <s v="ok"/>
    <x v="0"/>
    <n v="15.339069722278509"/>
  </r>
  <r>
    <x v="2"/>
    <n v="1606"/>
    <x v="1"/>
    <x v="2"/>
    <x v="5"/>
    <s v="1st line support"/>
    <x v="2"/>
    <x v="487"/>
    <d v="2023-03-16T12:11:12"/>
    <d v="2023-03-15T12:13:12"/>
    <d v="2023-03-15T12:12:32"/>
    <s v="Within SLA"/>
    <d v="2023-03-16T03:56:25"/>
    <x v="0"/>
    <m/>
    <n v="3"/>
    <m/>
    <x v="0"/>
    <x v="0"/>
    <s v="Italy"/>
    <n v="43.036776000000003"/>
    <n v="12.678565000000001"/>
    <s v="ok"/>
    <s v="ok"/>
    <s v="ok"/>
    <s v="ok"/>
    <s v="ok"/>
    <x v="0"/>
    <n v="15.7536441666889"/>
  </r>
  <r>
    <x v="0"/>
    <n v="1607"/>
    <x v="0"/>
    <x v="0"/>
    <x v="3"/>
    <s v="1st line support"/>
    <x v="2"/>
    <x v="488"/>
    <d v="2023-03-17T16:08:07"/>
    <d v="2023-03-15T17:08:07"/>
    <d v="2023-03-15T16:37:58"/>
    <s v="Within SLA"/>
    <d v="2023-03-17T09:02:37"/>
    <x v="0"/>
    <d v="2023-03-19T05:52:29"/>
    <n v="9"/>
    <n v="2"/>
    <x v="0"/>
    <x v="0"/>
    <s v="Germany"/>
    <n v="51.165691000000002"/>
    <n v="10.451525999999999"/>
    <s v="ok"/>
    <s v="ok"/>
    <s v="ok"/>
    <s v="ok"/>
    <s v="ok"/>
    <x v="0"/>
    <n v="40.908382500114385"/>
  </r>
  <r>
    <x v="0"/>
    <n v="1608"/>
    <x v="1"/>
    <x v="0"/>
    <x v="1"/>
    <s v="1st line support"/>
    <x v="6"/>
    <x v="489"/>
    <d v="2023-03-18T17:09:22"/>
    <d v="2023-03-16T18:09:22"/>
    <d v="2023-03-16T17:58:35"/>
    <s v="Within SLA"/>
    <d v="2023-03-18T00:10:53"/>
    <x v="0"/>
    <d v="2023-03-19T05:58:33"/>
    <n v="1"/>
    <n v="1"/>
    <x v="2"/>
    <x v="0"/>
    <s v="Austria"/>
    <n v="47.696471899999999"/>
    <n v="13.3457347"/>
    <s v="ok"/>
    <s v="ok"/>
    <s v="ok"/>
    <s v="ok"/>
    <s v="ok"/>
    <x v="0"/>
    <n v="31.025216388807166"/>
  </r>
  <r>
    <x v="2"/>
    <n v="1609"/>
    <x v="2"/>
    <x v="2"/>
    <x v="3"/>
    <s v="1st line support"/>
    <x v="4"/>
    <x v="490"/>
    <d v="2023-03-17T20:58:03"/>
    <d v="2023-03-16T21:00:03"/>
    <d v="2023-03-16T20:58:17"/>
    <s v="Within SLA"/>
    <d v="2023-03-17T06:49:58"/>
    <x v="0"/>
    <m/>
    <n v="6"/>
    <m/>
    <x v="3"/>
    <x v="0"/>
    <s v="Slovenia"/>
    <n v="46.149166399999999"/>
    <n v="14.9860106"/>
    <s v="ok"/>
    <s v="ok"/>
    <s v="ok"/>
    <s v="ok"/>
    <s v="ok"/>
    <x v="0"/>
    <n v="9.8653044443344697"/>
  </r>
  <r>
    <x v="0"/>
    <n v="1610"/>
    <x v="0"/>
    <x v="2"/>
    <x v="3"/>
    <s v="1st line support"/>
    <x v="0"/>
    <x v="491"/>
    <d v="2023-03-17T04:46:12"/>
    <d v="2023-03-16T04:48:12"/>
    <d v="2023-03-16T04:46:28"/>
    <s v="Within SLA"/>
    <d v="2023-03-16T12:23:47"/>
    <x v="0"/>
    <d v="2023-03-19T16:08:48"/>
    <n v="8"/>
    <n v="3"/>
    <x v="2"/>
    <x v="0"/>
    <s v="France"/>
    <n v="48.864716000000001"/>
    <n v="2.3490139999999999"/>
    <s v="ok"/>
    <s v="ok"/>
    <s v="ok"/>
    <s v="ok"/>
    <s v="ok"/>
    <x v="0"/>
    <n v="7.6262783331912942"/>
  </r>
  <r>
    <x v="0"/>
    <n v="1611"/>
    <x v="1"/>
    <x v="0"/>
    <x v="2"/>
    <s v="1st line support"/>
    <x v="0"/>
    <x v="492"/>
    <d v="2023-03-18T18:51:53"/>
    <d v="2023-03-16T19:51:53"/>
    <d v="2023-03-16T19:21:34"/>
    <s v="Within SLA"/>
    <d v="2023-03-17T05:58:32"/>
    <x v="0"/>
    <d v="2023-03-23T06:20:22"/>
    <n v="9"/>
    <n v="3"/>
    <x v="0"/>
    <x v="0"/>
    <s v="Italy"/>
    <n v="43.036776000000003"/>
    <n v="12.678565000000001"/>
    <s v="ok"/>
    <s v="ok"/>
    <s v="ok"/>
    <s v="ok"/>
    <s v="ok"/>
    <x v="0"/>
    <n v="11.110926388995722"/>
  </r>
  <r>
    <x v="2"/>
    <n v="1612"/>
    <x v="1"/>
    <x v="2"/>
    <x v="5"/>
    <s v="1st line support"/>
    <x v="3"/>
    <x v="493"/>
    <d v="2023-03-17T02:30:07"/>
    <d v="2023-03-16T02:32:07"/>
    <d v="2023-03-16T02:31:43"/>
    <s v="Within SLA"/>
    <d v="2023-03-16T09:24:10"/>
    <x v="0"/>
    <m/>
    <n v="4"/>
    <m/>
    <x v="0"/>
    <x v="0"/>
    <s v="United Kingdom"/>
    <n v="55.378051999999997"/>
    <n v="-3.4359730000000002"/>
    <s v="ok"/>
    <s v="ok"/>
    <s v="ok"/>
    <s v="ok"/>
    <s v="ok"/>
    <x v="0"/>
    <n v="6.9008780554868281"/>
  </r>
  <r>
    <x v="0"/>
    <n v="1613"/>
    <x v="2"/>
    <x v="2"/>
    <x v="1"/>
    <s v="1st line support"/>
    <x v="3"/>
    <x v="494"/>
    <d v="2023-03-17T15:56:22"/>
    <d v="2023-03-16T15:58:22"/>
    <d v="2023-03-16T15:56:36"/>
    <s v="Within SLA"/>
    <d v="2023-03-17T03:32:43"/>
    <x v="0"/>
    <d v="2023-03-19T08:11:35"/>
    <n v="4"/>
    <n v="4"/>
    <x v="2"/>
    <x v="0"/>
    <s v="Bulgaria"/>
    <n v="42.724992499999999"/>
    <n v="25.483303899999999"/>
    <s v="ok"/>
    <s v="ok"/>
    <s v="ok"/>
    <s v="ok"/>
    <s v="ok"/>
    <x v="0"/>
    <n v="11.605702500091866"/>
  </r>
  <r>
    <x v="2"/>
    <n v="1614"/>
    <x v="1"/>
    <x v="0"/>
    <x v="5"/>
    <s v="1st line support"/>
    <x v="4"/>
    <x v="495"/>
    <d v="2023-03-18T18:30:18"/>
    <d v="2023-03-16T19:30:18"/>
    <d v="2023-03-16T21:29:31"/>
    <s v="SLA Violated"/>
    <d v="2023-03-17T12:24:44"/>
    <x v="0"/>
    <m/>
    <n v="2"/>
    <m/>
    <x v="0"/>
    <x v="0"/>
    <s v="France"/>
    <n v="48.864716000000001"/>
    <n v="2.3490139999999999"/>
    <s v="ok"/>
    <s v="ok"/>
    <s v="ok"/>
    <s v="ok"/>
    <s v="ok"/>
    <x v="0"/>
    <n v="17.907145000062883"/>
  </r>
  <r>
    <x v="0"/>
    <n v="1615"/>
    <x v="2"/>
    <x v="0"/>
    <x v="6"/>
    <s v="1st line support"/>
    <x v="3"/>
    <x v="496"/>
    <d v="2023-03-18T13:15:46"/>
    <d v="2023-03-16T14:15:46"/>
    <d v="2023-03-16T13:16:49"/>
    <s v="Within SLA"/>
    <d v="2023-03-17T20:06:44"/>
    <x v="0"/>
    <d v="2023-03-21T22:32:53"/>
    <n v="1"/>
    <n v="5"/>
    <x v="3"/>
    <x v="0"/>
    <s v="Italy"/>
    <n v="43.036776000000003"/>
    <n v="12.678565000000001"/>
    <s v="ok"/>
    <s v="ok"/>
    <s v="ok"/>
    <s v="ok"/>
    <s v="ok"/>
    <x v="0"/>
    <n v="30.849381110980175"/>
  </r>
  <r>
    <x v="2"/>
    <n v="1616"/>
    <x v="0"/>
    <x v="0"/>
    <x v="3"/>
    <s v="1st line support"/>
    <x v="4"/>
    <x v="497"/>
    <d v="2023-03-18T06:25:19"/>
    <d v="2023-03-16T07:25:19"/>
    <d v="2023-03-16T06:26:39"/>
    <s v="Within SLA"/>
    <d v="2023-03-16T09:04:17"/>
    <x v="0"/>
    <m/>
    <n v="1"/>
    <m/>
    <x v="2"/>
    <x v="0"/>
    <s v="Austria"/>
    <n v="47.696471899999999"/>
    <n v="13.3457347"/>
    <s v="ok"/>
    <s v="ok"/>
    <s v="ok"/>
    <s v="ok"/>
    <s v="ok"/>
    <x v="0"/>
    <n v="2.6493941667722538"/>
  </r>
  <r>
    <x v="2"/>
    <n v="1617"/>
    <x v="2"/>
    <x v="0"/>
    <x v="1"/>
    <s v="1st line support"/>
    <x v="4"/>
    <x v="498"/>
    <d v="2023-03-18T12:36:44"/>
    <d v="2023-03-16T13:36:44"/>
    <d v="2023-03-16T12:49:57"/>
    <s v="Within SLA"/>
    <d v="2023-03-16T23:25:33"/>
    <x v="0"/>
    <m/>
    <n v="1"/>
    <m/>
    <x v="2"/>
    <x v="0"/>
    <s v="Republic of Ireland"/>
    <n v="53.094023999999997"/>
    <n v="-8.0196749999999994"/>
    <s v="ok"/>
    <s v="ok"/>
    <s v="ok"/>
    <s v="ok"/>
    <s v="ok"/>
    <x v="0"/>
    <n v="10.813561666756868"/>
  </r>
  <r>
    <x v="0"/>
    <n v="1618"/>
    <x v="2"/>
    <x v="0"/>
    <x v="1"/>
    <s v="1st line support"/>
    <x v="2"/>
    <x v="499"/>
    <d v="2023-03-19T02:32:50"/>
    <d v="2023-03-17T03:32:50"/>
    <d v="2023-03-17T03:00:07"/>
    <s v="Within SLA"/>
    <d v="2023-03-22T03:02:30"/>
    <x v="1"/>
    <d v="2023-03-24T01:48:55"/>
    <n v="6"/>
    <n v="5"/>
    <x v="2"/>
    <x v="0"/>
    <s v="Italy"/>
    <n v="43.036776000000003"/>
    <n v="12.678565000000001"/>
    <s v="ok"/>
    <s v="ok"/>
    <s v="ok"/>
    <s v="ok"/>
    <s v="ok"/>
    <x v="0"/>
    <n v="120.49458249995951"/>
  </r>
  <r>
    <x v="2"/>
    <n v="1619"/>
    <x v="0"/>
    <x v="0"/>
    <x v="1"/>
    <s v="1st line support"/>
    <x v="0"/>
    <x v="500"/>
    <d v="2023-03-19T10:58:28"/>
    <d v="2023-03-17T11:58:28"/>
    <d v="2023-03-17T11:04:56"/>
    <s v="Within SLA"/>
    <d v="2023-03-23T00:12:07"/>
    <x v="1"/>
    <m/>
    <n v="6"/>
    <m/>
    <x v="1"/>
    <x v="0"/>
    <s v="Austria"/>
    <n v="47.696471899999999"/>
    <n v="13.3457347"/>
    <s v="ok"/>
    <s v="ok"/>
    <s v="ok"/>
    <s v="ok"/>
    <s v="ok"/>
    <x v="0"/>
    <n v="133.22750694444403"/>
  </r>
  <r>
    <x v="2"/>
    <n v="1626"/>
    <x v="1"/>
    <x v="0"/>
    <x v="0"/>
    <s v="1st line support"/>
    <x v="6"/>
    <x v="501"/>
    <d v="2023-03-20T00:21:14"/>
    <d v="2023-03-18T01:21:14"/>
    <d v="2023-03-18T00:33:52"/>
    <s v="Within SLA"/>
    <d v="2023-03-18T14:39:42"/>
    <x v="0"/>
    <m/>
    <n v="2"/>
    <m/>
    <x v="2"/>
    <x v="0"/>
    <s v="Germany"/>
    <n v="51.165691000000002"/>
    <n v="10.451525999999999"/>
    <s v="ok"/>
    <s v="ok"/>
    <s v="ok"/>
    <s v="ok"/>
    <s v="ok"/>
    <x v="0"/>
    <n v="14.307911111216526"/>
  </r>
  <r>
    <x v="0"/>
    <n v="1627"/>
    <x v="0"/>
    <x v="0"/>
    <x v="1"/>
    <s v="1st line support"/>
    <x v="4"/>
    <x v="502"/>
    <d v="2023-03-20T06:34:51"/>
    <d v="2023-03-18T07:34:51"/>
    <d v="2023-03-18T07:05:21"/>
    <s v="Within SLA"/>
    <d v="2023-03-20T05:12:28"/>
    <x v="0"/>
    <d v="2023-03-21T02:40:49"/>
    <n v="2"/>
    <n v="4"/>
    <x v="3"/>
    <x v="0"/>
    <s v="Bulgaria"/>
    <n v="42.724992499999999"/>
    <n v="25.483303899999999"/>
    <s v="ok"/>
    <s v="ok"/>
    <s v="ok"/>
    <s v="ok"/>
    <s v="ok"/>
    <x v="0"/>
    <n v="46.626850000116974"/>
  </r>
  <r>
    <x v="2"/>
    <n v="1628"/>
    <x v="1"/>
    <x v="0"/>
    <x v="5"/>
    <s v="1st line support"/>
    <x v="4"/>
    <x v="503"/>
    <d v="2023-03-20T08:08:35"/>
    <d v="2023-03-18T09:08:35"/>
    <d v="2023-03-18T09:00:07"/>
    <s v="Within SLA"/>
    <d v="2023-03-20T04:11:32"/>
    <x v="0"/>
    <m/>
    <n v="7"/>
    <m/>
    <x v="2"/>
    <x v="0"/>
    <s v="Czech Republic"/>
    <n v="49.8037633"/>
    <n v="15.4749126"/>
    <s v="ok"/>
    <s v="ok"/>
    <s v="ok"/>
    <s v="ok"/>
    <s v="ok"/>
    <x v="0"/>
    <n v="44.049274999997579"/>
  </r>
  <r>
    <x v="0"/>
    <n v="1629"/>
    <x v="0"/>
    <x v="2"/>
    <x v="0"/>
    <s v="1st line support"/>
    <x v="2"/>
    <x v="504"/>
    <d v="2023-03-19T23:00:11"/>
    <d v="2023-03-18T23:02:11"/>
    <d v="2023-03-18T23:01:34"/>
    <s v="Within SLA"/>
    <d v="2023-03-19T08:24:56"/>
    <x v="0"/>
    <d v="2023-03-25T02:09:46"/>
    <n v="6"/>
    <n v="4"/>
    <x v="0"/>
    <x v="0"/>
    <s v="Slovenia"/>
    <n v="46.149166399999999"/>
    <n v="14.9860106"/>
    <s v="ok"/>
    <s v="ok"/>
    <s v="ok"/>
    <s v="ok"/>
    <s v="ok"/>
    <x v="0"/>
    <n v="9.412571111053694"/>
  </r>
  <r>
    <x v="2"/>
    <n v="1630"/>
    <x v="0"/>
    <x v="1"/>
    <x v="0"/>
    <s v="1st line support"/>
    <x v="4"/>
    <x v="505"/>
    <d v="2023-03-20T08:59:42"/>
    <d v="2023-03-18T09:01:42"/>
    <d v="2023-03-18T09:01:40"/>
    <s v="Within SLA"/>
    <d v="2023-03-18T15:41:59"/>
    <x v="0"/>
    <m/>
    <n v="2"/>
    <m/>
    <x v="2"/>
    <x v="0"/>
    <s v="Slovenia"/>
    <n v="46.149166399999999"/>
    <n v="14.9860106"/>
    <s v="ok"/>
    <s v="ok"/>
    <s v="ok"/>
    <s v="ok"/>
    <s v="ok"/>
    <x v="0"/>
    <n v="6.70471111102961"/>
  </r>
  <r>
    <x v="1"/>
    <n v="1631"/>
    <x v="0"/>
    <x v="1"/>
    <x v="1"/>
    <s v="1st line support"/>
    <x v="3"/>
    <x v="506"/>
    <d v="2023-03-21T18:00:21"/>
    <d v="2023-03-19T18:02:21"/>
    <d v="2023-03-19T18:04:13"/>
    <s v="SLA Violated"/>
    <m/>
    <x v="1"/>
    <m/>
    <n v="1"/>
    <m/>
    <x v="2"/>
    <x v="0"/>
    <s v="Poland"/>
    <n v="52.536273000000001"/>
    <n v="19.050639"/>
    <s v="ok"/>
    <s v="ok"/>
    <s v="ok"/>
    <s v="ok"/>
    <s v="ok"/>
    <x v="1"/>
    <s v=""/>
  </r>
  <r>
    <x v="2"/>
    <n v="1632"/>
    <x v="0"/>
    <x v="0"/>
    <x v="0"/>
    <s v="1st line support"/>
    <x v="4"/>
    <x v="507"/>
    <d v="2023-03-21T21:00:31"/>
    <d v="2023-03-19T22:00:31"/>
    <d v="2023-03-20T01:55:48"/>
    <s v="SLA Violated"/>
    <d v="2023-03-21T13:11:42"/>
    <x v="0"/>
    <m/>
    <n v="2"/>
    <m/>
    <x v="0"/>
    <x v="0"/>
    <s v="Germany"/>
    <n v="51.165691000000002"/>
    <n v="10.451525999999999"/>
    <s v="ok"/>
    <s v="ok"/>
    <s v="ok"/>
    <s v="ok"/>
    <s v="ok"/>
    <x v="0"/>
    <n v="40.186409166664816"/>
  </r>
  <r>
    <x v="0"/>
    <n v="1633"/>
    <x v="1"/>
    <x v="0"/>
    <x v="2"/>
    <s v="1st line support"/>
    <x v="0"/>
    <x v="508"/>
    <d v="2023-03-21T14:00:56"/>
    <d v="2023-03-19T15:00:56"/>
    <d v="2023-03-19T14:44:57"/>
    <s v="Within SLA"/>
    <d v="2023-03-20T12:31:49"/>
    <x v="0"/>
    <d v="2023-03-22T21:20:44"/>
    <n v="4"/>
    <n v="5"/>
    <x v="3"/>
    <x v="0"/>
    <s v="United Kingdom"/>
    <n v="55.378051999999997"/>
    <n v="-3.4359730000000002"/>
    <s v="ok"/>
    <s v="ok"/>
    <s v="ok"/>
    <s v="ok"/>
    <s v="ok"/>
    <x v="0"/>
    <n v="22.514842500037048"/>
  </r>
  <r>
    <x v="0"/>
    <n v="1634"/>
    <x v="2"/>
    <x v="2"/>
    <x v="4"/>
    <s v="1st line support"/>
    <x v="4"/>
    <x v="509"/>
    <d v="2023-03-20T22:55:52"/>
    <d v="2023-03-19T22:57:52"/>
    <d v="2023-03-19T23:00:30"/>
    <s v="SLA Violated"/>
    <d v="2023-03-21T06:46:47"/>
    <x v="1"/>
    <d v="2023-03-21T22:25:45"/>
    <n v="6"/>
    <n v="4"/>
    <x v="2"/>
    <x v="0"/>
    <s v="Bulgaria"/>
    <n v="42.724992499999999"/>
    <n v="25.483303899999999"/>
    <s v="ok"/>
    <s v="ok"/>
    <s v="ok"/>
    <s v="ok"/>
    <s v="ok"/>
    <x v="0"/>
    <n v="31.848676111141685"/>
  </r>
  <r>
    <x v="0"/>
    <n v="1635"/>
    <x v="2"/>
    <x v="0"/>
    <x v="3"/>
    <s v="1st line support"/>
    <x v="4"/>
    <x v="510"/>
    <d v="2023-03-21T22:09:59"/>
    <d v="2023-03-19T23:09:59"/>
    <d v="2023-03-19T22:28:37"/>
    <s v="Within SLA"/>
    <d v="2023-03-20T11:03:43"/>
    <x v="0"/>
    <d v="2023-03-22T04:18:02"/>
    <n v="5"/>
    <n v="5"/>
    <x v="2"/>
    <x v="0"/>
    <s v="Greece"/>
    <n v="39.368279000000001"/>
    <n v="21.863140999999999"/>
    <s v="ok"/>
    <s v="ok"/>
    <s v="ok"/>
    <s v="ok"/>
    <s v="ok"/>
    <x v="0"/>
    <n v="12.895419444423169"/>
  </r>
  <r>
    <x v="0"/>
    <n v="1636"/>
    <x v="0"/>
    <x v="2"/>
    <x v="1"/>
    <s v="1st line support"/>
    <x v="3"/>
    <x v="511"/>
    <d v="2023-03-20T22:50:17"/>
    <d v="2023-03-19T22:52:17"/>
    <d v="2023-03-19T22:50:35"/>
    <s v="Within SLA"/>
    <d v="2023-03-20T17:39:07"/>
    <x v="0"/>
    <d v="2023-03-24T19:58:49"/>
    <n v="5"/>
    <n v="3"/>
    <x v="0"/>
    <x v="0"/>
    <s v="Greece"/>
    <n v="39.368279000000001"/>
    <n v="21.863140999999999"/>
    <s v="ok"/>
    <s v="ok"/>
    <s v="ok"/>
    <s v="ok"/>
    <s v="ok"/>
    <x v="0"/>
    <n v="18.813899444590788"/>
  </r>
  <r>
    <x v="1"/>
    <n v="1637"/>
    <x v="0"/>
    <x v="1"/>
    <x v="1"/>
    <s v="1st line support"/>
    <x v="3"/>
    <x v="512"/>
    <d v="2023-03-21T12:53:48"/>
    <d v="2023-03-19T12:55:48"/>
    <d v="2023-03-19T12:59:45"/>
    <s v="SLA Violated"/>
    <m/>
    <x v="1"/>
    <m/>
    <n v="3"/>
    <m/>
    <x v="0"/>
    <x v="0"/>
    <s v="Italy"/>
    <n v="43.036776000000003"/>
    <n v="12.678565000000001"/>
    <s v="ok"/>
    <s v="ok"/>
    <s v="ok"/>
    <s v="ok"/>
    <s v="ok"/>
    <x v="1"/>
    <s v=""/>
  </r>
  <r>
    <x v="0"/>
    <n v="1638"/>
    <x v="2"/>
    <x v="0"/>
    <x v="0"/>
    <s v="1st line support"/>
    <x v="6"/>
    <x v="513"/>
    <d v="2023-03-22T13:23:05"/>
    <d v="2023-03-20T14:23:05"/>
    <d v="2023-03-20T14:05:28"/>
    <s v="Within SLA"/>
    <d v="2023-03-22T08:53:29"/>
    <x v="0"/>
    <d v="2023-03-26T10:19:09"/>
    <n v="2"/>
    <n v="3"/>
    <x v="2"/>
    <x v="0"/>
    <s v="Poland"/>
    <n v="52.536273000000001"/>
    <n v="19.050639"/>
    <s v="ok"/>
    <s v="ok"/>
    <s v="ok"/>
    <s v="ok"/>
    <s v="ok"/>
    <x v="0"/>
    <n v="43.50678500009235"/>
  </r>
  <r>
    <x v="1"/>
    <n v="1639"/>
    <x v="0"/>
    <x v="0"/>
    <x v="0"/>
    <s v="2nd line support"/>
    <x v="1"/>
    <x v="514"/>
    <d v="2023-03-22T19:10:24"/>
    <d v="2023-03-20T20:10:24"/>
    <d v="2023-03-20T19:28:28"/>
    <s v="Within SLA"/>
    <m/>
    <x v="1"/>
    <m/>
    <n v="1"/>
    <m/>
    <x v="1"/>
    <x v="1"/>
    <s v="Germany"/>
    <n v="51.165691000000002"/>
    <n v="10.451525999999999"/>
    <s v="ok"/>
    <s v="ok"/>
    <s v="ok"/>
    <s v="ok"/>
    <s v="ok"/>
    <x v="1"/>
    <s v=""/>
  </r>
  <r>
    <x v="2"/>
    <n v="1640"/>
    <x v="1"/>
    <x v="1"/>
    <x v="1"/>
    <s v="1st line support"/>
    <x v="3"/>
    <x v="515"/>
    <d v="2023-03-22T07:20:34"/>
    <d v="2023-03-20T07:22:34"/>
    <d v="2023-03-20T07:21:27"/>
    <s v="Within SLA"/>
    <d v="2023-03-20T17:57:46"/>
    <x v="0"/>
    <m/>
    <n v="3"/>
    <m/>
    <x v="0"/>
    <x v="0"/>
    <s v="Slovenia"/>
    <n v="46.149166399999999"/>
    <n v="14.9860106"/>
    <s v="ok"/>
    <s v="ok"/>
    <s v="ok"/>
    <s v="ok"/>
    <s v="ok"/>
    <x v="0"/>
    <n v="10.62009472225327"/>
  </r>
  <r>
    <x v="2"/>
    <n v="1641"/>
    <x v="2"/>
    <x v="0"/>
    <x v="1"/>
    <s v="1st line support"/>
    <x v="0"/>
    <x v="516"/>
    <d v="2023-03-22T22:27:49"/>
    <d v="2023-03-20T23:27:49"/>
    <d v="2023-03-20T22:37:30"/>
    <s v="Within SLA"/>
    <d v="2023-03-21T12:54:25"/>
    <x v="0"/>
    <m/>
    <n v="10"/>
    <m/>
    <x v="1"/>
    <x v="0"/>
    <s v="Slovenia"/>
    <n v="46.149166399999999"/>
    <n v="14.9860106"/>
    <s v="ok"/>
    <s v="ok"/>
    <s v="ok"/>
    <s v="ok"/>
    <s v="ok"/>
    <x v="0"/>
    <n v="14.443337499978952"/>
  </r>
  <r>
    <x v="0"/>
    <n v="1642"/>
    <x v="0"/>
    <x v="1"/>
    <x v="1"/>
    <s v="2nd line support"/>
    <x v="1"/>
    <x v="517"/>
    <d v="2023-03-22T16:27:35"/>
    <d v="2023-03-20T16:29:35"/>
    <d v="2023-03-20T16:28:38"/>
    <s v="Within SLA"/>
    <d v="2023-03-22T03:58:27"/>
    <x v="0"/>
    <d v="2023-03-21T11:47:52"/>
    <n v="3"/>
    <n v="2"/>
    <x v="3"/>
    <x v="1"/>
    <s v="United Kingdom"/>
    <n v="55.378051999999997"/>
    <n v="-3.4359730000000002"/>
    <s v="ok"/>
    <s v="ok"/>
    <s v="check"/>
    <s v="ok"/>
    <s v="ok"/>
    <x v="0"/>
    <n v="35.514478888828307"/>
  </r>
  <r>
    <x v="0"/>
    <n v="1643"/>
    <x v="0"/>
    <x v="2"/>
    <x v="1"/>
    <s v="1st line support"/>
    <x v="2"/>
    <x v="518"/>
    <d v="2023-03-21T21:49:15"/>
    <d v="2023-03-20T21:51:15"/>
    <d v="2023-03-20T21:49:18"/>
    <s v="Within SLA"/>
    <d v="2023-03-21T18:09:34"/>
    <x v="0"/>
    <d v="2023-03-27T02:31:50"/>
    <n v="6"/>
    <n v="3"/>
    <x v="0"/>
    <x v="0"/>
    <s v="Spain"/>
    <n v="39.673369999999998"/>
    <n v="-4.7677259999999997"/>
    <s v="ok"/>
    <s v="ok"/>
    <s v="ok"/>
    <s v="ok"/>
    <s v="ok"/>
    <x v="0"/>
    <n v="20.338685833441559"/>
  </r>
  <r>
    <x v="0"/>
    <n v="1644"/>
    <x v="0"/>
    <x v="0"/>
    <x v="0"/>
    <s v="1st line support"/>
    <x v="4"/>
    <x v="519"/>
    <d v="2023-03-22T01:25:09"/>
    <d v="2023-03-20T02:25:09"/>
    <d v="2023-03-20T02:23:02"/>
    <s v="Within SLA"/>
    <d v="2023-03-21T21:04:23"/>
    <x v="0"/>
    <d v="2023-03-23T12:14:20"/>
    <n v="2"/>
    <n v="3"/>
    <x v="1"/>
    <x v="0"/>
    <s v="Spain"/>
    <n v="39.673369999999998"/>
    <n v="-4.7677259999999997"/>
    <s v="ok"/>
    <s v="ok"/>
    <s v="ok"/>
    <s v="ok"/>
    <s v="ok"/>
    <x v="0"/>
    <n v="43.653850555652753"/>
  </r>
  <r>
    <x v="0"/>
    <n v="1645"/>
    <x v="2"/>
    <x v="0"/>
    <x v="5"/>
    <s v="1st line support"/>
    <x v="3"/>
    <x v="520"/>
    <d v="2023-03-22T18:36:23"/>
    <d v="2023-03-20T19:36:23"/>
    <d v="2023-03-20T19:32:39"/>
    <s v="Within SLA"/>
    <d v="2023-03-20T19:28:53"/>
    <x v="0"/>
    <d v="2023-03-25T11:04:25"/>
    <n v="5"/>
    <n v="4"/>
    <x v="2"/>
    <x v="0"/>
    <s v="United Kingdom"/>
    <n v="55.378051999999997"/>
    <n v="-3.4359730000000002"/>
    <s v="ok"/>
    <s v="ok"/>
    <s v="ok"/>
    <s v="ok"/>
    <s v="ok"/>
    <x v="0"/>
    <n v="0.87508416676428169"/>
  </r>
  <r>
    <x v="0"/>
    <n v="1646"/>
    <x v="0"/>
    <x v="0"/>
    <x v="2"/>
    <s v="1st line support"/>
    <x v="4"/>
    <x v="521"/>
    <d v="2023-03-23T19:11:31"/>
    <d v="2023-03-21T20:11:31"/>
    <d v="2023-03-21T20:10:45"/>
    <s v="Within SLA"/>
    <d v="2023-03-23T13:08:32"/>
    <x v="0"/>
    <d v="2023-03-25T01:07:00"/>
    <n v="1"/>
    <n v="3"/>
    <x v="0"/>
    <x v="0"/>
    <s v="France"/>
    <n v="48.864716000000001"/>
    <n v="2.3490139999999999"/>
    <s v="ok"/>
    <s v="ok"/>
    <s v="ok"/>
    <s v="ok"/>
    <s v="ok"/>
    <x v="0"/>
    <n v="41.950346388970502"/>
  </r>
  <r>
    <x v="0"/>
    <n v="1647"/>
    <x v="0"/>
    <x v="2"/>
    <x v="0"/>
    <s v="2nd line support"/>
    <x v="5"/>
    <x v="522"/>
    <d v="2023-03-22T00:03:07"/>
    <d v="2023-03-21T00:05:07"/>
    <d v="2023-03-21T00:03:38"/>
    <s v="Within SLA"/>
    <d v="2023-03-21T14:27:49"/>
    <x v="0"/>
    <d v="2023-03-21T20:08:11"/>
    <n v="6"/>
    <n v="3"/>
    <x v="2"/>
    <x v="1"/>
    <s v="Poland"/>
    <n v="52.536273000000001"/>
    <n v="19.050639"/>
    <s v="ok"/>
    <s v="ok"/>
    <s v="ok"/>
    <s v="ok"/>
    <s v="ok"/>
    <x v="0"/>
    <n v="14.41171416681027"/>
  </r>
  <r>
    <x v="0"/>
    <n v="1648"/>
    <x v="1"/>
    <x v="1"/>
    <x v="1"/>
    <s v="2nd line support"/>
    <x v="7"/>
    <x v="523"/>
    <d v="2023-03-23T08:43:34"/>
    <d v="2023-03-21T08:45:34"/>
    <d v="2023-03-21T08:43:52"/>
    <s v="Within SLA"/>
    <d v="2023-03-26T13:07:36"/>
    <x v="1"/>
    <d v="2023-03-27T16:18:22"/>
    <n v="3"/>
    <n v="4"/>
    <x v="2"/>
    <x v="1"/>
    <s v="Germany"/>
    <n v="51.165691000000002"/>
    <n v="10.451525999999999"/>
    <s v="ok"/>
    <s v="ok"/>
    <s v="ok"/>
    <s v="ok"/>
    <s v="ok"/>
    <x v="0"/>
    <n v="124.40060444438132"/>
  </r>
  <r>
    <x v="2"/>
    <n v="1649"/>
    <x v="0"/>
    <x v="2"/>
    <x v="6"/>
    <s v="1st line support"/>
    <x v="0"/>
    <x v="524"/>
    <d v="2023-03-22T10:42:02"/>
    <d v="2023-03-21T10:44:02"/>
    <d v="2023-03-21T10:44:08"/>
    <s v="SLA Violated"/>
    <d v="2023-03-22T10:23:14"/>
    <x v="0"/>
    <m/>
    <n v="9"/>
    <m/>
    <x v="3"/>
    <x v="0"/>
    <s v="Italy"/>
    <n v="43.036776000000003"/>
    <n v="12.678565000000001"/>
    <s v="ok"/>
    <s v="ok"/>
    <s v="ok"/>
    <s v="ok"/>
    <s v="ok"/>
    <x v="0"/>
    <n v="23.686783333250787"/>
  </r>
  <r>
    <x v="1"/>
    <n v="1650"/>
    <x v="2"/>
    <x v="0"/>
    <x v="4"/>
    <s v="1st line support"/>
    <x v="2"/>
    <x v="525"/>
    <d v="2023-03-24T04:26:56"/>
    <d v="2023-03-22T05:26:56"/>
    <d v="2023-03-22T05:00:30"/>
    <s v="Within SLA"/>
    <m/>
    <x v="1"/>
    <m/>
    <n v="2"/>
    <m/>
    <x v="2"/>
    <x v="0"/>
    <s v="France"/>
    <n v="48.864716000000001"/>
    <n v="2.3490139999999999"/>
    <s v="ok"/>
    <s v="ok"/>
    <s v="ok"/>
    <s v="ok"/>
    <s v="ok"/>
    <x v="1"/>
    <s v=""/>
  </r>
  <r>
    <x v="2"/>
    <n v="1651"/>
    <x v="0"/>
    <x v="0"/>
    <x v="0"/>
    <s v="1st line support"/>
    <x v="2"/>
    <x v="526"/>
    <d v="2023-03-24T00:13:36"/>
    <d v="2023-03-22T01:13:36"/>
    <d v="2023-03-22T00:53:11"/>
    <s v="Within SLA"/>
    <d v="2023-03-23T02:09:23"/>
    <x v="0"/>
    <m/>
    <n v="6"/>
    <m/>
    <x v="1"/>
    <x v="0"/>
    <s v="Greece"/>
    <n v="39.368279000000001"/>
    <n v="21.863140999999999"/>
    <s v="ok"/>
    <s v="ok"/>
    <s v="ok"/>
    <s v="ok"/>
    <s v="ok"/>
    <x v="0"/>
    <n v="25.929656388878357"/>
  </r>
  <r>
    <x v="0"/>
    <n v="1652"/>
    <x v="2"/>
    <x v="2"/>
    <x v="0"/>
    <s v="2nd line support"/>
    <x v="7"/>
    <x v="527"/>
    <d v="2023-03-23T05:00:47"/>
    <d v="2023-03-22T05:02:47"/>
    <d v="2023-03-22T05:02:37"/>
    <s v="Within SLA"/>
    <d v="2023-03-22T14:19:02"/>
    <x v="0"/>
    <d v="2023-03-27T22:56:14"/>
    <n v="6"/>
    <n v="3"/>
    <x v="0"/>
    <x v="1"/>
    <s v="Austria"/>
    <n v="47.696471899999999"/>
    <n v="13.3457347"/>
    <s v="ok"/>
    <s v="ok"/>
    <s v="ok"/>
    <s v="ok"/>
    <s v="ok"/>
    <x v="0"/>
    <n v="9.3041466667782515"/>
  </r>
  <r>
    <x v="2"/>
    <n v="1653"/>
    <x v="2"/>
    <x v="0"/>
    <x v="1"/>
    <s v="1st line support"/>
    <x v="6"/>
    <x v="528"/>
    <d v="2023-03-24T01:30:24"/>
    <d v="2023-03-22T02:30:24"/>
    <d v="2023-03-22T02:17:01"/>
    <s v="Within SLA"/>
    <d v="2023-03-22T05:08:56"/>
    <x v="0"/>
    <m/>
    <n v="2"/>
    <m/>
    <x v="3"/>
    <x v="0"/>
    <s v="Greece"/>
    <n v="39.368279000000001"/>
    <n v="21.863140999999999"/>
    <s v="ok"/>
    <s v="ok"/>
    <s v="ok"/>
    <s v="ok"/>
    <s v="ok"/>
    <x v="0"/>
    <n v="3.6423100000829436"/>
  </r>
  <r>
    <x v="0"/>
    <n v="1654"/>
    <x v="1"/>
    <x v="0"/>
    <x v="1"/>
    <s v="2nd line support"/>
    <x v="7"/>
    <x v="529"/>
    <d v="2023-03-24T07:55:34"/>
    <d v="2023-03-22T08:55:34"/>
    <d v="2023-03-22T08:43:58"/>
    <s v="Within SLA"/>
    <d v="2023-03-23T12:08:03"/>
    <x v="0"/>
    <d v="2023-03-26T09:47:14"/>
    <n v="8"/>
    <n v="2"/>
    <x v="0"/>
    <x v="1"/>
    <s v="United Kingdom"/>
    <n v="55.378051999999997"/>
    <n v="-3.4359730000000002"/>
    <s v="ok"/>
    <s v="ok"/>
    <s v="ok"/>
    <s v="ok"/>
    <s v="ok"/>
    <x v="0"/>
    <n v="28.20797138888156"/>
  </r>
  <r>
    <x v="0"/>
    <n v="1655"/>
    <x v="0"/>
    <x v="0"/>
    <x v="1"/>
    <s v="1st line support"/>
    <x v="3"/>
    <x v="530"/>
    <d v="2023-03-24T18:21:14"/>
    <d v="2023-03-22T19:21:14"/>
    <d v="2023-03-22T23:06:15"/>
    <s v="SLA Violated"/>
    <d v="2023-03-23T10:11:34"/>
    <x v="0"/>
    <d v="2023-03-28T09:44:25"/>
    <n v="3"/>
    <n v="4"/>
    <x v="0"/>
    <x v="0"/>
    <s v="Slovenia"/>
    <n v="46.149166399999999"/>
    <n v="14.9860106"/>
    <s v="ok"/>
    <s v="ok"/>
    <s v="ok"/>
    <s v="ok"/>
    <s v="ok"/>
    <x v="0"/>
    <n v="15.839002777822316"/>
  </r>
  <r>
    <x v="0"/>
    <n v="1656"/>
    <x v="0"/>
    <x v="0"/>
    <x v="1"/>
    <s v="2nd line support"/>
    <x v="1"/>
    <x v="531"/>
    <d v="2023-03-25T06:03:44"/>
    <d v="2023-03-23T07:03:44"/>
    <d v="2023-03-23T06:50:19"/>
    <s v="Within SLA"/>
    <d v="2023-03-26T03:52:10"/>
    <x v="1"/>
    <d v="2023-03-27T05:45:00"/>
    <n v="6"/>
    <n v="5"/>
    <x v="2"/>
    <x v="1"/>
    <s v="Bulgaria"/>
    <n v="42.724992499999999"/>
    <n v="25.483303899999999"/>
    <s v="ok"/>
    <s v="ok"/>
    <s v="ok"/>
    <s v="ok"/>
    <s v="ok"/>
    <x v="0"/>
    <n v="69.807291388919111"/>
  </r>
  <r>
    <x v="0"/>
    <n v="1657"/>
    <x v="2"/>
    <x v="1"/>
    <x v="5"/>
    <s v="1st line support"/>
    <x v="6"/>
    <x v="532"/>
    <d v="2023-03-25T13:40:59"/>
    <d v="2023-03-23T13:42:59"/>
    <d v="2023-03-23T13:42:29"/>
    <s v="Within SLA"/>
    <d v="2023-03-24T09:24:48"/>
    <x v="0"/>
    <d v="2023-03-26T12:44:14"/>
    <n v="4"/>
    <n v="5"/>
    <x v="2"/>
    <x v="0"/>
    <s v="Spain"/>
    <n v="39.673369999999998"/>
    <n v="-4.7677259999999997"/>
    <s v="ok"/>
    <s v="ok"/>
    <s v="ok"/>
    <s v="ok"/>
    <s v="ok"/>
    <x v="0"/>
    <n v="19.730367222160567"/>
  </r>
  <r>
    <x v="0"/>
    <n v="1658"/>
    <x v="1"/>
    <x v="0"/>
    <x v="4"/>
    <s v="1st line support"/>
    <x v="6"/>
    <x v="533"/>
    <d v="2023-03-25T13:58:43"/>
    <d v="2023-03-23T14:58:43"/>
    <d v="2023-03-23T14:27:28"/>
    <s v="Within SLA"/>
    <d v="2023-03-25T10:50:47"/>
    <x v="0"/>
    <d v="2023-03-24T10:57:00"/>
    <n v="1"/>
    <n v="4"/>
    <x v="0"/>
    <x v="0"/>
    <s v="United Kingdom"/>
    <n v="55.378051999999997"/>
    <n v="-3.4359730000000002"/>
    <s v="ok"/>
    <s v="ok"/>
    <s v="check"/>
    <s v="ok"/>
    <s v="ok"/>
    <x v="0"/>
    <n v="44.867642499972135"/>
  </r>
  <r>
    <x v="2"/>
    <n v="1659"/>
    <x v="0"/>
    <x v="0"/>
    <x v="5"/>
    <s v="2nd line support"/>
    <x v="1"/>
    <x v="534"/>
    <d v="2023-03-25T14:27:04"/>
    <d v="2023-03-23T15:27:04"/>
    <d v="2023-03-23T15:26:06"/>
    <s v="Within SLA"/>
    <d v="2023-03-25T11:18:48"/>
    <x v="0"/>
    <m/>
    <n v="10"/>
    <m/>
    <x v="3"/>
    <x v="1"/>
    <s v="Greece"/>
    <n v="39.368279000000001"/>
    <n v="21.863140999999999"/>
    <s v="ok"/>
    <s v="ok"/>
    <s v="ok"/>
    <s v="ok"/>
    <s v="ok"/>
    <x v="0"/>
    <n v="44.862178611103445"/>
  </r>
  <r>
    <x v="1"/>
    <n v="1660"/>
    <x v="0"/>
    <x v="0"/>
    <x v="0"/>
    <s v="2nd line support"/>
    <x v="5"/>
    <x v="535"/>
    <d v="2023-03-25T22:39:46"/>
    <d v="2023-03-23T23:39:46"/>
    <d v="2023-03-23T23:30:12"/>
    <s v="Within SLA"/>
    <m/>
    <x v="1"/>
    <m/>
    <n v="8"/>
    <m/>
    <x v="1"/>
    <x v="1"/>
    <s v="Italy"/>
    <n v="43.036776000000003"/>
    <n v="12.678565000000001"/>
    <s v="ok"/>
    <s v="ok"/>
    <s v="ok"/>
    <s v="ok"/>
    <s v="ok"/>
    <x v="1"/>
    <s v=""/>
  </r>
  <r>
    <x v="0"/>
    <n v="1661"/>
    <x v="2"/>
    <x v="2"/>
    <x v="3"/>
    <s v="1st line support"/>
    <x v="2"/>
    <x v="536"/>
    <d v="2023-03-24T05:03:29"/>
    <d v="2023-03-23T05:05:29"/>
    <d v="2023-03-23T05:05:06"/>
    <s v="Within SLA"/>
    <d v="2023-03-24T04:33:06"/>
    <x v="0"/>
    <d v="2023-03-25T12:11:32"/>
    <n v="3"/>
    <n v="3"/>
    <x v="3"/>
    <x v="0"/>
    <s v="Italy"/>
    <n v="43.036776000000003"/>
    <n v="12.678565000000001"/>
    <s v="ok"/>
    <s v="ok"/>
    <s v="ok"/>
    <s v="ok"/>
    <s v="ok"/>
    <x v="0"/>
    <n v="23.493578611174598"/>
  </r>
  <r>
    <x v="2"/>
    <n v="1665"/>
    <x v="2"/>
    <x v="0"/>
    <x v="0"/>
    <s v="1st line support"/>
    <x v="6"/>
    <x v="537"/>
    <d v="2023-03-26T07:33:22"/>
    <d v="2023-03-24T08:33:22"/>
    <d v="2023-03-24T08:02:15"/>
    <s v="Within SLA"/>
    <d v="2023-03-25T12:21:56"/>
    <x v="0"/>
    <m/>
    <n v="3"/>
    <m/>
    <x v="0"/>
    <x v="0"/>
    <s v="France"/>
    <n v="48.864716000000001"/>
    <n v="2.3490139999999999"/>
    <s v="ok"/>
    <s v="ok"/>
    <s v="ok"/>
    <s v="ok"/>
    <s v="ok"/>
    <x v="0"/>
    <n v="28.80945027776761"/>
  </r>
  <r>
    <x v="1"/>
    <n v="1666"/>
    <x v="2"/>
    <x v="0"/>
    <x v="1"/>
    <s v="1st line support"/>
    <x v="2"/>
    <x v="538"/>
    <d v="2023-03-26T22:12:44"/>
    <d v="2023-03-24T23:12:44"/>
    <d v="2023-03-24T22:54:23"/>
    <s v="Within SLA"/>
    <m/>
    <x v="1"/>
    <m/>
    <n v="2"/>
    <m/>
    <x v="0"/>
    <x v="0"/>
    <s v="Greece"/>
    <n v="39.368279000000001"/>
    <n v="21.863140999999999"/>
    <s v="ok"/>
    <s v="ok"/>
    <s v="ok"/>
    <s v="ok"/>
    <s v="ok"/>
    <x v="1"/>
    <s v=""/>
  </r>
  <r>
    <x v="0"/>
    <n v="1668"/>
    <x v="2"/>
    <x v="0"/>
    <x v="2"/>
    <s v="1st line support"/>
    <x v="6"/>
    <x v="539"/>
    <d v="2023-03-26T04:18:03"/>
    <d v="2023-03-24T05:18:03"/>
    <d v="2023-03-24T04:49:48"/>
    <s v="Within SLA"/>
    <d v="2023-03-25T22:13:45"/>
    <x v="0"/>
    <d v="2023-03-26T21:12:50"/>
    <n v="1"/>
    <n v="4"/>
    <x v="0"/>
    <x v="0"/>
    <s v="Germany"/>
    <n v="51.165691000000002"/>
    <n v="10.451525999999999"/>
    <s v="ok"/>
    <s v="ok"/>
    <s v="ok"/>
    <s v="ok"/>
    <s v="ok"/>
    <x v="0"/>
    <n v="41.928342222177889"/>
  </r>
  <r>
    <x v="0"/>
    <n v="1669"/>
    <x v="2"/>
    <x v="0"/>
    <x v="0"/>
    <s v="1st line support"/>
    <x v="6"/>
    <x v="540"/>
    <d v="2023-03-26T11:22:39"/>
    <d v="2023-03-24T12:22:39"/>
    <d v="2023-03-24T11:34:27"/>
    <s v="Within SLA"/>
    <d v="2023-03-25T18:18:37"/>
    <x v="0"/>
    <d v="2023-03-25T04:20:03"/>
    <n v="1"/>
    <n v="5"/>
    <x v="2"/>
    <x v="0"/>
    <s v="Greece"/>
    <n v="39.368279000000001"/>
    <n v="21.863140999999999"/>
    <s v="ok"/>
    <s v="ok"/>
    <s v="check"/>
    <s v="ok"/>
    <s v="ok"/>
    <x v="0"/>
    <n v="30.932698333344888"/>
  </r>
  <r>
    <x v="0"/>
    <n v="1670"/>
    <x v="0"/>
    <x v="0"/>
    <x v="0"/>
    <s v="1st line support"/>
    <x v="0"/>
    <x v="541"/>
    <d v="2023-03-26T20:23:23"/>
    <d v="2023-03-24T21:23:23"/>
    <d v="2023-03-24T20:58:53"/>
    <s v="Within SLA"/>
    <d v="2023-03-26T04:36:21"/>
    <x v="0"/>
    <d v="2023-03-26T21:37:43"/>
    <n v="6"/>
    <n v="1"/>
    <x v="0"/>
    <x v="0"/>
    <s v="Germany"/>
    <n v="51.165691000000002"/>
    <n v="10.451525999999999"/>
    <s v="ok"/>
    <s v="ok"/>
    <s v="ok"/>
    <s v="ok"/>
    <s v="ok"/>
    <x v="0"/>
    <n v="32.216020555584691"/>
  </r>
  <r>
    <x v="0"/>
    <n v="1671"/>
    <x v="1"/>
    <x v="0"/>
    <x v="2"/>
    <s v="1st line support"/>
    <x v="0"/>
    <x v="542"/>
    <d v="2023-03-26T13:35:36"/>
    <d v="2023-03-24T14:35:36"/>
    <d v="2023-03-24T16:45:17"/>
    <s v="SLA Violated"/>
    <d v="2023-03-28T02:36:52"/>
    <x v="1"/>
    <d v="2023-03-28T03:42:06"/>
    <n v="1"/>
    <n v="3"/>
    <x v="1"/>
    <x v="0"/>
    <s v="Germany"/>
    <n v="51.165691000000002"/>
    <n v="10.451525999999999"/>
    <s v="ok"/>
    <s v="ok"/>
    <s v="ok"/>
    <s v="ok"/>
    <s v="ok"/>
    <x v="0"/>
    <n v="85.02112138888333"/>
  </r>
  <r>
    <x v="0"/>
    <n v="1673"/>
    <x v="1"/>
    <x v="2"/>
    <x v="0"/>
    <s v="1st line support"/>
    <x v="6"/>
    <x v="543"/>
    <d v="2023-03-25T21:33:29"/>
    <d v="2023-03-24T21:35:29"/>
    <d v="2023-03-24T21:35:19"/>
    <s v="Within SLA"/>
    <d v="2023-03-25T19:43:26"/>
    <x v="0"/>
    <d v="2023-03-27T16:01:02"/>
    <n v="4"/>
    <n v="4"/>
    <x v="2"/>
    <x v="0"/>
    <s v="France"/>
    <n v="48.864716000000001"/>
    <n v="2.3490139999999999"/>
    <s v="ok"/>
    <s v="ok"/>
    <s v="ok"/>
    <s v="ok"/>
    <s v="ok"/>
    <x v="0"/>
    <n v="22.165845555486158"/>
  </r>
  <r>
    <x v="2"/>
    <n v="1674"/>
    <x v="2"/>
    <x v="0"/>
    <x v="0"/>
    <s v="1st line support"/>
    <x v="4"/>
    <x v="544"/>
    <d v="2023-03-26T06:37:36"/>
    <d v="2023-03-24T07:37:36"/>
    <d v="2023-03-24T07:34:25"/>
    <s v="Within SLA"/>
    <d v="2023-03-24T10:10:42"/>
    <x v="0"/>
    <m/>
    <n v="2"/>
    <m/>
    <x v="2"/>
    <x v="0"/>
    <s v="Poland"/>
    <n v="52.536273000000001"/>
    <n v="19.050639"/>
    <s v="ok"/>
    <s v="ok"/>
    <s v="ok"/>
    <s v="ok"/>
    <s v="ok"/>
    <x v="0"/>
    <n v="3.5515472221886739"/>
  </r>
  <r>
    <x v="0"/>
    <n v="1675"/>
    <x v="0"/>
    <x v="0"/>
    <x v="2"/>
    <s v="1st line support"/>
    <x v="6"/>
    <x v="545"/>
    <d v="2023-03-27T16:02:04"/>
    <d v="2023-03-25T17:02:04"/>
    <d v="2023-03-25T16:54:19"/>
    <s v="Within SLA"/>
    <d v="2023-03-26T09:01:07"/>
    <x v="0"/>
    <d v="2023-03-31T13:22:17"/>
    <n v="1"/>
    <n v="5"/>
    <x v="3"/>
    <x v="0"/>
    <s v="Italy"/>
    <n v="43.036776000000003"/>
    <n v="12.678565000000001"/>
    <s v="ok"/>
    <s v="ok"/>
    <s v="ok"/>
    <s v="ok"/>
    <s v="ok"/>
    <x v="0"/>
    <n v="16.984176666650455"/>
  </r>
  <r>
    <x v="1"/>
    <n v="1676"/>
    <x v="0"/>
    <x v="0"/>
    <x v="1"/>
    <s v="1st line support"/>
    <x v="2"/>
    <x v="546"/>
    <d v="2023-03-27T17:27:15"/>
    <d v="2023-03-25T18:27:15"/>
    <d v="2023-03-25T18:02:39"/>
    <s v="Within SLA"/>
    <m/>
    <x v="1"/>
    <m/>
    <n v="7"/>
    <m/>
    <x v="2"/>
    <x v="0"/>
    <s v="Czech Republic"/>
    <n v="49.8037633"/>
    <n v="15.4749126"/>
    <s v="ok"/>
    <s v="ok"/>
    <s v="ok"/>
    <s v="ok"/>
    <s v="ok"/>
    <x v="1"/>
    <s v=""/>
  </r>
  <r>
    <x v="0"/>
    <n v="1677"/>
    <x v="0"/>
    <x v="0"/>
    <x v="1"/>
    <s v="1st line support"/>
    <x v="2"/>
    <x v="547"/>
    <d v="2023-03-27T02:51:23"/>
    <d v="2023-03-25T03:51:23"/>
    <d v="2023-03-25T03:46:34"/>
    <s v="Within SLA"/>
    <d v="2023-03-26T21:21:49"/>
    <x v="0"/>
    <d v="2023-03-28T00:42:49"/>
    <n v="4"/>
    <n v="2"/>
    <x v="2"/>
    <x v="0"/>
    <s v="United Kingdom"/>
    <n v="55.378051999999997"/>
    <n v="-3.4359730000000002"/>
    <s v="ok"/>
    <s v="ok"/>
    <s v="ok"/>
    <s v="ok"/>
    <s v="ok"/>
    <x v="0"/>
    <n v="42.507140555593651"/>
  </r>
  <r>
    <x v="0"/>
    <n v="1690"/>
    <x v="0"/>
    <x v="2"/>
    <x v="5"/>
    <s v="2nd line support"/>
    <x v="1"/>
    <x v="548"/>
    <d v="2023-03-27T13:36:41"/>
    <d v="2023-03-26T13:38:41"/>
    <d v="2023-03-26T13:37:55"/>
    <s v="Within SLA"/>
    <d v="2023-03-27T03:29:18"/>
    <x v="0"/>
    <d v="2023-03-29T19:50:54"/>
    <n v="6"/>
    <n v="3"/>
    <x v="0"/>
    <x v="1"/>
    <s v="Italy"/>
    <n v="43.036776000000003"/>
    <n v="12.678565000000001"/>
    <s v="ok"/>
    <s v="ok"/>
    <s v="ok"/>
    <s v="ok"/>
    <s v="ok"/>
    <x v="0"/>
    <n v="13.876813055598177"/>
  </r>
  <r>
    <x v="2"/>
    <n v="1691"/>
    <x v="0"/>
    <x v="1"/>
    <x v="4"/>
    <s v="1st line support"/>
    <x v="3"/>
    <x v="549"/>
    <d v="2023-03-28T01:47:02"/>
    <d v="2023-03-26T01:49:02"/>
    <d v="2023-03-26T01:48:08"/>
    <s v="Within SLA"/>
    <d v="2023-03-30T20:51:30"/>
    <x v="1"/>
    <m/>
    <n v="1"/>
    <m/>
    <x v="2"/>
    <x v="0"/>
    <s v="Austria"/>
    <n v="47.696471899999999"/>
    <n v="13.3457347"/>
    <s v="ok"/>
    <s v="ok"/>
    <s v="ok"/>
    <s v="ok"/>
    <s v="ok"/>
    <x v="0"/>
    <n v="115.07435277773766"/>
  </r>
  <r>
    <x v="1"/>
    <n v="1692"/>
    <x v="0"/>
    <x v="0"/>
    <x v="3"/>
    <s v="1st line support"/>
    <x v="6"/>
    <x v="550"/>
    <d v="2023-03-29T16:55:41"/>
    <d v="2023-03-27T17:55:41"/>
    <d v="2023-03-27T17:24:30"/>
    <s v="Within SLA"/>
    <m/>
    <x v="1"/>
    <m/>
    <n v="10"/>
    <m/>
    <x v="2"/>
    <x v="0"/>
    <s v="Germany"/>
    <n v="51.165691000000002"/>
    <n v="10.451525999999999"/>
    <s v="ok"/>
    <s v="ok"/>
    <s v="ok"/>
    <s v="ok"/>
    <s v="ok"/>
    <x v="1"/>
    <s v=""/>
  </r>
  <r>
    <x v="0"/>
    <n v="1693"/>
    <x v="2"/>
    <x v="2"/>
    <x v="5"/>
    <s v="1st line support"/>
    <x v="2"/>
    <x v="551"/>
    <d v="2023-03-28T09:48:08"/>
    <d v="2023-03-27T09:50:08"/>
    <d v="2023-03-27T09:48:45"/>
    <s v="Within SLA"/>
    <d v="2023-03-31T12:13:42"/>
    <x v="1"/>
    <d v="2023-04-01T18:55:36"/>
    <n v="7"/>
    <n v="4"/>
    <x v="2"/>
    <x v="0"/>
    <s v="Bulgaria"/>
    <n v="42.724992499999999"/>
    <n v="25.483303899999999"/>
    <s v="ok"/>
    <s v="ok"/>
    <s v="ok"/>
    <s v="ok"/>
    <s v="ok"/>
    <x v="0"/>
    <n v="98.426171666651499"/>
  </r>
  <r>
    <x v="1"/>
    <n v="1694"/>
    <x v="1"/>
    <x v="0"/>
    <x v="0"/>
    <s v="1st line support"/>
    <x v="4"/>
    <x v="552"/>
    <d v="2023-03-29T19:39:56"/>
    <d v="2023-03-27T20:39:56"/>
    <d v="2023-03-27T20:00:34"/>
    <s v="Within SLA"/>
    <m/>
    <x v="1"/>
    <m/>
    <n v="1"/>
    <m/>
    <x v="2"/>
    <x v="0"/>
    <s v="United Kingdom"/>
    <n v="55.378051999999997"/>
    <n v="-3.4359730000000002"/>
    <s v="ok"/>
    <s v="ok"/>
    <s v="ok"/>
    <s v="ok"/>
    <s v="ok"/>
    <x v="1"/>
    <s v=""/>
  </r>
  <r>
    <x v="2"/>
    <n v="1695"/>
    <x v="0"/>
    <x v="2"/>
    <x v="1"/>
    <s v="1st line support"/>
    <x v="6"/>
    <x v="553"/>
    <d v="2023-03-28T08:57:08"/>
    <d v="2023-03-27T08:59:08"/>
    <d v="2023-03-27T08:57:46"/>
    <s v="Within SLA"/>
    <d v="2023-03-27T10:34:19"/>
    <x v="0"/>
    <m/>
    <n v="4"/>
    <m/>
    <x v="0"/>
    <x v="0"/>
    <s v="Republic of Ireland"/>
    <n v="53.094023999999997"/>
    <n v="-8.0196749999999994"/>
    <s v="ok"/>
    <s v="ok"/>
    <s v="ok"/>
    <s v="ok"/>
    <s v="ok"/>
    <x v="0"/>
    <n v="1.6197255554725416"/>
  </r>
  <r>
    <x v="1"/>
    <n v="1696"/>
    <x v="0"/>
    <x v="1"/>
    <x v="4"/>
    <s v="1st line support"/>
    <x v="4"/>
    <x v="554"/>
    <d v="2023-03-29T14:12:36"/>
    <d v="2023-03-27T14:14:36"/>
    <d v="2023-03-27T14:12:37"/>
    <s v="Within SLA"/>
    <m/>
    <x v="1"/>
    <m/>
    <n v="4"/>
    <m/>
    <x v="1"/>
    <x v="0"/>
    <s v="Austria"/>
    <n v="47.696471899999999"/>
    <n v="13.3457347"/>
    <s v="ok"/>
    <s v="ok"/>
    <s v="ok"/>
    <s v="ok"/>
    <s v="ok"/>
    <x v="1"/>
    <s v=""/>
  </r>
  <r>
    <x v="1"/>
    <n v="1697"/>
    <x v="0"/>
    <x v="1"/>
    <x v="1"/>
    <s v="1st line support"/>
    <x v="4"/>
    <x v="555"/>
    <d v="2023-03-30T00:41:10"/>
    <d v="2023-03-28T00:43:10"/>
    <d v="2023-03-28T00:44:03"/>
    <s v="SLA Violated"/>
    <m/>
    <x v="1"/>
    <m/>
    <n v="1"/>
    <m/>
    <x v="1"/>
    <x v="0"/>
    <s v="Poland"/>
    <n v="52.536273000000001"/>
    <n v="19.050639"/>
    <s v="ok"/>
    <s v="ok"/>
    <s v="ok"/>
    <s v="ok"/>
    <s v="ok"/>
    <x v="1"/>
    <s v=""/>
  </r>
  <r>
    <x v="2"/>
    <n v="1698"/>
    <x v="0"/>
    <x v="2"/>
    <x v="0"/>
    <s v="1st line support"/>
    <x v="6"/>
    <x v="556"/>
    <d v="2023-03-29T05:44:27"/>
    <d v="2023-03-28T05:46:27"/>
    <d v="2023-03-28T05:44:53"/>
    <s v="Within SLA"/>
    <d v="2023-03-29T03:29:53"/>
    <x v="0"/>
    <m/>
    <n v="6"/>
    <m/>
    <x v="1"/>
    <x v="0"/>
    <s v="Italy"/>
    <n v="43.036776000000003"/>
    <n v="12.678565000000001"/>
    <s v="ok"/>
    <s v="ok"/>
    <s v="ok"/>
    <s v="ok"/>
    <s v="ok"/>
    <x v="0"/>
    <n v="21.757324722188059"/>
  </r>
  <r>
    <x v="0"/>
    <n v="1699"/>
    <x v="2"/>
    <x v="0"/>
    <x v="1"/>
    <s v="1st line support"/>
    <x v="3"/>
    <x v="557"/>
    <d v="2023-03-30T15:16:48"/>
    <d v="2023-03-28T16:16:48"/>
    <d v="2023-03-28T15:40:03"/>
    <s v="Within SLA"/>
    <d v="2023-03-29T10:34:11"/>
    <x v="0"/>
    <d v="2023-04-01T19:47:20"/>
    <n v="2"/>
    <n v="4"/>
    <x v="3"/>
    <x v="0"/>
    <s v="Slovenia"/>
    <n v="46.149166399999999"/>
    <n v="14.9860106"/>
    <s v="ok"/>
    <s v="ok"/>
    <s v="ok"/>
    <s v="ok"/>
    <s v="ok"/>
    <x v="0"/>
    <n v="19.289754722267389"/>
  </r>
  <r>
    <x v="0"/>
    <n v="1700"/>
    <x v="1"/>
    <x v="1"/>
    <x v="1"/>
    <s v="1st line support"/>
    <x v="4"/>
    <x v="558"/>
    <d v="2023-03-30T16:37:36"/>
    <d v="2023-03-28T16:39:36"/>
    <d v="2023-03-28T16:38:27"/>
    <s v="Within SLA"/>
    <d v="2023-03-30T03:53:57"/>
    <x v="0"/>
    <d v="2023-04-02T23:59:17"/>
    <n v="1"/>
    <n v="5"/>
    <x v="2"/>
    <x v="0"/>
    <s v="Czech Republic"/>
    <n v="49.8037633"/>
    <n v="15.4749126"/>
    <s v="ok"/>
    <s v="ok"/>
    <s v="ok"/>
    <s v="ok"/>
    <s v="ok"/>
    <x v="0"/>
    <n v="35.272370000020601"/>
  </r>
  <r>
    <x v="1"/>
    <n v="1701"/>
    <x v="0"/>
    <x v="2"/>
    <x v="0"/>
    <s v="2nd line support"/>
    <x v="1"/>
    <x v="559"/>
    <d v="2023-03-29T20:46:16"/>
    <d v="2023-03-28T20:48:16"/>
    <d v="2023-03-28T20:48:52"/>
    <s v="SLA Violated"/>
    <m/>
    <x v="1"/>
    <m/>
    <n v="6"/>
    <m/>
    <x v="1"/>
    <x v="1"/>
    <s v="Italy"/>
    <n v="43.036776000000003"/>
    <n v="12.678565000000001"/>
    <s v="ok"/>
    <s v="ok"/>
    <s v="ok"/>
    <s v="ok"/>
    <s v="ok"/>
    <x v="1"/>
    <s v=""/>
  </r>
  <r>
    <x v="2"/>
    <n v="1702"/>
    <x v="0"/>
    <x v="0"/>
    <x v="2"/>
    <s v="1st line support"/>
    <x v="6"/>
    <x v="560"/>
    <d v="2023-03-30T08:09:43"/>
    <d v="2023-03-28T09:09:43"/>
    <d v="2023-03-28T13:31:54"/>
    <s v="SLA Violated"/>
    <d v="2023-03-29T03:29:47"/>
    <x v="0"/>
    <m/>
    <n v="6"/>
    <m/>
    <x v="2"/>
    <x v="0"/>
    <s v="Greece"/>
    <n v="39.368279000000001"/>
    <n v="21.863140999999999"/>
    <s v="ok"/>
    <s v="ok"/>
    <s v="ok"/>
    <s v="ok"/>
    <s v="ok"/>
    <x v="0"/>
    <n v="19.334578888840042"/>
  </r>
  <r>
    <x v="0"/>
    <n v="1703"/>
    <x v="1"/>
    <x v="1"/>
    <x v="0"/>
    <s v="1st line support"/>
    <x v="0"/>
    <x v="561"/>
    <d v="2023-03-31T11:10:19"/>
    <d v="2023-03-29T11:12:19"/>
    <d v="2023-03-29T11:11:45"/>
    <s v="Within SLA"/>
    <d v="2023-03-30T12:09:59"/>
    <x v="0"/>
    <d v="2023-04-01T10:55:44"/>
    <n v="1"/>
    <n v="4"/>
    <x v="2"/>
    <x v="0"/>
    <s v="Italy"/>
    <n v="43.036776000000003"/>
    <n v="12.678565000000001"/>
    <s v="ok"/>
    <s v="ok"/>
    <s v="ok"/>
    <s v="ok"/>
    <s v="ok"/>
    <x v="0"/>
    <n v="24.994329444598407"/>
  </r>
  <r>
    <x v="2"/>
    <n v="1704"/>
    <x v="2"/>
    <x v="0"/>
    <x v="1"/>
    <s v="2nd line support"/>
    <x v="5"/>
    <x v="562"/>
    <d v="2023-03-31T01:29:54"/>
    <d v="2023-03-29T02:29:54"/>
    <d v="2023-03-29T02:07:19"/>
    <s v="Within SLA"/>
    <d v="2023-03-29T10:30:05"/>
    <x v="0"/>
    <m/>
    <n v="9"/>
    <m/>
    <x v="3"/>
    <x v="1"/>
    <s v="Poland"/>
    <n v="52.536273000000001"/>
    <n v="19.050639"/>
    <s v="ok"/>
    <s v="ok"/>
    <s v="ok"/>
    <s v="ok"/>
    <s v="ok"/>
    <x v="0"/>
    <n v="9.003171666758135"/>
  </r>
  <r>
    <x v="0"/>
    <n v="1705"/>
    <x v="2"/>
    <x v="0"/>
    <x v="3"/>
    <s v="2nd line support"/>
    <x v="7"/>
    <x v="563"/>
    <d v="2023-03-31T03:32:03"/>
    <d v="2023-03-29T04:32:03"/>
    <d v="2023-03-29T03:49:01"/>
    <s v="Within SLA"/>
    <d v="2023-03-31T03:02:12"/>
    <x v="0"/>
    <d v="2023-04-03T16:48:14"/>
    <n v="1"/>
    <n v="4"/>
    <x v="3"/>
    <x v="1"/>
    <s v="Italy"/>
    <n v="43.036776000000003"/>
    <n v="12.678565000000001"/>
    <s v="ok"/>
    <s v="ok"/>
    <s v="ok"/>
    <s v="ok"/>
    <s v="ok"/>
    <x v="0"/>
    <n v="47.502458055561874"/>
  </r>
  <r>
    <x v="1"/>
    <n v="1706"/>
    <x v="0"/>
    <x v="0"/>
    <x v="1"/>
    <s v="1st line support"/>
    <x v="4"/>
    <x v="564"/>
    <d v="2023-03-31T17:06:26"/>
    <d v="2023-03-29T18:06:26"/>
    <d v="2023-03-29T17:49:23"/>
    <s v="Within SLA"/>
    <m/>
    <x v="1"/>
    <m/>
    <n v="1"/>
    <m/>
    <x v="2"/>
    <x v="0"/>
    <s v="Bulgaria"/>
    <n v="42.724992499999999"/>
    <n v="25.483303899999999"/>
    <s v="ok"/>
    <s v="ok"/>
    <s v="ok"/>
    <s v="ok"/>
    <s v="ok"/>
    <x v="1"/>
    <s v=""/>
  </r>
  <r>
    <x v="2"/>
    <n v="1707"/>
    <x v="2"/>
    <x v="2"/>
    <x v="3"/>
    <s v="1st line support"/>
    <x v="4"/>
    <x v="565"/>
    <d v="2023-03-30T08:39:21"/>
    <d v="2023-03-29T08:41:21"/>
    <d v="2023-03-29T08:40:17"/>
    <s v="Within SLA"/>
    <d v="2023-03-29T09:17:29"/>
    <x v="0"/>
    <m/>
    <n v="6"/>
    <m/>
    <x v="0"/>
    <x v="0"/>
    <s v="France"/>
    <n v="48.864716000000001"/>
    <n v="2.3490139999999999"/>
    <s v="ok"/>
    <s v="ok"/>
    <s v="ok"/>
    <s v="ok"/>
    <s v="ok"/>
    <x v="0"/>
    <n v="0.63551694445777684"/>
  </r>
  <r>
    <x v="0"/>
    <n v="1708"/>
    <x v="0"/>
    <x v="2"/>
    <x v="4"/>
    <s v="1st line support"/>
    <x v="2"/>
    <x v="566"/>
    <d v="2023-03-30T04:00:01"/>
    <d v="2023-03-29T04:02:01"/>
    <d v="2023-03-29T04:00:06"/>
    <s v="Within SLA"/>
    <d v="2023-03-29T23:29:26"/>
    <x v="0"/>
    <d v="2023-04-02T10:05:12"/>
    <n v="60"/>
    <n v="4"/>
    <x v="0"/>
    <x v="0"/>
    <s v="Czech Republic"/>
    <n v="49.8037633"/>
    <n v="15.4749126"/>
    <s v="ok"/>
    <s v="ok"/>
    <s v="ok"/>
    <s v="ok"/>
    <s v="ok"/>
    <x v="0"/>
    <n v="19.490199722175021"/>
  </r>
  <r>
    <x v="1"/>
    <n v="1709"/>
    <x v="0"/>
    <x v="2"/>
    <x v="6"/>
    <s v="2nd line support"/>
    <x v="5"/>
    <x v="567"/>
    <d v="2023-03-30T20:14:43"/>
    <d v="2023-03-29T20:16:43"/>
    <d v="2023-03-29T20:16:25"/>
    <s v="Within SLA"/>
    <m/>
    <x v="1"/>
    <m/>
    <n v="6"/>
    <m/>
    <x v="3"/>
    <x v="1"/>
    <s v="United Kingdom"/>
    <n v="55.378051999999997"/>
    <n v="-3.4359730000000002"/>
    <s v="ok"/>
    <s v="ok"/>
    <s v="ok"/>
    <s v="ok"/>
    <s v="ok"/>
    <x v="1"/>
    <s v=""/>
  </r>
  <r>
    <x v="0"/>
    <n v="1710"/>
    <x v="0"/>
    <x v="0"/>
    <x v="1"/>
    <s v="2nd line support"/>
    <x v="7"/>
    <x v="568"/>
    <d v="2023-04-01T18:00:20"/>
    <d v="2023-03-30T19:00:20"/>
    <d v="2023-03-30T18:01:45"/>
    <s v="Within SLA"/>
    <d v="2023-03-31T09:04:43"/>
    <x v="0"/>
    <d v="2023-04-01T00:57:24"/>
    <n v="1"/>
    <n v="4"/>
    <x v="2"/>
    <x v="1"/>
    <s v="Poland"/>
    <n v="52.536273000000001"/>
    <n v="19.050639"/>
    <s v="ok"/>
    <s v="ok"/>
    <s v="ok"/>
    <s v="ok"/>
    <s v="ok"/>
    <x v="0"/>
    <n v="15.072924999869429"/>
  </r>
  <r>
    <x v="0"/>
    <n v="1711"/>
    <x v="1"/>
    <x v="0"/>
    <x v="1"/>
    <s v="2nd line support"/>
    <x v="1"/>
    <x v="569"/>
    <d v="2023-04-01T15:51:14"/>
    <d v="2023-03-30T16:51:14"/>
    <d v="2023-03-30T16:42:29"/>
    <s v="Within SLA"/>
    <d v="2023-04-01T04:03:40"/>
    <x v="0"/>
    <d v="2023-04-04T16:33:53"/>
    <n v="1"/>
    <n v="4"/>
    <x v="2"/>
    <x v="1"/>
    <s v="Spain"/>
    <n v="39.673369999999998"/>
    <n v="-4.7677259999999997"/>
    <s v="ok"/>
    <s v="ok"/>
    <s v="ok"/>
    <s v="ok"/>
    <s v="ok"/>
    <x v="0"/>
    <n v="36.207301111018751"/>
  </r>
  <r>
    <x v="0"/>
    <n v="1712"/>
    <x v="0"/>
    <x v="0"/>
    <x v="0"/>
    <s v="2nd line support"/>
    <x v="7"/>
    <x v="570"/>
    <d v="2023-04-01T13:19:08"/>
    <d v="2023-03-30T14:19:08"/>
    <d v="2023-03-30T14:00:43"/>
    <s v="Within SLA"/>
    <d v="2023-03-31T19:26:04"/>
    <x v="0"/>
    <d v="2023-04-05T13:54:11"/>
    <n v="10"/>
    <n v="4"/>
    <x v="2"/>
    <x v="1"/>
    <s v="Italy"/>
    <n v="43.036776000000003"/>
    <n v="12.678565000000001"/>
    <s v="ok"/>
    <s v="ok"/>
    <s v="ok"/>
    <s v="ok"/>
    <s v="ok"/>
    <x v="0"/>
    <n v="30.115416944492608"/>
  </r>
  <r>
    <x v="0"/>
    <n v="1713"/>
    <x v="1"/>
    <x v="0"/>
    <x v="0"/>
    <s v="2nd line support"/>
    <x v="1"/>
    <x v="571"/>
    <d v="2023-04-01T11:29:45"/>
    <d v="2023-03-30T12:29:45"/>
    <d v="2023-03-30T11:45:26"/>
    <s v="Within SLA"/>
    <d v="2023-04-01T04:25:10"/>
    <x v="0"/>
    <d v="2023-04-01T07:01:00"/>
    <n v="2"/>
    <n v="4"/>
    <x v="2"/>
    <x v="1"/>
    <s v="Spain"/>
    <n v="39.673369999999998"/>
    <n v="-4.7677259999999997"/>
    <s v="ok"/>
    <s v="ok"/>
    <s v="ok"/>
    <s v="ok"/>
    <s v="ok"/>
    <x v="0"/>
    <n v="40.923632777819876"/>
  </r>
  <r>
    <x v="0"/>
    <n v="1714"/>
    <x v="1"/>
    <x v="0"/>
    <x v="5"/>
    <s v="2nd line support"/>
    <x v="7"/>
    <x v="572"/>
    <d v="2023-04-01T17:10:34"/>
    <d v="2023-03-30T18:10:34"/>
    <d v="2023-03-30T17:11:08"/>
    <s v="Within SLA"/>
    <d v="2023-03-31T22:27:17"/>
    <x v="0"/>
    <d v="2023-04-03T02:53:18"/>
    <n v="1"/>
    <n v="1"/>
    <x v="2"/>
    <x v="1"/>
    <s v="Republic of Ireland"/>
    <n v="53.094023999999997"/>
    <n v="-8.0196749999999994"/>
    <s v="ok"/>
    <s v="ok"/>
    <s v="ok"/>
    <s v="ok"/>
    <s v="ok"/>
    <x v="0"/>
    <n v="29.278494722151663"/>
  </r>
  <r>
    <x v="0"/>
    <n v="1715"/>
    <x v="2"/>
    <x v="0"/>
    <x v="3"/>
    <s v="1st line support"/>
    <x v="0"/>
    <x v="573"/>
    <d v="2023-04-01T22:34:43"/>
    <d v="2023-03-30T23:34:43"/>
    <d v="2023-03-30T22:58:42"/>
    <s v="Within SLA"/>
    <d v="2023-04-04T20:01:01"/>
    <x v="1"/>
    <d v="2023-04-05T13:55:35"/>
    <n v="8"/>
    <n v="3"/>
    <x v="0"/>
    <x v="0"/>
    <s v="Germany"/>
    <n v="51.165691000000002"/>
    <n v="10.451525999999999"/>
    <s v="ok"/>
    <s v="ok"/>
    <s v="ok"/>
    <s v="ok"/>
    <s v="ok"/>
    <x v="0"/>
    <n v="117.43845388881164"/>
  </r>
  <r>
    <x v="0"/>
    <n v="1717"/>
    <x v="2"/>
    <x v="2"/>
    <x v="4"/>
    <s v="1st line support"/>
    <x v="2"/>
    <x v="574"/>
    <d v="2023-03-31T04:23:37"/>
    <d v="2023-03-30T04:25:37"/>
    <d v="2023-03-30T04:27:14"/>
    <s v="SLA Violated"/>
    <d v="2023-03-31T03:13:03"/>
    <x v="0"/>
    <d v="2023-04-01T22:37:49"/>
    <n v="4"/>
    <n v="3"/>
    <x v="0"/>
    <x v="0"/>
    <s v="Greece"/>
    <n v="39.368279000000001"/>
    <n v="21.863140999999999"/>
    <s v="ok"/>
    <s v="ok"/>
    <s v="ok"/>
    <s v="ok"/>
    <s v="ok"/>
    <x v="0"/>
    <n v="22.823988055635709"/>
  </r>
  <r>
    <x v="2"/>
    <n v="1718"/>
    <x v="0"/>
    <x v="2"/>
    <x v="3"/>
    <s v="1st line support"/>
    <x v="2"/>
    <x v="575"/>
    <d v="2023-03-31T22:31:49"/>
    <d v="2023-03-30T22:33:49"/>
    <d v="2023-03-30T22:32:50"/>
    <s v="Within SLA"/>
    <d v="2023-03-31T13:51:54"/>
    <x v="0"/>
    <m/>
    <n v="4"/>
    <m/>
    <x v="2"/>
    <x v="0"/>
    <s v="Slovenia"/>
    <n v="46.149166399999999"/>
    <n v="14.9860106"/>
    <s v="ok"/>
    <s v="ok"/>
    <s v="ok"/>
    <s v="ok"/>
    <s v="ok"/>
    <x v="0"/>
    <n v="15.334854722314049"/>
  </r>
  <r>
    <x v="1"/>
    <n v="1719"/>
    <x v="0"/>
    <x v="2"/>
    <x v="1"/>
    <s v="1st line support"/>
    <x v="6"/>
    <x v="576"/>
    <d v="2023-03-31T07:13:06"/>
    <d v="2023-03-30T07:15:06"/>
    <d v="2023-03-30T07:13:38"/>
    <s v="Within SLA"/>
    <m/>
    <x v="1"/>
    <m/>
    <n v="7"/>
    <m/>
    <x v="2"/>
    <x v="0"/>
    <s v="Slovenia"/>
    <n v="46.149166399999999"/>
    <n v="14.9860106"/>
    <s v="ok"/>
    <s v="ok"/>
    <s v="ok"/>
    <s v="ok"/>
    <s v="ok"/>
    <x v="1"/>
    <s v=""/>
  </r>
  <r>
    <x v="2"/>
    <n v="1720"/>
    <x v="0"/>
    <x v="0"/>
    <x v="5"/>
    <s v="1st line support"/>
    <x v="6"/>
    <x v="577"/>
    <d v="2023-04-01T12:29:28"/>
    <d v="2023-03-30T13:29:28"/>
    <d v="2023-03-30T13:15:58"/>
    <s v="Within SLA"/>
    <d v="2023-03-31T21:35:36"/>
    <x v="0"/>
    <m/>
    <n v="8"/>
    <m/>
    <x v="2"/>
    <x v="0"/>
    <s v="Italy"/>
    <n v="43.036776000000003"/>
    <n v="12.678565000000001"/>
    <s v="ok"/>
    <s v="ok"/>
    <s v="ok"/>
    <s v="ok"/>
    <s v="ok"/>
    <x v="0"/>
    <n v="33.102357499999925"/>
  </r>
  <r>
    <x v="0"/>
    <n v="1721"/>
    <x v="0"/>
    <x v="0"/>
    <x v="1"/>
    <s v="1st line support"/>
    <x v="4"/>
    <x v="578"/>
    <d v="2023-04-01T15:37:40"/>
    <d v="2023-03-30T16:37:40"/>
    <d v="2023-03-30T15:38:54"/>
    <s v="Within SLA"/>
    <d v="2023-04-01T00:45:41"/>
    <x v="0"/>
    <d v="2023-04-05T16:32:25"/>
    <n v="2"/>
    <n v="3"/>
    <x v="2"/>
    <x v="0"/>
    <s v="Slovenia"/>
    <n v="46.149166399999999"/>
    <n v="14.9860106"/>
    <s v="ok"/>
    <s v="ok"/>
    <s v="ok"/>
    <s v="ok"/>
    <s v="ok"/>
    <x v="0"/>
    <n v="33.133637222112156"/>
  </r>
  <r>
    <x v="2"/>
    <n v="1722"/>
    <x v="0"/>
    <x v="2"/>
    <x v="0"/>
    <s v="1st line support"/>
    <x v="3"/>
    <x v="579"/>
    <d v="2023-03-31T20:59:16"/>
    <d v="2023-03-30T21:01:16"/>
    <d v="2023-03-30T20:59:38"/>
    <s v="Within SLA"/>
    <d v="2023-03-31T19:19:55"/>
    <x v="0"/>
    <m/>
    <n v="60"/>
    <m/>
    <x v="0"/>
    <x v="0"/>
    <s v="France"/>
    <n v="48.864716000000001"/>
    <n v="2.3490139999999999"/>
    <s v="ok"/>
    <s v="ok"/>
    <s v="ok"/>
    <s v="ok"/>
    <s v="ok"/>
    <x v="0"/>
    <n v="22.344229722220916"/>
  </r>
  <r>
    <x v="0"/>
    <n v="1723"/>
    <x v="0"/>
    <x v="0"/>
    <x v="5"/>
    <s v="1st line support"/>
    <x v="3"/>
    <x v="580"/>
    <d v="2023-04-02T04:57:23"/>
    <d v="2023-03-31T05:57:23"/>
    <d v="2023-03-31T04:58:37"/>
    <s v="Within SLA"/>
    <d v="2023-03-31T20:37:55"/>
    <x v="0"/>
    <d v="2023-04-04T14:58:40"/>
    <n v="7"/>
    <n v="5"/>
    <x v="2"/>
    <x v="0"/>
    <s v="Germany"/>
    <n v="51.165691000000002"/>
    <n v="10.451525999999999"/>
    <s v="ok"/>
    <s v="ok"/>
    <s v="ok"/>
    <s v="ok"/>
    <s v="ok"/>
    <x v="0"/>
    <n v="15.675639722147025"/>
  </r>
  <r>
    <x v="0"/>
    <n v="1725"/>
    <x v="0"/>
    <x v="0"/>
    <x v="2"/>
    <s v="1st line support"/>
    <x v="2"/>
    <x v="581"/>
    <d v="2023-04-02T03:10:35"/>
    <d v="2023-03-31T04:10:35"/>
    <d v="2023-03-31T03:53:25"/>
    <s v="Within SLA"/>
    <d v="2023-04-03T18:45:09"/>
    <x v="1"/>
    <d v="2023-04-05T14:21:19"/>
    <n v="1"/>
    <n v="4"/>
    <x v="0"/>
    <x v="0"/>
    <s v="Greece"/>
    <n v="39.368279000000001"/>
    <n v="21.863140999999999"/>
    <s v="ok"/>
    <s v="ok"/>
    <s v="ok"/>
    <s v="ok"/>
    <s v="ok"/>
    <x v="0"/>
    <n v="87.57601444440661"/>
  </r>
  <r>
    <x v="0"/>
    <n v="1726"/>
    <x v="1"/>
    <x v="2"/>
    <x v="0"/>
    <s v="1st line support"/>
    <x v="0"/>
    <x v="582"/>
    <d v="2023-04-01T11:40:29"/>
    <d v="2023-03-31T11:42:29"/>
    <d v="2023-03-31T11:41:31"/>
    <s v="Within SLA"/>
    <d v="2023-03-31T15:33:54"/>
    <x v="0"/>
    <d v="2023-04-05T13:53:32"/>
    <n v="8"/>
    <n v="4"/>
    <x v="2"/>
    <x v="0"/>
    <s v="Italy"/>
    <n v="43.036776000000003"/>
    <n v="12.678565000000001"/>
    <s v="ok"/>
    <s v="ok"/>
    <s v="ok"/>
    <s v="ok"/>
    <s v="ok"/>
    <x v="0"/>
    <n v="3.890410277817864"/>
  </r>
  <r>
    <x v="2"/>
    <n v="1727"/>
    <x v="0"/>
    <x v="2"/>
    <x v="0"/>
    <s v="1st line support"/>
    <x v="3"/>
    <x v="583"/>
    <d v="2023-04-01T08:54:42"/>
    <d v="2023-03-31T08:56:42"/>
    <d v="2023-03-31T08:56:24"/>
    <s v="Within SLA"/>
    <d v="2023-04-01T04:59:43"/>
    <x v="0"/>
    <m/>
    <n v="6"/>
    <m/>
    <x v="2"/>
    <x v="0"/>
    <s v="Greece"/>
    <n v="39.368279000000001"/>
    <n v="21.863140999999999"/>
    <s v="ok"/>
    <s v="ok"/>
    <s v="ok"/>
    <s v="ok"/>
    <s v="ok"/>
    <x v="0"/>
    <n v="20.083553611126263"/>
  </r>
  <r>
    <x v="2"/>
    <n v="1728"/>
    <x v="1"/>
    <x v="0"/>
    <x v="0"/>
    <s v="2nd line support"/>
    <x v="1"/>
    <x v="584"/>
    <d v="2023-04-02T17:02:56"/>
    <d v="2023-03-31T18:02:56"/>
    <d v="2023-03-31T17:30:19"/>
    <s v="Within SLA"/>
    <d v="2023-04-02T14:44:39"/>
    <x v="0"/>
    <m/>
    <n v="10"/>
    <m/>
    <x v="2"/>
    <x v="1"/>
    <s v="Poland"/>
    <n v="52.536273000000001"/>
    <n v="19.050639"/>
    <s v="ok"/>
    <s v="ok"/>
    <s v="ok"/>
    <s v="ok"/>
    <s v="ok"/>
    <x v="0"/>
    <n v="45.695350000052713"/>
  </r>
  <r>
    <x v="1"/>
    <n v="1729"/>
    <x v="1"/>
    <x v="0"/>
    <x v="1"/>
    <s v="1st line support"/>
    <x v="6"/>
    <x v="585"/>
    <d v="2023-04-02T22:38:17"/>
    <d v="2023-03-31T23:38:17"/>
    <d v="2023-03-31T22:59:12"/>
    <s v="Within SLA"/>
    <m/>
    <x v="1"/>
    <m/>
    <n v="1"/>
    <m/>
    <x v="2"/>
    <x v="0"/>
    <s v="Bulgaria"/>
    <n v="42.724992499999999"/>
    <n v="25.483303899999999"/>
    <s v="ok"/>
    <s v="ok"/>
    <s v="ok"/>
    <s v="ok"/>
    <s v="ok"/>
    <x v="1"/>
    <s v=""/>
  </r>
  <r>
    <x v="1"/>
    <n v="1730"/>
    <x v="2"/>
    <x v="2"/>
    <x v="1"/>
    <s v="2nd line support"/>
    <x v="1"/>
    <x v="586"/>
    <d v="2023-04-02T04:42:45"/>
    <d v="2023-04-01T04:44:45"/>
    <d v="2023-04-01T04:44:38"/>
    <s v="Within SLA"/>
    <m/>
    <x v="1"/>
    <m/>
    <n v="7"/>
    <m/>
    <x v="0"/>
    <x v="1"/>
    <s v="Poland"/>
    <n v="52.536273000000001"/>
    <n v="19.050639"/>
    <s v="ok"/>
    <s v="ok"/>
    <s v="ok"/>
    <s v="ok"/>
    <s v="ok"/>
    <x v="1"/>
    <s v=""/>
  </r>
  <r>
    <x v="2"/>
    <n v="1731"/>
    <x v="0"/>
    <x v="0"/>
    <x v="0"/>
    <s v="1st line support"/>
    <x v="4"/>
    <x v="587"/>
    <d v="2023-04-03T19:34:47"/>
    <d v="2023-04-01T20:34:47"/>
    <d v="2023-04-01T20:12:35"/>
    <s v="Within SLA"/>
    <d v="2023-04-03T01:12:34"/>
    <x v="0"/>
    <m/>
    <n v="2"/>
    <m/>
    <x v="1"/>
    <x v="0"/>
    <s v="Germany"/>
    <n v="51.165691000000002"/>
    <n v="10.451525999999999"/>
    <s v="ok"/>
    <s v="ok"/>
    <s v="ok"/>
    <s v="ok"/>
    <s v="ok"/>
    <x v="0"/>
    <n v="29.629837777814828"/>
  </r>
  <r>
    <x v="1"/>
    <n v="1732"/>
    <x v="0"/>
    <x v="0"/>
    <x v="6"/>
    <s v="1st line support"/>
    <x v="6"/>
    <x v="588"/>
    <d v="2023-04-03T19:44:41"/>
    <d v="2023-04-01T20:44:41"/>
    <d v="2023-04-02T00:46:44"/>
    <s v="SLA Violated"/>
    <m/>
    <x v="1"/>
    <m/>
    <n v="6"/>
    <m/>
    <x v="3"/>
    <x v="0"/>
    <s v="Greece"/>
    <n v="39.368279000000001"/>
    <n v="21.863140999999999"/>
    <s v="ok"/>
    <s v="ok"/>
    <s v="ok"/>
    <s v="ok"/>
    <s v="ok"/>
    <x v="1"/>
    <s v=""/>
  </r>
  <r>
    <x v="0"/>
    <n v="1733"/>
    <x v="2"/>
    <x v="0"/>
    <x v="3"/>
    <s v="1st line support"/>
    <x v="4"/>
    <x v="589"/>
    <d v="2023-04-03T19:19:16"/>
    <d v="2023-04-01T20:19:16"/>
    <d v="2023-04-01T20:07:01"/>
    <s v="Within SLA"/>
    <d v="2023-04-02T13:38:28"/>
    <x v="0"/>
    <d v="2023-04-05T08:00:48"/>
    <n v="4"/>
    <n v="2"/>
    <x v="1"/>
    <x v="0"/>
    <s v="Slovenia"/>
    <n v="46.149166399999999"/>
    <n v="14.9860106"/>
    <s v="ok"/>
    <s v="ok"/>
    <s v="ok"/>
    <s v="ok"/>
    <s v="ok"/>
    <x v="0"/>
    <n v="18.319974444515537"/>
  </r>
  <r>
    <x v="0"/>
    <n v="1748"/>
    <x v="0"/>
    <x v="2"/>
    <x v="0"/>
    <s v="2nd line support"/>
    <x v="1"/>
    <x v="590"/>
    <d v="2023-04-03T15:10:55"/>
    <d v="2023-04-02T15:12:55"/>
    <d v="2023-04-02T15:15:54"/>
    <s v="SLA Violated"/>
    <d v="2023-04-05T16:34:22"/>
    <x v="1"/>
    <d v="2023-04-07T14:40:32"/>
    <n v="6"/>
    <n v="3"/>
    <x v="0"/>
    <x v="1"/>
    <s v="Czech Republic"/>
    <n v="49.8037633"/>
    <n v="15.4749126"/>
    <s v="ok"/>
    <s v="ok"/>
    <s v="ok"/>
    <s v="ok"/>
    <s v="ok"/>
    <x v="0"/>
    <n v="73.390772222250234"/>
  </r>
  <r>
    <x v="1"/>
    <n v="1749"/>
    <x v="2"/>
    <x v="1"/>
    <x v="2"/>
    <s v="1st line support"/>
    <x v="0"/>
    <x v="591"/>
    <d v="2023-04-04T04:44:24"/>
    <d v="2023-04-02T04:46:24"/>
    <d v="2023-04-02T04:45:00"/>
    <s v="Within SLA"/>
    <m/>
    <x v="1"/>
    <m/>
    <n v="1"/>
    <m/>
    <x v="1"/>
    <x v="0"/>
    <s v="Germany"/>
    <n v="51.165691000000002"/>
    <n v="10.451525999999999"/>
    <s v="ok"/>
    <s v="ok"/>
    <s v="ok"/>
    <s v="ok"/>
    <s v="ok"/>
    <x v="1"/>
    <s v=""/>
  </r>
  <r>
    <x v="2"/>
    <n v="1750"/>
    <x v="0"/>
    <x v="1"/>
    <x v="3"/>
    <s v="1st line support"/>
    <x v="4"/>
    <x v="592"/>
    <d v="2023-04-04T16:03:14"/>
    <d v="2023-04-02T16:05:14"/>
    <d v="2023-04-02T16:03:59"/>
    <s v="Within SLA"/>
    <d v="2023-04-06T10:28:20"/>
    <x v="1"/>
    <m/>
    <n v="4"/>
    <m/>
    <x v="0"/>
    <x v="0"/>
    <s v="Italy"/>
    <n v="43.036776000000003"/>
    <n v="12.678565000000001"/>
    <s v="ok"/>
    <s v="ok"/>
    <s v="ok"/>
    <s v="ok"/>
    <s v="ok"/>
    <x v="0"/>
    <n v="90.418360277835745"/>
  </r>
  <r>
    <x v="2"/>
    <n v="1751"/>
    <x v="1"/>
    <x v="0"/>
    <x v="1"/>
    <s v="2nd line support"/>
    <x v="1"/>
    <x v="593"/>
    <d v="2023-04-04T15:53:36"/>
    <d v="2023-04-02T16:53:36"/>
    <d v="2023-04-02T16:17:30"/>
    <s v="Within SLA"/>
    <d v="2023-04-03T18:13:24"/>
    <x v="0"/>
    <m/>
    <n v="2"/>
    <m/>
    <x v="1"/>
    <x v="1"/>
    <s v="Poland"/>
    <n v="52.536273000000001"/>
    <n v="19.050639"/>
    <s v="ok"/>
    <s v="ok"/>
    <s v="ok"/>
    <s v="ok"/>
    <s v="ok"/>
    <x v="0"/>
    <n v="26.329998333414551"/>
  </r>
  <r>
    <x v="0"/>
    <n v="1752"/>
    <x v="0"/>
    <x v="2"/>
    <x v="3"/>
    <s v="1st line support"/>
    <x v="4"/>
    <x v="594"/>
    <d v="2023-04-03T23:30:34"/>
    <d v="2023-04-02T23:32:34"/>
    <d v="2023-04-02T23:35:25"/>
    <s v="SLA Violated"/>
    <d v="2023-04-03T20:34:51"/>
    <x v="0"/>
    <d v="2023-04-04T15:18:58"/>
    <n v="6"/>
    <n v="4"/>
    <x v="0"/>
    <x v="0"/>
    <s v="Germany"/>
    <n v="51.165691000000002"/>
    <n v="10.451525999999999"/>
    <s v="ok"/>
    <s v="ok"/>
    <s v="ok"/>
    <s v="ok"/>
    <s v="ok"/>
    <x v="0"/>
    <n v="21.071464444336016"/>
  </r>
  <r>
    <x v="0"/>
    <n v="1753"/>
    <x v="0"/>
    <x v="0"/>
    <x v="3"/>
    <s v="2nd line support"/>
    <x v="7"/>
    <x v="595"/>
    <d v="2023-04-05T05:55:15"/>
    <d v="2023-04-03T06:55:15"/>
    <d v="2023-04-03T06:06:34"/>
    <s v="Within SLA"/>
    <d v="2023-04-04T16:03:05"/>
    <x v="0"/>
    <d v="2023-04-09T19:16:42"/>
    <n v="5"/>
    <n v="4"/>
    <x v="2"/>
    <x v="1"/>
    <s v="Austria"/>
    <n v="47.696471899999999"/>
    <n v="13.3457347"/>
    <s v="ok"/>
    <s v="ok"/>
    <s v="ok"/>
    <s v="ok"/>
    <s v="ok"/>
    <x v="0"/>
    <n v="34.130535833362956"/>
  </r>
  <r>
    <x v="0"/>
    <n v="1754"/>
    <x v="2"/>
    <x v="2"/>
    <x v="5"/>
    <s v="1st line support"/>
    <x v="3"/>
    <x v="596"/>
    <d v="2023-04-04T00:18:01"/>
    <d v="2023-04-03T00:20:01"/>
    <d v="2023-04-03T00:19:48"/>
    <s v="Within SLA"/>
    <d v="2023-04-03T09:32:50"/>
    <x v="0"/>
    <d v="2023-04-05T01:39:24"/>
    <n v="3"/>
    <n v="5"/>
    <x v="2"/>
    <x v="0"/>
    <s v="Spain"/>
    <n v="39.673369999999998"/>
    <n v="-4.7677259999999997"/>
    <s v="ok"/>
    <s v="ok"/>
    <s v="ok"/>
    <s v="ok"/>
    <s v="ok"/>
    <x v="0"/>
    <n v="9.2470516667235643"/>
  </r>
  <r>
    <x v="0"/>
    <n v="1755"/>
    <x v="1"/>
    <x v="0"/>
    <x v="1"/>
    <s v="1st line support"/>
    <x v="4"/>
    <x v="597"/>
    <d v="2023-04-05T04:51:54"/>
    <d v="2023-04-03T05:51:54"/>
    <d v="2023-04-03T05:44:08"/>
    <s v="Within SLA"/>
    <d v="2023-04-04T18:05:12"/>
    <x v="0"/>
    <d v="2023-04-07T10:02:07"/>
    <n v="8"/>
    <n v="5"/>
    <x v="2"/>
    <x v="0"/>
    <s v="Poland"/>
    <n v="52.536273000000001"/>
    <n v="19.050639"/>
    <s v="ok"/>
    <s v="ok"/>
    <s v="ok"/>
    <s v="ok"/>
    <s v="ok"/>
    <x v="0"/>
    <n v="37.221672222367488"/>
  </r>
  <r>
    <x v="2"/>
    <n v="1756"/>
    <x v="0"/>
    <x v="0"/>
    <x v="1"/>
    <s v="1st line support"/>
    <x v="2"/>
    <x v="598"/>
    <d v="2023-04-05T05:19:08"/>
    <d v="2023-04-03T06:19:08"/>
    <d v="2023-04-03T05:47:53"/>
    <s v="Within SLA"/>
    <d v="2023-04-04T09:47:28"/>
    <x v="0"/>
    <m/>
    <n v="2"/>
    <m/>
    <x v="1"/>
    <x v="0"/>
    <s v="Germany"/>
    <n v="51.165691000000002"/>
    <n v="10.451525999999999"/>
    <s v="ok"/>
    <s v="ok"/>
    <s v="ok"/>
    <s v="ok"/>
    <s v="ok"/>
    <x v="0"/>
    <n v="28.47229527781019"/>
  </r>
  <r>
    <x v="1"/>
    <n v="1757"/>
    <x v="1"/>
    <x v="2"/>
    <x v="1"/>
    <s v="1st line support"/>
    <x v="0"/>
    <x v="599"/>
    <d v="2023-04-04T07:05:23"/>
    <d v="2023-04-03T07:07:23"/>
    <d v="2023-04-03T07:05:26"/>
    <s v="Within SLA"/>
    <m/>
    <x v="1"/>
    <m/>
    <n v="7"/>
    <m/>
    <x v="2"/>
    <x v="0"/>
    <s v="Austria"/>
    <n v="47.696471899999999"/>
    <n v="13.3457347"/>
    <s v="ok"/>
    <s v="ok"/>
    <s v="ok"/>
    <s v="ok"/>
    <s v="ok"/>
    <x v="1"/>
    <s v=""/>
  </r>
  <r>
    <x v="0"/>
    <n v="1759"/>
    <x v="0"/>
    <x v="2"/>
    <x v="0"/>
    <s v="1st line support"/>
    <x v="2"/>
    <x v="600"/>
    <d v="2023-04-04T17:17:33"/>
    <d v="2023-04-03T17:19:33"/>
    <d v="2023-04-03T17:18:18"/>
    <s v="Within SLA"/>
    <d v="2023-04-04T14:06:49"/>
    <x v="0"/>
    <d v="2023-04-06T04:50:03"/>
    <n v="6"/>
    <n v="3"/>
    <x v="0"/>
    <x v="0"/>
    <s v="Austria"/>
    <n v="47.696471899999999"/>
    <n v="13.3457347"/>
    <s v="ok"/>
    <s v="ok"/>
    <s v="ok"/>
    <s v="ok"/>
    <s v="ok"/>
    <x v="0"/>
    <n v="20.821243333281018"/>
  </r>
  <r>
    <x v="0"/>
    <n v="1761"/>
    <x v="0"/>
    <x v="0"/>
    <x v="4"/>
    <s v="1st line support"/>
    <x v="4"/>
    <x v="601"/>
    <d v="2023-04-06T13:34:57"/>
    <d v="2023-04-04T14:34:57"/>
    <d v="2023-04-04T20:16:00"/>
    <s v="SLA Violated"/>
    <d v="2023-04-05T02:47:11"/>
    <x v="0"/>
    <d v="2023-04-06T09:45:40"/>
    <n v="2"/>
    <n v="4"/>
    <x v="0"/>
    <x v="0"/>
    <s v="Austria"/>
    <n v="47.696471899999999"/>
    <n v="13.3457347"/>
    <s v="ok"/>
    <s v="ok"/>
    <s v="ok"/>
    <s v="ok"/>
    <s v="ok"/>
    <x v="0"/>
    <n v="13.203800833260175"/>
  </r>
  <r>
    <x v="0"/>
    <n v="1762"/>
    <x v="0"/>
    <x v="2"/>
    <x v="1"/>
    <s v="1st line support"/>
    <x v="0"/>
    <x v="602"/>
    <d v="2023-04-05T22:42:38"/>
    <d v="2023-04-04T22:44:38"/>
    <d v="2023-04-04T22:44:33"/>
    <s v="Within SLA"/>
    <d v="2023-04-06T16:31:46"/>
    <x v="1"/>
    <d v="2023-04-06T18:42:09"/>
    <n v="6"/>
    <n v="3"/>
    <x v="2"/>
    <x v="0"/>
    <s v="France"/>
    <n v="48.864716000000001"/>
    <n v="2.3490139999999999"/>
    <s v="ok"/>
    <s v="ok"/>
    <s v="ok"/>
    <s v="ok"/>
    <s v="ok"/>
    <x v="0"/>
    <n v="41.818759999936447"/>
  </r>
  <r>
    <x v="2"/>
    <n v="1763"/>
    <x v="0"/>
    <x v="2"/>
    <x v="5"/>
    <s v="1st line support"/>
    <x v="0"/>
    <x v="603"/>
    <d v="2023-04-05T12:31:49"/>
    <d v="2023-04-04T12:33:49"/>
    <d v="2023-04-04T12:36:46"/>
    <s v="SLA Violated"/>
    <d v="2023-04-05T02:55:34"/>
    <x v="0"/>
    <m/>
    <n v="6"/>
    <m/>
    <x v="2"/>
    <x v="0"/>
    <s v="Poland"/>
    <n v="52.536273000000001"/>
    <n v="19.050639"/>
    <s v="ok"/>
    <s v="ok"/>
    <s v="ok"/>
    <s v="ok"/>
    <s v="ok"/>
    <x v="0"/>
    <n v="14.3958922221791"/>
  </r>
  <r>
    <x v="0"/>
    <n v="1764"/>
    <x v="0"/>
    <x v="2"/>
    <x v="5"/>
    <s v="1st line support"/>
    <x v="2"/>
    <x v="604"/>
    <d v="2023-04-05T08:56:01"/>
    <d v="2023-04-04T08:58:01"/>
    <d v="2023-04-04T08:57:43"/>
    <s v="Within SLA"/>
    <d v="2023-04-04T18:34:44"/>
    <x v="0"/>
    <d v="2023-04-11T13:23:00"/>
    <n v="5"/>
    <n v="4"/>
    <x v="3"/>
    <x v="0"/>
    <s v="Austria"/>
    <n v="47.696471899999999"/>
    <n v="13.3457347"/>
    <s v="ok"/>
    <s v="ok"/>
    <s v="ok"/>
    <s v="ok"/>
    <s v="ok"/>
    <x v="0"/>
    <n v="9.6452338888775557"/>
  </r>
  <r>
    <x v="2"/>
    <n v="1765"/>
    <x v="0"/>
    <x v="2"/>
    <x v="3"/>
    <s v="2nd line support"/>
    <x v="7"/>
    <x v="605"/>
    <d v="2023-04-05T11:05:30"/>
    <d v="2023-04-04T11:07:30"/>
    <d v="2023-04-04T11:05:38"/>
    <s v="Within SLA"/>
    <d v="2023-04-05T01:55:44"/>
    <x v="0"/>
    <m/>
    <n v="6"/>
    <m/>
    <x v="2"/>
    <x v="1"/>
    <s v="United Kingdom"/>
    <n v="55.378051999999997"/>
    <n v="-3.4359730000000002"/>
    <s v="ok"/>
    <s v="ok"/>
    <s v="ok"/>
    <s v="ok"/>
    <s v="ok"/>
    <x v="0"/>
    <n v="14.837224444490857"/>
  </r>
  <r>
    <x v="0"/>
    <n v="1766"/>
    <x v="0"/>
    <x v="0"/>
    <x v="4"/>
    <s v="2nd line support"/>
    <x v="5"/>
    <x v="606"/>
    <d v="2023-04-07T02:02:11"/>
    <d v="2023-04-05T03:02:11"/>
    <d v="2023-04-05T02:51:18"/>
    <s v="Within SLA"/>
    <d v="2023-04-05T08:47:59"/>
    <x v="0"/>
    <d v="2023-04-10T05:37:16"/>
    <n v="1"/>
    <n v="4"/>
    <x v="1"/>
    <x v="1"/>
    <s v="United Kingdom"/>
    <n v="55.378051999999997"/>
    <n v="-3.4359730000000002"/>
    <s v="ok"/>
    <s v="ok"/>
    <s v="ok"/>
    <s v="ok"/>
    <s v="ok"/>
    <x v="0"/>
    <n v="6.7631949999486096"/>
  </r>
  <r>
    <x v="0"/>
    <n v="1767"/>
    <x v="1"/>
    <x v="2"/>
    <x v="1"/>
    <s v="1st line support"/>
    <x v="3"/>
    <x v="607"/>
    <d v="2023-04-06T10:03:11"/>
    <d v="2023-04-05T10:05:11"/>
    <d v="2023-04-05T10:04:28"/>
    <s v="Within SLA"/>
    <d v="2023-04-07T11:19:05"/>
    <x v="1"/>
    <d v="2023-04-07T19:31:44"/>
    <n v="5"/>
    <n v="3"/>
    <x v="2"/>
    <x v="0"/>
    <s v="Poland"/>
    <n v="52.536273000000001"/>
    <n v="19.050639"/>
    <s v="ok"/>
    <s v="ok"/>
    <s v="ok"/>
    <s v="ok"/>
    <s v="ok"/>
    <x v="0"/>
    <n v="49.265098333416972"/>
  </r>
  <r>
    <x v="1"/>
    <n v="1768"/>
    <x v="0"/>
    <x v="2"/>
    <x v="1"/>
    <s v="1st line support"/>
    <x v="6"/>
    <x v="608"/>
    <d v="2023-04-06T21:15:23"/>
    <d v="2023-04-05T21:17:23"/>
    <d v="2023-04-05T21:16:41"/>
    <s v="Within SLA"/>
    <m/>
    <x v="1"/>
    <m/>
    <n v="8"/>
    <m/>
    <x v="3"/>
    <x v="0"/>
    <s v="Bulgaria"/>
    <n v="42.724992499999999"/>
    <n v="25.483303899999999"/>
    <s v="ok"/>
    <s v="ok"/>
    <s v="ok"/>
    <s v="ok"/>
    <s v="ok"/>
    <x v="1"/>
    <s v=""/>
  </r>
  <r>
    <x v="1"/>
    <n v="1769"/>
    <x v="0"/>
    <x v="0"/>
    <x v="0"/>
    <s v="2nd line support"/>
    <x v="7"/>
    <x v="609"/>
    <d v="2023-04-07T11:07:48"/>
    <d v="2023-04-05T12:07:48"/>
    <d v="2023-04-05T11:37:03"/>
    <s v="Within SLA"/>
    <m/>
    <x v="1"/>
    <m/>
    <n v="3"/>
    <m/>
    <x v="0"/>
    <x v="1"/>
    <s v="Germany"/>
    <n v="51.165691000000002"/>
    <n v="10.451525999999999"/>
    <s v="ok"/>
    <s v="ok"/>
    <s v="ok"/>
    <s v="ok"/>
    <s v="ok"/>
    <x v="1"/>
    <s v=""/>
  </r>
  <r>
    <x v="3"/>
    <n v="1770"/>
    <x v="2"/>
    <x v="0"/>
    <x v="3"/>
    <s v="1st line support"/>
    <x v="6"/>
    <x v="610"/>
    <d v="2023-04-07T16:27:41"/>
    <d v="2023-04-05T17:27:41"/>
    <m/>
    <s v="SLA Violated"/>
    <m/>
    <x v="1"/>
    <m/>
    <m/>
    <m/>
    <x v="2"/>
    <x v="0"/>
    <s v="Germany"/>
    <n v="51.165691000000002"/>
    <n v="10.451525999999999"/>
    <s v="check"/>
    <s v="ok"/>
    <s v="ok"/>
    <s v="ok"/>
    <s v="no response"/>
    <x v="1"/>
    <s v=""/>
  </r>
  <r>
    <x v="0"/>
    <n v="1771"/>
    <x v="1"/>
    <x v="2"/>
    <x v="1"/>
    <s v="1st line support"/>
    <x v="3"/>
    <x v="611"/>
    <d v="2023-04-06T07:14:31"/>
    <d v="2023-04-05T07:16:31"/>
    <d v="2023-04-05T07:15:05"/>
    <s v="Within SLA"/>
    <d v="2023-04-06T02:39:11"/>
    <x v="0"/>
    <d v="2023-04-10T11:50:46"/>
    <n v="4"/>
    <n v="4"/>
    <x v="2"/>
    <x v="0"/>
    <s v="Poland"/>
    <n v="52.536273000000001"/>
    <n v="19.050639"/>
    <s v="ok"/>
    <s v="ok"/>
    <s v="ok"/>
    <s v="ok"/>
    <s v="ok"/>
    <x v="0"/>
    <n v="19.411227500124369"/>
  </r>
  <r>
    <x v="0"/>
    <n v="1772"/>
    <x v="2"/>
    <x v="2"/>
    <x v="0"/>
    <s v="1st line support"/>
    <x v="6"/>
    <x v="612"/>
    <d v="2023-04-07T03:30:54"/>
    <d v="2023-04-06T03:32:54"/>
    <d v="2023-04-06T03:32:38"/>
    <s v="Within SLA"/>
    <d v="2023-04-06T04:31:03"/>
    <x v="0"/>
    <d v="2023-04-10T06:27:42"/>
    <n v="4"/>
    <n v="5"/>
    <x v="2"/>
    <x v="0"/>
    <s v="Germany"/>
    <n v="51.165691000000002"/>
    <n v="10.451525999999999"/>
    <s v="ok"/>
    <s v="ok"/>
    <s v="ok"/>
    <s v="ok"/>
    <s v="ok"/>
    <x v="0"/>
    <n v="1.0023852777667344"/>
  </r>
  <r>
    <x v="2"/>
    <n v="1773"/>
    <x v="1"/>
    <x v="0"/>
    <x v="3"/>
    <s v="1st line support"/>
    <x v="4"/>
    <x v="613"/>
    <d v="2023-04-08T17:18:15"/>
    <d v="2023-04-06T18:18:15"/>
    <d v="2023-04-06T17:45:14"/>
    <s v="Within SLA"/>
    <d v="2023-04-07T07:13:28"/>
    <x v="0"/>
    <m/>
    <n v="8"/>
    <m/>
    <x v="0"/>
    <x v="0"/>
    <s v="Italy"/>
    <n v="43.036776000000003"/>
    <n v="12.678565000000001"/>
    <s v="ok"/>
    <s v="ok"/>
    <s v="ok"/>
    <s v="ok"/>
    <s v="ok"/>
    <x v="0"/>
    <n v="13.920310277841054"/>
  </r>
  <r>
    <x v="0"/>
    <n v="1774"/>
    <x v="2"/>
    <x v="0"/>
    <x v="5"/>
    <s v="2nd line support"/>
    <x v="7"/>
    <x v="614"/>
    <d v="2023-04-08T02:59:03"/>
    <d v="2023-04-06T03:59:03"/>
    <d v="2023-04-06T03:39:49"/>
    <s v="Within SLA"/>
    <d v="2023-04-07T02:15:49"/>
    <x v="0"/>
    <d v="2023-04-10T20:43:23"/>
    <n v="5"/>
    <n v="4"/>
    <x v="0"/>
    <x v="1"/>
    <s v="Slovenia"/>
    <n v="46.149166399999999"/>
    <n v="14.9860106"/>
    <s v="ok"/>
    <s v="ok"/>
    <s v="ok"/>
    <s v="ok"/>
    <s v="ok"/>
    <x v="0"/>
    <n v="23.279448611196131"/>
  </r>
  <r>
    <x v="0"/>
    <n v="1775"/>
    <x v="2"/>
    <x v="0"/>
    <x v="1"/>
    <s v="1st line support"/>
    <x v="3"/>
    <x v="615"/>
    <d v="2023-04-08T18:15:46"/>
    <d v="2023-04-06T19:15:46"/>
    <d v="2023-04-06T19:00:40"/>
    <s v="Within SLA"/>
    <d v="2023-04-08T07:58:45"/>
    <x v="0"/>
    <d v="2023-04-11T18:33:56"/>
    <n v="2"/>
    <n v="4"/>
    <x v="2"/>
    <x v="0"/>
    <s v="Republic of Ireland"/>
    <n v="53.094023999999997"/>
    <n v="-8.0196749999999994"/>
    <s v="ok"/>
    <s v="ok"/>
    <s v="ok"/>
    <s v="ok"/>
    <s v="ok"/>
    <x v="0"/>
    <n v="37.716271388868336"/>
  </r>
  <r>
    <x v="0"/>
    <n v="1777"/>
    <x v="2"/>
    <x v="0"/>
    <x v="1"/>
    <s v="1st line support"/>
    <x v="4"/>
    <x v="616"/>
    <d v="2023-04-08T04:54:37"/>
    <d v="2023-04-06T05:54:37"/>
    <d v="2023-04-06T05:44:37"/>
    <s v="Within SLA"/>
    <d v="2023-04-06T14:47:23"/>
    <x v="0"/>
    <d v="2023-04-13T05:41:35"/>
    <n v="2"/>
    <n v="4"/>
    <x v="1"/>
    <x v="0"/>
    <s v="Italy"/>
    <n v="43.036776000000003"/>
    <n v="12.678565000000001"/>
    <s v="ok"/>
    <s v="ok"/>
    <s v="ok"/>
    <s v="ok"/>
    <s v="ok"/>
    <x v="0"/>
    <n v="9.8794894444872625"/>
  </r>
  <r>
    <x v="1"/>
    <n v="1778"/>
    <x v="2"/>
    <x v="0"/>
    <x v="6"/>
    <s v="2nd line support"/>
    <x v="7"/>
    <x v="617"/>
    <d v="2023-04-08T18:43:11"/>
    <d v="2023-04-06T19:43:11"/>
    <d v="2023-04-06T19:34:19"/>
    <s v="Within SLA"/>
    <m/>
    <x v="1"/>
    <m/>
    <n v="4"/>
    <m/>
    <x v="3"/>
    <x v="1"/>
    <s v="France"/>
    <n v="48.864716000000001"/>
    <n v="2.3490139999999999"/>
    <s v="ok"/>
    <s v="ok"/>
    <s v="ok"/>
    <s v="ok"/>
    <s v="ok"/>
    <x v="1"/>
    <s v=""/>
  </r>
  <r>
    <x v="0"/>
    <n v="1779"/>
    <x v="2"/>
    <x v="0"/>
    <x v="1"/>
    <s v="1st line support"/>
    <x v="3"/>
    <x v="618"/>
    <d v="2023-04-09T02:13:34"/>
    <d v="2023-04-07T03:13:34"/>
    <d v="2023-04-07T03:01:52"/>
    <s v="Within SLA"/>
    <d v="2023-04-08T13:42:13"/>
    <x v="0"/>
    <d v="2023-04-08T22:53:41"/>
    <n v="3"/>
    <n v="3"/>
    <x v="2"/>
    <x v="0"/>
    <s v="Bulgaria"/>
    <n v="42.724992499999999"/>
    <n v="25.483303899999999"/>
    <s v="ok"/>
    <s v="ok"/>
    <s v="ok"/>
    <s v="ok"/>
    <s v="ok"/>
    <x v="0"/>
    <n v="35.477553888922557"/>
  </r>
  <r>
    <x v="2"/>
    <n v="1780"/>
    <x v="0"/>
    <x v="2"/>
    <x v="1"/>
    <s v="2nd line support"/>
    <x v="1"/>
    <x v="619"/>
    <d v="2023-04-08T22:19:14"/>
    <d v="2023-04-07T22:21:14"/>
    <d v="2023-04-07T22:24:34"/>
    <s v="SLA Violated"/>
    <d v="2023-04-09T11:25:34"/>
    <x v="1"/>
    <m/>
    <n v="4"/>
    <m/>
    <x v="2"/>
    <x v="1"/>
    <s v="Germany"/>
    <n v="51.165691000000002"/>
    <n v="10.451525999999999"/>
    <s v="ok"/>
    <s v="ok"/>
    <s v="ok"/>
    <s v="ok"/>
    <s v="ok"/>
    <x v="0"/>
    <n v="37.105441666790284"/>
  </r>
  <r>
    <x v="1"/>
    <n v="1782"/>
    <x v="0"/>
    <x v="0"/>
    <x v="3"/>
    <s v="1st line support"/>
    <x v="6"/>
    <x v="620"/>
    <d v="2023-04-09T18:21:00"/>
    <d v="2023-04-07T19:21:00"/>
    <d v="2023-04-07T18:39:32"/>
    <s v="Within SLA"/>
    <m/>
    <x v="1"/>
    <m/>
    <n v="1"/>
    <m/>
    <x v="2"/>
    <x v="0"/>
    <s v="Germany"/>
    <n v="51.165691000000002"/>
    <n v="10.451525999999999"/>
    <s v="ok"/>
    <s v="ok"/>
    <s v="ok"/>
    <s v="ok"/>
    <s v="ok"/>
    <x v="1"/>
    <s v=""/>
  </r>
  <r>
    <x v="0"/>
    <n v="1783"/>
    <x v="2"/>
    <x v="0"/>
    <x v="0"/>
    <s v="2nd line support"/>
    <x v="7"/>
    <x v="621"/>
    <d v="2023-04-09T05:02:22"/>
    <d v="2023-04-07T06:02:22"/>
    <d v="2023-04-07T05:18:28"/>
    <s v="Within SLA"/>
    <d v="2023-04-07T21:09:00"/>
    <x v="0"/>
    <d v="2023-04-13T14:00:07"/>
    <n v="1"/>
    <n v="1"/>
    <x v="2"/>
    <x v="1"/>
    <s v="Slovenia"/>
    <n v="46.149166399999999"/>
    <n v="14.9860106"/>
    <s v="ok"/>
    <s v="ok"/>
    <s v="ok"/>
    <s v="ok"/>
    <s v="ok"/>
    <x v="0"/>
    <n v="16.110449444444384"/>
  </r>
  <r>
    <x v="0"/>
    <n v="1784"/>
    <x v="2"/>
    <x v="0"/>
    <x v="1"/>
    <s v="1st line support"/>
    <x v="0"/>
    <x v="622"/>
    <d v="2023-04-09T07:46:50"/>
    <d v="2023-04-07T08:46:50"/>
    <d v="2023-04-07T08:03:59"/>
    <s v="Within SLA"/>
    <d v="2023-04-08T18:08:43"/>
    <x v="0"/>
    <d v="2023-04-08T18:41:53"/>
    <n v="2"/>
    <n v="4"/>
    <x v="2"/>
    <x v="0"/>
    <s v="Italy"/>
    <n v="43.036776000000003"/>
    <n v="12.678565000000001"/>
    <s v="ok"/>
    <s v="ok"/>
    <s v="ok"/>
    <s v="ok"/>
    <s v="ok"/>
    <x v="0"/>
    <n v="34.364796944602858"/>
  </r>
  <r>
    <x v="1"/>
    <n v="1801"/>
    <x v="1"/>
    <x v="1"/>
    <x v="0"/>
    <s v="1st line support"/>
    <x v="3"/>
    <x v="623"/>
    <d v="2023-04-11T11:16:06"/>
    <d v="2023-04-09T11:18:06"/>
    <d v="2023-04-09T11:17:30"/>
    <s v="Within SLA"/>
    <m/>
    <x v="1"/>
    <m/>
    <n v="2"/>
    <m/>
    <x v="0"/>
    <x v="0"/>
    <s v="Poland"/>
    <n v="52.536273000000001"/>
    <n v="19.050639"/>
    <s v="ok"/>
    <s v="ok"/>
    <s v="ok"/>
    <s v="ok"/>
    <s v="ok"/>
    <x v="1"/>
    <s v=""/>
  </r>
  <r>
    <x v="1"/>
    <n v="1802"/>
    <x v="0"/>
    <x v="2"/>
    <x v="3"/>
    <s v="1st line support"/>
    <x v="6"/>
    <x v="624"/>
    <d v="2023-04-10T18:24:07"/>
    <d v="2023-04-09T18:26:07"/>
    <d v="2023-04-09T18:24:07"/>
    <s v="Within SLA"/>
    <m/>
    <x v="1"/>
    <m/>
    <n v="7"/>
    <m/>
    <x v="0"/>
    <x v="0"/>
    <s v="Greece"/>
    <n v="39.368279000000001"/>
    <n v="21.863140999999999"/>
    <s v="ok"/>
    <s v="ok"/>
    <s v="ok"/>
    <s v="ok"/>
    <s v="ok"/>
    <x v="1"/>
    <s v=""/>
  </r>
  <r>
    <x v="0"/>
    <n v="1803"/>
    <x v="0"/>
    <x v="0"/>
    <x v="4"/>
    <s v="1st line support"/>
    <x v="3"/>
    <x v="625"/>
    <d v="2023-04-11T01:54:49"/>
    <d v="2023-04-09T02:54:49"/>
    <d v="2023-04-09T02:31:16"/>
    <s v="Within SLA"/>
    <d v="2023-04-10T22:57:36"/>
    <x v="0"/>
    <d v="2023-04-16T04:28:36"/>
    <n v="1"/>
    <n v="4"/>
    <x v="0"/>
    <x v="0"/>
    <s v="Spain"/>
    <n v="39.673369999999998"/>
    <n v="-4.7677259999999997"/>
    <s v="ok"/>
    <s v="ok"/>
    <s v="ok"/>
    <s v="ok"/>
    <s v="ok"/>
    <x v="0"/>
    <n v="45.046308055578265"/>
  </r>
  <r>
    <x v="1"/>
    <n v="1804"/>
    <x v="2"/>
    <x v="2"/>
    <x v="1"/>
    <s v="2nd line support"/>
    <x v="5"/>
    <x v="626"/>
    <d v="2023-04-10T17:35:53"/>
    <d v="2023-04-09T17:37:53"/>
    <d v="2023-04-09T17:36:51"/>
    <s v="Within SLA"/>
    <m/>
    <x v="1"/>
    <m/>
    <n v="6"/>
    <m/>
    <x v="2"/>
    <x v="1"/>
    <s v="Bulgaria"/>
    <n v="42.724992499999999"/>
    <n v="25.483303899999999"/>
    <s v="ok"/>
    <s v="ok"/>
    <s v="ok"/>
    <s v="ok"/>
    <s v="ok"/>
    <x v="1"/>
    <s v=""/>
  </r>
  <r>
    <x v="2"/>
    <n v="1805"/>
    <x v="0"/>
    <x v="0"/>
    <x v="3"/>
    <s v="1st line support"/>
    <x v="3"/>
    <x v="627"/>
    <d v="2023-04-11T16:50:10"/>
    <d v="2023-04-09T17:50:10"/>
    <d v="2023-04-09T17:34:56"/>
    <s v="Within SLA"/>
    <d v="2023-04-10T08:09:15"/>
    <x v="0"/>
    <m/>
    <n v="1"/>
    <m/>
    <x v="2"/>
    <x v="0"/>
    <s v="Austria"/>
    <n v="47.696471899999999"/>
    <n v="13.3457347"/>
    <s v="ok"/>
    <s v="ok"/>
    <s v="ok"/>
    <s v="ok"/>
    <s v="ok"/>
    <x v="0"/>
    <n v="15.318053611088544"/>
  </r>
  <r>
    <x v="0"/>
    <n v="1806"/>
    <x v="0"/>
    <x v="0"/>
    <x v="3"/>
    <s v="1st line support"/>
    <x v="0"/>
    <x v="628"/>
    <d v="2023-04-11T01:08:39"/>
    <d v="2023-04-09T02:08:39"/>
    <d v="2023-04-09T03:45:29"/>
    <s v="SLA Violated"/>
    <d v="2023-04-10T08:28:58"/>
    <x v="0"/>
    <d v="2023-04-13T05:14:08"/>
    <n v="4"/>
    <n v="1"/>
    <x v="0"/>
    <x v="0"/>
    <s v="France"/>
    <n v="48.864716000000001"/>
    <n v="2.3490139999999999"/>
    <s v="ok"/>
    <s v="ok"/>
    <s v="ok"/>
    <s v="ok"/>
    <s v="ok"/>
    <x v="0"/>
    <n v="31.338565833459143"/>
  </r>
  <r>
    <x v="1"/>
    <n v="1807"/>
    <x v="2"/>
    <x v="0"/>
    <x v="1"/>
    <s v="1st line support"/>
    <x v="6"/>
    <x v="629"/>
    <d v="2023-04-12T16:07:38"/>
    <d v="2023-04-10T17:07:38"/>
    <d v="2023-04-10T16:39:14"/>
    <s v="Within SLA"/>
    <m/>
    <x v="1"/>
    <m/>
    <n v="10"/>
    <m/>
    <x v="1"/>
    <x v="0"/>
    <s v="France"/>
    <n v="48.864716000000001"/>
    <n v="2.3490139999999999"/>
    <s v="ok"/>
    <s v="ok"/>
    <s v="ok"/>
    <s v="ok"/>
    <s v="ok"/>
    <x v="1"/>
    <s v=""/>
  </r>
  <r>
    <x v="2"/>
    <n v="1808"/>
    <x v="0"/>
    <x v="2"/>
    <x v="0"/>
    <s v="1st line support"/>
    <x v="0"/>
    <x v="630"/>
    <d v="2023-04-11T22:37:41"/>
    <d v="2023-04-10T22:39:41"/>
    <d v="2023-04-10T22:37:48"/>
    <s v="Within SLA"/>
    <d v="2023-04-11T11:57:16"/>
    <x v="0"/>
    <m/>
    <n v="60"/>
    <m/>
    <x v="2"/>
    <x v="0"/>
    <s v="Italy"/>
    <n v="43.036776000000003"/>
    <n v="12.678565000000001"/>
    <s v="ok"/>
    <s v="ok"/>
    <s v="ok"/>
    <s v="ok"/>
    <s v="ok"/>
    <x v="0"/>
    <n v="13.326355833210982"/>
  </r>
  <r>
    <x v="0"/>
    <n v="1809"/>
    <x v="1"/>
    <x v="2"/>
    <x v="0"/>
    <s v="1st line support"/>
    <x v="6"/>
    <x v="631"/>
    <d v="2023-04-11T12:36:32"/>
    <d v="2023-04-10T12:38:32"/>
    <d v="2023-04-10T12:38:23"/>
    <s v="Within SLA"/>
    <d v="2023-04-10T12:50:52"/>
    <x v="0"/>
    <d v="2023-04-12T22:16:29"/>
    <n v="3"/>
    <n v="4"/>
    <x v="2"/>
    <x v="0"/>
    <s v="United Kingdom"/>
    <n v="55.378051999999997"/>
    <n v="-3.4359730000000002"/>
    <s v="ok"/>
    <s v="ok"/>
    <s v="ok"/>
    <s v="ok"/>
    <s v="ok"/>
    <x v="0"/>
    <n v="0.23886416660388932"/>
  </r>
  <r>
    <x v="0"/>
    <n v="1810"/>
    <x v="2"/>
    <x v="2"/>
    <x v="1"/>
    <s v="1st line support"/>
    <x v="4"/>
    <x v="632"/>
    <d v="2023-04-11T12:46:24"/>
    <d v="2023-04-10T12:48:24"/>
    <d v="2023-04-10T12:50:11"/>
    <s v="SLA Violated"/>
    <d v="2023-04-11T00:11:44"/>
    <x v="0"/>
    <d v="2023-04-14T15:06:51"/>
    <n v="3"/>
    <n v="2"/>
    <x v="3"/>
    <x v="0"/>
    <s v="Bulgaria"/>
    <n v="42.724992499999999"/>
    <n v="25.483303899999999"/>
    <s v="ok"/>
    <s v="ok"/>
    <s v="ok"/>
    <s v="ok"/>
    <s v="ok"/>
    <x v="0"/>
    <n v="11.422125555574894"/>
  </r>
  <r>
    <x v="0"/>
    <n v="1811"/>
    <x v="2"/>
    <x v="0"/>
    <x v="3"/>
    <s v="1st line support"/>
    <x v="0"/>
    <x v="633"/>
    <d v="2023-04-12T16:21:25"/>
    <d v="2023-04-10T17:21:25"/>
    <d v="2023-04-10T16:40:07"/>
    <s v="Within SLA"/>
    <d v="2023-04-12T07:12:03"/>
    <x v="0"/>
    <d v="2023-04-17T09:26:22"/>
    <n v="1"/>
    <n v="4"/>
    <x v="0"/>
    <x v="0"/>
    <s v="Italy"/>
    <n v="43.036776000000003"/>
    <n v="12.678565000000001"/>
    <s v="ok"/>
    <s v="ok"/>
    <s v="ok"/>
    <s v="ok"/>
    <s v="ok"/>
    <x v="0"/>
    <n v="38.843885555514134"/>
  </r>
  <r>
    <x v="1"/>
    <n v="1812"/>
    <x v="1"/>
    <x v="1"/>
    <x v="1"/>
    <s v="1st line support"/>
    <x v="0"/>
    <x v="634"/>
    <d v="2023-04-12T19:44:07"/>
    <d v="2023-04-10T19:46:07"/>
    <d v="2023-04-10T19:44:19"/>
    <s v="Within SLA"/>
    <m/>
    <x v="1"/>
    <m/>
    <n v="1"/>
    <m/>
    <x v="2"/>
    <x v="0"/>
    <s v="United Kingdom"/>
    <n v="55.378051999999997"/>
    <n v="-3.4359730000000002"/>
    <s v="ok"/>
    <s v="ok"/>
    <s v="ok"/>
    <s v="ok"/>
    <s v="ok"/>
    <x v="1"/>
    <s v=""/>
  </r>
  <r>
    <x v="1"/>
    <n v="1813"/>
    <x v="1"/>
    <x v="2"/>
    <x v="2"/>
    <s v="2nd line support"/>
    <x v="7"/>
    <x v="635"/>
    <d v="2023-04-11T22:39:59"/>
    <d v="2023-04-10T22:41:59"/>
    <d v="2023-04-10T22:41:26"/>
    <s v="Within SLA"/>
    <m/>
    <x v="1"/>
    <m/>
    <n v="60"/>
    <m/>
    <x v="2"/>
    <x v="1"/>
    <s v="Greece"/>
    <n v="39.368279000000001"/>
    <n v="21.863140999999999"/>
    <s v="ok"/>
    <s v="ok"/>
    <s v="ok"/>
    <s v="ok"/>
    <s v="ok"/>
    <x v="1"/>
    <s v=""/>
  </r>
  <r>
    <x v="0"/>
    <n v="1814"/>
    <x v="2"/>
    <x v="0"/>
    <x v="3"/>
    <s v="1st line support"/>
    <x v="3"/>
    <x v="636"/>
    <d v="2023-04-13T08:22:38"/>
    <d v="2023-04-11T09:22:38"/>
    <d v="2023-04-11T09:17:03"/>
    <s v="Within SLA"/>
    <d v="2023-04-13T10:31:23"/>
    <x v="1"/>
    <d v="2023-04-14T13:24:11"/>
    <n v="1"/>
    <n v="4"/>
    <x v="1"/>
    <x v="0"/>
    <s v="Greece"/>
    <n v="39.368279000000001"/>
    <n v="21.863140999999999"/>
    <s v="ok"/>
    <s v="ok"/>
    <s v="ok"/>
    <s v="ok"/>
    <s v="ok"/>
    <x v="0"/>
    <n v="50.145788055437151"/>
  </r>
  <r>
    <x v="0"/>
    <n v="1815"/>
    <x v="0"/>
    <x v="2"/>
    <x v="6"/>
    <s v="1st line support"/>
    <x v="4"/>
    <x v="637"/>
    <d v="2023-04-12T17:54:18"/>
    <d v="2023-04-11T17:56:18"/>
    <d v="2023-04-11T17:54:44"/>
    <s v="Within SLA"/>
    <d v="2023-04-11T19:39:36"/>
    <x v="0"/>
    <d v="2023-04-17T12:34:43"/>
    <n v="4"/>
    <n v="5"/>
    <x v="3"/>
    <x v="0"/>
    <s v="Italy"/>
    <n v="43.036776000000003"/>
    <n v="12.678565000000001"/>
    <s v="ok"/>
    <s v="ok"/>
    <s v="ok"/>
    <s v="ok"/>
    <s v="ok"/>
    <x v="0"/>
    <n v="1.7550861111958511"/>
  </r>
  <r>
    <x v="0"/>
    <n v="1816"/>
    <x v="0"/>
    <x v="1"/>
    <x v="0"/>
    <s v="1st line support"/>
    <x v="2"/>
    <x v="638"/>
    <d v="2023-04-13T01:46:54"/>
    <d v="2023-04-11T01:48:54"/>
    <d v="2023-04-11T01:50:43"/>
    <s v="SLA Violated"/>
    <d v="2023-04-11T05:46:09"/>
    <x v="0"/>
    <d v="2023-04-13T14:50:31"/>
    <n v="5"/>
    <n v="1"/>
    <x v="2"/>
    <x v="0"/>
    <s v="Austria"/>
    <n v="47.696471899999999"/>
    <n v="13.3457347"/>
    <s v="ok"/>
    <s v="ok"/>
    <s v="ok"/>
    <s v="ok"/>
    <s v="ok"/>
    <x v="0"/>
    <n v="3.987552777689416"/>
  </r>
  <r>
    <x v="2"/>
    <n v="1817"/>
    <x v="0"/>
    <x v="0"/>
    <x v="2"/>
    <s v="1st line support"/>
    <x v="2"/>
    <x v="639"/>
    <d v="2023-04-13T01:35:11"/>
    <d v="2023-04-11T02:35:11"/>
    <d v="2023-04-11T01:46:52"/>
    <s v="Within SLA"/>
    <d v="2023-04-11T22:55:17"/>
    <x v="0"/>
    <m/>
    <n v="2"/>
    <m/>
    <x v="2"/>
    <x v="0"/>
    <s v="Germany"/>
    <n v="51.165691000000002"/>
    <n v="10.451525999999999"/>
    <s v="ok"/>
    <s v="ok"/>
    <s v="ok"/>
    <s v="ok"/>
    <s v="ok"/>
    <x v="0"/>
    <n v="21.335099444549996"/>
  </r>
  <r>
    <x v="2"/>
    <n v="1818"/>
    <x v="0"/>
    <x v="2"/>
    <x v="3"/>
    <s v="1st line support"/>
    <x v="4"/>
    <x v="640"/>
    <d v="2023-04-12T09:01:04"/>
    <d v="2023-04-11T09:03:04"/>
    <d v="2023-04-11T09:01:57"/>
    <s v="Within SLA"/>
    <d v="2023-04-11T11:41:51"/>
    <x v="0"/>
    <m/>
    <n v="4"/>
    <m/>
    <x v="0"/>
    <x v="0"/>
    <s v="United Kingdom"/>
    <n v="55.378051999999997"/>
    <n v="-3.4359730000000002"/>
    <s v="ok"/>
    <s v="ok"/>
    <s v="ok"/>
    <s v="ok"/>
    <s v="ok"/>
    <x v="0"/>
    <n v="2.6796888890094124"/>
  </r>
  <r>
    <x v="2"/>
    <n v="1819"/>
    <x v="0"/>
    <x v="0"/>
    <x v="1"/>
    <s v="2nd line support"/>
    <x v="7"/>
    <x v="641"/>
    <d v="2023-04-13T11:17:59"/>
    <d v="2023-04-11T12:17:59"/>
    <d v="2023-04-11T11:43:49"/>
    <s v="Within SLA"/>
    <d v="2023-04-12T05:01:52"/>
    <x v="0"/>
    <m/>
    <n v="3"/>
    <m/>
    <x v="1"/>
    <x v="1"/>
    <s v="Republic of Ireland"/>
    <n v="53.094023999999997"/>
    <n v="-8.0196749999999994"/>
    <s v="ok"/>
    <s v="ok"/>
    <s v="ok"/>
    <s v="ok"/>
    <s v="ok"/>
    <x v="0"/>
    <n v="17.731406111153774"/>
  </r>
  <r>
    <x v="2"/>
    <n v="1820"/>
    <x v="0"/>
    <x v="0"/>
    <x v="4"/>
    <s v="1st line support"/>
    <x v="2"/>
    <x v="642"/>
    <d v="2023-04-13T17:12:33"/>
    <d v="2023-04-11T18:12:33"/>
    <d v="2023-04-11T17:38:03"/>
    <s v="Within SLA"/>
    <d v="2023-04-13T04:22:47"/>
    <x v="0"/>
    <m/>
    <n v="5"/>
    <m/>
    <x v="2"/>
    <x v="0"/>
    <s v="Slovenia"/>
    <n v="46.149166399999999"/>
    <n v="14.9860106"/>
    <s v="ok"/>
    <s v="ok"/>
    <s v="ok"/>
    <s v="ok"/>
    <s v="ok"/>
    <x v="0"/>
    <n v="35.170422777766362"/>
  </r>
  <r>
    <x v="1"/>
    <n v="1821"/>
    <x v="0"/>
    <x v="0"/>
    <x v="0"/>
    <s v="2nd line support"/>
    <x v="7"/>
    <x v="643"/>
    <d v="2023-04-13T17:28:21"/>
    <d v="2023-04-11T18:28:21"/>
    <d v="2023-04-11T17:57:04"/>
    <s v="Within SLA"/>
    <m/>
    <x v="1"/>
    <m/>
    <n v="9"/>
    <m/>
    <x v="0"/>
    <x v="1"/>
    <s v="United Kingdom"/>
    <n v="55.378051999999997"/>
    <n v="-3.4359730000000002"/>
    <s v="ok"/>
    <s v="ok"/>
    <s v="ok"/>
    <s v="ok"/>
    <s v="ok"/>
    <x v="1"/>
    <s v=""/>
  </r>
  <r>
    <x v="0"/>
    <n v="1822"/>
    <x v="0"/>
    <x v="1"/>
    <x v="3"/>
    <s v="1st line support"/>
    <x v="6"/>
    <x v="644"/>
    <d v="2023-04-13T17:15:06"/>
    <d v="2023-04-11T17:17:06"/>
    <d v="2023-04-11T17:16:14"/>
    <s v="Within SLA"/>
    <d v="2023-04-13T14:36:20"/>
    <x v="0"/>
    <d v="2023-04-16T23:25:22"/>
    <n v="1"/>
    <n v="3"/>
    <x v="2"/>
    <x v="0"/>
    <s v="Italy"/>
    <n v="43.036776000000003"/>
    <n v="12.678565000000001"/>
    <s v="ok"/>
    <s v="ok"/>
    <s v="ok"/>
    <s v="ok"/>
    <s v="ok"/>
    <x v="0"/>
    <n v="45.353955555532593"/>
  </r>
  <r>
    <x v="1"/>
    <n v="1823"/>
    <x v="2"/>
    <x v="2"/>
    <x v="1"/>
    <s v="1st line support"/>
    <x v="2"/>
    <x v="645"/>
    <d v="2023-04-12T07:16:39"/>
    <d v="2023-04-11T07:18:39"/>
    <d v="2023-04-11T07:18:12"/>
    <s v="Within SLA"/>
    <m/>
    <x v="1"/>
    <m/>
    <n v="7"/>
    <m/>
    <x v="1"/>
    <x v="0"/>
    <s v="Italy"/>
    <n v="43.036776000000003"/>
    <n v="12.678565000000001"/>
    <s v="ok"/>
    <s v="ok"/>
    <s v="ok"/>
    <s v="ok"/>
    <s v="ok"/>
    <x v="1"/>
    <s v=""/>
  </r>
  <r>
    <x v="2"/>
    <n v="1824"/>
    <x v="0"/>
    <x v="2"/>
    <x v="2"/>
    <s v="1st line support"/>
    <x v="0"/>
    <x v="646"/>
    <d v="2023-04-12T00:07:48"/>
    <d v="2023-04-11T00:09:48"/>
    <d v="2023-04-11T00:08:37"/>
    <s v="Within SLA"/>
    <d v="2023-04-11T11:06:41"/>
    <x v="0"/>
    <m/>
    <n v="4"/>
    <m/>
    <x v="2"/>
    <x v="0"/>
    <s v="France"/>
    <n v="48.864716000000001"/>
    <n v="2.3490139999999999"/>
    <s v="ok"/>
    <s v="ok"/>
    <s v="ok"/>
    <s v="ok"/>
    <s v="ok"/>
    <x v="0"/>
    <n v="10.981255833408795"/>
  </r>
  <r>
    <x v="0"/>
    <n v="1825"/>
    <x v="0"/>
    <x v="0"/>
    <x v="0"/>
    <s v="1st line support"/>
    <x v="4"/>
    <x v="647"/>
    <d v="2023-04-13T13:44:37"/>
    <d v="2023-04-11T14:44:37"/>
    <d v="2023-04-11T13:49:27"/>
    <s v="Within SLA"/>
    <d v="2023-04-12T15:40:01"/>
    <x v="0"/>
    <d v="2023-04-18T01:29:05"/>
    <n v="2"/>
    <n v="4"/>
    <x v="2"/>
    <x v="0"/>
    <s v="Poland"/>
    <n v="52.536273000000001"/>
    <n v="19.050639"/>
    <s v="ok"/>
    <s v="ok"/>
    <s v="ok"/>
    <s v="ok"/>
    <s v="ok"/>
    <x v="0"/>
    <n v="25.923238333314657"/>
  </r>
  <r>
    <x v="2"/>
    <n v="1826"/>
    <x v="0"/>
    <x v="2"/>
    <x v="3"/>
    <s v="2nd line support"/>
    <x v="5"/>
    <x v="648"/>
    <d v="2023-04-13T05:24:50"/>
    <d v="2023-04-12T05:26:50"/>
    <d v="2023-04-12T05:24:52"/>
    <s v="Within SLA"/>
    <d v="2023-04-12T06:26:03"/>
    <x v="0"/>
    <m/>
    <n v="4"/>
    <m/>
    <x v="2"/>
    <x v="1"/>
    <s v="Germany"/>
    <n v="51.165691000000002"/>
    <n v="10.451525999999999"/>
    <s v="ok"/>
    <s v="ok"/>
    <s v="ok"/>
    <s v="ok"/>
    <s v="ok"/>
    <x v="0"/>
    <n v="1.0201394443865865"/>
  </r>
  <r>
    <x v="2"/>
    <n v="1827"/>
    <x v="2"/>
    <x v="0"/>
    <x v="3"/>
    <s v="1st line support"/>
    <x v="3"/>
    <x v="649"/>
    <d v="2023-04-14T02:54:55"/>
    <d v="2023-04-12T03:54:55"/>
    <d v="2023-04-12T09:25:31"/>
    <s v="SLA Violated"/>
    <d v="2023-04-14T02:46:00"/>
    <x v="0"/>
    <m/>
    <n v="2"/>
    <m/>
    <x v="0"/>
    <x v="0"/>
    <s v="Italy"/>
    <n v="43.036776000000003"/>
    <n v="12.678565000000001"/>
    <s v="ok"/>
    <s v="ok"/>
    <s v="ok"/>
    <s v="ok"/>
    <s v="ok"/>
    <x v="0"/>
    <n v="47.851310555648524"/>
  </r>
  <r>
    <x v="0"/>
    <n v="1828"/>
    <x v="0"/>
    <x v="1"/>
    <x v="3"/>
    <s v="1st line support"/>
    <x v="0"/>
    <x v="650"/>
    <d v="2023-04-14T15:36:14"/>
    <d v="2023-04-12T15:38:14"/>
    <d v="2023-04-12T15:36:18"/>
    <s v="Within SLA"/>
    <d v="2023-04-15T13:19:55"/>
    <x v="1"/>
    <d v="2023-04-17T09:41:54"/>
    <n v="7"/>
    <n v="4"/>
    <x v="0"/>
    <x v="0"/>
    <s v="United Kingdom"/>
    <n v="55.378051999999997"/>
    <n v="-3.4359730000000002"/>
    <s v="ok"/>
    <s v="ok"/>
    <s v="ok"/>
    <s v="ok"/>
    <s v="ok"/>
    <x v="0"/>
    <n v="69.728066111099906"/>
  </r>
  <r>
    <x v="2"/>
    <n v="1829"/>
    <x v="0"/>
    <x v="2"/>
    <x v="0"/>
    <s v="2nd line support"/>
    <x v="1"/>
    <x v="651"/>
    <d v="2023-04-13T23:18:18"/>
    <d v="2023-04-12T23:20:18"/>
    <d v="2023-04-12T23:22:07"/>
    <s v="SLA Violated"/>
    <d v="2023-04-15T21:38:33"/>
    <x v="1"/>
    <m/>
    <n v="6"/>
    <m/>
    <x v="2"/>
    <x v="1"/>
    <s v="Poland"/>
    <n v="52.536273000000001"/>
    <n v="19.050639"/>
    <s v="ok"/>
    <s v="ok"/>
    <s v="ok"/>
    <s v="ok"/>
    <s v="ok"/>
    <x v="0"/>
    <n v="70.337607777910307"/>
  </r>
  <r>
    <x v="0"/>
    <n v="1830"/>
    <x v="1"/>
    <x v="2"/>
    <x v="3"/>
    <s v="1st line support"/>
    <x v="2"/>
    <x v="652"/>
    <d v="2023-04-13T23:28:44"/>
    <d v="2023-04-12T23:30:44"/>
    <d v="2023-04-12T23:29:29"/>
    <s v="Within SLA"/>
    <d v="2023-04-16T14:22:48"/>
    <x v="1"/>
    <d v="2023-04-17T08:07:15"/>
    <n v="60"/>
    <n v="5"/>
    <x v="2"/>
    <x v="0"/>
    <s v="Bulgaria"/>
    <n v="42.724992499999999"/>
    <n v="25.483303899999999"/>
    <s v="ok"/>
    <s v="ok"/>
    <s v="ok"/>
    <s v="ok"/>
    <s v="ok"/>
    <x v="0"/>
    <n v="86.900979722093325"/>
  </r>
  <r>
    <x v="1"/>
    <n v="1831"/>
    <x v="2"/>
    <x v="0"/>
    <x v="0"/>
    <s v="1st line support"/>
    <x v="6"/>
    <x v="653"/>
    <d v="2023-04-14T08:21:31"/>
    <d v="2023-04-12T09:21:31"/>
    <d v="2023-04-12T08:59:03"/>
    <s v="Within SLA"/>
    <m/>
    <x v="1"/>
    <m/>
    <n v="7"/>
    <m/>
    <x v="0"/>
    <x v="0"/>
    <s v="United Kingdom"/>
    <n v="55.378051999999997"/>
    <n v="-3.4359730000000002"/>
    <s v="ok"/>
    <s v="ok"/>
    <s v="ok"/>
    <s v="ok"/>
    <s v="ok"/>
    <x v="1"/>
    <s v=""/>
  </r>
  <r>
    <x v="1"/>
    <n v="1832"/>
    <x v="2"/>
    <x v="0"/>
    <x v="0"/>
    <s v="1st line support"/>
    <x v="3"/>
    <x v="654"/>
    <d v="2023-04-14T08:29:48"/>
    <d v="2023-04-12T09:29:48"/>
    <d v="2023-04-12T09:00:23"/>
    <s v="Within SLA"/>
    <m/>
    <x v="1"/>
    <m/>
    <n v="1"/>
    <m/>
    <x v="0"/>
    <x v="0"/>
    <s v="Italy"/>
    <n v="43.036776000000003"/>
    <n v="12.678565000000001"/>
    <s v="ok"/>
    <s v="ok"/>
    <s v="ok"/>
    <s v="ok"/>
    <s v="ok"/>
    <x v="1"/>
    <s v=""/>
  </r>
  <r>
    <x v="2"/>
    <n v="1833"/>
    <x v="1"/>
    <x v="0"/>
    <x v="1"/>
    <s v="1st line support"/>
    <x v="6"/>
    <x v="655"/>
    <d v="2023-04-14T14:38:23"/>
    <d v="2023-04-12T15:38:23"/>
    <d v="2023-04-12T15:07:18"/>
    <s v="Within SLA"/>
    <d v="2023-04-14T04:45:43"/>
    <x v="0"/>
    <m/>
    <n v="1"/>
    <m/>
    <x v="1"/>
    <x v="0"/>
    <s v="Republic of Ireland"/>
    <n v="53.094023999999997"/>
    <n v="-8.0196749999999994"/>
    <s v="ok"/>
    <s v="ok"/>
    <s v="ok"/>
    <s v="ok"/>
    <s v="ok"/>
    <x v="0"/>
    <n v="38.122263333352748"/>
  </r>
  <r>
    <x v="2"/>
    <n v="1834"/>
    <x v="2"/>
    <x v="0"/>
    <x v="2"/>
    <s v="1st line support"/>
    <x v="6"/>
    <x v="656"/>
    <d v="2023-04-15T18:53:11"/>
    <d v="2023-04-13T19:53:11"/>
    <d v="2023-04-13T19:51:20"/>
    <s v="Within SLA"/>
    <d v="2023-04-14T03:27:43"/>
    <x v="0"/>
    <m/>
    <n v="1"/>
    <m/>
    <x v="2"/>
    <x v="0"/>
    <s v="United Kingdom"/>
    <n v="55.378051999999997"/>
    <n v="-3.4359730000000002"/>
    <s v="ok"/>
    <s v="ok"/>
    <s v="ok"/>
    <s v="ok"/>
    <s v="ok"/>
    <x v="0"/>
    <n v="8.5756155556300655"/>
  </r>
  <r>
    <x v="0"/>
    <n v="1835"/>
    <x v="0"/>
    <x v="1"/>
    <x v="3"/>
    <s v="1st line support"/>
    <x v="3"/>
    <x v="657"/>
    <d v="2023-04-15T19:59:15"/>
    <d v="2023-04-13T20:01:15"/>
    <d v="2023-04-13T20:01:13"/>
    <s v="Within SLA"/>
    <d v="2023-04-15T15:27:18"/>
    <x v="0"/>
    <d v="2023-04-19T10:09:16"/>
    <n v="2"/>
    <n v="5"/>
    <x v="3"/>
    <x v="0"/>
    <s v="United Kingdom"/>
    <n v="55.378051999999997"/>
    <n v="-3.4359730000000002"/>
    <s v="ok"/>
    <s v="ok"/>
    <s v="ok"/>
    <s v="ok"/>
    <s v="ok"/>
    <x v="0"/>
    <n v="43.467546666681301"/>
  </r>
  <r>
    <x v="0"/>
    <n v="1836"/>
    <x v="0"/>
    <x v="2"/>
    <x v="1"/>
    <s v="2nd line support"/>
    <x v="7"/>
    <x v="658"/>
    <d v="2023-04-14T22:21:58"/>
    <d v="2023-04-13T22:23:58"/>
    <d v="2023-04-13T22:23:11"/>
    <s v="Within SLA"/>
    <d v="2023-04-14T10:07:34"/>
    <x v="0"/>
    <d v="2023-04-20T04:09:59"/>
    <n v="5"/>
    <n v="3"/>
    <x v="2"/>
    <x v="1"/>
    <s v="Czech Republic"/>
    <n v="49.8037633"/>
    <n v="15.4749126"/>
    <s v="ok"/>
    <s v="ok"/>
    <s v="ok"/>
    <s v="ok"/>
    <s v="ok"/>
    <x v="0"/>
    <n v="11.759991666767746"/>
  </r>
  <r>
    <x v="2"/>
    <n v="1838"/>
    <x v="0"/>
    <x v="2"/>
    <x v="5"/>
    <s v="1st line support"/>
    <x v="2"/>
    <x v="659"/>
    <d v="2023-04-14T01:38:11"/>
    <d v="2023-04-13T01:40:11"/>
    <d v="2023-04-13T01:39:04"/>
    <s v="Within SLA"/>
    <d v="2023-04-13T15:40:37"/>
    <x v="0"/>
    <m/>
    <n v="6"/>
    <m/>
    <x v="0"/>
    <x v="0"/>
    <s v="Poland"/>
    <n v="52.536273000000001"/>
    <n v="19.050639"/>
    <s v="ok"/>
    <s v="ok"/>
    <s v="ok"/>
    <s v="ok"/>
    <s v="ok"/>
    <x v="0"/>
    <n v="14.040445555583574"/>
  </r>
  <r>
    <x v="0"/>
    <n v="1839"/>
    <x v="0"/>
    <x v="0"/>
    <x v="6"/>
    <s v="1st line support"/>
    <x v="6"/>
    <x v="660"/>
    <d v="2023-04-15T21:53:53"/>
    <d v="2023-04-13T22:53:53"/>
    <d v="2023-04-13T22:01:38"/>
    <s v="Within SLA"/>
    <d v="2023-04-14T11:07:41"/>
    <x v="0"/>
    <d v="2023-04-19T17:15:10"/>
    <n v="10"/>
    <n v="5"/>
    <x v="3"/>
    <x v="0"/>
    <s v="Poland"/>
    <n v="52.536273000000001"/>
    <n v="19.050639"/>
    <s v="ok"/>
    <s v="ok"/>
    <s v="ok"/>
    <s v="ok"/>
    <s v="ok"/>
    <x v="0"/>
    <n v="13.229974166548345"/>
  </r>
  <r>
    <x v="1"/>
    <n v="1840"/>
    <x v="0"/>
    <x v="2"/>
    <x v="5"/>
    <s v="1st line support"/>
    <x v="4"/>
    <x v="661"/>
    <d v="2023-04-14T00:46:33"/>
    <d v="2023-04-13T00:48:33"/>
    <d v="2023-04-13T00:47:30"/>
    <s v="Within SLA"/>
    <m/>
    <x v="1"/>
    <m/>
    <n v="6"/>
    <m/>
    <x v="0"/>
    <x v="0"/>
    <s v="United Kingdom"/>
    <n v="55.378051999999997"/>
    <n v="-3.4359730000000002"/>
    <s v="ok"/>
    <s v="ok"/>
    <s v="ok"/>
    <s v="ok"/>
    <s v="ok"/>
    <x v="1"/>
    <s v=""/>
  </r>
  <r>
    <x v="0"/>
    <n v="1841"/>
    <x v="0"/>
    <x v="0"/>
    <x v="2"/>
    <s v="1st line support"/>
    <x v="6"/>
    <x v="662"/>
    <d v="2023-04-15T03:49:42"/>
    <d v="2023-04-13T04:49:42"/>
    <d v="2023-04-13T03:51:06"/>
    <s v="Within SLA"/>
    <d v="2023-04-14T14:03:49"/>
    <x v="0"/>
    <d v="2023-04-16T09:35:22"/>
    <n v="6"/>
    <n v="5"/>
    <x v="3"/>
    <x v="0"/>
    <s v="Slovenia"/>
    <n v="46.149166399999999"/>
    <n v="14.9860106"/>
    <s v="ok"/>
    <s v="ok"/>
    <s v="ok"/>
    <s v="ok"/>
    <s v="ok"/>
    <x v="0"/>
    <n v="34.235179444542155"/>
  </r>
  <r>
    <x v="0"/>
    <n v="1842"/>
    <x v="2"/>
    <x v="2"/>
    <x v="3"/>
    <s v="1st line support"/>
    <x v="6"/>
    <x v="663"/>
    <d v="2023-04-15T10:24:24"/>
    <d v="2023-04-14T10:26:24"/>
    <d v="2023-04-14T10:25:12"/>
    <s v="Within SLA"/>
    <d v="2023-04-15T09:53:26"/>
    <x v="0"/>
    <d v="2023-04-15T10:06:11"/>
    <n v="6"/>
    <n v="3"/>
    <x v="3"/>
    <x v="0"/>
    <s v="Spain"/>
    <n v="39.673369999999998"/>
    <n v="-4.7677259999999997"/>
    <s v="ok"/>
    <s v="ok"/>
    <s v="ok"/>
    <s v="ok"/>
    <s v="ok"/>
    <x v="0"/>
    <n v="23.483948055538349"/>
  </r>
  <r>
    <x v="2"/>
    <n v="1844"/>
    <x v="0"/>
    <x v="2"/>
    <x v="0"/>
    <s v="1st line support"/>
    <x v="0"/>
    <x v="664"/>
    <d v="2023-04-15T01:08:18"/>
    <d v="2023-04-14T01:10:18"/>
    <d v="2023-04-14T01:08:36"/>
    <s v="Within SLA"/>
    <d v="2023-04-16T12:44:38"/>
    <x v="1"/>
    <m/>
    <n v="3"/>
    <m/>
    <x v="0"/>
    <x v="0"/>
    <s v="Greece"/>
    <n v="39.368279000000001"/>
    <n v="21.863140999999999"/>
    <s v="ok"/>
    <s v="ok"/>
    <s v="ok"/>
    <s v="ok"/>
    <s v="ok"/>
    <x v="0"/>
    <n v="59.605514166760258"/>
  </r>
  <r>
    <x v="0"/>
    <n v="1845"/>
    <x v="2"/>
    <x v="2"/>
    <x v="5"/>
    <s v="1st line support"/>
    <x v="0"/>
    <x v="665"/>
    <d v="2023-04-15T13:04:45"/>
    <d v="2023-04-14T13:06:45"/>
    <d v="2023-04-14T13:10:27"/>
    <s v="SLA Violated"/>
    <d v="2023-04-14T15:01:36"/>
    <x v="0"/>
    <d v="2023-04-18T01:11:26"/>
    <n v="60"/>
    <n v="5"/>
    <x v="2"/>
    <x v="0"/>
    <s v="Germany"/>
    <n v="51.165691000000002"/>
    <n v="10.451525999999999"/>
    <s v="ok"/>
    <s v="ok"/>
    <s v="ok"/>
    <s v="ok"/>
    <s v="ok"/>
    <x v="0"/>
    <n v="1.9475616667186841"/>
  </r>
  <r>
    <x v="0"/>
    <n v="1846"/>
    <x v="2"/>
    <x v="0"/>
    <x v="2"/>
    <s v="2nd line support"/>
    <x v="5"/>
    <x v="666"/>
    <d v="2023-04-17T19:19:28"/>
    <d v="2023-04-15T20:19:28"/>
    <d v="2023-04-15T19:25:53"/>
    <s v="Within SLA"/>
    <d v="2023-04-16T09:26:26"/>
    <x v="0"/>
    <d v="2023-04-16T13:58:36"/>
    <n v="5"/>
    <n v="4"/>
    <x v="2"/>
    <x v="1"/>
    <s v="Bulgaria"/>
    <n v="42.724992499999999"/>
    <n v="25.483303899999999"/>
    <s v="ok"/>
    <s v="ok"/>
    <s v="ok"/>
    <s v="ok"/>
    <s v="ok"/>
    <x v="0"/>
    <n v="14.116128055611625"/>
  </r>
  <r>
    <x v="0"/>
    <n v="1847"/>
    <x v="2"/>
    <x v="0"/>
    <x v="0"/>
    <s v="2nd line support"/>
    <x v="1"/>
    <x v="667"/>
    <d v="2023-04-17T19:16:48"/>
    <d v="2023-04-15T20:16:48"/>
    <d v="2023-04-15T19:58:48"/>
    <s v="Within SLA"/>
    <d v="2023-04-17T13:55:14"/>
    <x v="0"/>
    <d v="2023-04-20T13:10:27"/>
    <n v="1"/>
    <n v="1"/>
    <x v="2"/>
    <x v="1"/>
    <s v="Italy"/>
    <n v="43.036776000000003"/>
    <n v="12.678565000000001"/>
    <s v="ok"/>
    <s v="ok"/>
    <s v="ok"/>
    <s v="ok"/>
    <s v="ok"/>
    <x v="0"/>
    <n v="42.640603611012921"/>
  </r>
  <r>
    <x v="1"/>
    <n v="1849"/>
    <x v="1"/>
    <x v="2"/>
    <x v="3"/>
    <s v="1st line support"/>
    <x v="3"/>
    <x v="668"/>
    <d v="2023-04-16T14:20:11"/>
    <d v="2023-04-15T14:22:11"/>
    <d v="2023-04-15T14:23:25"/>
    <s v="SLA Violated"/>
    <m/>
    <x v="1"/>
    <m/>
    <n v="4"/>
    <m/>
    <x v="0"/>
    <x v="0"/>
    <s v="Italy"/>
    <n v="43.036776000000003"/>
    <n v="12.678565000000001"/>
    <s v="ok"/>
    <s v="ok"/>
    <s v="ok"/>
    <s v="ok"/>
    <s v="ok"/>
    <x v="1"/>
    <s v=""/>
  </r>
  <r>
    <x v="2"/>
    <n v="1858"/>
    <x v="0"/>
    <x v="2"/>
    <x v="2"/>
    <s v="1st line support"/>
    <x v="2"/>
    <x v="669"/>
    <d v="2023-04-17T08:24:34"/>
    <d v="2023-04-16T08:26:34"/>
    <d v="2023-04-16T08:25:45"/>
    <s v="Within SLA"/>
    <d v="2023-04-16T11:39:02"/>
    <x v="0"/>
    <m/>
    <n v="9"/>
    <m/>
    <x v="2"/>
    <x v="0"/>
    <s v="Italy"/>
    <n v="43.036776000000003"/>
    <n v="12.678565000000001"/>
    <s v="ok"/>
    <s v="ok"/>
    <s v="ok"/>
    <s v="ok"/>
    <s v="ok"/>
    <x v="0"/>
    <n v="3.2411511110840365"/>
  </r>
  <r>
    <x v="1"/>
    <n v="1859"/>
    <x v="1"/>
    <x v="2"/>
    <x v="4"/>
    <s v="1st line support"/>
    <x v="6"/>
    <x v="670"/>
    <d v="2023-04-17T21:38:28"/>
    <d v="2023-04-16T21:40:28"/>
    <d v="2023-04-16T21:40:14"/>
    <s v="Within SLA"/>
    <m/>
    <x v="1"/>
    <m/>
    <n v="3"/>
    <m/>
    <x v="0"/>
    <x v="0"/>
    <s v="Bulgaria"/>
    <n v="42.724992499999999"/>
    <n v="25.483303899999999"/>
    <s v="ok"/>
    <s v="ok"/>
    <s v="ok"/>
    <s v="ok"/>
    <s v="ok"/>
    <x v="1"/>
    <s v=""/>
  </r>
  <r>
    <x v="2"/>
    <n v="1860"/>
    <x v="2"/>
    <x v="0"/>
    <x v="5"/>
    <s v="1st line support"/>
    <x v="6"/>
    <x v="671"/>
    <d v="2023-04-18T08:37:24"/>
    <d v="2023-04-16T09:37:24"/>
    <d v="2023-04-16T09:12:13"/>
    <s v="Within SLA"/>
    <d v="2023-04-18T14:42:58"/>
    <x v="1"/>
    <m/>
    <n v="1"/>
    <m/>
    <x v="0"/>
    <x v="0"/>
    <s v="Germany"/>
    <n v="51.165691000000002"/>
    <n v="10.451525999999999"/>
    <s v="ok"/>
    <s v="ok"/>
    <s v="ok"/>
    <s v="ok"/>
    <s v="ok"/>
    <x v="0"/>
    <n v="54.092700555513147"/>
  </r>
  <r>
    <x v="2"/>
    <n v="1861"/>
    <x v="2"/>
    <x v="0"/>
    <x v="1"/>
    <s v="1st line support"/>
    <x v="2"/>
    <x v="672"/>
    <d v="2023-04-18T08:28:16"/>
    <d v="2023-04-16T09:28:16"/>
    <d v="2023-04-16T12:58:07"/>
    <s v="SLA Violated"/>
    <d v="2023-04-16T08:51:37"/>
    <x v="0"/>
    <m/>
    <n v="4"/>
    <m/>
    <x v="3"/>
    <x v="0"/>
    <s v="Czech Republic"/>
    <n v="49.8037633"/>
    <n v="15.4749126"/>
    <s v="ok"/>
    <s v="ok"/>
    <s v="ok"/>
    <s v="ok"/>
    <s v="ok"/>
    <x v="0"/>
    <n v="0.38914583326550201"/>
  </r>
  <r>
    <x v="2"/>
    <n v="1862"/>
    <x v="2"/>
    <x v="2"/>
    <x v="2"/>
    <s v="2nd line support"/>
    <x v="1"/>
    <x v="673"/>
    <d v="2023-04-17T22:55:36"/>
    <d v="2023-04-16T22:57:36"/>
    <d v="2023-04-16T22:56:49"/>
    <s v="Within SLA"/>
    <d v="2023-04-17T08:29:34"/>
    <x v="0"/>
    <m/>
    <n v="4"/>
    <m/>
    <x v="3"/>
    <x v="1"/>
    <s v="Germany"/>
    <n v="51.165691000000002"/>
    <n v="10.451525999999999"/>
    <s v="ok"/>
    <s v="ok"/>
    <s v="ok"/>
    <s v="ok"/>
    <s v="ok"/>
    <x v="0"/>
    <n v="9.566001666651573"/>
  </r>
  <r>
    <x v="0"/>
    <n v="1863"/>
    <x v="1"/>
    <x v="0"/>
    <x v="2"/>
    <s v="2nd line support"/>
    <x v="1"/>
    <x v="674"/>
    <d v="2023-04-19T15:18:43"/>
    <d v="2023-04-17T16:18:43"/>
    <d v="2023-04-17T15:45:07"/>
    <s v="Within SLA"/>
    <d v="2023-04-19T11:13:22"/>
    <x v="0"/>
    <d v="2023-04-23T12:00:06"/>
    <n v="1"/>
    <n v="3"/>
    <x v="1"/>
    <x v="1"/>
    <s v="Italy"/>
    <n v="43.036776000000003"/>
    <n v="12.678565000000001"/>
    <s v="ok"/>
    <s v="ok"/>
    <s v="ok"/>
    <s v="ok"/>
    <s v="ok"/>
    <x v="0"/>
    <n v="43.910832500027027"/>
  </r>
  <r>
    <x v="0"/>
    <n v="1864"/>
    <x v="2"/>
    <x v="0"/>
    <x v="0"/>
    <s v="1st line support"/>
    <x v="2"/>
    <x v="675"/>
    <d v="2023-04-19T16:20:30"/>
    <d v="2023-04-17T17:20:30"/>
    <d v="2023-04-17T17:14:29"/>
    <s v="Within SLA"/>
    <d v="2023-04-17T20:16:38"/>
    <x v="0"/>
    <d v="2023-04-24T09:26:46"/>
    <n v="2"/>
    <n v="4"/>
    <x v="0"/>
    <x v="0"/>
    <s v="Germany"/>
    <n v="51.165691000000002"/>
    <n v="10.451525999999999"/>
    <s v="ok"/>
    <s v="ok"/>
    <s v="ok"/>
    <s v="ok"/>
    <s v="ok"/>
    <x v="0"/>
    <n v="3.9356902777799405"/>
  </r>
  <r>
    <x v="0"/>
    <n v="1865"/>
    <x v="0"/>
    <x v="2"/>
    <x v="0"/>
    <s v="2nd line support"/>
    <x v="1"/>
    <x v="676"/>
    <d v="2023-04-18T12:14:44"/>
    <d v="2023-04-17T12:16:44"/>
    <d v="2023-04-17T12:16:25"/>
    <s v="Within SLA"/>
    <d v="2023-04-17T17:46:35"/>
    <x v="0"/>
    <d v="2023-04-22T19:46:28"/>
    <n v="4"/>
    <n v="4"/>
    <x v="0"/>
    <x v="1"/>
    <s v="United Kingdom"/>
    <n v="55.378051999999997"/>
    <n v="-3.4359730000000002"/>
    <s v="ok"/>
    <s v="ok"/>
    <s v="ok"/>
    <s v="ok"/>
    <s v="ok"/>
    <x v="0"/>
    <n v="5.5307124999817461"/>
  </r>
  <r>
    <x v="1"/>
    <n v="1866"/>
    <x v="2"/>
    <x v="0"/>
    <x v="2"/>
    <s v="1st line support"/>
    <x v="3"/>
    <x v="677"/>
    <d v="2023-04-19T19:02:22"/>
    <d v="2023-04-17T20:02:22"/>
    <d v="2023-04-18T01:19:46"/>
    <s v="SLA Violated"/>
    <m/>
    <x v="1"/>
    <m/>
    <n v="7"/>
    <m/>
    <x v="0"/>
    <x v="0"/>
    <s v="Slovenia"/>
    <n v="46.149166399999999"/>
    <n v="14.9860106"/>
    <s v="ok"/>
    <s v="ok"/>
    <s v="ok"/>
    <s v="ok"/>
    <s v="ok"/>
    <x v="1"/>
    <s v=""/>
  </r>
  <r>
    <x v="0"/>
    <n v="1867"/>
    <x v="2"/>
    <x v="2"/>
    <x v="1"/>
    <s v="1st line support"/>
    <x v="0"/>
    <x v="678"/>
    <d v="2023-04-18T15:48:18"/>
    <d v="2023-04-17T15:50:18"/>
    <d v="2023-04-17T15:48:45"/>
    <s v="Within SLA"/>
    <d v="2023-04-18T11:31:10"/>
    <x v="0"/>
    <d v="2023-04-21T01:58:28"/>
    <n v="4"/>
    <n v="1"/>
    <x v="2"/>
    <x v="0"/>
    <s v="Poland"/>
    <n v="52.536273000000001"/>
    <n v="19.050639"/>
    <s v="ok"/>
    <s v="ok"/>
    <s v="ok"/>
    <s v="ok"/>
    <s v="ok"/>
    <x v="0"/>
    <n v="19.714335833326913"/>
  </r>
  <r>
    <x v="2"/>
    <n v="1868"/>
    <x v="0"/>
    <x v="1"/>
    <x v="3"/>
    <s v="1st line support"/>
    <x v="2"/>
    <x v="679"/>
    <d v="2023-04-19T13:01:40"/>
    <d v="2023-04-17T13:03:40"/>
    <d v="2023-04-17T13:01:47"/>
    <s v="Within SLA"/>
    <d v="2023-04-22T06:28:14"/>
    <x v="1"/>
    <m/>
    <n v="2"/>
    <m/>
    <x v="0"/>
    <x v="0"/>
    <s v="Austria"/>
    <n v="47.696471899999999"/>
    <n v="13.3457347"/>
    <s v="ok"/>
    <s v="ok"/>
    <s v="ok"/>
    <s v="ok"/>
    <s v="ok"/>
    <x v="0"/>
    <n v="113.44284027779941"/>
  </r>
  <r>
    <x v="2"/>
    <n v="1869"/>
    <x v="2"/>
    <x v="0"/>
    <x v="2"/>
    <s v="1st line support"/>
    <x v="3"/>
    <x v="680"/>
    <d v="2023-04-19T04:59:54"/>
    <d v="2023-04-17T05:59:54"/>
    <d v="2023-04-17T05:06:25"/>
    <s v="Within SLA"/>
    <d v="2023-04-18T18:14:34"/>
    <x v="0"/>
    <m/>
    <n v="2"/>
    <m/>
    <x v="0"/>
    <x v="0"/>
    <s v="Poland"/>
    <n v="52.536273000000001"/>
    <n v="19.050639"/>
    <s v="ok"/>
    <s v="ok"/>
    <s v="ok"/>
    <s v="ok"/>
    <s v="ok"/>
    <x v="0"/>
    <n v="37.244470277801156"/>
  </r>
  <r>
    <x v="0"/>
    <n v="1870"/>
    <x v="1"/>
    <x v="0"/>
    <x v="1"/>
    <s v="1st line support"/>
    <x v="0"/>
    <x v="681"/>
    <d v="2023-04-20T21:47:02"/>
    <d v="2023-04-18T22:47:02"/>
    <d v="2023-04-18T21:51:37"/>
    <s v="Within SLA"/>
    <d v="2023-04-19T08:04:05"/>
    <x v="0"/>
    <d v="2023-04-20T18:48:35"/>
    <n v="8"/>
    <n v="5"/>
    <x v="2"/>
    <x v="0"/>
    <s v="Italy"/>
    <n v="43.036776000000003"/>
    <n v="12.678565000000001"/>
    <s v="ok"/>
    <s v="ok"/>
    <s v="ok"/>
    <s v="ok"/>
    <s v="ok"/>
    <x v="0"/>
    <n v="10.284227777738124"/>
  </r>
  <r>
    <x v="0"/>
    <n v="1871"/>
    <x v="0"/>
    <x v="0"/>
    <x v="6"/>
    <s v="1st line support"/>
    <x v="6"/>
    <x v="682"/>
    <d v="2023-04-20T17:48:33"/>
    <d v="2023-04-18T18:48:33"/>
    <d v="2023-04-18T18:19:59"/>
    <s v="Within SLA"/>
    <d v="2023-04-19T06:10:27"/>
    <x v="0"/>
    <d v="2023-04-23T15:41:16"/>
    <n v="1"/>
    <n v="1"/>
    <x v="3"/>
    <x v="0"/>
    <s v="Slovenia"/>
    <n v="46.149166399999999"/>
    <n v="14.9860106"/>
    <s v="ok"/>
    <s v="ok"/>
    <s v="ok"/>
    <s v="ok"/>
    <s v="ok"/>
    <x v="0"/>
    <n v="12.365136944514234"/>
  </r>
  <r>
    <x v="0"/>
    <n v="1872"/>
    <x v="1"/>
    <x v="0"/>
    <x v="1"/>
    <s v="2nd line support"/>
    <x v="5"/>
    <x v="683"/>
    <d v="2023-04-20T13:56:21"/>
    <d v="2023-04-18T14:56:21"/>
    <d v="2023-04-18T14:25:42"/>
    <s v="Within SLA"/>
    <d v="2023-04-19T02:06:18"/>
    <x v="0"/>
    <d v="2023-04-20T14:58:11"/>
    <n v="3"/>
    <n v="5"/>
    <x v="2"/>
    <x v="1"/>
    <s v="Slovenia"/>
    <n v="46.149166399999999"/>
    <n v="14.9860106"/>
    <s v="ok"/>
    <s v="ok"/>
    <s v="ok"/>
    <s v="ok"/>
    <s v="ok"/>
    <x v="0"/>
    <n v="12.165874722297303"/>
  </r>
  <r>
    <x v="0"/>
    <n v="1873"/>
    <x v="0"/>
    <x v="1"/>
    <x v="0"/>
    <s v="1st line support"/>
    <x v="0"/>
    <x v="684"/>
    <d v="2023-04-20T16:22:40"/>
    <d v="2023-04-18T16:24:40"/>
    <d v="2023-04-18T16:23:06"/>
    <s v="Within SLA"/>
    <d v="2023-04-19T09:22:56"/>
    <x v="0"/>
    <d v="2023-04-19T04:02:03"/>
    <n v="5"/>
    <n v="1"/>
    <x v="0"/>
    <x v="0"/>
    <s v="Poland"/>
    <n v="52.536273000000001"/>
    <n v="19.050639"/>
    <s v="ok"/>
    <s v="ok"/>
    <s v="check"/>
    <s v="ok"/>
    <s v="ok"/>
    <x v="0"/>
    <n v="17.004395555472001"/>
  </r>
  <r>
    <x v="1"/>
    <n v="1874"/>
    <x v="0"/>
    <x v="0"/>
    <x v="4"/>
    <s v="2nd line support"/>
    <x v="5"/>
    <x v="685"/>
    <d v="2023-04-20T08:58:20"/>
    <d v="2023-04-18T09:58:20"/>
    <d v="2023-04-18T09:04:17"/>
    <s v="Within SLA"/>
    <m/>
    <x v="1"/>
    <m/>
    <n v="10"/>
    <m/>
    <x v="2"/>
    <x v="1"/>
    <s v="Italy"/>
    <n v="43.036776000000003"/>
    <n v="12.678565000000001"/>
    <s v="ok"/>
    <s v="ok"/>
    <s v="ok"/>
    <s v="ok"/>
    <s v="ok"/>
    <x v="1"/>
    <s v=""/>
  </r>
  <r>
    <x v="2"/>
    <n v="1875"/>
    <x v="2"/>
    <x v="2"/>
    <x v="3"/>
    <s v="2nd line support"/>
    <x v="1"/>
    <x v="686"/>
    <d v="2023-04-19T12:00:17"/>
    <d v="2023-04-18T12:02:17"/>
    <d v="2023-04-18T12:02:08"/>
    <s v="Within SLA"/>
    <d v="2023-04-18T17:27:13"/>
    <x v="0"/>
    <m/>
    <n v="3"/>
    <m/>
    <x v="2"/>
    <x v="1"/>
    <s v="Germany"/>
    <n v="51.165691000000002"/>
    <n v="10.451525999999999"/>
    <s v="ok"/>
    <s v="ok"/>
    <s v="ok"/>
    <s v="ok"/>
    <s v="ok"/>
    <x v="0"/>
    <n v="5.4488111109822057"/>
  </r>
  <r>
    <x v="0"/>
    <n v="1876"/>
    <x v="0"/>
    <x v="0"/>
    <x v="0"/>
    <s v="1st line support"/>
    <x v="0"/>
    <x v="687"/>
    <d v="2023-04-20T18:29:18"/>
    <d v="2023-04-18T19:29:18"/>
    <d v="2023-04-18T18:48:22"/>
    <s v="Within SLA"/>
    <d v="2023-04-19T10:02:21"/>
    <x v="0"/>
    <d v="2023-04-24T00:05:30"/>
    <n v="6"/>
    <n v="4"/>
    <x v="2"/>
    <x v="0"/>
    <s v="Poland"/>
    <n v="52.536273000000001"/>
    <n v="19.050639"/>
    <s v="ok"/>
    <s v="ok"/>
    <s v="ok"/>
    <s v="ok"/>
    <s v="ok"/>
    <x v="0"/>
    <n v="15.550786111154594"/>
  </r>
  <r>
    <x v="2"/>
    <n v="1877"/>
    <x v="2"/>
    <x v="0"/>
    <x v="1"/>
    <s v="1st line support"/>
    <x v="0"/>
    <x v="688"/>
    <d v="2023-04-20T17:37:19"/>
    <d v="2023-04-18T18:37:19"/>
    <d v="2023-04-18T17:41:28"/>
    <s v="Within SLA"/>
    <d v="2023-04-20T13:23:08"/>
    <x v="0"/>
    <m/>
    <n v="5"/>
    <m/>
    <x v="1"/>
    <x v="0"/>
    <s v="Germany"/>
    <n v="51.165691000000002"/>
    <n v="10.451525999999999"/>
    <s v="ok"/>
    <s v="ok"/>
    <s v="ok"/>
    <s v="ok"/>
    <s v="ok"/>
    <x v="0"/>
    <n v="43.763571111077908"/>
  </r>
  <r>
    <x v="0"/>
    <n v="1878"/>
    <x v="0"/>
    <x v="0"/>
    <x v="1"/>
    <s v="1st line support"/>
    <x v="2"/>
    <x v="689"/>
    <d v="2023-04-20T12:51:38"/>
    <d v="2023-04-18T13:51:38"/>
    <d v="2023-04-18T13:00:29"/>
    <s v="Within SLA"/>
    <d v="2023-04-20T02:33:19"/>
    <x v="0"/>
    <d v="2023-04-19T03:52:51"/>
    <n v="7"/>
    <n v="4"/>
    <x v="2"/>
    <x v="0"/>
    <s v="Austria"/>
    <n v="47.696471899999999"/>
    <n v="13.3457347"/>
    <s v="ok"/>
    <s v="ok"/>
    <s v="check"/>
    <s v="ok"/>
    <s v="ok"/>
    <x v="0"/>
    <n v="37.694706388923805"/>
  </r>
  <r>
    <x v="1"/>
    <n v="1879"/>
    <x v="0"/>
    <x v="0"/>
    <x v="2"/>
    <s v="1st line support"/>
    <x v="4"/>
    <x v="690"/>
    <d v="2023-04-20T22:00:04"/>
    <d v="2023-04-18T23:00:04"/>
    <d v="2023-04-18T22:02:30"/>
    <s v="Within SLA"/>
    <m/>
    <x v="1"/>
    <m/>
    <n v="3"/>
    <m/>
    <x v="2"/>
    <x v="0"/>
    <s v="Italy"/>
    <n v="43.036776000000003"/>
    <n v="12.678565000000001"/>
    <s v="ok"/>
    <s v="ok"/>
    <s v="ok"/>
    <s v="ok"/>
    <s v="ok"/>
    <x v="1"/>
    <s v=""/>
  </r>
  <r>
    <x v="2"/>
    <n v="1880"/>
    <x v="0"/>
    <x v="0"/>
    <x v="5"/>
    <s v="1st line support"/>
    <x v="0"/>
    <x v="691"/>
    <d v="2023-04-21T13:44:33"/>
    <d v="2023-04-19T14:44:33"/>
    <d v="2023-04-19T14:41:13"/>
    <s v="Within SLA"/>
    <d v="2023-04-20T15:08:43"/>
    <x v="0"/>
    <m/>
    <n v="1"/>
    <m/>
    <x v="0"/>
    <x v="0"/>
    <s v="Germany"/>
    <n v="51.165691000000002"/>
    <n v="10.451525999999999"/>
    <s v="ok"/>
    <s v="ok"/>
    <s v="ok"/>
    <s v="ok"/>
    <s v="ok"/>
    <x v="0"/>
    <n v="25.402640555694234"/>
  </r>
  <r>
    <x v="2"/>
    <n v="1881"/>
    <x v="1"/>
    <x v="2"/>
    <x v="2"/>
    <s v="1st line support"/>
    <x v="2"/>
    <x v="692"/>
    <d v="2023-04-20T22:56:27"/>
    <d v="2023-04-19T22:58:27"/>
    <d v="2023-04-19T22:58:22"/>
    <s v="Within SLA"/>
    <d v="2023-04-20T22:01:24"/>
    <x v="0"/>
    <m/>
    <n v="6"/>
    <m/>
    <x v="2"/>
    <x v="0"/>
    <s v="Italy"/>
    <n v="43.036776000000003"/>
    <n v="12.678565000000001"/>
    <s v="ok"/>
    <s v="ok"/>
    <s v="ok"/>
    <s v="ok"/>
    <s v="ok"/>
    <x v="0"/>
    <n v="23.082535277819261"/>
  </r>
  <r>
    <x v="2"/>
    <n v="1882"/>
    <x v="2"/>
    <x v="2"/>
    <x v="0"/>
    <s v="1st line support"/>
    <x v="4"/>
    <x v="693"/>
    <d v="2023-04-20T02:54:38"/>
    <d v="2023-04-19T02:56:38"/>
    <d v="2023-04-19T02:59:46"/>
    <s v="SLA Violated"/>
    <d v="2023-04-22T03:55:56"/>
    <x v="1"/>
    <m/>
    <n v="4"/>
    <m/>
    <x v="2"/>
    <x v="0"/>
    <s v="United Kingdom"/>
    <n v="55.378051999999997"/>
    <n v="-3.4359730000000002"/>
    <s v="ok"/>
    <s v="ok"/>
    <s v="ok"/>
    <s v="ok"/>
    <s v="ok"/>
    <x v="0"/>
    <n v="73.021801111113746"/>
  </r>
  <r>
    <x v="1"/>
    <n v="1883"/>
    <x v="0"/>
    <x v="2"/>
    <x v="0"/>
    <s v="1st line support"/>
    <x v="3"/>
    <x v="694"/>
    <d v="2023-04-20T15:12:56"/>
    <d v="2023-04-19T15:14:56"/>
    <d v="2023-04-19T15:14:04"/>
    <s v="Within SLA"/>
    <m/>
    <x v="1"/>
    <m/>
    <n v="4"/>
    <m/>
    <x v="0"/>
    <x v="0"/>
    <s v="Slovenia"/>
    <n v="46.149166399999999"/>
    <n v="14.9860106"/>
    <s v="ok"/>
    <s v="ok"/>
    <s v="ok"/>
    <s v="ok"/>
    <s v="ok"/>
    <x v="1"/>
    <s v=""/>
  </r>
  <r>
    <x v="0"/>
    <n v="1884"/>
    <x v="1"/>
    <x v="0"/>
    <x v="5"/>
    <s v="2nd line support"/>
    <x v="7"/>
    <x v="695"/>
    <d v="2023-04-21T13:35:20"/>
    <d v="2023-04-19T14:35:20"/>
    <d v="2023-04-19T20:51:45"/>
    <s v="SLA Violated"/>
    <d v="2023-04-19T16:33:09"/>
    <x v="0"/>
    <d v="2023-04-24T01:51:50"/>
    <n v="5"/>
    <n v="3"/>
    <x v="0"/>
    <x v="1"/>
    <s v="Spain"/>
    <n v="39.673369999999998"/>
    <n v="-4.7677259999999997"/>
    <s v="ok"/>
    <s v="ok"/>
    <s v="ok"/>
    <s v="ok"/>
    <s v="ok"/>
    <x v="0"/>
    <n v="2.9635827777092345"/>
  </r>
  <r>
    <x v="0"/>
    <n v="1885"/>
    <x v="2"/>
    <x v="1"/>
    <x v="4"/>
    <s v="1st line support"/>
    <x v="4"/>
    <x v="696"/>
    <d v="2023-04-21T00:38:17"/>
    <d v="2023-04-19T00:40:17"/>
    <d v="2023-04-19T00:40:54"/>
    <s v="SLA Violated"/>
    <d v="2023-04-20T13:31:09"/>
    <x v="0"/>
    <d v="2023-04-22T22:31:36"/>
    <n v="5"/>
    <n v="3"/>
    <x v="2"/>
    <x v="0"/>
    <s v="Italy"/>
    <n v="43.036776000000003"/>
    <n v="12.678565000000001"/>
    <s v="ok"/>
    <s v="ok"/>
    <s v="ok"/>
    <s v="ok"/>
    <s v="ok"/>
    <x v="0"/>
    <n v="36.881213888875209"/>
  </r>
  <r>
    <x v="2"/>
    <n v="1886"/>
    <x v="0"/>
    <x v="2"/>
    <x v="5"/>
    <s v="2nd line support"/>
    <x v="5"/>
    <x v="697"/>
    <d v="2023-04-20T05:03:07"/>
    <d v="2023-04-19T05:05:07"/>
    <d v="2023-04-19T05:04:45"/>
    <s v="Within SLA"/>
    <d v="2023-04-20T00:54:55"/>
    <x v="0"/>
    <m/>
    <n v="6"/>
    <m/>
    <x v="2"/>
    <x v="1"/>
    <s v="France"/>
    <n v="48.864716000000001"/>
    <n v="2.3490139999999999"/>
    <s v="ok"/>
    <s v="ok"/>
    <s v="ok"/>
    <s v="ok"/>
    <s v="ok"/>
    <x v="0"/>
    <n v="19.863370277860668"/>
  </r>
  <r>
    <x v="0"/>
    <n v="1887"/>
    <x v="0"/>
    <x v="2"/>
    <x v="3"/>
    <s v="1st line support"/>
    <x v="4"/>
    <x v="698"/>
    <d v="2023-04-20T05:08:23"/>
    <d v="2023-04-19T05:10:23"/>
    <d v="2023-04-19T05:09:57"/>
    <s v="Within SLA"/>
    <d v="2023-04-21T12:57:07"/>
    <x v="1"/>
    <d v="2023-04-23T09:56:23"/>
    <n v="6"/>
    <n v="2"/>
    <x v="0"/>
    <x v="0"/>
    <s v="Germany"/>
    <n v="51.165691000000002"/>
    <n v="10.451525999999999"/>
    <s v="ok"/>
    <s v="ok"/>
    <s v="ok"/>
    <s v="ok"/>
    <s v="ok"/>
    <x v="0"/>
    <n v="55.812131944403518"/>
  </r>
  <r>
    <x v="1"/>
    <n v="1888"/>
    <x v="0"/>
    <x v="0"/>
    <x v="2"/>
    <s v="1st line support"/>
    <x v="4"/>
    <x v="699"/>
    <d v="2023-04-22T05:20:43"/>
    <d v="2023-04-20T06:20:43"/>
    <d v="2023-04-20T06:12:18"/>
    <s v="Within SLA"/>
    <m/>
    <x v="1"/>
    <m/>
    <n v="7"/>
    <m/>
    <x v="2"/>
    <x v="0"/>
    <s v="Poland"/>
    <n v="52.536273000000001"/>
    <n v="19.050639"/>
    <s v="ok"/>
    <s v="ok"/>
    <s v="ok"/>
    <s v="ok"/>
    <s v="ok"/>
    <x v="1"/>
    <s v=""/>
  </r>
  <r>
    <x v="0"/>
    <n v="1889"/>
    <x v="0"/>
    <x v="0"/>
    <x v="3"/>
    <s v="1st line support"/>
    <x v="6"/>
    <x v="700"/>
    <d v="2023-04-22T03:15:00"/>
    <d v="2023-04-20T04:15:00"/>
    <d v="2023-04-20T04:02:37"/>
    <s v="Within SLA"/>
    <d v="2023-04-21T03:15:13"/>
    <x v="0"/>
    <d v="2023-04-24T13:20:30"/>
    <n v="7"/>
    <n v="1"/>
    <x v="0"/>
    <x v="0"/>
    <s v="Italy"/>
    <n v="43.036776000000003"/>
    <n v="12.678565000000001"/>
    <s v="ok"/>
    <s v="ok"/>
    <s v="ok"/>
    <s v="ok"/>
    <s v="ok"/>
    <x v="0"/>
    <n v="24.003494166769087"/>
  </r>
  <r>
    <x v="2"/>
    <n v="1890"/>
    <x v="1"/>
    <x v="0"/>
    <x v="2"/>
    <s v="1st line support"/>
    <x v="3"/>
    <x v="701"/>
    <d v="2023-04-22T02:50:32"/>
    <d v="2023-04-20T03:50:32"/>
    <d v="2023-04-20T02:54:32"/>
    <s v="Within SLA"/>
    <d v="2023-04-21T03:23:23"/>
    <x v="0"/>
    <m/>
    <n v="7"/>
    <m/>
    <x v="2"/>
    <x v="0"/>
    <s v="Greece"/>
    <n v="39.368279000000001"/>
    <n v="21.863140999999999"/>
    <s v="ok"/>
    <s v="ok"/>
    <s v="ok"/>
    <s v="ok"/>
    <s v="ok"/>
    <x v="0"/>
    <n v="24.547459722321946"/>
  </r>
  <r>
    <x v="2"/>
    <n v="1891"/>
    <x v="0"/>
    <x v="0"/>
    <x v="3"/>
    <s v="1st line support"/>
    <x v="2"/>
    <x v="702"/>
    <d v="2023-04-22T04:04:48"/>
    <d v="2023-04-20T05:04:48"/>
    <d v="2023-04-20T04:17:18"/>
    <s v="Within SLA"/>
    <d v="2023-04-21T06:25:31"/>
    <x v="0"/>
    <m/>
    <n v="4"/>
    <m/>
    <x v="1"/>
    <x v="0"/>
    <s v="Germany"/>
    <n v="51.165691000000002"/>
    <n v="10.451525999999999"/>
    <s v="ok"/>
    <s v="ok"/>
    <s v="ok"/>
    <s v="ok"/>
    <s v="ok"/>
    <x v="0"/>
    <n v="26.345366666733753"/>
  </r>
  <r>
    <x v="2"/>
    <n v="1892"/>
    <x v="0"/>
    <x v="0"/>
    <x v="4"/>
    <s v="1st line support"/>
    <x v="4"/>
    <x v="703"/>
    <d v="2023-04-22T10:08:09"/>
    <d v="2023-04-20T11:08:09"/>
    <d v="2023-04-20T10:24:13"/>
    <s v="Within SLA"/>
    <d v="2023-04-20T19:51:38"/>
    <x v="0"/>
    <m/>
    <n v="8"/>
    <m/>
    <x v="0"/>
    <x v="0"/>
    <s v="Republic of Ireland"/>
    <n v="53.094023999999997"/>
    <n v="-8.0196749999999994"/>
    <s v="ok"/>
    <s v="ok"/>
    <s v="ok"/>
    <s v="ok"/>
    <s v="ok"/>
    <x v="0"/>
    <n v="9.7247233333764598"/>
  </r>
  <r>
    <x v="0"/>
    <n v="1893"/>
    <x v="0"/>
    <x v="1"/>
    <x v="0"/>
    <s v="1st line support"/>
    <x v="4"/>
    <x v="704"/>
    <d v="2023-04-22T08:25:00"/>
    <d v="2023-04-20T08:27:00"/>
    <d v="2023-04-20T08:26:23"/>
    <s v="Within SLA"/>
    <d v="2023-04-21T04:14:41"/>
    <x v="0"/>
    <d v="2023-04-24T10:46:10"/>
    <n v="4"/>
    <n v="4"/>
    <x v="2"/>
    <x v="0"/>
    <s v="Slovenia"/>
    <n v="46.149166399999999"/>
    <n v="14.9860106"/>
    <s v="ok"/>
    <s v="ok"/>
    <s v="ok"/>
    <s v="ok"/>
    <s v="ok"/>
    <x v="0"/>
    <n v="19.827919722127263"/>
  </r>
  <r>
    <x v="2"/>
    <n v="1894"/>
    <x v="2"/>
    <x v="2"/>
    <x v="0"/>
    <s v="1st line support"/>
    <x v="6"/>
    <x v="705"/>
    <d v="2023-04-21T23:58:35"/>
    <d v="2023-04-21T00:00:35"/>
    <d v="2023-04-20T23:58:38"/>
    <s v="Within SLA"/>
    <d v="2023-04-25T04:53:55"/>
    <x v="1"/>
    <m/>
    <n v="6"/>
    <m/>
    <x v="1"/>
    <x v="0"/>
    <s v="Germany"/>
    <n v="51.165691000000002"/>
    <n v="10.451525999999999"/>
    <s v="ok"/>
    <s v="ok"/>
    <s v="ok"/>
    <s v="ok"/>
    <s v="ok"/>
    <x v="0"/>
    <n v="100.92214222223265"/>
  </r>
  <r>
    <x v="0"/>
    <n v="1895"/>
    <x v="0"/>
    <x v="0"/>
    <x v="1"/>
    <s v="1st line support"/>
    <x v="3"/>
    <x v="706"/>
    <d v="2023-04-22T00:51:56"/>
    <d v="2023-04-20T01:51:56"/>
    <d v="2023-04-20T01:28:01"/>
    <s v="Within SLA"/>
    <d v="2023-04-21T10:08:58"/>
    <x v="0"/>
    <d v="2023-04-22T20:20:52"/>
    <n v="6"/>
    <n v="3"/>
    <x v="1"/>
    <x v="0"/>
    <s v="Republic of Ireland"/>
    <n v="53.094023999999997"/>
    <n v="-8.0196749999999994"/>
    <s v="ok"/>
    <s v="ok"/>
    <s v="ok"/>
    <s v="ok"/>
    <s v="ok"/>
    <x v="0"/>
    <n v="33.283884722215589"/>
  </r>
  <r>
    <x v="0"/>
    <n v="1896"/>
    <x v="0"/>
    <x v="0"/>
    <x v="4"/>
    <s v="1st line support"/>
    <x v="3"/>
    <x v="707"/>
    <d v="2023-04-22T19:33:22"/>
    <d v="2023-04-20T20:33:22"/>
    <d v="2023-04-20T20:16:58"/>
    <s v="Within SLA"/>
    <d v="2023-04-22T16:26:37"/>
    <x v="0"/>
    <d v="2023-04-22T04:49:53"/>
    <n v="10"/>
    <n v="4"/>
    <x v="3"/>
    <x v="0"/>
    <s v="Republic of Ireland"/>
    <n v="53.094023999999997"/>
    <n v="-8.0196749999999994"/>
    <s v="ok"/>
    <s v="ok"/>
    <s v="check"/>
    <s v="ok"/>
    <s v="ok"/>
    <x v="0"/>
    <n v="44.887484444479924"/>
  </r>
  <r>
    <x v="2"/>
    <n v="1897"/>
    <x v="2"/>
    <x v="2"/>
    <x v="2"/>
    <s v="1st line support"/>
    <x v="6"/>
    <x v="708"/>
    <d v="2023-04-22T14:40:38"/>
    <d v="2023-04-21T14:42:38"/>
    <d v="2023-04-21T14:40:48"/>
    <s v="Within SLA"/>
    <d v="2023-04-22T04:29:32"/>
    <x v="0"/>
    <m/>
    <n v="6"/>
    <m/>
    <x v="3"/>
    <x v="0"/>
    <s v="Germany"/>
    <n v="51.165691000000002"/>
    <n v="10.451525999999999"/>
    <s v="ok"/>
    <s v="ok"/>
    <s v="ok"/>
    <s v="ok"/>
    <s v="ok"/>
    <x v="0"/>
    <n v="13.815042500034906"/>
  </r>
  <r>
    <x v="2"/>
    <n v="1898"/>
    <x v="0"/>
    <x v="0"/>
    <x v="1"/>
    <s v="2nd line support"/>
    <x v="1"/>
    <x v="709"/>
    <d v="2023-04-23T18:39:35"/>
    <d v="2023-04-21T19:39:35"/>
    <d v="2023-04-21T18:42:07"/>
    <s v="Within SLA"/>
    <d v="2023-04-22T00:37:36"/>
    <x v="0"/>
    <m/>
    <n v="5"/>
    <m/>
    <x v="0"/>
    <x v="1"/>
    <s v="Germany"/>
    <n v="51.165691000000002"/>
    <n v="10.451525999999999"/>
    <s v="ok"/>
    <s v="ok"/>
    <s v="ok"/>
    <s v="ok"/>
    <s v="ok"/>
    <x v="0"/>
    <n v="5.9670374999404885"/>
  </r>
  <r>
    <x v="1"/>
    <n v="1899"/>
    <x v="0"/>
    <x v="0"/>
    <x v="2"/>
    <s v="2nd line support"/>
    <x v="5"/>
    <x v="710"/>
    <d v="2023-04-23T15:42:29"/>
    <d v="2023-04-21T16:42:29"/>
    <d v="2023-04-21T15:55:26"/>
    <s v="Within SLA"/>
    <m/>
    <x v="1"/>
    <m/>
    <n v="2"/>
    <m/>
    <x v="3"/>
    <x v="1"/>
    <s v="Italy"/>
    <n v="43.036776000000003"/>
    <n v="12.678565000000001"/>
    <s v="ok"/>
    <s v="ok"/>
    <s v="ok"/>
    <s v="ok"/>
    <s v="ok"/>
    <x v="1"/>
    <s v=""/>
  </r>
  <r>
    <x v="1"/>
    <n v="1900"/>
    <x v="0"/>
    <x v="0"/>
    <x v="4"/>
    <s v="2nd line support"/>
    <x v="1"/>
    <x v="711"/>
    <d v="2023-04-23T18:14:08"/>
    <d v="2023-04-21T19:14:08"/>
    <d v="2023-04-21T18:56:24"/>
    <s v="Within SLA"/>
    <m/>
    <x v="1"/>
    <m/>
    <n v="7"/>
    <m/>
    <x v="1"/>
    <x v="1"/>
    <s v="Spain"/>
    <n v="39.673369999999998"/>
    <n v="-4.7677259999999997"/>
    <s v="ok"/>
    <s v="ok"/>
    <s v="ok"/>
    <s v="ok"/>
    <s v="ok"/>
    <x v="1"/>
    <s v=""/>
  </r>
  <r>
    <x v="0"/>
    <n v="1901"/>
    <x v="2"/>
    <x v="0"/>
    <x v="0"/>
    <s v="1st line support"/>
    <x v="2"/>
    <x v="712"/>
    <d v="2023-04-23T03:00:43"/>
    <d v="2023-04-21T04:00:43"/>
    <d v="2023-04-21T03:19:13"/>
    <s v="Within SLA"/>
    <d v="2023-04-22T07:33:19"/>
    <x v="0"/>
    <d v="2023-04-27T14:31:30"/>
    <n v="1"/>
    <n v="4"/>
    <x v="2"/>
    <x v="0"/>
    <s v="Republic of Ireland"/>
    <n v="53.094023999999997"/>
    <n v="-8.0196749999999994"/>
    <s v="ok"/>
    <s v="ok"/>
    <s v="ok"/>
    <s v="ok"/>
    <s v="ok"/>
    <x v="0"/>
    <n v="28.543372777698096"/>
  </r>
  <r>
    <x v="2"/>
    <n v="1902"/>
    <x v="0"/>
    <x v="2"/>
    <x v="1"/>
    <s v="1st line support"/>
    <x v="3"/>
    <x v="713"/>
    <d v="2023-04-22T22:59:18"/>
    <d v="2023-04-21T23:01:18"/>
    <d v="2023-04-21T23:02:54"/>
    <s v="SLA Violated"/>
    <d v="2023-04-25T06:52:11"/>
    <x v="1"/>
    <m/>
    <n v="60"/>
    <m/>
    <x v="3"/>
    <x v="0"/>
    <s v="Germany"/>
    <n v="51.165691000000002"/>
    <n v="10.451525999999999"/>
    <s v="ok"/>
    <s v="ok"/>
    <s v="ok"/>
    <s v="ok"/>
    <s v="ok"/>
    <x v="0"/>
    <n v="79.881510833452921"/>
  </r>
  <r>
    <x v="2"/>
    <n v="1903"/>
    <x v="1"/>
    <x v="1"/>
    <x v="6"/>
    <s v="1st line support"/>
    <x v="4"/>
    <x v="714"/>
    <d v="2023-04-23T17:29:36"/>
    <d v="2023-04-21T17:31:36"/>
    <d v="2023-04-21T17:34:48"/>
    <s v="SLA Violated"/>
    <d v="2023-04-23T04:28:02"/>
    <x v="0"/>
    <m/>
    <n v="2"/>
    <m/>
    <x v="3"/>
    <x v="0"/>
    <s v="Bulgaria"/>
    <n v="42.724992499999999"/>
    <n v="25.483303899999999"/>
    <s v="ok"/>
    <s v="ok"/>
    <s v="ok"/>
    <s v="ok"/>
    <s v="ok"/>
    <x v="0"/>
    <n v="34.973799444444012"/>
  </r>
  <r>
    <x v="2"/>
    <n v="1904"/>
    <x v="0"/>
    <x v="2"/>
    <x v="4"/>
    <s v="2nd line support"/>
    <x v="7"/>
    <x v="715"/>
    <d v="2023-04-22T06:37:18"/>
    <d v="2023-04-21T06:39:18"/>
    <d v="2023-04-21T06:38:29"/>
    <s v="Within SLA"/>
    <d v="2023-04-21T16:34:17"/>
    <x v="0"/>
    <m/>
    <n v="8"/>
    <m/>
    <x v="2"/>
    <x v="1"/>
    <s v="Spain"/>
    <n v="39.673369999999998"/>
    <n v="-4.7677259999999997"/>
    <s v="ok"/>
    <s v="ok"/>
    <s v="ok"/>
    <s v="ok"/>
    <s v="ok"/>
    <x v="0"/>
    <n v="9.9497991665848531"/>
  </r>
  <r>
    <x v="1"/>
    <n v="1905"/>
    <x v="0"/>
    <x v="0"/>
    <x v="1"/>
    <s v="2nd line support"/>
    <x v="5"/>
    <x v="716"/>
    <d v="2023-04-24T22:56:34"/>
    <d v="2023-04-22T23:56:34"/>
    <d v="2023-04-23T00:51:10"/>
    <s v="SLA Violated"/>
    <m/>
    <x v="1"/>
    <m/>
    <n v="9"/>
    <m/>
    <x v="2"/>
    <x v="1"/>
    <s v="United Kingdom"/>
    <n v="55.378051999999997"/>
    <n v="-3.4359730000000002"/>
    <s v="ok"/>
    <s v="ok"/>
    <s v="ok"/>
    <s v="ok"/>
    <s v="ok"/>
    <x v="1"/>
    <s v=""/>
  </r>
  <r>
    <x v="0"/>
    <n v="1911"/>
    <x v="1"/>
    <x v="0"/>
    <x v="1"/>
    <s v="2nd line support"/>
    <x v="1"/>
    <x v="717"/>
    <d v="2023-04-25T06:37:05"/>
    <d v="2023-04-23T07:37:05"/>
    <d v="2023-04-23T07:11:55"/>
    <s v="Within SLA"/>
    <d v="2023-04-23T15:12:44"/>
    <x v="0"/>
    <d v="2023-04-27T17:42:53"/>
    <n v="1"/>
    <n v="5"/>
    <x v="1"/>
    <x v="1"/>
    <s v="Republic of Ireland"/>
    <n v="53.094023999999997"/>
    <n v="-8.0196749999999994"/>
    <s v="ok"/>
    <s v="ok"/>
    <s v="ok"/>
    <s v="ok"/>
    <s v="ok"/>
    <x v="0"/>
    <n v="8.5942305554053746"/>
  </r>
  <r>
    <x v="2"/>
    <n v="1912"/>
    <x v="2"/>
    <x v="2"/>
    <x v="1"/>
    <s v="1st line support"/>
    <x v="2"/>
    <x v="718"/>
    <d v="2023-04-24T16:15:55"/>
    <d v="2023-04-23T16:17:55"/>
    <d v="2023-04-23T16:17:47"/>
    <s v="Within SLA"/>
    <d v="2023-04-24T02:33:04"/>
    <x v="0"/>
    <m/>
    <n v="4"/>
    <m/>
    <x v="1"/>
    <x v="0"/>
    <s v="Germany"/>
    <n v="51.165691000000002"/>
    <n v="10.451525999999999"/>
    <s v="ok"/>
    <s v="ok"/>
    <s v="ok"/>
    <s v="ok"/>
    <s v="ok"/>
    <x v="0"/>
    <n v="10.28589222219307"/>
  </r>
  <r>
    <x v="2"/>
    <n v="1913"/>
    <x v="2"/>
    <x v="2"/>
    <x v="4"/>
    <s v="1st line support"/>
    <x v="2"/>
    <x v="719"/>
    <d v="2023-04-24T17:18:47"/>
    <d v="2023-04-23T17:20:47"/>
    <d v="2023-04-23T17:19:40"/>
    <s v="Within SLA"/>
    <d v="2023-04-24T10:50:46"/>
    <x v="0"/>
    <m/>
    <n v="9"/>
    <m/>
    <x v="3"/>
    <x v="0"/>
    <s v="Slovenia"/>
    <n v="46.149166399999999"/>
    <n v="14.9860106"/>
    <s v="ok"/>
    <s v="ok"/>
    <s v="ok"/>
    <s v="ok"/>
    <s v="ok"/>
    <x v="0"/>
    <n v="17.533061388821807"/>
  </r>
  <r>
    <x v="0"/>
    <n v="1914"/>
    <x v="0"/>
    <x v="0"/>
    <x v="1"/>
    <s v="1st line support"/>
    <x v="6"/>
    <x v="720"/>
    <d v="2023-04-26T11:26:34"/>
    <d v="2023-04-24T12:26:34"/>
    <d v="2023-04-24T12:13:05"/>
    <s v="Within SLA"/>
    <d v="2023-04-24T13:32:01"/>
    <x v="0"/>
    <d v="2023-04-24T19:02:44"/>
    <n v="8"/>
    <n v="1"/>
    <x v="2"/>
    <x v="0"/>
    <s v="Greece"/>
    <n v="39.368279000000001"/>
    <n v="21.863140999999999"/>
    <s v="ok"/>
    <s v="ok"/>
    <s v="ok"/>
    <s v="ok"/>
    <s v="ok"/>
    <x v="0"/>
    <n v="2.0909466666053049"/>
  </r>
  <r>
    <x v="1"/>
    <n v="1915"/>
    <x v="0"/>
    <x v="1"/>
    <x v="1"/>
    <s v="1st line support"/>
    <x v="3"/>
    <x v="721"/>
    <d v="2023-04-26T07:32:10"/>
    <d v="2023-04-24T07:34:10"/>
    <d v="2023-04-24T07:33:16"/>
    <s v="Within SLA"/>
    <m/>
    <x v="1"/>
    <m/>
    <n v="5"/>
    <m/>
    <x v="2"/>
    <x v="0"/>
    <s v="Czech Republic"/>
    <n v="49.8037633"/>
    <n v="15.4749126"/>
    <s v="ok"/>
    <s v="ok"/>
    <s v="ok"/>
    <s v="ok"/>
    <s v="ok"/>
    <x v="1"/>
    <s v=""/>
  </r>
  <r>
    <x v="0"/>
    <n v="1916"/>
    <x v="0"/>
    <x v="0"/>
    <x v="1"/>
    <s v="1st line support"/>
    <x v="4"/>
    <x v="722"/>
    <d v="2023-04-26T08:29:14"/>
    <d v="2023-04-24T09:29:14"/>
    <d v="2023-04-24T08:30:14"/>
    <s v="Within SLA"/>
    <d v="2023-04-26T00:55:27"/>
    <x v="0"/>
    <d v="2023-04-28T01:09:48"/>
    <n v="2"/>
    <n v="4"/>
    <x v="2"/>
    <x v="0"/>
    <s v="United Kingdom"/>
    <n v="55.378051999999997"/>
    <n v="-3.4359730000000002"/>
    <s v="ok"/>
    <s v="ok"/>
    <s v="ok"/>
    <s v="ok"/>
    <s v="ok"/>
    <x v="0"/>
    <n v="40.436945000023115"/>
  </r>
  <r>
    <x v="0"/>
    <n v="1917"/>
    <x v="0"/>
    <x v="0"/>
    <x v="5"/>
    <s v="1st line support"/>
    <x v="3"/>
    <x v="723"/>
    <d v="2023-04-26T09:05:20"/>
    <d v="2023-04-24T10:05:20"/>
    <d v="2023-04-24T09:46:47"/>
    <s v="Within SLA"/>
    <d v="2023-04-24T19:12:43"/>
    <x v="0"/>
    <d v="2023-04-27T15:40:56"/>
    <n v="5"/>
    <n v="4"/>
    <x v="0"/>
    <x v="0"/>
    <s v="Republic of Ireland"/>
    <n v="53.094023999999997"/>
    <n v="-8.0196749999999994"/>
    <s v="ok"/>
    <s v="ok"/>
    <s v="ok"/>
    <s v="ok"/>
    <s v="ok"/>
    <x v="0"/>
    <n v="10.123054999974556"/>
  </r>
  <r>
    <x v="2"/>
    <n v="1918"/>
    <x v="2"/>
    <x v="0"/>
    <x v="1"/>
    <s v="1st line support"/>
    <x v="4"/>
    <x v="724"/>
    <d v="2023-04-26T02:39:48"/>
    <d v="2023-04-24T03:39:48"/>
    <d v="2023-04-24T03:23:37"/>
    <s v="Within SLA"/>
    <d v="2023-04-26T01:17:48"/>
    <x v="0"/>
    <m/>
    <n v="10"/>
    <m/>
    <x v="2"/>
    <x v="0"/>
    <s v="Italy"/>
    <n v="43.036776000000003"/>
    <n v="12.678565000000001"/>
    <s v="ok"/>
    <s v="ok"/>
    <s v="ok"/>
    <s v="ok"/>
    <s v="ok"/>
    <x v="0"/>
    <n v="46.633286666648928"/>
  </r>
  <r>
    <x v="1"/>
    <n v="1919"/>
    <x v="0"/>
    <x v="2"/>
    <x v="4"/>
    <s v="1st line support"/>
    <x v="4"/>
    <x v="725"/>
    <d v="2023-04-25T05:18:34"/>
    <d v="2023-04-24T05:20:34"/>
    <d v="2023-04-24T05:22:48"/>
    <s v="SLA Violated"/>
    <m/>
    <x v="1"/>
    <m/>
    <n v="60"/>
    <m/>
    <x v="1"/>
    <x v="0"/>
    <s v="Germany"/>
    <n v="51.165691000000002"/>
    <n v="10.451525999999999"/>
    <s v="ok"/>
    <s v="ok"/>
    <s v="ok"/>
    <s v="ok"/>
    <s v="ok"/>
    <x v="1"/>
    <s v=""/>
  </r>
  <r>
    <x v="0"/>
    <n v="1920"/>
    <x v="2"/>
    <x v="0"/>
    <x v="2"/>
    <s v="2nd line support"/>
    <x v="1"/>
    <x v="726"/>
    <d v="2023-04-26T17:08:16"/>
    <d v="2023-04-24T18:08:16"/>
    <d v="2023-04-24T17:16:08"/>
    <s v="Within SLA"/>
    <d v="2023-04-25T16:33:12"/>
    <x v="0"/>
    <d v="2023-04-29T19:56:54"/>
    <n v="6"/>
    <n v="5"/>
    <x v="0"/>
    <x v="1"/>
    <s v="Slovenia"/>
    <n v="46.149166399999999"/>
    <n v="14.9860106"/>
    <s v="ok"/>
    <s v="ok"/>
    <s v="ok"/>
    <s v="ok"/>
    <s v="ok"/>
    <x v="0"/>
    <n v="23.415508055593818"/>
  </r>
  <r>
    <x v="2"/>
    <n v="1921"/>
    <x v="2"/>
    <x v="2"/>
    <x v="4"/>
    <s v="1st line support"/>
    <x v="4"/>
    <x v="727"/>
    <d v="2023-04-25T13:49:38"/>
    <d v="2023-04-24T13:51:38"/>
    <d v="2023-04-24T13:49:55"/>
    <s v="Within SLA"/>
    <d v="2023-04-24T18:16:37"/>
    <x v="0"/>
    <m/>
    <n v="3"/>
    <m/>
    <x v="2"/>
    <x v="0"/>
    <s v="United Kingdom"/>
    <n v="55.378051999999997"/>
    <n v="-3.4359730000000002"/>
    <s v="ok"/>
    <s v="ok"/>
    <s v="ok"/>
    <s v="ok"/>
    <s v="ok"/>
    <x v="0"/>
    <n v="4.4498186110868119"/>
  </r>
  <r>
    <x v="1"/>
    <n v="1922"/>
    <x v="0"/>
    <x v="0"/>
    <x v="0"/>
    <s v="1st line support"/>
    <x v="3"/>
    <x v="728"/>
    <d v="2023-04-26T01:45:52"/>
    <d v="2023-04-24T02:45:52"/>
    <d v="2023-04-24T01:49:11"/>
    <s v="Within SLA"/>
    <m/>
    <x v="1"/>
    <m/>
    <n v="8"/>
    <m/>
    <x v="0"/>
    <x v="0"/>
    <s v="Germany"/>
    <n v="51.165691000000002"/>
    <n v="10.451525999999999"/>
    <s v="ok"/>
    <s v="ok"/>
    <s v="ok"/>
    <s v="ok"/>
    <s v="ok"/>
    <x v="1"/>
    <s v=""/>
  </r>
  <r>
    <x v="0"/>
    <n v="1923"/>
    <x v="2"/>
    <x v="2"/>
    <x v="0"/>
    <s v="1st line support"/>
    <x v="3"/>
    <x v="729"/>
    <d v="2023-04-26T19:44:53"/>
    <d v="2023-04-25T19:46:53"/>
    <d v="2023-04-25T19:46:05"/>
    <s v="Within SLA"/>
    <d v="2023-04-29T19:50:10"/>
    <x v="1"/>
    <d v="2023-05-01T03:22:27"/>
    <n v="6"/>
    <n v="4"/>
    <x v="0"/>
    <x v="0"/>
    <s v="United Kingdom"/>
    <n v="55.378051999999997"/>
    <n v="-3.4359730000000002"/>
    <s v="ok"/>
    <s v="ok"/>
    <s v="ok"/>
    <s v="ok"/>
    <s v="ok"/>
    <x v="0"/>
    <n v="96.088072222250048"/>
  </r>
  <r>
    <x v="0"/>
    <n v="1924"/>
    <x v="1"/>
    <x v="2"/>
    <x v="3"/>
    <s v="1st line support"/>
    <x v="3"/>
    <x v="730"/>
    <d v="2023-04-26T21:29:53"/>
    <d v="2023-04-25T21:31:53"/>
    <d v="2023-04-25T21:31:03"/>
    <s v="Within SLA"/>
    <d v="2023-04-28T17:26:43"/>
    <x v="1"/>
    <d v="2023-04-30T08:26:33"/>
    <n v="4"/>
    <n v="3"/>
    <x v="3"/>
    <x v="0"/>
    <s v="Austria"/>
    <n v="47.696471899999999"/>
    <n v="13.3457347"/>
    <s v="ok"/>
    <s v="ok"/>
    <s v="ok"/>
    <s v="ok"/>
    <s v="ok"/>
    <x v="0"/>
    <n v="67.947102500125766"/>
  </r>
  <r>
    <x v="2"/>
    <n v="1925"/>
    <x v="1"/>
    <x v="0"/>
    <x v="1"/>
    <s v="2nd line support"/>
    <x v="7"/>
    <x v="731"/>
    <d v="2023-04-27T04:12:52"/>
    <d v="2023-04-25T05:12:52"/>
    <d v="2023-04-25T09:34:17"/>
    <s v="SLA Violated"/>
    <d v="2023-04-25T07:22:50"/>
    <x v="0"/>
    <m/>
    <n v="8"/>
    <m/>
    <x v="2"/>
    <x v="1"/>
    <s v="Poland"/>
    <n v="52.536273000000001"/>
    <n v="19.050639"/>
    <s v="ok"/>
    <s v="ok"/>
    <s v="ok"/>
    <s v="ok"/>
    <s v="ok"/>
    <x v="0"/>
    <n v="3.1661316667450592"/>
  </r>
  <r>
    <x v="1"/>
    <n v="1927"/>
    <x v="0"/>
    <x v="2"/>
    <x v="4"/>
    <s v="2nd line support"/>
    <x v="1"/>
    <x v="732"/>
    <d v="2023-04-26T15:06:36"/>
    <d v="2023-04-25T15:08:36"/>
    <d v="2023-04-25T15:07:02"/>
    <s v="Within SLA"/>
    <m/>
    <x v="1"/>
    <m/>
    <n v="4"/>
    <m/>
    <x v="0"/>
    <x v="1"/>
    <s v="France"/>
    <n v="48.864716000000001"/>
    <n v="2.3490139999999999"/>
    <s v="ok"/>
    <s v="ok"/>
    <s v="ok"/>
    <s v="ok"/>
    <s v="ok"/>
    <x v="1"/>
    <s v=""/>
  </r>
  <r>
    <x v="1"/>
    <n v="1928"/>
    <x v="2"/>
    <x v="0"/>
    <x v="6"/>
    <s v="2nd line support"/>
    <x v="1"/>
    <x v="733"/>
    <d v="2023-04-27T00:40:34"/>
    <d v="2023-04-25T01:40:34"/>
    <d v="2023-04-25T00:55:20"/>
    <s v="Within SLA"/>
    <m/>
    <x v="1"/>
    <m/>
    <n v="1"/>
    <m/>
    <x v="3"/>
    <x v="1"/>
    <s v="United Kingdom"/>
    <n v="55.378051999999997"/>
    <n v="-3.4359730000000002"/>
    <s v="ok"/>
    <s v="ok"/>
    <s v="ok"/>
    <s v="ok"/>
    <s v="ok"/>
    <x v="1"/>
    <s v=""/>
  </r>
  <r>
    <x v="0"/>
    <n v="1929"/>
    <x v="2"/>
    <x v="0"/>
    <x v="4"/>
    <s v="1st line support"/>
    <x v="2"/>
    <x v="734"/>
    <d v="2023-04-27T23:46:34"/>
    <d v="2023-04-26T00:46:34"/>
    <d v="2023-04-25T23:49:40"/>
    <s v="Within SLA"/>
    <d v="2023-04-27T06:08:08"/>
    <x v="0"/>
    <d v="2023-04-27T22:46:32"/>
    <n v="2"/>
    <n v="1"/>
    <x v="1"/>
    <x v="0"/>
    <s v="France"/>
    <n v="48.864716000000001"/>
    <n v="2.3490139999999999"/>
    <s v="ok"/>
    <s v="ok"/>
    <s v="ok"/>
    <s v="ok"/>
    <s v="ok"/>
    <x v="0"/>
    <n v="30.359370555554051"/>
  </r>
  <r>
    <x v="0"/>
    <n v="1930"/>
    <x v="0"/>
    <x v="2"/>
    <x v="0"/>
    <s v="1st line support"/>
    <x v="0"/>
    <x v="735"/>
    <d v="2023-04-26T16:29:32"/>
    <d v="2023-04-25T16:31:32"/>
    <d v="2023-04-25T16:29:48"/>
    <s v="Within SLA"/>
    <d v="2023-04-25T21:14:27"/>
    <x v="0"/>
    <d v="2023-04-29T19:03:40"/>
    <n v="4"/>
    <n v="2"/>
    <x v="2"/>
    <x v="0"/>
    <s v="Italy"/>
    <n v="43.036776000000003"/>
    <n v="12.678565000000001"/>
    <s v="ok"/>
    <s v="ok"/>
    <s v="ok"/>
    <s v="ok"/>
    <s v="ok"/>
    <x v="0"/>
    <n v="4.7487455555819906"/>
  </r>
  <r>
    <x v="0"/>
    <n v="1931"/>
    <x v="0"/>
    <x v="0"/>
    <x v="5"/>
    <s v="2nd line support"/>
    <x v="1"/>
    <x v="736"/>
    <d v="2023-04-28T03:07:27"/>
    <d v="2023-04-26T04:07:27"/>
    <d v="2023-04-26T03:24:25"/>
    <s v="Within SLA"/>
    <d v="2023-04-28T01:51:23"/>
    <x v="0"/>
    <d v="2023-05-01T13:19:38"/>
    <n v="2"/>
    <n v="4"/>
    <x v="3"/>
    <x v="1"/>
    <s v="Spain"/>
    <n v="39.673369999999998"/>
    <n v="-4.7677259999999997"/>
    <s v="ok"/>
    <s v="ok"/>
    <s v="ok"/>
    <s v="ok"/>
    <s v="ok"/>
    <x v="0"/>
    <n v="46.732120000000577"/>
  </r>
  <r>
    <x v="3"/>
    <n v="1932"/>
    <x v="1"/>
    <x v="0"/>
    <x v="6"/>
    <s v="1st line support"/>
    <x v="3"/>
    <x v="737"/>
    <d v="2023-04-28T11:36:51"/>
    <d v="2023-04-26T12:36:51"/>
    <m/>
    <s v="SLA Violated"/>
    <m/>
    <x v="1"/>
    <m/>
    <m/>
    <m/>
    <x v="3"/>
    <x v="0"/>
    <s v="Italy"/>
    <n v="43.036776000000003"/>
    <n v="12.678565000000001"/>
    <s v="check"/>
    <s v="ok"/>
    <s v="ok"/>
    <s v="ok"/>
    <s v="no response"/>
    <x v="1"/>
    <s v=""/>
  </r>
  <r>
    <x v="0"/>
    <n v="1933"/>
    <x v="0"/>
    <x v="2"/>
    <x v="0"/>
    <s v="2nd line support"/>
    <x v="7"/>
    <x v="738"/>
    <d v="2023-04-27T21:03:39"/>
    <d v="2023-04-26T21:05:39"/>
    <d v="2023-04-26T21:09:02"/>
    <s v="SLA Violated"/>
    <d v="2023-04-27T05:16:27"/>
    <x v="0"/>
    <d v="2023-04-28T16:58:24"/>
    <n v="6"/>
    <n v="4"/>
    <x v="0"/>
    <x v="1"/>
    <s v="United Kingdom"/>
    <n v="55.378051999999997"/>
    <n v="-3.4359730000000002"/>
    <s v="ok"/>
    <s v="ok"/>
    <s v="ok"/>
    <s v="ok"/>
    <s v="ok"/>
    <x v="0"/>
    <n v="8.2132583332713693"/>
  </r>
  <r>
    <x v="0"/>
    <n v="1934"/>
    <x v="0"/>
    <x v="0"/>
    <x v="3"/>
    <s v="1st line support"/>
    <x v="0"/>
    <x v="739"/>
    <d v="2023-04-28T12:39:40"/>
    <d v="2023-04-26T13:39:40"/>
    <d v="2023-04-26T12:47:26"/>
    <s v="Within SLA"/>
    <d v="2023-04-27T01:18:02"/>
    <x v="0"/>
    <d v="2023-04-27T19:21:48"/>
    <n v="10"/>
    <n v="2"/>
    <x v="0"/>
    <x v="0"/>
    <s v="France"/>
    <n v="48.864716000000001"/>
    <n v="2.3490139999999999"/>
    <s v="ok"/>
    <s v="ok"/>
    <s v="ok"/>
    <s v="ok"/>
    <s v="ok"/>
    <x v="0"/>
    <n v="12.639373611076735"/>
  </r>
  <r>
    <x v="0"/>
    <n v="1937"/>
    <x v="0"/>
    <x v="0"/>
    <x v="4"/>
    <s v="1st line support"/>
    <x v="0"/>
    <x v="740"/>
    <d v="2023-04-30T04:17:19"/>
    <d v="2023-04-28T05:17:19"/>
    <d v="2023-04-28T04:21:07"/>
    <s v="Within SLA"/>
    <d v="2023-04-28T18:03:59"/>
    <x v="0"/>
    <d v="2023-04-29T09:04:12"/>
    <n v="7"/>
    <n v="4"/>
    <x v="2"/>
    <x v="0"/>
    <s v="Italy"/>
    <n v="43.036776000000003"/>
    <n v="12.678565000000001"/>
    <s v="ok"/>
    <s v="ok"/>
    <s v="ok"/>
    <s v="ok"/>
    <s v="ok"/>
    <x v="0"/>
    <n v="13.777795277768746"/>
  </r>
  <r>
    <x v="0"/>
    <n v="1938"/>
    <x v="2"/>
    <x v="0"/>
    <x v="3"/>
    <s v="2nd line support"/>
    <x v="7"/>
    <x v="741"/>
    <d v="2023-04-30T12:45:26"/>
    <d v="2023-04-28T13:45:26"/>
    <d v="2023-04-28T13:10:12"/>
    <s v="Within SLA"/>
    <d v="2023-04-28T15:11:05"/>
    <x v="0"/>
    <d v="2023-04-29T10:51:18"/>
    <n v="8"/>
    <n v="5"/>
    <x v="2"/>
    <x v="1"/>
    <s v="Germany"/>
    <n v="51.165691000000002"/>
    <n v="10.451525999999999"/>
    <s v="ok"/>
    <s v="ok"/>
    <s v="ok"/>
    <s v="ok"/>
    <s v="ok"/>
    <x v="0"/>
    <n v="2.4276072222855873"/>
  </r>
  <r>
    <x v="1"/>
    <n v="1939"/>
    <x v="0"/>
    <x v="2"/>
    <x v="4"/>
    <s v="1st line support"/>
    <x v="2"/>
    <x v="742"/>
    <d v="2023-04-29T01:42:28"/>
    <d v="2023-04-28T01:44:28"/>
    <d v="2023-04-28T01:43:47"/>
    <s v="Within SLA"/>
    <m/>
    <x v="1"/>
    <m/>
    <n v="3"/>
    <m/>
    <x v="0"/>
    <x v="0"/>
    <s v="Czech Republic"/>
    <n v="49.8037633"/>
    <n v="15.4749126"/>
    <s v="ok"/>
    <s v="ok"/>
    <s v="ok"/>
    <s v="ok"/>
    <s v="ok"/>
    <x v="1"/>
    <s v=""/>
  </r>
  <r>
    <x v="0"/>
    <n v="1940"/>
    <x v="0"/>
    <x v="2"/>
    <x v="0"/>
    <s v="1st line support"/>
    <x v="3"/>
    <x v="743"/>
    <d v="2023-04-29T08:54:40"/>
    <d v="2023-04-28T08:56:40"/>
    <d v="2023-04-28T08:58:35"/>
    <s v="SLA Violated"/>
    <d v="2023-04-28T09:16:42"/>
    <x v="0"/>
    <d v="2023-04-29T18:02:21"/>
    <n v="3"/>
    <n v="4"/>
    <x v="2"/>
    <x v="0"/>
    <s v="Germany"/>
    <n v="51.165691000000002"/>
    <n v="10.451525999999999"/>
    <s v="ok"/>
    <s v="ok"/>
    <s v="ok"/>
    <s v="ok"/>
    <s v="ok"/>
    <x v="0"/>
    <n v="0.36732777772704139"/>
  </r>
  <r>
    <x v="0"/>
    <n v="1942"/>
    <x v="2"/>
    <x v="0"/>
    <x v="4"/>
    <s v="1st line support"/>
    <x v="0"/>
    <x v="744"/>
    <d v="2023-04-30T00:22:07"/>
    <d v="2023-04-28T01:22:07"/>
    <d v="2023-04-28T00:54:03"/>
    <s v="Within SLA"/>
    <d v="2023-04-29T11:03:59"/>
    <x v="0"/>
    <d v="2023-05-01T19:11:46"/>
    <n v="1"/>
    <n v="4"/>
    <x v="2"/>
    <x v="0"/>
    <s v="Austria"/>
    <n v="47.696471899999999"/>
    <n v="13.3457347"/>
    <s v="ok"/>
    <s v="ok"/>
    <s v="ok"/>
    <s v="ok"/>
    <s v="ok"/>
    <x v="0"/>
    <n v="34.697692777728662"/>
  </r>
  <r>
    <x v="2"/>
    <n v="1943"/>
    <x v="0"/>
    <x v="0"/>
    <x v="1"/>
    <s v="1st line support"/>
    <x v="0"/>
    <x v="745"/>
    <d v="2023-04-30T23:21:47"/>
    <d v="2023-04-29T00:21:47"/>
    <d v="2023-04-28T23:22:59"/>
    <s v="Within SLA"/>
    <d v="2023-04-29T12:31:17"/>
    <x v="0"/>
    <m/>
    <n v="9"/>
    <m/>
    <x v="2"/>
    <x v="0"/>
    <s v="Italy"/>
    <n v="43.036776000000003"/>
    <n v="12.678565000000001"/>
    <s v="ok"/>
    <s v="ok"/>
    <s v="ok"/>
    <s v="ok"/>
    <s v="ok"/>
    <x v="0"/>
    <n v="13.158382222114597"/>
  </r>
  <r>
    <x v="2"/>
    <n v="1945"/>
    <x v="2"/>
    <x v="2"/>
    <x v="0"/>
    <s v="1st line support"/>
    <x v="2"/>
    <x v="746"/>
    <d v="2023-04-30T13:16:32"/>
    <d v="2023-04-29T13:18:32"/>
    <d v="2023-04-29T13:17:00"/>
    <s v="Within SLA"/>
    <d v="2023-04-30T05:55:37"/>
    <x v="0"/>
    <m/>
    <n v="3"/>
    <m/>
    <x v="2"/>
    <x v="0"/>
    <s v="Spain"/>
    <n v="39.673369999999998"/>
    <n v="-4.7677259999999997"/>
    <s v="ok"/>
    <s v="ok"/>
    <s v="ok"/>
    <s v="ok"/>
    <s v="ok"/>
    <x v="0"/>
    <n v="16.651256388926413"/>
  </r>
  <r>
    <x v="0"/>
    <n v="1946"/>
    <x v="1"/>
    <x v="0"/>
    <x v="6"/>
    <s v="2nd line support"/>
    <x v="7"/>
    <x v="747"/>
    <d v="2023-05-01T09:39:04"/>
    <d v="2023-04-29T10:39:04"/>
    <d v="2023-04-29T09:50:33"/>
    <s v="Within SLA"/>
    <d v="2023-05-01T15:12:25"/>
    <x v="1"/>
    <d v="2023-05-03T13:30:12"/>
    <n v="3"/>
    <n v="4"/>
    <x v="3"/>
    <x v="1"/>
    <s v="Italy"/>
    <n v="43.036776000000003"/>
    <n v="12.678565000000001"/>
    <s v="ok"/>
    <s v="ok"/>
    <s v="ok"/>
    <s v="ok"/>
    <s v="ok"/>
    <x v="0"/>
    <n v="53.55569444457069"/>
  </r>
  <r>
    <x v="2"/>
    <n v="1956"/>
    <x v="0"/>
    <x v="0"/>
    <x v="3"/>
    <s v="1st line support"/>
    <x v="3"/>
    <x v="748"/>
    <d v="2023-05-01T02:53:31"/>
    <d v="2023-04-29T03:53:31"/>
    <d v="2023-04-29T03:52:54"/>
    <s v="Within SLA"/>
    <d v="2023-04-29T03:39:13"/>
    <x v="0"/>
    <m/>
    <n v="5"/>
    <m/>
    <x v="1"/>
    <x v="0"/>
    <s v="Bulgaria"/>
    <n v="42.724992499999999"/>
    <n v="25.483303899999999"/>
    <s v="ok"/>
    <s v="ok"/>
    <s v="ok"/>
    <s v="ok"/>
    <s v="ok"/>
    <x v="0"/>
    <n v="0.76158972212579101"/>
  </r>
  <r>
    <x v="2"/>
    <n v="1957"/>
    <x v="0"/>
    <x v="0"/>
    <x v="0"/>
    <s v="1st line support"/>
    <x v="6"/>
    <x v="749"/>
    <d v="2023-05-01T01:59:28"/>
    <d v="2023-04-29T02:59:28"/>
    <d v="2023-04-29T08:17:20"/>
    <s v="SLA Violated"/>
    <d v="2023-04-29T12:42:43"/>
    <x v="0"/>
    <m/>
    <n v="3"/>
    <m/>
    <x v="2"/>
    <x v="0"/>
    <s v="Slovenia"/>
    <n v="46.149166399999999"/>
    <n v="14.9860106"/>
    <s v="ok"/>
    <s v="ok"/>
    <s v="ok"/>
    <s v="ok"/>
    <s v="ok"/>
    <x v="0"/>
    <n v="10.720704999868758"/>
  </r>
  <r>
    <x v="2"/>
    <n v="1958"/>
    <x v="0"/>
    <x v="2"/>
    <x v="1"/>
    <s v="2nd line support"/>
    <x v="5"/>
    <x v="750"/>
    <d v="2023-04-30T18:57:03"/>
    <d v="2023-04-29T18:59:03"/>
    <d v="2023-04-29T18:58:57"/>
    <s v="Within SLA"/>
    <d v="2023-04-29T19:09:44"/>
    <x v="0"/>
    <m/>
    <n v="4"/>
    <m/>
    <x v="1"/>
    <x v="1"/>
    <s v="France"/>
    <n v="48.864716000000001"/>
    <n v="2.3490139999999999"/>
    <s v="ok"/>
    <s v="ok"/>
    <s v="ok"/>
    <s v="ok"/>
    <s v="ok"/>
    <x v="0"/>
    <n v="0.21150138886878267"/>
  </r>
  <r>
    <x v="0"/>
    <n v="1959"/>
    <x v="0"/>
    <x v="0"/>
    <x v="4"/>
    <s v="1st line support"/>
    <x v="6"/>
    <x v="751"/>
    <d v="2023-05-01T09:21:27"/>
    <d v="2023-04-29T10:21:27"/>
    <d v="2023-04-29T09:35:19"/>
    <s v="Within SLA"/>
    <d v="2023-04-29T13:49:54"/>
    <x v="0"/>
    <d v="2023-05-02T17:33:29"/>
    <n v="10"/>
    <n v="2"/>
    <x v="1"/>
    <x v="0"/>
    <s v="Czech Republic"/>
    <n v="49.8037633"/>
    <n v="15.4749126"/>
    <s v="ok"/>
    <s v="ok"/>
    <s v="ok"/>
    <s v="ok"/>
    <s v="ok"/>
    <x v="0"/>
    <n v="4.4740600000368431"/>
  </r>
  <r>
    <x v="0"/>
    <n v="1960"/>
    <x v="0"/>
    <x v="0"/>
    <x v="5"/>
    <s v="1st line support"/>
    <x v="0"/>
    <x v="752"/>
    <d v="2023-05-02T04:40:44"/>
    <d v="2023-04-30T05:40:44"/>
    <d v="2023-04-30T04:42:42"/>
    <s v="Within SLA"/>
    <d v="2023-04-30T23:16:11"/>
    <x v="0"/>
    <d v="2023-05-04T23:59:04"/>
    <n v="6"/>
    <n v="2"/>
    <x v="2"/>
    <x v="0"/>
    <s v="Poland"/>
    <n v="52.536273000000001"/>
    <n v="19.050639"/>
    <s v="ok"/>
    <s v="ok"/>
    <s v="ok"/>
    <s v="ok"/>
    <s v="ok"/>
    <x v="0"/>
    <n v="18.590870833257213"/>
  </r>
  <r>
    <x v="0"/>
    <n v="1961"/>
    <x v="1"/>
    <x v="0"/>
    <x v="2"/>
    <s v="1st line support"/>
    <x v="0"/>
    <x v="753"/>
    <d v="2023-05-02T11:33:18"/>
    <d v="2023-04-30T12:33:18"/>
    <d v="2023-04-30T11:42:53"/>
    <s v="Within SLA"/>
    <d v="2023-05-04T09:47:43"/>
    <x v="1"/>
    <d v="2023-05-05T05:15:29"/>
    <n v="1"/>
    <n v="5"/>
    <x v="2"/>
    <x v="0"/>
    <s v="Poland"/>
    <n v="52.536273000000001"/>
    <n v="19.050639"/>
    <s v="ok"/>
    <s v="ok"/>
    <s v="ok"/>
    <s v="ok"/>
    <s v="ok"/>
    <x v="0"/>
    <n v="94.240352222230285"/>
  </r>
  <r>
    <x v="1"/>
    <n v="1962"/>
    <x v="0"/>
    <x v="0"/>
    <x v="3"/>
    <s v="1st line support"/>
    <x v="2"/>
    <x v="754"/>
    <d v="2023-05-02T19:22:21"/>
    <d v="2023-04-30T20:22:21"/>
    <d v="2023-04-30T19:23:20"/>
    <s v="Within SLA"/>
    <m/>
    <x v="1"/>
    <m/>
    <n v="1"/>
    <m/>
    <x v="0"/>
    <x v="0"/>
    <s v="Germany"/>
    <n v="51.165691000000002"/>
    <n v="10.451525999999999"/>
    <s v="ok"/>
    <s v="ok"/>
    <s v="ok"/>
    <s v="ok"/>
    <s v="ok"/>
    <x v="1"/>
    <s v=""/>
  </r>
  <r>
    <x v="0"/>
    <n v="1963"/>
    <x v="2"/>
    <x v="1"/>
    <x v="2"/>
    <s v="2nd line support"/>
    <x v="7"/>
    <x v="755"/>
    <d v="2023-05-02T20:47:07"/>
    <d v="2023-04-30T20:49:07"/>
    <d v="2023-04-30T20:51:49"/>
    <s v="SLA Violated"/>
    <d v="2023-05-01T07:56:38"/>
    <x v="0"/>
    <d v="2023-05-02T16:49:27"/>
    <n v="2"/>
    <n v="4"/>
    <x v="0"/>
    <x v="1"/>
    <s v="Slovenia"/>
    <n v="46.149166399999999"/>
    <n v="14.9860106"/>
    <s v="ok"/>
    <s v="ok"/>
    <s v="ok"/>
    <s v="ok"/>
    <s v="ok"/>
    <x v="0"/>
    <n v="11.158491944486741"/>
  </r>
  <r>
    <x v="2"/>
    <n v="1964"/>
    <x v="0"/>
    <x v="0"/>
    <x v="5"/>
    <s v="1st line support"/>
    <x v="2"/>
    <x v="756"/>
    <d v="2023-05-02T19:57:12"/>
    <d v="2023-04-30T20:57:12"/>
    <d v="2023-04-30T20:23:24"/>
    <s v="Within SLA"/>
    <d v="2023-05-02T10:27:39"/>
    <x v="0"/>
    <m/>
    <n v="3"/>
    <m/>
    <x v="0"/>
    <x v="0"/>
    <s v="Spain"/>
    <n v="39.673369999999998"/>
    <n v="-4.7677259999999997"/>
    <s v="ok"/>
    <s v="ok"/>
    <s v="ok"/>
    <s v="ok"/>
    <s v="ok"/>
    <x v="0"/>
    <n v="38.507458055508323"/>
  </r>
  <r>
    <x v="0"/>
    <n v="1965"/>
    <x v="2"/>
    <x v="0"/>
    <x v="1"/>
    <s v="2nd line support"/>
    <x v="1"/>
    <x v="757"/>
    <d v="2023-05-02T01:00:56"/>
    <d v="2023-04-30T02:00:56"/>
    <d v="2023-04-30T01:42:03"/>
    <s v="Within SLA"/>
    <d v="2023-05-01T16:23:03"/>
    <x v="0"/>
    <d v="2023-05-04T18:24:22"/>
    <n v="10"/>
    <n v="2"/>
    <x v="2"/>
    <x v="1"/>
    <s v="Germany"/>
    <n v="51.165691000000002"/>
    <n v="10.451525999999999"/>
    <s v="ok"/>
    <s v="ok"/>
    <s v="ok"/>
    <s v="ok"/>
    <s v="ok"/>
    <x v="0"/>
    <n v="39.368473055481445"/>
  </r>
  <r>
    <x v="0"/>
    <n v="1966"/>
    <x v="1"/>
    <x v="2"/>
    <x v="1"/>
    <s v="2nd line support"/>
    <x v="7"/>
    <x v="758"/>
    <d v="2023-05-01T08:01:49"/>
    <d v="2023-04-30T08:03:49"/>
    <d v="2023-04-30T08:02:02"/>
    <s v="Within SLA"/>
    <d v="2023-04-30T12:47:31"/>
    <x v="0"/>
    <d v="2023-05-04T00:08:59"/>
    <n v="9"/>
    <n v="2"/>
    <x v="2"/>
    <x v="1"/>
    <s v="Czech Republic"/>
    <n v="49.8037633"/>
    <n v="15.4749126"/>
    <s v="ok"/>
    <s v="ok"/>
    <s v="ok"/>
    <s v="ok"/>
    <s v="ok"/>
    <x v="0"/>
    <n v="4.7616805555298924"/>
  </r>
  <r>
    <x v="1"/>
    <n v="1974"/>
    <x v="2"/>
    <x v="0"/>
    <x v="4"/>
    <s v="1st line support"/>
    <x v="2"/>
    <x v="759"/>
    <d v="2023-05-03T03:26:27"/>
    <d v="2023-05-01T04:26:27"/>
    <d v="2023-05-01T03:54:45"/>
    <s v="Within SLA"/>
    <m/>
    <x v="1"/>
    <m/>
    <n v="5"/>
    <m/>
    <x v="0"/>
    <x v="0"/>
    <s v="United Kingdom"/>
    <n v="55.378051999999997"/>
    <n v="-3.4359730000000002"/>
    <s v="ok"/>
    <s v="ok"/>
    <s v="ok"/>
    <s v="ok"/>
    <s v="ok"/>
    <x v="1"/>
    <s v=""/>
  </r>
  <r>
    <x v="2"/>
    <n v="1975"/>
    <x v="0"/>
    <x v="0"/>
    <x v="3"/>
    <s v="1st line support"/>
    <x v="4"/>
    <x v="760"/>
    <d v="2023-05-03T00:15:50"/>
    <d v="2023-05-01T01:15:50"/>
    <d v="2023-05-01T00:33:00"/>
    <s v="Within SLA"/>
    <d v="2023-05-02T07:29:48"/>
    <x v="0"/>
    <m/>
    <n v="2"/>
    <m/>
    <x v="1"/>
    <x v="0"/>
    <s v="Czech Republic"/>
    <n v="49.8037633"/>
    <n v="15.4749126"/>
    <s v="ok"/>
    <s v="ok"/>
    <s v="ok"/>
    <s v="ok"/>
    <s v="ok"/>
    <x v="0"/>
    <n v="31.232882499927655"/>
  </r>
  <r>
    <x v="0"/>
    <n v="1976"/>
    <x v="2"/>
    <x v="0"/>
    <x v="0"/>
    <s v="1st line support"/>
    <x v="0"/>
    <x v="761"/>
    <d v="2023-05-03T17:16:37"/>
    <d v="2023-05-01T18:16:37"/>
    <d v="2023-05-01T18:06:31"/>
    <s v="Within SLA"/>
    <d v="2023-05-03T01:01:26"/>
    <x v="0"/>
    <d v="2023-05-04T05:39:05"/>
    <n v="1"/>
    <n v="5"/>
    <x v="0"/>
    <x v="0"/>
    <s v="Italy"/>
    <n v="43.036776000000003"/>
    <n v="12.678565000000001"/>
    <s v="ok"/>
    <s v="ok"/>
    <s v="ok"/>
    <s v="ok"/>
    <s v="ok"/>
    <x v="0"/>
    <n v="31.746987499936949"/>
  </r>
  <r>
    <x v="0"/>
    <n v="1977"/>
    <x v="0"/>
    <x v="0"/>
    <x v="0"/>
    <s v="1st line support"/>
    <x v="0"/>
    <x v="762"/>
    <d v="2023-05-03T19:32:21"/>
    <d v="2023-05-01T20:32:21"/>
    <d v="2023-05-01T22:13:54"/>
    <s v="SLA Violated"/>
    <d v="2023-05-02T18:41:23"/>
    <x v="0"/>
    <d v="2023-05-07T22:43:07"/>
    <n v="2"/>
    <n v="4"/>
    <x v="2"/>
    <x v="0"/>
    <s v="Poland"/>
    <n v="52.536273000000001"/>
    <n v="19.050639"/>
    <s v="ok"/>
    <s v="ok"/>
    <s v="ok"/>
    <s v="ok"/>
    <s v="ok"/>
    <x v="0"/>
    <n v="23.150453888811171"/>
  </r>
  <r>
    <x v="2"/>
    <n v="1978"/>
    <x v="0"/>
    <x v="1"/>
    <x v="3"/>
    <s v="2nd line support"/>
    <x v="1"/>
    <x v="763"/>
    <d v="2023-05-03T14:14:01"/>
    <d v="2023-05-01T14:16:01"/>
    <d v="2023-05-01T14:15:42"/>
    <s v="Within SLA"/>
    <d v="2023-05-04T01:10:49"/>
    <x v="1"/>
    <m/>
    <n v="3"/>
    <m/>
    <x v="0"/>
    <x v="1"/>
    <s v="Poland"/>
    <n v="52.536273000000001"/>
    <n v="19.050639"/>
    <s v="ok"/>
    <s v="ok"/>
    <s v="ok"/>
    <s v="ok"/>
    <s v="ok"/>
    <x v="0"/>
    <n v="58.946575277717784"/>
  </r>
  <r>
    <x v="0"/>
    <n v="1979"/>
    <x v="0"/>
    <x v="1"/>
    <x v="2"/>
    <s v="1st line support"/>
    <x v="6"/>
    <x v="764"/>
    <d v="2023-05-03T21:28:26"/>
    <d v="2023-05-01T21:30:26"/>
    <d v="2023-05-01T21:29:50"/>
    <s v="Within SLA"/>
    <d v="2023-05-06T08:49:14"/>
    <x v="1"/>
    <d v="2023-05-07T20:51:16"/>
    <n v="1"/>
    <n v="4"/>
    <x v="3"/>
    <x v="0"/>
    <s v="France"/>
    <n v="48.864716000000001"/>
    <n v="2.3490139999999999"/>
    <s v="ok"/>
    <s v="ok"/>
    <s v="ok"/>
    <s v="ok"/>
    <s v="ok"/>
    <x v="0"/>
    <n v="107.34659388876753"/>
  </r>
  <r>
    <x v="0"/>
    <n v="1980"/>
    <x v="0"/>
    <x v="0"/>
    <x v="3"/>
    <s v="2nd line support"/>
    <x v="5"/>
    <x v="765"/>
    <d v="2023-05-03T06:56:45"/>
    <d v="2023-05-01T07:56:45"/>
    <d v="2023-05-01T07:10:40"/>
    <s v="Within SLA"/>
    <d v="2023-05-02T00:53:28"/>
    <x v="0"/>
    <d v="2023-05-06T20:19:11"/>
    <n v="8"/>
    <n v="3"/>
    <x v="2"/>
    <x v="1"/>
    <s v="Austria"/>
    <n v="47.696471899999999"/>
    <n v="13.3457347"/>
    <s v="ok"/>
    <s v="ok"/>
    <s v="ok"/>
    <s v="ok"/>
    <s v="ok"/>
    <x v="0"/>
    <n v="17.945380277757067"/>
  </r>
  <r>
    <x v="2"/>
    <n v="1981"/>
    <x v="0"/>
    <x v="0"/>
    <x v="1"/>
    <s v="1st line support"/>
    <x v="0"/>
    <x v="766"/>
    <d v="2023-05-03T08:53:32"/>
    <d v="2023-05-01T09:53:32"/>
    <d v="2023-05-01T09:50:20"/>
    <s v="Within SLA"/>
    <d v="2023-05-02T02:25:44"/>
    <x v="0"/>
    <m/>
    <n v="6"/>
    <m/>
    <x v="0"/>
    <x v="0"/>
    <s v="Italy"/>
    <n v="43.036776000000003"/>
    <n v="12.678565000000001"/>
    <s v="ok"/>
    <s v="ok"/>
    <s v="ok"/>
    <s v="ok"/>
    <s v="ok"/>
    <x v="0"/>
    <n v="17.536704722209834"/>
  </r>
  <r>
    <x v="0"/>
    <n v="1982"/>
    <x v="0"/>
    <x v="1"/>
    <x v="2"/>
    <s v="1st line support"/>
    <x v="0"/>
    <x v="767"/>
    <d v="2023-05-03T18:01:41"/>
    <d v="2023-05-01T18:03:41"/>
    <d v="2023-05-01T18:03:40"/>
    <s v="Within SLA"/>
    <d v="2023-05-02T04:36:28"/>
    <x v="0"/>
    <d v="2023-05-05T01:20:10"/>
    <n v="7"/>
    <n v="4"/>
    <x v="2"/>
    <x v="0"/>
    <s v="Germany"/>
    <n v="51.165691000000002"/>
    <n v="10.451525999999999"/>
    <s v="ok"/>
    <s v="ok"/>
    <s v="ok"/>
    <s v="ok"/>
    <s v="ok"/>
    <x v="0"/>
    <n v="10.57975527778035"/>
  </r>
  <r>
    <x v="1"/>
    <n v="1983"/>
    <x v="0"/>
    <x v="2"/>
    <x v="1"/>
    <s v="2nd line support"/>
    <x v="5"/>
    <x v="768"/>
    <d v="2023-05-02T16:05:00"/>
    <d v="2023-05-01T16:07:00"/>
    <d v="2023-05-01T16:06:26"/>
    <s v="Within SLA"/>
    <m/>
    <x v="1"/>
    <m/>
    <n v="60"/>
    <m/>
    <x v="0"/>
    <x v="1"/>
    <s v="Republic of Ireland"/>
    <n v="53.094023999999997"/>
    <n v="-8.0196749999999994"/>
    <s v="ok"/>
    <s v="ok"/>
    <s v="ok"/>
    <s v="ok"/>
    <s v="ok"/>
    <x v="1"/>
    <s v=""/>
  </r>
  <r>
    <x v="1"/>
    <n v="1984"/>
    <x v="0"/>
    <x v="2"/>
    <x v="0"/>
    <s v="1st line support"/>
    <x v="3"/>
    <x v="769"/>
    <d v="2023-05-02T10:53:43"/>
    <d v="2023-05-01T10:55:43"/>
    <d v="2023-05-01T10:59:27"/>
    <s v="SLA Violated"/>
    <m/>
    <x v="1"/>
    <m/>
    <n v="4"/>
    <m/>
    <x v="0"/>
    <x v="0"/>
    <s v="Czech Republic"/>
    <n v="49.8037633"/>
    <n v="15.4749126"/>
    <s v="ok"/>
    <s v="ok"/>
    <s v="ok"/>
    <s v="ok"/>
    <s v="ok"/>
    <x v="1"/>
    <s v=""/>
  </r>
  <r>
    <x v="2"/>
    <n v="1985"/>
    <x v="2"/>
    <x v="0"/>
    <x v="6"/>
    <s v="1st line support"/>
    <x v="6"/>
    <x v="770"/>
    <d v="2023-05-04T10:43:37"/>
    <d v="2023-05-02T11:43:37"/>
    <d v="2023-05-02T11:21:03"/>
    <s v="Within SLA"/>
    <d v="2023-05-03T08:39:02"/>
    <x v="0"/>
    <m/>
    <n v="9"/>
    <m/>
    <x v="3"/>
    <x v="0"/>
    <s v="France"/>
    <n v="48.864716000000001"/>
    <n v="2.3490139999999999"/>
    <s v="ok"/>
    <s v="ok"/>
    <s v="ok"/>
    <s v="ok"/>
    <s v="ok"/>
    <x v="0"/>
    <n v="21.923517222341616"/>
  </r>
  <r>
    <x v="0"/>
    <n v="1986"/>
    <x v="0"/>
    <x v="0"/>
    <x v="3"/>
    <s v="1st line support"/>
    <x v="4"/>
    <x v="771"/>
    <d v="2023-05-04T23:45:36"/>
    <d v="2023-05-03T00:45:36"/>
    <d v="2023-05-03T00:25:14"/>
    <s v="Within SLA"/>
    <d v="2023-05-03T07:32:27"/>
    <x v="0"/>
    <d v="2023-05-05T23:30:13"/>
    <n v="3"/>
    <n v="4"/>
    <x v="3"/>
    <x v="0"/>
    <s v="Republic of Ireland"/>
    <n v="53.094023999999997"/>
    <n v="-8.0196749999999994"/>
    <s v="ok"/>
    <s v="ok"/>
    <s v="ok"/>
    <s v="ok"/>
    <s v="ok"/>
    <x v="0"/>
    <n v="7.7809605555958115"/>
  </r>
  <r>
    <x v="0"/>
    <n v="1987"/>
    <x v="2"/>
    <x v="0"/>
    <x v="1"/>
    <s v="2nd line support"/>
    <x v="5"/>
    <x v="772"/>
    <d v="2023-05-04T08:46:52"/>
    <d v="2023-05-02T09:46:52"/>
    <d v="2023-05-02T09:11:44"/>
    <s v="Within SLA"/>
    <d v="2023-05-05T20:31:53"/>
    <x v="1"/>
    <d v="2023-05-05T21:47:01"/>
    <n v="1"/>
    <n v="5"/>
    <x v="0"/>
    <x v="1"/>
    <s v="Czech Republic"/>
    <n v="49.8037633"/>
    <n v="15.4749126"/>
    <s v="ok"/>
    <s v="ok"/>
    <s v="ok"/>
    <s v="ok"/>
    <s v="ok"/>
    <x v="0"/>
    <n v="83.750219444395043"/>
  </r>
  <r>
    <x v="2"/>
    <n v="1988"/>
    <x v="0"/>
    <x v="2"/>
    <x v="2"/>
    <s v="2nd line support"/>
    <x v="7"/>
    <x v="773"/>
    <d v="2023-05-03T15:29:28"/>
    <d v="2023-05-02T15:31:28"/>
    <d v="2023-05-02T15:31:05"/>
    <s v="Within SLA"/>
    <d v="2023-05-02T21:10:47"/>
    <x v="0"/>
    <m/>
    <n v="4"/>
    <m/>
    <x v="1"/>
    <x v="1"/>
    <s v="Greece"/>
    <n v="39.368279000000001"/>
    <n v="21.863140999999999"/>
    <s v="ok"/>
    <s v="ok"/>
    <s v="ok"/>
    <s v="ok"/>
    <s v="ok"/>
    <x v="0"/>
    <n v="5.6885469443514012"/>
  </r>
  <r>
    <x v="1"/>
    <n v="1989"/>
    <x v="1"/>
    <x v="1"/>
    <x v="3"/>
    <s v="1st line support"/>
    <x v="2"/>
    <x v="774"/>
    <d v="2023-05-04T17:56:22"/>
    <d v="2023-05-02T17:58:22"/>
    <d v="2023-05-02T17:58:20"/>
    <s v="Within SLA"/>
    <m/>
    <x v="1"/>
    <m/>
    <n v="2"/>
    <m/>
    <x v="0"/>
    <x v="0"/>
    <s v="United Kingdom"/>
    <n v="55.378051999999997"/>
    <n v="-3.4359730000000002"/>
    <s v="ok"/>
    <s v="ok"/>
    <s v="ok"/>
    <s v="ok"/>
    <s v="ok"/>
    <x v="1"/>
    <s v=""/>
  </r>
  <r>
    <x v="2"/>
    <n v="1990"/>
    <x v="0"/>
    <x v="0"/>
    <x v="2"/>
    <s v="2nd line support"/>
    <x v="1"/>
    <x v="775"/>
    <d v="2023-05-04T04:01:40"/>
    <d v="2023-05-02T05:01:40"/>
    <d v="2023-05-02T04:12:46"/>
    <s v="Within SLA"/>
    <d v="2023-05-03T06:28:56"/>
    <x v="0"/>
    <m/>
    <n v="7"/>
    <m/>
    <x v="2"/>
    <x v="1"/>
    <s v="Poland"/>
    <n v="52.536273000000001"/>
    <n v="19.050639"/>
    <s v="ok"/>
    <s v="ok"/>
    <s v="ok"/>
    <s v="ok"/>
    <s v="ok"/>
    <x v="0"/>
    <n v="26.454470833414234"/>
  </r>
  <r>
    <x v="0"/>
    <n v="1991"/>
    <x v="0"/>
    <x v="2"/>
    <x v="3"/>
    <s v="1st line support"/>
    <x v="6"/>
    <x v="776"/>
    <d v="2023-05-03T11:10:59"/>
    <d v="2023-05-02T11:12:59"/>
    <d v="2023-05-02T11:12:22"/>
    <s v="Within SLA"/>
    <d v="2023-05-02T12:18:08"/>
    <x v="0"/>
    <d v="2023-05-10T06:41:47"/>
    <n v="7"/>
    <n v="3"/>
    <x v="0"/>
    <x v="0"/>
    <s v="Bulgaria"/>
    <n v="42.724992499999999"/>
    <n v="25.483303899999999"/>
    <s v="ok"/>
    <s v="ok"/>
    <s v="ok"/>
    <s v="ok"/>
    <s v="ok"/>
    <x v="0"/>
    <n v="1.1191872220952064"/>
  </r>
  <r>
    <x v="2"/>
    <n v="1992"/>
    <x v="2"/>
    <x v="1"/>
    <x v="0"/>
    <s v="1st line support"/>
    <x v="3"/>
    <x v="777"/>
    <d v="2023-05-04T16:16:34"/>
    <d v="2023-05-02T16:18:34"/>
    <d v="2023-05-02T16:18:18"/>
    <s v="Within SLA"/>
    <d v="2023-05-05T23:29:22"/>
    <x v="1"/>
    <m/>
    <n v="3"/>
    <m/>
    <x v="0"/>
    <x v="0"/>
    <s v="Bulgaria"/>
    <n v="42.724992499999999"/>
    <n v="25.483303899999999"/>
    <s v="ok"/>
    <s v="ok"/>
    <s v="ok"/>
    <s v="ok"/>
    <s v="ok"/>
    <x v="0"/>
    <n v="79.213443055457901"/>
  </r>
  <r>
    <x v="0"/>
    <n v="1993"/>
    <x v="2"/>
    <x v="1"/>
    <x v="6"/>
    <s v="1st line support"/>
    <x v="6"/>
    <x v="778"/>
    <d v="2023-05-04T16:37:56"/>
    <d v="2023-05-02T16:39:56"/>
    <d v="2023-05-02T16:39:10"/>
    <s v="Within SLA"/>
    <d v="2023-05-03T10:24:17"/>
    <x v="0"/>
    <d v="2023-05-05T13:49:51"/>
    <n v="4"/>
    <n v="3"/>
    <x v="3"/>
    <x v="0"/>
    <s v="Germany"/>
    <n v="51.165691000000002"/>
    <n v="10.451525999999999"/>
    <s v="ok"/>
    <s v="ok"/>
    <s v="ok"/>
    <s v="ok"/>
    <s v="ok"/>
    <x v="0"/>
    <n v="17.77243777771946"/>
  </r>
  <r>
    <x v="2"/>
    <n v="1994"/>
    <x v="0"/>
    <x v="2"/>
    <x v="4"/>
    <s v="1st line support"/>
    <x v="6"/>
    <x v="779"/>
    <d v="2023-05-03T21:28:57"/>
    <d v="2023-05-02T21:30:57"/>
    <d v="2023-05-02T21:29:55"/>
    <s v="Within SLA"/>
    <d v="2023-05-03T05:45:44"/>
    <x v="0"/>
    <m/>
    <n v="7"/>
    <m/>
    <x v="2"/>
    <x v="0"/>
    <s v="Germany"/>
    <n v="51.165691000000002"/>
    <n v="10.451525999999999"/>
    <s v="ok"/>
    <s v="ok"/>
    <s v="ok"/>
    <s v="ok"/>
    <s v="ok"/>
    <x v="0"/>
    <n v="8.2798008334357291"/>
  </r>
  <r>
    <x v="2"/>
    <n v="1995"/>
    <x v="2"/>
    <x v="1"/>
    <x v="4"/>
    <s v="1st line support"/>
    <x v="0"/>
    <x v="780"/>
    <d v="2023-05-05T04:53:08"/>
    <d v="2023-05-03T04:55:08"/>
    <d v="2023-05-03T04:53:46"/>
    <s v="Within SLA"/>
    <d v="2023-05-03T14:13:04"/>
    <x v="0"/>
    <m/>
    <n v="2"/>
    <m/>
    <x v="2"/>
    <x v="0"/>
    <s v="United Kingdom"/>
    <n v="55.378051999999997"/>
    <n v="-3.4359730000000002"/>
    <s v="ok"/>
    <s v="ok"/>
    <s v="ok"/>
    <s v="ok"/>
    <s v="ok"/>
    <x v="0"/>
    <n v="9.3321302777621895"/>
  </r>
  <r>
    <x v="0"/>
    <n v="1996"/>
    <x v="2"/>
    <x v="1"/>
    <x v="3"/>
    <s v="1st line support"/>
    <x v="2"/>
    <x v="781"/>
    <d v="2023-05-05T16:14:03"/>
    <d v="2023-05-03T16:16:03"/>
    <d v="2023-05-03T16:14:31"/>
    <s v="Within SLA"/>
    <d v="2023-05-08T06:38:14"/>
    <x v="1"/>
    <d v="2023-05-09T21:07:26"/>
    <n v="1"/>
    <n v="3"/>
    <x v="2"/>
    <x v="0"/>
    <s v="Poland"/>
    <n v="52.536273000000001"/>
    <n v="19.050639"/>
    <s v="ok"/>
    <s v="ok"/>
    <s v="ok"/>
    <s v="ok"/>
    <s v="ok"/>
    <x v="0"/>
    <n v="110.40302444435656"/>
  </r>
  <r>
    <x v="2"/>
    <n v="1997"/>
    <x v="0"/>
    <x v="0"/>
    <x v="1"/>
    <s v="2nd line support"/>
    <x v="1"/>
    <x v="782"/>
    <d v="2023-05-05T13:03:01"/>
    <d v="2023-05-03T14:03:01"/>
    <d v="2023-05-03T13:20:51"/>
    <s v="Within SLA"/>
    <d v="2023-05-05T08:17:18"/>
    <x v="0"/>
    <m/>
    <n v="2"/>
    <m/>
    <x v="0"/>
    <x v="1"/>
    <s v="United Kingdom"/>
    <n v="55.378051999999997"/>
    <n v="-3.4359730000000002"/>
    <s v="ok"/>
    <s v="ok"/>
    <s v="ok"/>
    <s v="ok"/>
    <s v="ok"/>
    <x v="0"/>
    <n v="43.23793555557495"/>
  </r>
  <r>
    <x v="0"/>
    <n v="1998"/>
    <x v="2"/>
    <x v="0"/>
    <x v="1"/>
    <s v="2nd line support"/>
    <x v="7"/>
    <x v="783"/>
    <d v="2023-05-05T16:48:44"/>
    <d v="2023-05-03T17:48:44"/>
    <d v="2023-05-03T17:44:25"/>
    <s v="Within SLA"/>
    <d v="2023-05-03T17:12:11"/>
    <x v="0"/>
    <d v="2023-05-05T20:58:19"/>
    <n v="4"/>
    <n v="3"/>
    <x v="1"/>
    <x v="1"/>
    <s v="United Kingdom"/>
    <n v="55.378051999999997"/>
    <n v="-3.4359730000000002"/>
    <s v="ok"/>
    <s v="ok"/>
    <s v="ok"/>
    <s v="ok"/>
    <s v="ok"/>
    <x v="0"/>
    <n v="0.39075444446643814"/>
  </r>
  <r>
    <x v="1"/>
    <n v="1999"/>
    <x v="0"/>
    <x v="1"/>
    <x v="1"/>
    <s v="2nd line support"/>
    <x v="1"/>
    <x v="784"/>
    <d v="2023-05-05T18:09:48"/>
    <d v="2023-05-03T18:11:48"/>
    <d v="2023-05-03T18:13:46"/>
    <s v="SLA Violated"/>
    <m/>
    <x v="1"/>
    <m/>
    <n v="4"/>
    <m/>
    <x v="0"/>
    <x v="1"/>
    <s v="Slovenia"/>
    <n v="46.149166399999999"/>
    <n v="14.9860106"/>
    <s v="ok"/>
    <s v="ok"/>
    <s v="ok"/>
    <s v="ok"/>
    <s v="ok"/>
    <x v="1"/>
    <s v=""/>
  </r>
  <r>
    <x v="1"/>
    <n v="2000"/>
    <x v="0"/>
    <x v="0"/>
    <x v="0"/>
    <s v="1st line support"/>
    <x v="4"/>
    <x v="785"/>
    <d v="2023-05-05T10:20:16"/>
    <d v="2023-05-03T11:20:16"/>
    <d v="2023-05-03T11:08:44"/>
    <s v="Within SLA"/>
    <m/>
    <x v="1"/>
    <m/>
    <n v="1"/>
    <m/>
    <x v="0"/>
    <x v="0"/>
    <s v="Republic of Ireland"/>
    <n v="53.094023999999997"/>
    <n v="-8.0196749999999994"/>
    <s v="ok"/>
    <s v="ok"/>
    <s v="ok"/>
    <s v="ok"/>
    <s v="ok"/>
    <x v="1"/>
    <s v=""/>
  </r>
  <r>
    <x v="2"/>
    <n v="2001"/>
    <x v="2"/>
    <x v="0"/>
    <x v="5"/>
    <s v="1st line support"/>
    <x v="4"/>
    <x v="786"/>
    <d v="2023-05-05T08:38:01"/>
    <d v="2023-05-03T09:38:01"/>
    <d v="2023-05-03T14:06:43"/>
    <s v="SLA Violated"/>
    <d v="2023-05-05T00:13:10"/>
    <x v="0"/>
    <m/>
    <n v="1"/>
    <m/>
    <x v="2"/>
    <x v="0"/>
    <s v="Bulgaria"/>
    <n v="42.724992499999999"/>
    <n v="25.483303899999999"/>
    <s v="ok"/>
    <s v="ok"/>
    <s v="ok"/>
    <s v="ok"/>
    <s v="ok"/>
    <x v="0"/>
    <n v="39.585966388927773"/>
  </r>
  <r>
    <x v="1"/>
    <n v="2002"/>
    <x v="0"/>
    <x v="0"/>
    <x v="3"/>
    <s v="1st line support"/>
    <x v="6"/>
    <x v="787"/>
    <d v="2023-05-05T06:59:01"/>
    <d v="2023-05-03T07:59:01"/>
    <d v="2023-05-03T07:25:37"/>
    <s v="Within SLA"/>
    <m/>
    <x v="1"/>
    <m/>
    <n v="2"/>
    <m/>
    <x v="0"/>
    <x v="0"/>
    <s v="Italy"/>
    <n v="43.036776000000003"/>
    <n v="12.678565000000001"/>
    <s v="ok"/>
    <s v="ok"/>
    <s v="ok"/>
    <s v="ok"/>
    <s v="ok"/>
    <x v="1"/>
    <s v=""/>
  </r>
  <r>
    <x v="2"/>
    <n v="2003"/>
    <x v="1"/>
    <x v="2"/>
    <x v="1"/>
    <s v="2nd line support"/>
    <x v="1"/>
    <x v="788"/>
    <d v="2023-05-04T23:36:36"/>
    <d v="2023-05-03T23:38:36"/>
    <d v="2023-05-03T23:37:39"/>
    <s v="Within SLA"/>
    <d v="2023-05-04T21:33:16"/>
    <x v="0"/>
    <m/>
    <n v="6"/>
    <m/>
    <x v="3"/>
    <x v="1"/>
    <s v="Spain"/>
    <n v="39.673369999999998"/>
    <n v="-4.7677259999999997"/>
    <s v="ok"/>
    <s v="ok"/>
    <s v="ok"/>
    <s v="ok"/>
    <s v="ok"/>
    <x v="0"/>
    <n v="21.944381666660774"/>
  </r>
  <r>
    <x v="2"/>
    <n v="2004"/>
    <x v="2"/>
    <x v="0"/>
    <x v="1"/>
    <s v="1st line support"/>
    <x v="0"/>
    <x v="789"/>
    <d v="2023-05-05T09:38:59"/>
    <d v="2023-05-03T10:38:59"/>
    <d v="2023-05-03T10:06:10"/>
    <s v="Within SLA"/>
    <d v="2023-05-05T06:42:27"/>
    <x v="0"/>
    <m/>
    <n v="7"/>
    <m/>
    <x v="0"/>
    <x v="0"/>
    <s v="Greece"/>
    <n v="39.368279000000001"/>
    <n v="21.863140999999999"/>
    <s v="ok"/>
    <s v="ok"/>
    <s v="ok"/>
    <s v="ok"/>
    <s v="ok"/>
    <x v="0"/>
    <n v="45.05776111112209"/>
  </r>
  <r>
    <x v="0"/>
    <n v="2005"/>
    <x v="0"/>
    <x v="0"/>
    <x v="4"/>
    <s v="1st line support"/>
    <x v="4"/>
    <x v="790"/>
    <d v="2023-05-05T21:34:00"/>
    <d v="2023-05-03T22:34:00"/>
    <d v="2023-05-03T21:54:32"/>
    <s v="Within SLA"/>
    <d v="2023-05-04T12:04:51"/>
    <x v="0"/>
    <d v="2023-05-07T16:44:26"/>
    <n v="2"/>
    <n v="4"/>
    <x v="0"/>
    <x v="0"/>
    <s v="Germany"/>
    <n v="51.165691000000002"/>
    <n v="10.451525999999999"/>
    <s v="ok"/>
    <s v="ok"/>
    <s v="ok"/>
    <s v="ok"/>
    <s v="ok"/>
    <x v="0"/>
    <n v="14.51404083345551"/>
  </r>
  <r>
    <x v="0"/>
    <n v="2006"/>
    <x v="1"/>
    <x v="0"/>
    <x v="0"/>
    <s v="1st line support"/>
    <x v="0"/>
    <x v="791"/>
    <d v="2023-05-05T05:48:01"/>
    <d v="2023-05-03T06:48:01"/>
    <d v="2023-05-03T06:00:32"/>
    <s v="Within SLA"/>
    <d v="2023-05-03T23:26:57"/>
    <x v="0"/>
    <d v="2023-05-09T23:40:36"/>
    <n v="1"/>
    <n v="5"/>
    <x v="2"/>
    <x v="0"/>
    <s v="Italy"/>
    <n v="43.036776000000003"/>
    <n v="12.678565000000001"/>
    <s v="ok"/>
    <s v="ok"/>
    <s v="ok"/>
    <s v="ok"/>
    <s v="ok"/>
    <x v="0"/>
    <n v="17.648859444481786"/>
  </r>
  <r>
    <x v="0"/>
    <n v="2007"/>
    <x v="0"/>
    <x v="2"/>
    <x v="1"/>
    <s v="1st line support"/>
    <x v="6"/>
    <x v="792"/>
    <d v="2023-05-05T19:26:02"/>
    <d v="2023-05-04T19:28:02"/>
    <d v="2023-05-04T19:27:18"/>
    <s v="Within SLA"/>
    <d v="2023-05-05T15:30:32"/>
    <x v="0"/>
    <d v="2023-05-07T04:27:03"/>
    <n v="5"/>
    <n v="1"/>
    <x v="2"/>
    <x v="0"/>
    <s v="Republic of Ireland"/>
    <n v="53.094023999999997"/>
    <n v="-8.0196749999999994"/>
    <s v="ok"/>
    <s v="ok"/>
    <s v="ok"/>
    <s v="ok"/>
    <s v="ok"/>
    <x v="0"/>
    <n v="20.074940277670976"/>
  </r>
  <r>
    <x v="0"/>
    <n v="2008"/>
    <x v="2"/>
    <x v="2"/>
    <x v="1"/>
    <s v="2nd line support"/>
    <x v="7"/>
    <x v="793"/>
    <d v="2023-05-05T01:22:03"/>
    <d v="2023-05-04T01:24:03"/>
    <d v="2023-05-04T01:22:37"/>
    <s v="Within SLA"/>
    <d v="2023-05-07T16:18:43"/>
    <x v="1"/>
    <d v="2023-05-09T11:15:05"/>
    <n v="7"/>
    <n v="5"/>
    <x v="1"/>
    <x v="1"/>
    <s v="France"/>
    <n v="48.864716000000001"/>
    <n v="2.3490139999999999"/>
    <s v="ok"/>
    <s v="ok"/>
    <s v="ok"/>
    <s v="ok"/>
    <s v="ok"/>
    <x v="0"/>
    <n v="86.944333055696916"/>
  </r>
  <r>
    <x v="1"/>
    <n v="2010"/>
    <x v="2"/>
    <x v="0"/>
    <x v="1"/>
    <s v="1st line support"/>
    <x v="0"/>
    <x v="794"/>
    <d v="2023-05-06T11:42:39"/>
    <d v="2023-05-04T12:42:39"/>
    <d v="2023-05-04T12:55:02"/>
    <s v="SLA Violated"/>
    <m/>
    <x v="1"/>
    <m/>
    <n v="3"/>
    <m/>
    <x v="0"/>
    <x v="0"/>
    <s v="France"/>
    <n v="48.864716000000001"/>
    <n v="2.3490139999999999"/>
    <s v="ok"/>
    <s v="ok"/>
    <s v="ok"/>
    <s v="ok"/>
    <s v="ok"/>
    <x v="1"/>
    <s v=""/>
  </r>
  <r>
    <x v="0"/>
    <n v="2011"/>
    <x v="2"/>
    <x v="2"/>
    <x v="3"/>
    <s v="1st line support"/>
    <x v="0"/>
    <x v="795"/>
    <d v="2023-05-06T14:09:14"/>
    <d v="2023-05-05T14:11:14"/>
    <d v="2023-05-05T14:12:31"/>
    <s v="SLA Violated"/>
    <d v="2023-05-06T01:28:08"/>
    <x v="0"/>
    <d v="2023-05-07T13:49:06"/>
    <n v="9"/>
    <n v="4"/>
    <x v="2"/>
    <x v="0"/>
    <s v="Slovenia"/>
    <n v="46.149166399999999"/>
    <n v="14.9860106"/>
    <s v="ok"/>
    <s v="ok"/>
    <s v="ok"/>
    <s v="ok"/>
    <s v="ok"/>
    <x v="0"/>
    <n v="11.315089166688267"/>
  </r>
  <r>
    <x v="0"/>
    <n v="2012"/>
    <x v="0"/>
    <x v="2"/>
    <x v="5"/>
    <s v="1st line support"/>
    <x v="6"/>
    <x v="796"/>
    <d v="2023-05-06T23:50:12"/>
    <d v="2023-05-05T23:52:12"/>
    <d v="2023-05-05T23:50:36"/>
    <s v="Within SLA"/>
    <d v="2023-05-06T09:49:23"/>
    <x v="0"/>
    <d v="2023-05-12T06:20:39"/>
    <n v="9"/>
    <n v="5"/>
    <x v="0"/>
    <x v="0"/>
    <s v="Austria"/>
    <n v="47.696471899999999"/>
    <n v="13.3457347"/>
    <s v="ok"/>
    <s v="ok"/>
    <s v="ok"/>
    <s v="ok"/>
    <s v="ok"/>
    <x v="0"/>
    <n v="9.9864488888997585"/>
  </r>
  <r>
    <x v="0"/>
    <n v="2014"/>
    <x v="1"/>
    <x v="0"/>
    <x v="4"/>
    <s v="1st line support"/>
    <x v="0"/>
    <x v="797"/>
    <d v="2023-05-07T10:41:49"/>
    <d v="2023-05-05T11:41:49"/>
    <d v="2023-05-05T10:42:30"/>
    <s v="Within SLA"/>
    <d v="2023-05-06T17:28:10"/>
    <x v="0"/>
    <d v="2023-05-09T05:07:18"/>
    <n v="5"/>
    <n v="2"/>
    <x v="3"/>
    <x v="0"/>
    <s v="Republic of Ireland"/>
    <n v="53.094023999999997"/>
    <n v="-8.0196749999999994"/>
    <s v="ok"/>
    <s v="ok"/>
    <s v="ok"/>
    <s v="ok"/>
    <s v="ok"/>
    <x v="0"/>
    <n v="30.772506388952024"/>
  </r>
  <r>
    <x v="0"/>
    <n v="2015"/>
    <x v="0"/>
    <x v="0"/>
    <x v="0"/>
    <s v="1st line support"/>
    <x v="3"/>
    <x v="798"/>
    <d v="2023-05-07T03:03:46"/>
    <d v="2023-05-05T04:03:46"/>
    <d v="2023-05-05T03:22:22"/>
    <s v="Within SLA"/>
    <d v="2023-05-05T04:38:40"/>
    <x v="0"/>
    <d v="2023-05-11T07:17:17"/>
    <n v="5"/>
    <n v="5"/>
    <x v="2"/>
    <x v="0"/>
    <s v="Italy"/>
    <n v="43.036776000000003"/>
    <n v="12.678565000000001"/>
    <s v="ok"/>
    <s v="ok"/>
    <s v="ok"/>
    <s v="ok"/>
    <s v="ok"/>
    <x v="0"/>
    <n v="1.5817783334059641"/>
  </r>
  <r>
    <x v="1"/>
    <n v="2016"/>
    <x v="2"/>
    <x v="0"/>
    <x v="2"/>
    <s v="1st line support"/>
    <x v="6"/>
    <x v="799"/>
    <d v="2023-05-07T16:30:48"/>
    <d v="2023-05-05T17:30:48"/>
    <d v="2023-05-05T16:52:26"/>
    <s v="Within SLA"/>
    <m/>
    <x v="1"/>
    <m/>
    <n v="1"/>
    <m/>
    <x v="2"/>
    <x v="0"/>
    <s v="Spain"/>
    <n v="39.673369999999998"/>
    <n v="-4.7677259999999997"/>
    <s v="ok"/>
    <s v="ok"/>
    <s v="ok"/>
    <s v="ok"/>
    <s v="ok"/>
    <x v="1"/>
    <s v=""/>
  </r>
  <r>
    <x v="0"/>
    <n v="2017"/>
    <x v="0"/>
    <x v="0"/>
    <x v="1"/>
    <s v="2nd line support"/>
    <x v="1"/>
    <x v="800"/>
    <d v="2023-05-07T01:32:00"/>
    <d v="2023-05-05T02:32:00"/>
    <d v="2023-05-05T02:07:45"/>
    <s v="Within SLA"/>
    <d v="2023-05-06T01:50:45"/>
    <x v="0"/>
    <d v="2023-05-10T13:56:52"/>
    <n v="1"/>
    <n v="3"/>
    <x v="2"/>
    <x v="1"/>
    <s v="Czech Republic"/>
    <n v="49.8037633"/>
    <n v="15.4749126"/>
    <s v="ok"/>
    <s v="ok"/>
    <s v="ok"/>
    <s v="ok"/>
    <s v="ok"/>
    <x v="0"/>
    <n v="24.312395555607509"/>
  </r>
  <r>
    <x v="0"/>
    <n v="2018"/>
    <x v="0"/>
    <x v="2"/>
    <x v="0"/>
    <s v="1st line support"/>
    <x v="3"/>
    <x v="801"/>
    <d v="2023-05-06T15:10:06"/>
    <d v="2023-05-05T15:12:06"/>
    <d v="2023-05-05T15:10:20"/>
    <s v="Within SLA"/>
    <d v="2023-05-06T02:33:44"/>
    <x v="0"/>
    <d v="2023-05-06T06:11:03"/>
    <n v="5"/>
    <n v="5"/>
    <x v="2"/>
    <x v="0"/>
    <s v="Republic of Ireland"/>
    <n v="53.094023999999997"/>
    <n v="-8.0196749999999994"/>
    <s v="ok"/>
    <s v="ok"/>
    <s v="ok"/>
    <s v="ok"/>
    <s v="ok"/>
    <x v="0"/>
    <n v="11.393829166539945"/>
  </r>
  <r>
    <x v="2"/>
    <n v="2019"/>
    <x v="0"/>
    <x v="2"/>
    <x v="5"/>
    <s v="1st line support"/>
    <x v="0"/>
    <x v="802"/>
    <d v="2023-05-06T05:54:12"/>
    <d v="2023-05-05T05:56:12"/>
    <d v="2023-05-05T05:55:05"/>
    <s v="Within SLA"/>
    <d v="2023-05-05T08:51:43"/>
    <x v="0"/>
    <m/>
    <n v="5"/>
    <m/>
    <x v="2"/>
    <x v="0"/>
    <s v="Austria"/>
    <n v="47.696471899999999"/>
    <n v="13.3457347"/>
    <s v="ok"/>
    <s v="ok"/>
    <s v="ok"/>
    <s v="ok"/>
    <s v="ok"/>
    <x v="0"/>
    <n v="2.9584969444549643"/>
  </r>
  <r>
    <x v="0"/>
    <n v="2020"/>
    <x v="1"/>
    <x v="0"/>
    <x v="0"/>
    <s v="1st line support"/>
    <x v="0"/>
    <x v="803"/>
    <d v="2023-05-07T09:06:10"/>
    <d v="2023-05-05T10:06:10"/>
    <d v="2023-05-05T09:48:54"/>
    <s v="Within SLA"/>
    <d v="2023-05-05T14:45:32"/>
    <x v="0"/>
    <d v="2023-05-11T05:38:05"/>
    <n v="6"/>
    <n v="4"/>
    <x v="0"/>
    <x v="0"/>
    <s v="United Kingdom"/>
    <n v="55.378051999999997"/>
    <n v="-3.4359730000000002"/>
    <s v="ok"/>
    <s v="ok"/>
    <s v="ok"/>
    <s v="ok"/>
    <s v="ok"/>
    <x v="0"/>
    <n v="5.656083888898138"/>
  </r>
  <r>
    <x v="1"/>
    <n v="2021"/>
    <x v="1"/>
    <x v="2"/>
    <x v="0"/>
    <s v="1st line support"/>
    <x v="3"/>
    <x v="804"/>
    <d v="2023-05-06T15:16:20"/>
    <d v="2023-05-05T15:18:20"/>
    <d v="2023-05-05T15:17:50"/>
    <s v="Within SLA"/>
    <m/>
    <x v="1"/>
    <m/>
    <n v="4"/>
    <m/>
    <x v="2"/>
    <x v="0"/>
    <s v="Slovenia"/>
    <n v="46.149166399999999"/>
    <n v="14.9860106"/>
    <s v="ok"/>
    <s v="ok"/>
    <s v="ok"/>
    <s v="ok"/>
    <s v="ok"/>
    <x v="1"/>
    <s v=""/>
  </r>
  <r>
    <x v="0"/>
    <n v="2022"/>
    <x v="0"/>
    <x v="0"/>
    <x v="6"/>
    <s v="1st line support"/>
    <x v="3"/>
    <x v="805"/>
    <d v="2023-05-07T06:02:46"/>
    <d v="2023-05-05T07:02:46"/>
    <d v="2023-05-05T06:50:01"/>
    <s v="Within SLA"/>
    <d v="2023-05-06T13:19:59"/>
    <x v="0"/>
    <d v="2023-05-07T00:45:16"/>
    <n v="2"/>
    <n v="5"/>
    <x v="3"/>
    <x v="0"/>
    <s v="Italy"/>
    <n v="43.036776000000003"/>
    <n v="12.678565000000001"/>
    <s v="ok"/>
    <s v="ok"/>
    <s v="ok"/>
    <s v="ok"/>
    <s v="ok"/>
    <x v="0"/>
    <n v="31.287045000004582"/>
  </r>
  <r>
    <x v="0"/>
    <n v="2023"/>
    <x v="0"/>
    <x v="0"/>
    <x v="1"/>
    <s v="1st line support"/>
    <x v="0"/>
    <x v="806"/>
    <d v="2023-05-07T07:13:24"/>
    <d v="2023-05-05T08:13:24"/>
    <d v="2023-05-05T11:48:58"/>
    <s v="SLA Violated"/>
    <d v="2023-05-08T02:26:46"/>
    <x v="1"/>
    <d v="2023-05-09T20:00:45"/>
    <n v="1"/>
    <n v="5"/>
    <x v="0"/>
    <x v="0"/>
    <s v="Poland"/>
    <n v="52.536273000000001"/>
    <n v="19.050639"/>
    <s v="ok"/>
    <s v="ok"/>
    <s v="ok"/>
    <s v="ok"/>
    <s v="ok"/>
    <x v="0"/>
    <n v="67.222913889039773"/>
  </r>
  <r>
    <x v="0"/>
    <n v="2028"/>
    <x v="0"/>
    <x v="0"/>
    <x v="3"/>
    <s v="1st line support"/>
    <x v="4"/>
    <x v="807"/>
    <d v="2023-05-08T23:05:51"/>
    <d v="2023-05-07T00:05:51"/>
    <d v="2023-05-07T00:05:45"/>
    <s v="Within SLA"/>
    <d v="2023-05-12T16:23:20"/>
    <x v="1"/>
    <d v="2023-05-14T10:58:08"/>
    <n v="5"/>
    <n v="2"/>
    <x v="0"/>
    <x v="0"/>
    <s v="Czech Republic"/>
    <n v="49.8037633"/>
    <n v="15.4749126"/>
    <s v="ok"/>
    <s v="ok"/>
    <s v="ok"/>
    <s v="ok"/>
    <s v="ok"/>
    <x v="0"/>
    <n v="137.29131944454275"/>
  </r>
  <r>
    <x v="2"/>
    <n v="2029"/>
    <x v="2"/>
    <x v="0"/>
    <x v="3"/>
    <s v="1st line support"/>
    <x v="2"/>
    <x v="808"/>
    <d v="2023-05-08T08:37:48"/>
    <d v="2023-05-06T09:37:48"/>
    <d v="2023-05-06T12:57:00"/>
    <s v="SLA Violated"/>
    <d v="2023-05-07T10:03:24"/>
    <x v="0"/>
    <m/>
    <n v="1"/>
    <m/>
    <x v="1"/>
    <x v="0"/>
    <s v="Italy"/>
    <n v="43.036776000000003"/>
    <n v="12.678565000000001"/>
    <s v="ok"/>
    <s v="ok"/>
    <s v="ok"/>
    <s v="ok"/>
    <s v="ok"/>
    <x v="0"/>
    <n v="25.426746666664258"/>
  </r>
  <r>
    <x v="0"/>
    <n v="2030"/>
    <x v="0"/>
    <x v="0"/>
    <x v="3"/>
    <s v="1st line support"/>
    <x v="0"/>
    <x v="809"/>
    <d v="2023-05-08T21:39:46"/>
    <d v="2023-05-06T22:39:46"/>
    <d v="2023-05-06T21:52:03"/>
    <s v="Within SLA"/>
    <d v="2023-05-08T16:57:35"/>
    <x v="0"/>
    <d v="2023-05-12T05:55:44"/>
    <n v="5"/>
    <n v="1"/>
    <x v="0"/>
    <x v="0"/>
    <s v="France"/>
    <n v="48.864716000000001"/>
    <n v="2.3490139999999999"/>
    <s v="ok"/>
    <s v="ok"/>
    <s v="ok"/>
    <s v="ok"/>
    <s v="ok"/>
    <x v="0"/>
    <n v="43.297019999998156"/>
  </r>
  <r>
    <x v="1"/>
    <n v="2031"/>
    <x v="0"/>
    <x v="2"/>
    <x v="5"/>
    <s v="1st line support"/>
    <x v="3"/>
    <x v="810"/>
    <d v="2023-05-08T20:26:09"/>
    <d v="2023-05-07T20:28:09"/>
    <d v="2023-05-07T20:26:27"/>
    <s v="Within SLA"/>
    <m/>
    <x v="1"/>
    <m/>
    <n v="6"/>
    <m/>
    <x v="0"/>
    <x v="0"/>
    <s v="United Kingdom"/>
    <n v="55.378051999999997"/>
    <n v="-3.4359730000000002"/>
    <s v="ok"/>
    <s v="ok"/>
    <s v="ok"/>
    <s v="ok"/>
    <s v="ok"/>
    <x v="1"/>
    <s v=""/>
  </r>
  <r>
    <x v="2"/>
    <n v="2032"/>
    <x v="0"/>
    <x v="2"/>
    <x v="2"/>
    <s v="1st line support"/>
    <x v="4"/>
    <x v="811"/>
    <d v="2023-05-08T08:37:05"/>
    <d v="2023-05-07T08:39:05"/>
    <d v="2023-05-07T08:39:15"/>
    <s v="SLA Violated"/>
    <d v="2023-05-08T00:45:54"/>
    <x v="0"/>
    <m/>
    <n v="6"/>
    <m/>
    <x v="3"/>
    <x v="0"/>
    <s v="Czech Republic"/>
    <n v="49.8037633"/>
    <n v="15.4749126"/>
    <s v="ok"/>
    <s v="ok"/>
    <s v="ok"/>
    <s v="ok"/>
    <s v="ok"/>
    <x v="0"/>
    <n v="16.146823333343491"/>
  </r>
  <r>
    <x v="0"/>
    <n v="2034"/>
    <x v="0"/>
    <x v="0"/>
    <x v="2"/>
    <s v="1st line support"/>
    <x v="4"/>
    <x v="812"/>
    <d v="2023-05-09T02:10:20"/>
    <d v="2023-05-07T03:10:20"/>
    <d v="2023-05-07T02:16:34"/>
    <s v="Within SLA"/>
    <d v="2023-05-08T22:05:41"/>
    <x v="0"/>
    <d v="2023-05-08T03:56:40"/>
    <n v="1"/>
    <n v="4"/>
    <x v="1"/>
    <x v="0"/>
    <s v="United Kingdom"/>
    <n v="55.378051999999997"/>
    <n v="-3.4359730000000002"/>
    <s v="ok"/>
    <s v="ok"/>
    <s v="check"/>
    <s v="ok"/>
    <s v="ok"/>
    <x v="0"/>
    <n v="43.922556666657329"/>
  </r>
  <r>
    <x v="0"/>
    <n v="2035"/>
    <x v="0"/>
    <x v="0"/>
    <x v="1"/>
    <s v="1st line support"/>
    <x v="2"/>
    <x v="813"/>
    <d v="2023-05-09T05:31:03"/>
    <d v="2023-05-07T06:31:03"/>
    <d v="2023-05-07T06:21:15"/>
    <s v="Within SLA"/>
    <d v="2023-05-07T18:18:46"/>
    <x v="0"/>
    <d v="2023-05-12T19:11:35"/>
    <n v="9"/>
    <n v="3"/>
    <x v="3"/>
    <x v="0"/>
    <s v="Czech Republic"/>
    <n v="49.8037633"/>
    <n v="15.4749126"/>
    <s v="ok"/>
    <s v="ok"/>
    <s v="ok"/>
    <s v="ok"/>
    <s v="ok"/>
    <x v="0"/>
    <n v="12.795273611031007"/>
  </r>
  <r>
    <x v="0"/>
    <n v="2036"/>
    <x v="2"/>
    <x v="0"/>
    <x v="1"/>
    <s v="1st line support"/>
    <x v="2"/>
    <x v="814"/>
    <d v="2023-05-10T13:48:01"/>
    <d v="2023-05-08T14:48:01"/>
    <d v="2023-05-08T13:57:58"/>
    <s v="Within SLA"/>
    <d v="2023-05-08T22:33:52"/>
    <x v="0"/>
    <d v="2023-05-10T14:39:58"/>
    <n v="10"/>
    <n v="1"/>
    <x v="2"/>
    <x v="0"/>
    <s v="Czech Republic"/>
    <n v="49.8037633"/>
    <n v="15.4749126"/>
    <s v="ok"/>
    <s v="ok"/>
    <s v="ok"/>
    <s v="ok"/>
    <s v="ok"/>
    <x v="0"/>
    <n v="8.7642250000499189"/>
  </r>
  <r>
    <x v="0"/>
    <n v="2039"/>
    <x v="0"/>
    <x v="0"/>
    <x v="2"/>
    <s v="1st line support"/>
    <x v="3"/>
    <x v="815"/>
    <d v="2023-05-10T17:48:29"/>
    <d v="2023-05-08T18:48:29"/>
    <d v="2023-05-08T17:59:51"/>
    <s v="Within SLA"/>
    <d v="2023-05-08T18:48:44"/>
    <x v="0"/>
    <d v="2023-05-14T08:42:36"/>
    <n v="5"/>
    <n v="4"/>
    <x v="2"/>
    <x v="0"/>
    <s v="Poland"/>
    <n v="52.536273000000001"/>
    <n v="19.050639"/>
    <s v="ok"/>
    <s v="ok"/>
    <s v="ok"/>
    <s v="ok"/>
    <s v="ok"/>
    <x v="0"/>
    <n v="1.004155277798418"/>
  </r>
  <r>
    <x v="2"/>
    <n v="2040"/>
    <x v="0"/>
    <x v="0"/>
    <x v="3"/>
    <s v="1st line support"/>
    <x v="2"/>
    <x v="816"/>
    <d v="2023-05-10T01:35:22"/>
    <d v="2023-05-08T02:35:22"/>
    <d v="2023-05-08T02:05:51"/>
    <s v="Within SLA"/>
    <d v="2023-05-09T01:17:11"/>
    <x v="0"/>
    <m/>
    <n v="5"/>
    <m/>
    <x v="3"/>
    <x v="0"/>
    <s v="United Kingdom"/>
    <n v="55.378051999999997"/>
    <n v="-3.4359730000000002"/>
    <s v="ok"/>
    <s v="ok"/>
    <s v="ok"/>
    <s v="ok"/>
    <s v="ok"/>
    <x v="0"/>
    <n v="23.69707638892578"/>
  </r>
  <r>
    <x v="2"/>
    <n v="2041"/>
    <x v="0"/>
    <x v="0"/>
    <x v="5"/>
    <s v="1st line support"/>
    <x v="2"/>
    <x v="817"/>
    <d v="2023-05-10T11:40:37"/>
    <d v="2023-05-08T12:40:37"/>
    <d v="2023-05-08T12:03:57"/>
    <s v="Within SLA"/>
    <d v="2023-05-09T21:05:57"/>
    <x v="0"/>
    <m/>
    <n v="1"/>
    <m/>
    <x v="2"/>
    <x v="0"/>
    <s v="Poland"/>
    <n v="52.536273000000001"/>
    <n v="19.050639"/>
    <s v="ok"/>
    <s v="ok"/>
    <s v="ok"/>
    <s v="ok"/>
    <s v="ok"/>
    <x v="0"/>
    <n v="33.422338055621367"/>
  </r>
  <r>
    <x v="1"/>
    <n v="2042"/>
    <x v="0"/>
    <x v="0"/>
    <x v="4"/>
    <s v="1st line support"/>
    <x v="3"/>
    <x v="818"/>
    <d v="2023-05-10T20:38:25"/>
    <d v="2023-05-08T21:38:25"/>
    <d v="2023-05-08T21:00:55"/>
    <s v="Within SLA"/>
    <m/>
    <x v="1"/>
    <m/>
    <n v="5"/>
    <m/>
    <x v="3"/>
    <x v="0"/>
    <s v="Czech Republic"/>
    <n v="49.8037633"/>
    <n v="15.4749126"/>
    <s v="ok"/>
    <s v="ok"/>
    <s v="ok"/>
    <s v="ok"/>
    <s v="ok"/>
    <x v="1"/>
    <s v=""/>
  </r>
  <r>
    <x v="1"/>
    <n v="2044"/>
    <x v="1"/>
    <x v="2"/>
    <x v="1"/>
    <s v="1st line support"/>
    <x v="6"/>
    <x v="819"/>
    <d v="2023-05-10T04:50:43"/>
    <d v="2023-05-09T04:52:43"/>
    <d v="2023-05-09T04:52:14"/>
    <s v="Within SLA"/>
    <m/>
    <x v="1"/>
    <m/>
    <n v="8"/>
    <m/>
    <x v="2"/>
    <x v="0"/>
    <s v="Italy"/>
    <n v="43.036776000000003"/>
    <n v="12.678565000000001"/>
    <s v="ok"/>
    <s v="ok"/>
    <s v="ok"/>
    <s v="ok"/>
    <s v="ok"/>
    <x v="1"/>
    <s v=""/>
  </r>
  <r>
    <x v="0"/>
    <n v="2045"/>
    <x v="0"/>
    <x v="2"/>
    <x v="1"/>
    <s v="1st line support"/>
    <x v="3"/>
    <x v="820"/>
    <d v="2023-05-10T12:52:20"/>
    <d v="2023-05-09T12:54:20"/>
    <d v="2023-05-09T12:53:09"/>
    <s v="Within SLA"/>
    <d v="2023-05-09T16:16:19"/>
    <x v="0"/>
    <d v="2023-05-12T11:00:54"/>
    <n v="6"/>
    <n v="4"/>
    <x v="0"/>
    <x v="0"/>
    <s v="Italy"/>
    <n v="43.036776000000003"/>
    <n v="12.678565000000001"/>
    <s v="ok"/>
    <s v="ok"/>
    <s v="ok"/>
    <s v="ok"/>
    <s v="ok"/>
    <x v="0"/>
    <n v="3.3997683333582245"/>
  </r>
  <r>
    <x v="2"/>
    <n v="2046"/>
    <x v="0"/>
    <x v="0"/>
    <x v="4"/>
    <s v="1st line support"/>
    <x v="0"/>
    <x v="821"/>
    <d v="2023-05-11T05:51:28"/>
    <d v="2023-05-09T06:51:28"/>
    <d v="2023-05-09T06:11:37"/>
    <s v="Within SLA"/>
    <d v="2023-05-10T14:49:36"/>
    <x v="0"/>
    <m/>
    <n v="1"/>
    <m/>
    <x v="2"/>
    <x v="0"/>
    <s v="Italy"/>
    <n v="43.036776000000003"/>
    <n v="12.678565000000001"/>
    <s v="ok"/>
    <s v="ok"/>
    <s v="ok"/>
    <s v="ok"/>
    <s v="ok"/>
    <x v="0"/>
    <n v="32.968774722365197"/>
  </r>
  <r>
    <x v="1"/>
    <n v="2048"/>
    <x v="2"/>
    <x v="0"/>
    <x v="1"/>
    <s v="1st line support"/>
    <x v="6"/>
    <x v="822"/>
    <d v="2023-05-11T11:18:13"/>
    <d v="2023-05-09T12:18:13"/>
    <d v="2023-05-09T11:24:31"/>
    <s v="Within SLA"/>
    <m/>
    <x v="1"/>
    <m/>
    <n v="10"/>
    <m/>
    <x v="3"/>
    <x v="0"/>
    <s v="Bulgaria"/>
    <n v="42.724992499999999"/>
    <n v="25.483303899999999"/>
    <s v="ok"/>
    <s v="ok"/>
    <s v="ok"/>
    <s v="ok"/>
    <s v="ok"/>
    <x v="1"/>
    <s v=""/>
  </r>
  <r>
    <x v="1"/>
    <n v="2049"/>
    <x v="0"/>
    <x v="0"/>
    <x v="1"/>
    <s v="1st line support"/>
    <x v="2"/>
    <x v="823"/>
    <d v="2023-05-11T14:34:05"/>
    <d v="2023-05-09T15:34:05"/>
    <d v="2023-05-09T14:38:01"/>
    <s v="Within SLA"/>
    <m/>
    <x v="1"/>
    <m/>
    <n v="1"/>
    <m/>
    <x v="2"/>
    <x v="0"/>
    <s v="Poland"/>
    <n v="52.536273000000001"/>
    <n v="19.050639"/>
    <s v="ok"/>
    <s v="ok"/>
    <s v="ok"/>
    <s v="ok"/>
    <s v="ok"/>
    <x v="1"/>
    <s v=""/>
  </r>
  <r>
    <x v="2"/>
    <n v="2050"/>
    <x v="0"/>
    <x v="2"/>
    <x v="3"/>
    <s v="2nd line support"/>
    <x v="5"/>
    <x v="824"/>
    <d v="2023-05-10T17:18:14"/>
    <d v="2023-05-09T17:20:14"/>
    <d v="2023-05-09T17:19:21"/>
    <s v="Within SLA"/>
    <d v="2023-05-10T02:22:11"/>
    <x v="0"/>
    <m/>
    <n v="9"/>
    <m/>
    <x v="3"/>
    <x v="1"/>
    <s v="Poland"/>
    <n v="52.536273000000001"/>
    <n v="19.050639"/>
    <s v="ok"/>
    <s v="ok"/>
    <s v="ok"/>
    <s v="ok"/>
    <s v="ok"/>
    <x v="0"/>
    <n v="9.065790833265055"/>
  </r>
  <r>
    <x v="0"/>
    <n v="2051"/>
    <x v="0"/>
    <x v="2"/>
    <x v="1"/>
    <s v="1st line support"/>
    <x v="2"/>
    <x v="825"/>
    <d v="2023-05-10T10:37:17"/>
    <d v="2023-05-09T10:39:17"/>
    <d v="2023-05-09T10:40:58"/>
    <s v="SLA Violated"/>
    <d v="2023-05-11T11:01:14"/>
    <x v="1"/>
    <d v="2023-05-13T08:21:46"/>
    <n v="6"/>
    <n v="3"/>
    <x v="3"/>
    <x v="0"/>
    <s v="Slovenia"/>
    <n v="46.149166399999999"/>
    <n v="14.9860106"/>
    <s v="ok"/>
    <s v="ok"/>
    <s v="ok"/>
    <s v="ok"/>
    <s v="ok"/>
    <x v="0"/>
    <n v="48.39929555542767"/>
  </r>
  <r>
    <x v="0"/>
    <n v="2052"/>
    <x v="0"/>
    <x v="0"/>
    <x v="4"/>
    <s v="1st line support"/>
    <x v="3"/>
    <x v="826"/>
    <d v="2023-05-11T04:26:33"/>
    <d v="2023-05-09T05:26:33"/>
    <d v="2023-05-09T09:03:45"/>
    <s v="SLA Violated"/>
    <d v="2023-05-10T13:57:57"/>
    <x v="0"/>
    <d v="2023-05-14T20:12:08"/>
    <n v="6"/>
    <n v="4"/>
    <x v="2"/>
    <x v="0"/>
    <s v="Italy"/>
    <n v="43.036776000000003"/>
    <n v="12.678565000000001"/>
    <s v="ok"/>
    <s v="ok"/>
    <s v="ok"/>
    <s v="ok"/>
    <s v="ok"/>
    <x v="0"/>
    <n v="33.523404999927152"/>
  </r>
  <r>
    <x v="0"/>
    <n v="2053"/>
    <x v="1"/>
    <x v="2"/>
    <x v="3"/>
    <s v="2nd line support"/>
    <x v="1"/>
    <x v="827"/>
    <d v="2023-05-11T08:52:46"/>
    <d v="2023-05-10T08:54:46"/>
    <d v="2023-05-10T08:57:06"/>
    <s v="SLA Violated"/>
    <d v="2023-05-11T08:04:29"/>
    <x v="0"/>
    <d v="2023-05-16T11:15:13"/>
    <n v="4"/>
    <n v="5"/>
    <x v="3"/>
    <x v="1"/>
    <s v="Greece"/>
    <n v="39.368279000000001"/>
    <n v="21.863140999999999"/>
    <s v="ok"/>
    <s v="ok"/>
    <s v="ok"/>
    <s v="ok"/>
    <s v="ok"/>
    <x v="0"/>
    <n v="23.195279166684486"/>
  </r>
  <r>
    <x v="1"/>
    <n v="2054"/>
    <x v="2"/>
    <x v="0"/>
    <x v="0"/>
    <s v="1st line support"/>
    <x v="2"/>
    <x v="828"/>
    <d v="2023-05-12T05:10:23"/>
    <d v="2023-05-10T06:10:23"/>
    <d v="2023-05-10T05:25:20"/>
    <s v="Within SLA"/>
    <m/>
    <x v="1"/>
    <m/>
    <n v="6"/>
    <m/>
    <x v="0"/>
    <x v="0"/>
    <s v="Greece"/>
    <n v="39.368279000000001"/>
    <n v="21.863140999999999"/>
    <s v="ok"/>
    <s v="ok"/>
    <s v="ok"/>
    <s v="ok"/>
    <s v="ok"/>
    <x v="1"/>
    <s v=""/>
  </r>
  <r>
    <x v="1"/>
    <n v="2055"/>
    <x v="2"/>
    <x v="0"/>
    <x v="3"/>
    <s v="1st line support"/>
    <x v="4"/>
    <x v="829"/>
    <d v="2023-05-12T11:21:39"/>
    <d v="2023-05-10T12:21:39"/>
    <d v="2023-05-10T12:02:50"/>
    <s v="Within SLA"/>
    <m/>
    <x v="1"/>
    <m/>
    <n v="9"/>
    <m/>
    <x v="0"/>
    <x v="0"/>
    <s v="Czech Republic"/>
    <n v="49.8037633"/>
    <n v="15.4749126"/>
    <s v="ok"/>
    <s v="ok"/>
    <s v="ok"/>
    <s v="ok"/>
    <s v="ok"/>
    <x v="1"/>
    <s v=""/>
  </r>
  <r>
    <x v="2"/>
    <n v="2056"/>
    <x v="2"/>
    <x v="2"/>
    <x v="1"/>
    <s v="1st line support"/>
    <x v="2"/>
    <x v="830"/>
    <d v="2023-05-11T07:53:38"/>
    <d v="2023-05-10T07:55:38"/>
    <d v="2023-05-10T07:55:32"/>
    <s v="Within SLA"/>
    <d v="2023-05-10T18:42:30"/>
    <x v="0"/>
    <m/>
    <n v="4"/>
    <m/>
    <x v="1"/>
    <x v="0"/>
    <s v="Austria"/>
    <n v="47.696471899999999"/>
    <n v="13.3457347"/>
    <s v="ok"/>
    <s v="ok"/>
    <s v="ok"/>
    <s v="ok"/>
    <s v="ok"/>
    <x v="0"/>
    <n v="10.81433944433229"/>
  </r>
  <r>
    <x v="1"/>
    <n v="2057"/>
    <x v="2"/>
    <x v="2"/>
    <x v="3"/>
    <s v="2nd line support"/>
    <x v="5"/>
    <x v="831"/>
    <d v="2023-05-11T07:28:39"/>
    <d v="2023-05-10T07:30:39"/>
    <d v="2023-05-10T07:29:56"/>
    <s v="Within SLA"/>
    <m/>
    <x v="1"/>
    <m/>
    <n v="6"/>
    <m/>
    <x v="2"/>
    <x v="1"/>
    <s v="Czech Republic"/>
    <n v="49.8037633"/>
    <n v="15.4749126"/>
    <s v="ok"/>
    <s v="ok"/>
    <s v="ok"/>
    <s v="ok"/>
    <s v="ok"/>
    <x v="1"/>
    <s v=""/>
  </r>
  <r>
    <x v="0"/>
    <n v="2058"/>
    <x v="2"/>
    <x v="2"/>
    <x v="1"/>
    <s v="1st line support"/>
    <x v="3"/>
    <x v="832"/>
    <d v="2023-05-12T17:27:13"/>
    <d v="2023-05-11T17:29:13"/>
    <d v="2023-05-11T17:28:18"/>
    <s v="Within SLA"/>
    <d v="2023-05-16T23:14:34"/>
    <x v="1"/>
    <d v="2023-05-17T23:39:29"/>
    <n v="9"/>
    <n v="3"/>
    <x v="2"/>
    <x v="0"/>
    <s v="Austria"/>
    <n v="47.696471899999999"/>
    <n v="13.3457347"/>
    <s v="ok"/>
    <s v="ok"/>
    <s v="ok"/>
    <s v="ok"/>
    <s v="ok"/>
    <x v="0"/>
    <n v="125.78915222233627"/>
  </r>
  <r>
    <x v="0"/>
    <n v="2059"/>
    <x v="1"/>
    <x v="0"/>
    <x v="3"/>
    <s v="1st line support"/>
    <x v="4"/>
    <x v="833"/>
    <d v="2023-05-13T09:22:13"/>
    <d v="2023-05-11T10:22:13"/>
    <d v="2023-05-11T09:23:10"/>
    <s v="Within SLA"/>
    <d v="2023-05-12T02:00:12"/>
    <x v="0"/>
    <d v="2023-05-15T22:40:49"/>
    <n v="9"/>
    <n v="4"/>
    <x v="2"/>
    <x v="0"/>
    <s v="Bulgaria"/>
    <n v="42.724992499999999"/>
    <n v="25.483303899999999"/>
    <s v="ok"/>
    <s v="ok"/>
    <s v="ok"/>
    <s v="ok"/>
    <s v="ok"/>
    <x v="0"/>
    <n v="16.633043333364185"/>
  </r>
  <r>
    <x v="2"/>
    <n v="2060"/>
    <x v="2"/>
    <x v="0"/>
    <x v="4"/>
    <s v="1st line support"/>
    <x v="0"/>
    <x v="834"/>
    <d v="2023-05-13T12:59:40"/>
    <d v="2023-05-11T13:59:40"/>
    <d v="2023-05-11T13:19:09"/>
    <s v="Within SLA"/>
    <d v="2023-05-12T02:02:26"/>
    <x v="0"/>
    <m/>
    <n v="3"/>
    <m/>
    <x v="0"/>
    <x v="0"/>
    <s v="France"/>
    <n v="48.864716000000001"/>
    <n v="2.3490139999999999"/>
    <s v="ok"/>
    <s v="ok"/>
    <s v="ok"/>
    <s v="ok"/>
    <s v="ok"/>
    <x v="0"/>
    <n v="13.046059444430284"/>
  </r>
  <r>
    <x v="2"/>
    <n v="2061"/>
    <x v="0"/>
    <x v="0"/>
    <x v="1"/>
    <s v="2nd line support"/>
    <x v="7"/>
    <x v="835"/>
    <d v="2023-05-13T08:25:23"/>
    <d v="2023-05-11T09:25:23"/>
    <d v="2023-05-11T09:10:28"/>
    <s v="Within SLA"/>
    <d v="2023-05-11T12:30:53"/>
    <x v="0"/>
    <m/>
    <n v="9"/>
    <m/>
    <x v="0"/>
    <x v="1"/>
    <s v="Austria"/>
    <n v="47.696471899999999"/>
    <n v="13.3457347"/>
    <s v="ok"/>
    <s v="ok"/>
    <s v="ok"/>
    <s v="ok"/>
    <s v="ok"/>
    <x v="0"/>
    <n v="4.0917936111800373"/>
  </r>
  <r>
    <x v="2"/>
    <n v="2062"/>
    <x v="0"/>
    <x v="0"/>
    <x v="2"/>
    <s v="1st line support"/>
    <x v="6"/>
    <x v="836"/>
    <d v="2023-05-13T20:43:34"/>
    <d v="2023-05-11T21:43:34"/>
    <d v="2023-05-11T21:19:15"/>
    <s v="Within SLA"/>
    <d v="2023-05-11T23:58:44"/>
    <x v="0"/>
    <m/>
    <n v="2"/>
    <m/>
    <x v="3"/>
    <x v="0"/>
    <s v="France"/>
    <n v="48.864716000000001"/>
    <n v="2.3490139999999999"/>
    <s v="ok"/>
    <s v="ok"/>
    <s v="ok"/>
    <s v="ok"/>
    <s v="ok"/>
    <x v="0"/>
    <n v="3.2527597221778706"/>
  </r>
  <r>
    <x v="1"/>
    <n v="2063"/>
    <x v="2"/>
    <x v="1"/>
    <x v="1"/>
    <s v="1st line support"/>
    <x v="3"/>
    <x v="837"/>
    <d v="2023-05-13T23:30:50"/>
    <d v="2023-05-11T23:32:50"/>
    <d v="2023-05-11T23:31:08"/>
    <s v="Within SLA"/>
    <m/>
    <x v="1"/>
    <m/>
    <n v="3"/>
    <m/>
    <x v="2"/>
    <x v="0"/>
    <s v="Poland"/>
    <n v="52.536273000000001"/>
    <n v="19.050639"/>
    <s v="ok"/>
    <s v="ok"/>
    <s v="ok"/>
    <s v="ok"/>
    <s v="ok"/>
    <x v="1"/>
    <s v=""/>
  </r>
  <r>
    <x v="1"/>
    <n v="2064"/>
    <x v="0"/>
    <x v="0"/>
    <x v="3"/>
    <s v="1st line support"/>
    <x v="2"/>
    <x v="838"/>
    <d v="2023-05-14T14:34:05"/>
    <d v="2023-05-12T15:34:05"/>
    <d v="2023-05-12T14:51:45"/>
    <s v="Within SLA"/>
    <m/>
    <x v="1"/>
    <m/>
    <n v="3"/>
    <m/>
    <x v="0"/>
    <x v="0"/>
    <s v="Republic of Ireland"/>
    <n v="53.094023999999997"/>
    <n v="-8.0196749999999994"/>
    <s v="ok"/>
    <s v="ok"/>
    <s v="ok"/>
    <s v="ok"/>
    <s v="ok"/>
    <x v="1"/>
    <s v=""/>
  </r>
  <r>
    <x v="2"/>
    <n v="2065"/>
    <x v="0"/>
    <x v="1"/>
    <x v="6"/>
    <s v="1st line support"/>
    <x v="2"/>
    <x v="839"/>
    <d v="2023-05-14T07:03:57"/>
    <d v="2023-05-12T07:05:57"/>
    <d v="2023-05-12T07:07:11"/>
    <s v="SLA Violated"/>
    <d v="2023-05-18T04:31:40"/>
    <x v="1"/>
    <m/>
    <n v="1"/>
    <m/>
    <x v="3"/>
    <x v="0"/>
    <s v="Spain"/>
    <n v="39.673369999999998"/>
    <n v="-4.7677259999999997"/>
    <s v="ok"/>
    <s v="ok"/>
    <s v="ok"/>
    <s v="ok"/>
    <s v="ok"/>
    <x v="0"/>
    <n v="141.46191166673088"/>
  </r>
  <r>
    <x v="1"/>
    <n v="2066"/>
    <x v="2"/>
    <x v="2"/>
    <x v="3"/>
    <s v="1st line support"/>
    <x v="6"/>
    <x v="840"/>
    <d v="2023-05-13T18:22:10"/>
    <d v="2023-05-12T18:24:10"/>
    <d v="2023-05-12T18:24:06"/>
    <s v="Within SLA"/>
    <m/>
    <x v="1"/>
    <m/>
    <n v="60"/>
    <m/>
    <x v="1"/>
    <x v="0"/>
    <s v="France"/>
    <n v="48.864716000000001"/>
    <n v="2.3490139999999999"/>
    <s v="ok"/>
    <s v="ok"/>
    <s v="ok"/>
    <s v="ok"/>
    <s v="ok"/>
    <x v="1"/>
    <s v=""/>
  </r>
  <r>
    <x v="2"/>
    <n v="2067"/>
    <x v="0"/>
    <x v="1"/>
    <x v="2"/>
    <s v="1st line support"/>
    <x v="3"/>
    <x v="841"/>
    <d v="2023-05-14T14:15:05"/>
    <d v="2023-05-12T14:17:05"/>
    <d v="2023-05-12T14:15:37"/>
    <s v="Within SLA"/>
    <d v="2023-05-14T10:04:49"/>
    <x v="0"/>
    <m/>
    <n v="2"/>
    <m/>
    <x v="3"/>
    <x v="0"/>
    <s v="United Kingdom"/>
    <n v="55.378051999999997"/>
    <n v="-3.4359730000000002"/>
    <s v="ok"/>
    <s v="ok"/>
    <s v="ok"/>
    <s v="ok"/>
    <s v="ok"/>
    <x v="0"/>
    <n v="43.828937499958556"/>
  </r>
  <r>
    <x v="0"/>
    <n v="2068"/>
    <x v="0"/>
    <x v="1"/>
    <x v="0"/>
    <s v="1st line support"/>
    <x v="6"/>
    <x v="842"/>
    <d v="2023-05-14T07:15:56"/>
    <d v="2023-05-12T07:17:56"/>
    <d v="2023-05-12T07:16:02"/>
    <s v="Within SLA"/>
    <d v="2023-05-12T12:32:57"/>
    <x v="0"/>
    <d v="2023-05-17T15:43:19"/>
    <n v="6"/>
    <n v="3"/>
    <x v="2"/>
    <x v="0"/>
    <s v="Austria"/>
    <n v="47.696471899999999"/>
    <n v="13.3457347"/>
    <s v="ok"/>
    <s v="ok"/>
    <s v="ok"/>
    <s v="ok"/>
    <s v="ok"/>
    <x v="0"/>
    <n v="5.2836783332750201"/>
  </r>
  <r>
    <x v="2"/>
    <n v="2069"/>
    <x v="0"/>
    <x v="0"/>
    <x v="0"/>
    <s v="1st line support"/>
    <x v="4"/>
    <x v="843"/>
    <d v="2023-05-14T03:53:23"/>
    <d v="2023-05-12T04:53:23"/>
    <d v="2023-05-12T04:28:30"/>
    <s v="Within SLA"/>
    <d v="2023-05-14T02:40:55"/>
    <x v="0"/>
    <m/>
    <n v="3"/>
    <m/>
    <x v="0"/>
    <x v="0"/>
    <s v="France"/>
    <n v="48.864716000000001"/>
    <n v="2.3490139999999999"/>
    <s v="ok"/>
    <s v="ok"/>
    <s v="ok"/>
    <s v="ok"/>
    <s v="ok"/>
    <x v="0"/>
    <n v="46.792350555479061"/>
  </r>
  <r>
    <x v="0"/>
    <n v="2070"/>
    <x v="0"/>
    <x v="0"/>
    <x v="2"/>
    <s v="1st line support"/>
    <x v="3"/>
    <x v="844"/>
    <d v="2023-05-14T06:59:06"/>
    <d v="2023-05-12T07:59:06"/>
    <d v="2023-05-12T07:12:03"/>
    <s v="Within SLA"/>
    <d v="2023-05-13T20:25:55"/>
    <x v="0"/>
    <d v="2023-05-19T00:28:36"/>
    <n v="1"/>
    <n v="3"/>
    <x v="3"/>
    <x v="0"/>
    <s v="Greece"/>
    <n v="39.368279000000001"/>
    <n v="21.863140999999999"/>
    <s v="ok"/>
    <s v="ok"/>
    <s v="ok"/>
    <s v="ok"/>
    <s v="ok"/>
    <x v="0"/>
    <n v="37.446927500073798"/>
  </r>
  <r>
    <x v="0"/>
    <n v="2071"/>
    <x v="2"/>
    <x v="0"/>
    <x v="0"/>
    <s v="1st line support"/>
    <x v="2"/>
    <x v="845"/>
    <d v="2023-05-14T14:29:08"/>
    <d v="2023-05-12T15:29:08"/>
    <d v="2023-05-12T15:28:57"/>
    <s v="Within SLA"/>
    <d v="2023-05-12T22:22:36"/>
    <x v="0"/>
    <d v="2023-05-15T13:07:59"/>
    <n v="5"/>
    <n v="2"/>
    <x v="1"/>
    <x v="0"/>
    <s v="Germany"/>
    <n v="51.165691000000002"/>
    <n v="10.451525999999999"/>
    <s v="ok"/>
    <s v="ok"/>
    <s v="ok"/>
    <s v="ok"/>
    <s v="ok"/>
    <x v="0"/>
    <n v="7.8911230554222129"/>
  </r>
  <r>
    <x v="0"/>
    <n v="2072"/>
    <x v="1"/>
    <x v="0"/>
    <x v="4"/>
    <s v="2nd line support"/>
    <x v="1"/>
    <x v="846"/>
    <d v="2023-05-14T04:35:31"/>
    <d v="2023-05-12T05:35:31"/>
    <d v="2023-05-12T11:43:55"/>
    <s v="SLA Violated"/>
    <d v="2023-05-14T04:16:56"/>
    <x v="0"/>
    <d v="2023-05-18T19:50:49"/>
    <n v="2"/>
    <n v="5"/>
    <x v="2"/>
    <x v="1"/>
    <s v="Slovenia"/>
    <n v="46.149166399999999"/>
    <n v="14.9860106"/>
    <s v="ok"/>
    <s v="ok"/>
    <s v="ok"/>
    <s v="ok"/>
    <s v="ok"/>
    <x v="0"/>
    <n v="47.690204444399569"/>
  </r>
  <r>
    <x v="0"/>
    <n v="2073"/>
    <x v="2"/>
    <x v="1"/>
    <x v="3"/>
    <s v="1st line support"/>
    <x v="4"/>
    <x v="847"/>
    <d v="2023-05-14T11:55:15"/>
    <d v="2023-05-12T11:57:15"/>
    <d v="2023-05-12T11:56:57"/>
    <s v="Within SLA"/>
    <d v="2023-05-13T06:14:04"/>
    <x v="0"/>
    <d v="2023-05-17T11:57:23"/>
    <n v="6"/>
    <n v="5"/>
    <x v="2"/>
    <x v="0"/>
    <s v="Italy"/>
    <n v="43.036776000000003"/>
    <n v="12.678565000000001"/>
    <s v="ok"/>
    <s v="ok"/>
    <s v="ok"/>
    <s v="ok"/>
    <s v="ok"/>
    <x v="0"/>
    <n v="18.313613055506721"/>
  </r>
  <r>
    <x v="0"/>
    <n v="2074"/>
    <x v="0"/>
    <x v="2"/>
    <x v="1"/>
    <s v="1st line support"/>
    <x v="2"/>
    <x v="848"/>
    <d v="2023-05-13T19:05:07"/>
    <d v="2023-05-12T19:07:07"/>
    <d v="2023-05-12T19:06:06"/>
    <s v="Within SLA"/>
    <d v="2023-05-12T19:26:29"/>
    <x v="0"/>
    <d v="2023-05-17T22:22:45"/>
    <n v="6"/>
    <n v="5"/>
    <x v="0"/>
    <x v="0"/>
    <s v="Poland"/>
    <n v="52.536273000000001"/>
    <n v="19.050639"/>
    <s v="ok"/>
    <s v="ok"/>
    <s v="ok"/>
    <s v="ok"/>
    <s v="ok"/>
    <x v="0"/>
    <n v="0.35620055557228625"/>
  </r>
  <r>
    <x v="2"/>
    <n v="2075"/>
    <x v="0"/>
    <x v="1"/>
    <x v="0"/>
    <s v="1st line support"/>
    <x v="4"/>
    <x v="849"/>
    <d v="2023-05-14T06:29:46"/>
    <d v="2023-05-12T06:31:46"/>
    <d v="2023-05-12T06:32:05"/>
    <s v="SLA Violated"/>
    <d v="2023-05-12T19:20:43"/>
    <x v="0"/>
    <m/>
    <n v="2"/>
    <m/>
    <x v="1"/>
    <x v="0"/>
    <s v="Republic of Ireland"/>
    <n v="53.094023999999997"/>
    <n v="-8.0196749999999994"/>
    <s v="ok"/>
    <s v="ok"/>
    <s v="ok"/>
    <s v="ok"/>
    <s v="ok"/>
    <x v="0"/>
    <n v="12.849137222219724"/>
  </r>
  <r>
    <x v="2"/>
    <n v="2076"/>
    <x v="2"/>
    <x v="1"/>
    <x v="0"/>
    <s v="2nd line support"/>
    <x v="7"/>
    <x v="850"/>
    <d v="2023-05-14T15:03:27"/>
    <d v="2023-05-12T15:05:27"/>
    <d v="2023-05-12T15:05:02"/>
    <s v="Within SLA"/>
    <d v="2023-05-14T02:14:55"/>
    <x v="0"/>
    <m/>
    <n v="4"/>
    <m/>
    <x v="2"/>
    <x v="1"/>
    <s v="Germany"/>
    <n v="51.165691000000002"/>
    <n v="10.451525999999999"/>
    <s v="ok"/>
    <s v="ok"/>
    <s v="ok"/>
    <s v="ok"/>
    <s v="ok"/>
    <x v="0"/>
    <n v="35.191066666622646"/>
  </r>
  <r>
    <x v="1"/>
    <n v="2077"/>
    <x v="0"/>
    <x v="1"/>
    <x v="4"/>
    <s v="1st line support"/>
    <x v="6"/>
    <x v="851"/>
    <d v="2023-05-14T20:05:30"/>
    <d v="2023-05-12T20:07:30"/>
    <d v="2023-05-12T20:05:59"/>
    <s v="Within SLA"/>
    <m/>
    <x v="1"/>
    <m/>
    <n v="1"/>
    <m/>
    <x v="0"/>
    <x v="0"/>
    <s v="Austria"/>
    <n v="47.696471899999999"/>
    <n v="13.3457347"/>
    <s v="ok"/>
    <s v="ok"/>
    <s v="ok"/>
    <s v="ok"/>
    <s v="ok"/>
    <x v="1"/>
    <s v=""/>
  </r>
  <r>
    <x v="2"/>
    <n v="2078"/>
    <x v="0"/>
    <x v="2"/>
    <x v="0"/>
    <s v="1st line support"/>
    <x v="0"/>
    <x v="852"/>
    <d v="2023-05-14T02:46:34"/>
    <d v="2023-05-13T02:48:34"/>
    <d v="2023-05-13T02:48:24"/>
    <s v="Within SLA"/>
    <d v="2023-05-13T13:28:04"/>
    <x v="0"/>
    <m/>
    <n v="6"/>
    <m/>
    <x v="0"/>
    <x v="0"/>
    <s v="Italy"/>
    <n v="43.036776000000003"/>
    <n v="12.678565000000001"/>
    <s v="ok"/>
    <s v="ok"/>
    <s v="ok"/>
    <s v="ok"/>
    <s v="ok"/>
    <x v="0"/>
    <n v="10.691640277742408"/>
  </r>
  <r>
    <x v="0"/>
    <n v="2079"/>
    <x v="2"/>
    <x v="0"/>
    <x v="3"/>
    <s v="2nd line support"/>
    <x v="7"/>
    <x v="853"/>
    <d v="2023-05-15T08:43:04"/>
    <d v="2023-05-13T09:43:04"/>
    <d v="2023-05-13T09:24:36"/>
    <s v="Within SLA"/>
    <d v="2023-05-14T04:08:00"/>
    <x v="0"/>
    <d v="2023-05-19T18:40:25"/>
    <n v="6"/>
    <n v="2"/>
    <x v="0"/>
    <x v="1"/>
    <s v="Republic of Ireland"/>
    <n v="53.094023999999997"/>
    <n v="-8.0196749999999994"/>
    <s v="ok"/>
    <s v="ok"/>
    <s v="ok"/>
    <s v="ok"/>
    <s v="ok"/>
    <x v="0"/>
    <n v="19.415653333242517"/>
  </r>
  <r>
    <x v="0"/>
    <n v="2080"/>
    <x v="2"/>
    <x v="0"/>
    <x v="2"/>
    <s v="1st line support"/>
    <x v="2"/>
    <x v="854"/>
    <d v="2023-05-15T05:51:33"/>
    <d v="2023-05-13T06:51:33"/>
    <d v="2023-05-13T06:37:53"/>
    <s v="Within SLA"/>
    <d v="2023-05-14T03:27:25"/>
    <x v="0"/>
    <d v="2023-05-15T20:37:24"/>
    <n v="8"/>
    <n v="1"/>
    <x v="1"/>
    <x v="0"/>
    <s v="France"/>
    <n v="48.864716000000001"/>
    <n v="2.3490139999999999"/>
    <s v="ok"/>
    <s v="ok"/>
    <s v="ok"/>
    <s v="ok"/>
    <s v="ok"/>
    <x v="0"/>
    <n v="21.597720833262429"/>
  </r>
  <r>
    <x v="0"/>
    <n v="2081"/>
    <x v="2"/>
    <x v="1"/>
    <x v="4"/>
    <s v="1st line support"/>
    <x v="3"/>
    <x v="855"/>
    <d v="2023-05-15T05:21:54"/>
    <d v="2023-05-13T05:23:54"/>
    <d v="2023-05-13T05:22:37"/>
    <s v="Within SLA"/>
    <d v="2023-05-14T06:11:29"/>
    <x v="0"/>
    <d v="2023-05-17T08:58:41"/>
    <n v="1"/>
    <n v="4"/>
    <x v="2"/>
    <x v="0"/>
    <s v="Bulgaria"/>
    <n v="42.724992499999999"/>
    <n v="25.483303899999999"/>
    <s v="ok"/>
    <s v="ok"/>
    <s v="ok"/>
    <s v="ok"/>
    <s v="ok"/>
    <x v="0"/>
    <n v="24.826507777848747"/>
  </r>
  <r>
    <x v="2"/>
    <n v="2082"/>
    <x v="1"/>
    <x v="0"/>
    <x v="3"/>
    <s v="1st line support"/>
    <x v="6"/>
    <x v="856"/>
    <d v="2023-05-15T19:26:09"/>
    <d v="2023-05-13T20:26:09"/>
    <d v="2023-05-13T20:02:44"/>
    <s v="Within SLA"/>
    <d v="2023-05-14T01:20:57"/>
    <x v="0"/>
    <m/>
    <n v="5"/>
    <m/>
    <x v="2"/>
    <x v="0"/>
    <s v="Germany"/>
    <n v="51.165691000000002"/>
    <n v="10.451525999999999"/>
    <s v="ok"/>
    <s v="ok"/>
    <s v="ok"/>
    <s v="ok"/>
    <s v="ok"/>
    <x v="0"/>
    <n v="5.9133325000293553"/>
  </r>
  <r>
    <x v="0"/>
    <n v="2098"/>
    <x v="0"/>
    <x v="2"/>
    <x v="1"/>
    <s v="1st line support"/>
    <x v="6"/>
    <x v="857"/>
    <d v="2023-05-15T07:00:55"/>
    <d v="2023-05-14T07:02:55"/>
    <d v="2023-05-14T07:05:25"/>
    <s v="SLA Violated"/>
    <d v="2023-05-14T22:24:33"/>
    <x v="0"/>
    <d v="2023-05-16T17:36:54"/>
    <n v="4"/>
    <n v="3"/>
    <x v="2"/>
    <x v="0"/>
    <s v="France"/>
    <n v="48.864716000000001"/>
    <n v="2.3490139999999999"/>
    <s v="ok"/>
    <s v="ok"/>
    <s v="ok"/>
    <s v="ok"/>
    <s v="ok"/>
    <x v="0"/>
    <n v="15.393779999983963"/>
  </r>
  <r>
    <x v="0"/>
    <n v="2099"/>
    <x v="0"/>
    <x v="2"/>
    <x v="1"/>
    <s v="2nd line support"/>
    <x v="1"/>
    <x v="858"/>
    <d v="2023-05-15T20:14:21"/>
    <d v="2023-05-14T20:16:21"/>
    <d v="2023-05-14T20:15:57"/>
    <s v="Within SLA"/>
    <d v="2023-05-14T22:28:58"/>
    <x v="0"/>
    <d v="2023-05-18T02:09:47"/>
    <n v="6"/>
    <n v="4"/>
    <x v="0"/>
    <x v="1"/>
    <s v="Austria"/>
    <n v="47.696471899999999"/>
    <n v="13.3457347"/>
    <s v="ok"/>
    <s v="ok"/>
    <s v="ok"/>
    <s v="ok"/>
    <s v="ok"/>
    <x v="0"/>
    <n v="2.2435477777034976"/>
  </r>
  <r>
    <x v="0"/>
    <n v="2100"/>
    <x v="2"/>
    <x v="2"/>
    <x v="1"/>
    <s v="1st line support"/>
    <x v="3"/>
    <x v="859"/>
    <d v="2023-05-15T10:45:06"/>
    <d v="2023-05-14T10:47:06"/>
    <d v="2023-05-14T10:46:34"/>
    <s v="Within SLA"/>
    <d v="2023-05-14T22:29:27"/>
    <x v="0"/>
    <d v="2023-05-17T15:59:08"/>
    <n v="4"/>
    <n v="4"/>
    <x v="1"/>
    <x v="0"/>
    <s v="Germany"/>
    <n v="51.165691000000002"/>
    <n v="10.451525999999999"/>
    <s v="ok"/>
    <s v="ok"/>
    <s v="ok"/>
    <s v="ok"/>
    <s v="ok"/>
    <x v="0"/>
    <n v="11.739292499958538"/>
  </r>
  <r>
    <x v="1"/>
    <n v="2101"/>
    <x v="1"/>
    <x v="1"/>
    <x v="2"/>
    <s v="2nd line support"/>
    <x v="7"/>
    <x v="860"/>
    <d v="2023-05-16T08:14:16"/>
    <d v="2023-05-14T08:16:16"/>
    <d v="2023-05-14T08:14:47"/>
    <s v="Within SLA"/>
    <m/>
    <x v="1"/>
    <m/>
    <n v="3"/>
    <m/>
    <x v="2"/>
    <x v="1"/>
    <s v="France"/>
    <n v="48.864716000000001"/>
    <n v="2.3490139999999999"/>
    <s v="ok"/>
    <s v="ok"/>
    <s v="ok"/>
    <s v="ok"/>
    <s v="ok"/>
    <x v="1"/>
    <s v=""/>
  </r>
  <r>
    <x v="1"/>
    <n v="2102"/>
    <x v="1"/>
    <x v="1"/>
    <x v="1"/>
    <s v="2nd line support"/>
    <x v="1"/>
    <x v="861"/>
    <d v="2023-05-17T01:57:53"/>
    <d v="2023-05-15T01:59:53"/>
    <d v="2023-05-15T02:01:46"/>
    <s v="SLA Violated"/>
    <m/>
    <x v="1"/>
    <m/>
    <n v="1"/>
    <m/>
    <x v="2"/>
    <x v="1"/>
    <s v="Germany"/>
    <n v="51.165691000000002"/>
    <n v="10.451525999999999"/>
    <s v="ok"/>
    <s v="ok"/>
    <s v="ok"/>
    <s v="ok"/>
    <s v="ok"/>
    <x v="1"/>
    <s v=""/>
  </r>
  <r>
    <x v="2"/>
    <n v="2103"/>
    <x v="2"/>
    <x v="2"/>
    <x v="0"/>
    <s v="1st line support"/>
    <x v="0"/>
    <x v="862"/>
    <d v="2023-05-16T03:43:26"/>
    <d v="2023-05-15T03:45:26"/>
    <d v="2023-05-15T03:44:46"/>
    <s v="Within SLA"/>
    <d v="2023-05-15T07:37:49"/>
    <x v="0"/>
    <m/>
    <n v="3"/>
    <m/>
    <x v="0"/>
    <x v="0"/>
    <s v="Poland"/>
    <n v="52.536273000000001"/>
    <n v="19.050639"/>
    <s v="ok"/>
    <s v="ok"/>
    <s v="ok"/>
    <s v="ok"/>
    <s v="ok"/>
    <x v="0"/>
    <n v="3.906388055474963"/>
  </r>
  <r>
    <x v="0"/>
    <n v="2104"/>
    <x v="0"/>
    <x v="0"/>
    <x v="2"/>
    <s v="1st line support"/>
    <x v="3"/>
    <x v="863"/>
    <d v="2023-05-17T12:26:38"/>
    <d v="2023-05-15T13:26:38"/>
    <d v="2023-05-15T13:23:58"/>
    <s v="Within SLA"/>
    <d v="2023-05-17T03:21:22"/>
    <x v="0"/>
    <d v="2023-05-22T05:05:17"/>
    <n v="2"/>
    <n v="5"/>
    <x v="3"/>
    <x v="0"/>
    <s v="Bulgaria"/>
    <n v="42.724992499999999"/>
    <n v="25.483303899999999"/>
    <s v="ok"/>
    <s v="ok"/>
    <s v="ok"/>
    <s v="ok"/>
    <s v="ok"/>
    <x v="0"/>
    <n v="38.912184722197708"/>
  </r>
  <r>
    <x v="2"/>
    <n v="2105"/>
    <x v="2"/>
    <x v="2"/>
    <x v="1"/>
    <s v="1st line support"/>
    <x v="6"/>
    <x v="864"/>
    <d v="2023-05-16T16:01:57"/>
    <d v="2023-05-15T16:03:57"/>
    <d v="2023-05-15T16:02:20"/>
    <s v="Within SLA"/>
    <d v="2023-05-16T05:45:17"/>
    <x v="0"/>
    <m/>
    <n v="5"/>
    <m/>
    <x v="3"/>
    <x v="0"/>
    <s v="United Kingdom"/>
    <n v="55.378051999999997"/>
    <n v="-3.4359730000000002"/>
    <s v="ok"/>
    <s v="ok"/>
    <s v="ok"/>
    <s v="ok"/>
    <s v="ok"/>
    <x v="0"/>
    <n v="13.72225111105945"/>
  </r>
  <r>
    <x v="2"/>
    <n v="2106"/>
    <x v="0"/>
    <x v="0"/>
    <x v="3"/>
    <s v="1st line support"/>
    <x v="2"/>
    <x v="865"/>
    <d v="2023-05-17T23:05:02"/>
    <d v="2023-05-16T00:05:02"/>
    <d v="2023-05-15T23:10:32"/>
    <s v="Within SLA"/>
    <d v="2023-05-20T10:53:53"/>
    <x v="1"/>
    <m/>
    <n v="2"/>
    <m/>
    <x v="2"/>
    <x v="0"/>
    <s v="Austria"/>
    <n v="47.696471899999999"/>
    <n v="13.3457347"/>
    <s v="ok"/>
    <s v="ok"/>
    <s v="ok"/>
    <s v="ok"/>
    <s v="ok"/>
    <x v="0"/>
    <n v="107.81425638886867"/>
  </r>
  <r>
    <x v="0"/>
    <n v="2107"/>
    <x v="2"/>
    <x v="0"/>
    <x v="1"/>
    <s v="1st line support"/>
    <x v="2"/>
    <x v="866"/>
    <d v="2023-05-17T19:19:14"/>
    <d v="2023-05-15T20:19:14"/>
    <d v="2023-05-15T19:38:16"/>
    <s v="Within SLA"/>
    <d v="2023-05-21T14:45:59"/>
    <x v="1"/>
    <d v="2023-05-21T20:05:19"/>
    <n v="2"/>
    <n v="4"/>
    <x v="2"/>
    <x v="0"/>
    <s v="Greece"/>
    <n v="39.368279000000001"/>
    <n v="21.863140999999999"/>
    <s v="ok"/>
    <s v="ok"/>
    <s v="ok"/>
    <s v="ok"/>
    <s v="ok"/>
    <x v="0"/>
    <n v="139.44583500002045"/>
  </r>
  <r>
    <x v="0"/>
    <n v="2108"/>
    <x v="1"/>
    <x v="2"/>
    <x v="0"/>
    <s v="1st line support"/>
    <x v="3"/>
    <x v="867"/>
    <d v="2023-05-16T15:39:38"/>
    <d v="2023-05-15T15:41:38"/>
    <d v="2023-05-15T15:40:38"/>
    <s v="Within SLA"/>
    <d v="2023-05-16T07:03:49"/>
    <x v="0"/>
    <d v="2023-05-20T03:56:33"/>
    <n v="9"/>
    <n v="4"/>
    <x v="2"/>
    <x v="0"/>
    <s v="Austria"/>
    <n v="47.696471899999999"/>
    <n v="13.3457347"/>
    <s v="ok"/>
    <s v="ok"/>
    <s v="ok"/>
    <s v="ok"/>
    <s v="ok"/>
    <x v="0"/>
    <n v="15.403046388819348"/>
  </r>
  <r>
    <x v="2"/>
    <n v="2109"/>
    <x v="2"/>
    <x v="2"/>
    <x v="2"/>
    <s v="1st line support"/>
    <x v="6"/>
    <x v="868"/>
    <d v="2023-05-16T16:04:49"/>
    <d v="2023-05-15T16:06:49"/>
    <d v="2023-05-15T16:05:09"/>
    <s v="Within SLA"/>
    <d v="2023-05-16T05:20:20"/>
    <x v="0"/>
    <m/>
    <n v="4"/>
    <m/>
    <x v="2"/>
    <x v="0"/>
    <s v="Bulgaria"/>
    <n v="42.724992499999999"/>
    <n v="25.483303899999999"/>
    <s v="ok"/>
    <s v="ok"/>
    <s v="ok"/>
    <s v="ok"/>
    <s v="ok"/>
    <x v="0"/>
    <n v="13.258686944434885"/>
  </r>
  <r>
    <x v="1"/>
    <n v="2110"/>
    <x v="0"/>
    <x v="0"/>
    <x v="0"/>
    <s v="1st line support"/>
    <x v="4"/>
    <x v="869"/>
    <d v="2023-05-18T18:30:30"/>
    <d v="2023-05-16T19:30:30"/>
    <d v="2023-05-16T19:24:04"/>
    <s v="Within SLA"/>
    <m/>
    <x v="1"/>
    <m/>
    <n v="1"/>
    <m/>
    <x v="0"/>
    <x v="0"/>
    <s v="Italy"/>
    <n v="43.036776000000003"/>
    <n v="12.678565000000001"/>
    <s v="ok"/>
    <s v="ok"/>
    <s v="ok"/>
    <s v="ok"/>
    <s v="ok"/>
    <x v="1"/>
    <s v=""/>
  </r>
  <r>
    <x v="2"/>
    <n v="2111"/>
    <x v="0"/>
    <x v="0"/>
    <x v="3"/>
    <s v="1st line support"/>
    <x v="2"/>
    <x v="870"/>
    <d v="2023-05-18T10:50:40"/>
    <d v="2023-05-16T11:50:40"/>
    <d v="2023-05-16T11:21:54"/>
    <s v="Within SLA"/>
    <d v="2023-05-17T08:13:45"/>
    <x v="0"/>
    <m/>
    <n v="8"/>
    <m/>
    <x v="2"/>
    <x v="0"/>
    <s v="Greece"/>
    <n v="39.368279000000001"/>
    <n v="21.863140999999999"/>
    <s v="ok"/>
    <s v="ok"/>
    <s v="ok"/>
    <s v="ok"/>
    <s v="ok"/>
    <x v="0"/>
    <n v="21.384694999898784"/>
  </r>
  <r>
    <x v="0"/>
    <n v="2112"/>
    <x v="0"/>
    <x v="2"/>
    <x v="1"/>
    <s v="1st line support"/>
    <x v="4"/>
    <x v="871"/>
    <d v="2023-05-17T07:04:29"/>
    <d v="2023-05-16T07:06:29"/>
    <d v="2023-05-16T07:05:52"/>
    <s v="Within SLA"/>
    <d v="2023-05-16T23:28:04"/>
    <x v="0"/>
    <d v="2023-05-20T00:12:07"/>
    <n v="5"/>
    <n v="4"/>
    <x v="0"/>
    <x v="0"/>
    <s v="Germany"/>
    <n v="51.165691000000002"/>
    <n v="10.451525999999999"/>
    <s v="ok"/>
    <s v="ok"/>
    <s v="ok"/>
    <s v="ok"/>
    <s v="ok"/>
    <x v="0"/>
    <n v="16.392972500121687"/>
  </r>
  <r>
    <x v="0"/>
    <n v="2113"/>
    <x v="0"/>
    <x v="2"/>
    <x v="1"/>
    <s v="1st line support"/>
    <x v="4"/>
    <x v="872"/>
    <d v="2023-05-17T19:50:27"/>
    <d v="2023-05-16T19:52:27"/>
    <d v="2023-05-16T19:52:13"/>
    <s v="Within SLA"/>
    <d v="2023-05-17T06:41:45"/>
    <x v="0"/>
    <d v="2023-05-21T23:08:05"/>
    <n v="6"/>
    <n v="4"/>
    <x v="1"/>
    <x v="0"/>
    <s v="Italy"/>
    <n v="43.036776000000003"/>
    <n v="12.678565000000001"/>
    <s v="ok"/>
    <s v="ok"/>
    <s v="ok"/>
    <s v="ok"/>
    <s v="ok"/>
    <x v="0"/>
    <n v="10.854874444368761"/>
  </r>
  <r>
    <x v="0"/>
    <n v="2114"/>
    <x v="0"/>
    <x v="2"/>
    <x v="3"/>
    <s v="2nd line support"/>
    <x v="1"/>
    <x v="873"/>
    <d v="2023-05-17T05:34:49"/>
    <d v="2023-05-16T05:36:49"/>
    <d v="2023-05-16T05:35:43"/>
    <s v="Within SLA"/>
    <d v="2023-05-21T20:32:29"/>
    <x v="1"/>
    <d v="2023-05-23T19:59:02"/>
    <n v="4"/>
    <n v="3"/>
    <x v="0"/>
    <x v="1"/>
    <s v="Austria"/>
    <n v="47.696471899999999"/>
    <n v="13.3457347"/>
    <s v="ok"/>
    <s v="ok"/>
    <s v="ok"/>
    <s v="ok"/>
    <s v="ok"/>
    <x v="0"/>
    <n v="134.96102777769556"/>
  </r>
  <r>
    <x v="0"/>
    <n v="2115"/>
    <x v="0"/>
    <x v="2"/>
    <x v="1"/>
    <s v="1st line support"/>
    <x v="3"/>
    <x v="874"/>
    <d v="2023-05-17T20:33:58"/>
    <d v="2023-05-16T20:35:58"/>
    <d v="2023-05-16T20:34:38"/>
    <s v="Within SLA"/>
    <d v="2023-05-17T08:39:01"/>
    <x v="0"/>
    <d v="2023-05-20T18:40:35"/>
    <n v="6"/>
    <n v="4"/>
    <x v="2"/>
    <x v="0"/>
    <s v="Bulgaria"/>
    <n v="42.724992499999999"/>
    <n v="25.483303899999999"/>
    <s v="ok"/>
    <s v="ok"/>
    <s v="ok"/>
    <s v="ok"/>
    <s v="ok"/>
    <x v="0"/>
    <n v="12.084157222125214"/>
  </r>
  <r>
    <x v="0"/>
    <n v="2117"/>
    <x v="2"/>
    <x v="2"/>
    <x v="1"/>
    <s v="2nd line support"/>
    <x v="5"/>
    <x v="875"/>
    <d v="2023-05-17T00:32:51"/>
    <d v="2023-05-16T00:34:51"/>
    <d v="2023-05-16T00:35:10"/>
    <s v="SLA Violated"/>
    <d v="2023-05-16T02:56:44"/>
    <x v="0"/>
    <d v="2023-05-19T00:41:34"/>
    <n v="6"/>
    <n v="3"/>
    <x v="0"/>
    <x v="1"/>
    <s v="Italy"/>
    <n v="43.036776000000003"/>
    <n v="12.678565000000001"/>
    <s v="ok"/>
    <s v="ok"/>
    <s v="ok"/>
    <s v="ok"/>
    <s v="ok"/>
    <x v="0"/>
    <n v="2.3981916666962206"/>
  </r>
  <r>
    <x v="0"/>
    <n v="2118"/>
    <x v="2"/>
    <x v="2"/>
    <x v="0"/>
    <s v="1st line support"/>
    <x v="6"/>
    <x v="876"/>
    <d v="2023-05-17T20:59:57"/>
    <d v="2023-05-16T21:01:57"/>
    <d v="2023-05-16T21:00:20"/>
    <s v="Within SLA"/>
    <d v="2023-05-17T07:42:31"/>
    <x v="0"/>
    <d v="2023-05-19T12:57:55"/>
    <n v="5"/>
    <n v="1"/>
    <x v="0"/>
    <x v="0"/>
    <s v="Germany"/>
    <n v="51.165691000000002"/>
    <n v="10.451525999999999"/>
    <s v="ok"/>
    <s v="ok"/>
    <s v="ok"/>
    <s v="ok"/>
    <s v="ok"/>
    <x v="0"/>
    <n v="10.709508611122146"/>
  </r>
  <r>
    <x v="0"/>
    <n v="2120"/>
    <x v="0"/>
    <x v="2"/>
    <x v="5"/>
    <s v="1st line support"/>
    <x v="2"/>
    <x v="877"/>
    <d v="2023-05-18T04:10:13"/>
    <d v="2023-05-17T04:12:13"/>
    <d v="2023-05-17T04:15:02"/>
    <s v="SLA Violated"/>
    <d v="2023-05-18T03:01:23"/>
    <x v="0"/>
    <d v="2023-05-22T22:29:27"/>
    <n v="6"/>
    <n v="3"/>
    <x v="2"/>
    <x v="0"/>
    <s v="Italy"/>
    <n v="43.036776000000003"/>
    <n v="12.678565000000001"/>
    <s v="ok"/>
    <s v="ok"/>
    <s v="ok"/>
    <s v="ok"/>
    <s v="ok"/>
    <x v="0"/>
    <n v="22.852670277818106"/>
  </r>
  <r>
    <x v="1"/>
    <n v="2121"/>
    <x v="0"/>
    <x v="1"/>
    <x v="2"/>
    <s v="2nd line support"/>
    <x v="7"/>
    <x v="878"/>
    <d v="2023-05-19T20:17:37"/>
    <d v="2023-05-17T20:19:37"/>
    <d v="2023-05-17T20:19:29"/>
    <s v="Within SLA"/>
    <m/>
    <x v="1"/>
    <m/>
    <n v="3"/>
    <m/>
    <x v="3"/>
    <x v="1"/>
    <s v="France"/>
    <n v="48.864716000000001"/>
    <n v="2.3490139999999999"/>
    <s v="ok"/>
    <s v="ok"/>
    <s v="ok"/>
    <s v="ok"/>
    <s v="ok"/>
    <x v="1"/>
    <s v=""/>
  </r>
  <r>
    <x v="1"/>
    <n v="2122"/>
    <x v="2"/>
    <x v="0"/>
    <x v="1"/>
    <s v="1st line support"/>
    <x v="6"/>
    <x v="879"/>
    <d v="2023-05-19T01:38:33"/>
    <d v="2023-05-17T02:38:33"/>
    <d v="2023-05-17T02:33:39"/>
    <s v="Within SLA"/>
    <m/>
    <x v="1"/>
    <m/>
    <n v="1"/>
    <m/>
    <x v="3"/>
    <x v="0"/>
    <s v="Germany"/>
    <n v="51.165691000000002"/>
    <n v="10.451525999999999"/>
    <s v="ok"/>
    <s v="ok"/>
    <s v="ok"/>
    <s v="ok"/>
    <s v="ok"/>
    <x v="1"/>
    <s v=""/>
  </r>
  <r>
    <x v="2"/>
    <n v="2123"/>
    <x v="1"/>
    <x v="2"/>
    <x v="5"/>
    <s v="2nd line support"/>
    <x v="1"/>
    <x v="880"/>
    <d v="2023-05-18T06:42:41"/>
    <d v="2023-05-17T06:44:41"/>
    <d v="2023-05-17T06:43:19"/>
    <s v="Within SLA"/>
    <d v="2023-05-17T10:34:56"/>
    <x v="0"/>
    <m/>
    <n v="8"/>
    <m/>
    <x v="2"/>
    <x v="1"/>
    <s v="Austria"/>
    <n v="47.696471899999999"/>
    <n v="13.3457347"/>
    <s v="ok"/>
    <s v="ok"/>
    <s v="ok"/>
    <s v="ok"/>
    <s v="ok"/>
    <x v="0"/>
    <n v="3.8706994444364682"/>
  </r>
  <r>
    <x v="0"/>
    <n v="2124"/>
    <x v="1"/>
    <x v="2"/>
    <x v="5"/>
    <s v="1st line support"/>
    <x v="6"/>
    <x v="881"/>
    <d v="2023-05-18T11:46:25"/>
    <d v="2023-05-17T11:48:25"/>
    <d v="2023-05-17T11:47:00"/>
    <s v="Within SLA"/>
    <d v="2023-05-18T03:28:01"/>
    <x v="0"/>
    <d v="2023-05-21T11:41:57"/>
    <n v="4"/>
    <n v="3"/>
    <x v="2"/>
    <x v="0"/>
    <s v="Germany"/>
    <n v="51.165691000000002"/>
    <n v="10.451525999999999"/>
    <s v="ok"/>
    <s v="ok"/>
    <s v="ok"/>
    <s v="ok"/>
    <s v="ok"/>
    <x v="0"/>
    <n v="15.693389166612178"/>
  </r>
  <r>
    <x v="0"/>
    <n v="2125"/>
    <x v="0"/>
    <x v="0"/>
    <x v="1"/>
    <s v="1st line support"/>
    <x v="2"/>
    <x v="882"/>
    <d v="2023-05-19T03:05:58"/>
    <d v="2023-05-17T04:05:58"/>
    <d v="2023-05-17T08:07:55"/>
    <s v="SLA Violated"/>
    <d v="2023-05-18T00:58:51"/>
    <x v="0"/>
    <d v="2023-05-19T23:07:28"/>
    <n v="7"/>
    <n v="3"/>
    <x v="0"/>
    <x v="0"/>
    <s v="United Kingdom"/>
    <n v="55.378051999999997"/>
    <n v="-3.4359730000000002"/>
    <s v="ok"/>
    <s v="ok"/>
    <s v="ok"/>
    <s v="ok"/>
    <s v="ok"/>
    <x v="0"/>
    <n v="21.881383888889104"/>
  </r>
  <r>
    <x v="1"/>
    <n v="2126"/>
    <x v="2"/>
    <x v="0"/>
    <x v="5"/>
    <s v="2nd line support"/>
    <x v="5"/>
    <x v="883"/>
    <d v="2023-05-19T02:54:50"/>
    <d v="2023-05-17T03:54:50"/>
    <d v="2023-05-17T03:40:39"/>
    <s v="Within SLA"/>
    <m/>
    <x v="1"/>
    <m/>
    <n v="7"/>
    <m/>
    <x v="3"/>
    <x v="1"/>
    <s v="Poland"/>
    <n v="52.536273000000001"/>
    <n v="19.050639"/>
    <s v="ok"/>
    <s v="ok"/>
    <s v="ok"/>
    <s v="ok"/>
    <s v="ok"/>
    <x v="1"/>
    <s v=""/>
  </r>
  <r>
    <x v="1"/>
    <n v="2127"/>
    <x v="2"/>
    <x v="2"/>
    <x v="2"/>
    <s v="1st line support"/>
    <x v="6"/>
    <x v="884"/>
    <d v="2023-05-18T22:19:04"/>
    <d v="2023-05-17T22:21:04"/>
    <d v="2023-05-17T22:20:09"/>
    <s v="Within SLA"/>
    <m/>
    <x v="1"/>
    <m/>
    <n v="4"/>
    <m/>
    <x v="2"/>
    <x v="0"/>
    <s v="France"/>
    <n v="48.864716000000001"/>
    <n v="2.3490139999999999"/>
    <s v="ok"/>
    <s v="ok"/>
    <s v="ok"/>
    <s v="ok"/>
    <s v="ok"/>
    <x v="1"/>
    <s v=""/>
  </r>
  <r>
    <x v="0"/>
    <n v="2128"/>
    <x v="0"/>
    <x v="0"/>
    <x v="4"/>
    <s v="1st line support"/>
    <x v="0"/>
    <x v="885"/>
    <d v="2023-05-19T01:39:16"/>
    <d v="2023-05-17T02:39:16"/>
    <d v="2023-05-17T02:15:01"/>
    <s v="Within SLA"/>
    <d v="2023-05-18T11:59:55"/>
    <x v="0"/>
    <d v="2023-05-23T14:58:54"/>
    <n v="7"/>
    <n v="5"/>
    <x v="2"/>
    <x v="0"/>
    <s v="Bulgaria"/>
    <n v="42.724992499999999"/>
    <n v="25.483303899999999"/>
    <s v="ok"/>
    <s v="ok"/>
    <s v="ok"/>
    <s v="ok"/>
    <s v="ok"/>
    <x v="0"/>
    <n v="34.344236944452859"/>
  </r>
  <r>
    <x v="0"/>
    <n v="2129"/>
    <x v="2"/>
    <x v="0"/>
    <x v="3"/>
    <s v="1st line support"/>
    <x v="4"/>
    <x v="886"/>
    <d v="2023-05-19T13:35:55"/>
    <d v="2023-05-17T14:35:55"/>
    <d v="2023-05-17T14:33:25"/>
    <s v="Within SLA"/>
    <d v="2023-05-18T10:10:59"/>
    <x v="0"/>
    <d v="2023-05-23T22:33:50"/>
    <n v="9"/>
    <n v="5"/>
    <x v="2"/>
    <x v="0"/>
    <s v="Spain"/>
    <n v="39.673369999999998"/>
    <n v="-4.7677259999999997"/>
    <s v="ok"/>
    <s v="ok"/>
    <s v="ok"/>
    <s v="ok"/>
    <s v="ok"/>
    <x v="0"/>
    <n v="20.58437333337497"/>
  </r>
  <r>
    <x v="2"/>
    <n v="2130"/>
    <x v="0"/>
    <x v="0"/>
    <x v="1"/>
    <s v="2nd line support"/>
    <x v="5"/>
    <x v="887"/>
    <d v="2023-05-19T08:56:49"/>
    <d v="2023-05-17T09:56:49"/>
    <d v="2023-05-17T09:19:22"/>
    <s v="Within SLA"/>
    <d v="2023-05-18T14:39:36"/>
    <x v="0"/>
    <m/>
    <n v="2"/>
    <m/>
    <x v="1"/>
    <x v="1"/>
    <s v="Greece"/>
    <n v="39.368279000000001"/>
    <n v="21.863140999999999"/>
    <s v="ok"/>
    <s v="ok"/>
    <s v="ok"/>
    <s v="ok"/>
    <s v="ok"/>
    <x v="0"/>
    <n v="29.713089166616555"/>
  </r>
  <r>
    <x v="0"/>
    <n v="2131"/>
    <x v="0"/>
    <x v="0"/>
    <x v="0"/>
    <s v="2nd line support"/>
    <x v="5"/>
    <x v="888"/>
    <d v="2023-05-19T18:09:46"/>
    <d v="2023-05-17T19:09:46"/>
    <d v="2023-05-17T18:21:38"/>
    <s v="Within SLA"/>
    <d v="2023-05-19T10:51:50"/>
    <x v="0"/>
    <d v="2023-05-23T08:34:33"/>
    <n v="1"/>
    <n v="4"/>
    <x v="2"/>
    <x v="1"/>
    <s v="Italy"/>
    <n v="43.036776000000003"/>
    <n v="12.678565000000001"/>
    <s v="ok"/>
    <s v="ok"/>
    <s v="ok"/>
    <s v="ok"/>
    <s v="ok"/>
    <x v="0"/>
    <n v="40.701083055522759"/>
  </r>
  <r>
    <x v="0"/>
    <n v="2132"/>
    <x v="0"/>
    <x v="2"/>
    <x v="1"/>
    <s v="1st line support"/>
    <x v="3"/>
    <x v="889"/>
    <d v="2023-05-18T20:47:12"/>
    <d v="2023-05-17T20:49:12"/>
    <d v="2023-05-17T20:48:08"/>
    <s v="Within SLA"/>
    <d v="2023-05-18T07:36:24"/>
    <x v="0"/>
    <d v="2023-05-20T23:13:05"/>
    <n v="4"/>
    <n v="3"/>
    <x v="1"/>
    <x v="0"/>
    <s v="Bulgaria"/>
    <n v="42.724992499999999"/>
    <n v="25.483303899999999"/>
    <s v="ok"/>
    <s v="ok"/>
    <s v="ok"/>
    <s v="ok"/>
    <s v="ok"/>
    <x v="0"/>
    <n v="10.82010388886556"/>
  </r>
  <r>
    <x v="0"/>
    <n v="2133"/>
    <x v="0"/>
    <x v="0"/>
    <x v="3"/>
    <s v="2nd line support"/>
    <x v="1"/>
    <x v="890"/>
    <d v="2023-05-20T04:35:32"/>
    <d v="2023-05-18T05:35:32"/>
    <d v="2023-05-18T04:43:07"/>
    <s v="Within SLA"/>
    <d v="2023-05-19T14:33:32"/>
    <x v="0"/>
    <d v="2023-05-21T02:53:01"/>
    <n v="5"/>
    <n v="5"/>
    <x v="3"/>
    <x v="1"/>
    <s v="France"/>
    <n v="48.864716000000001"/>
    <n v="2.3490139999999999"/>
    <s v="ok"/>
    <s v="ok"/>
    <s v="ok"/>
    <s v="ok"/>
    <s v="ok"/>
    <x v="0"/>
    <n v="33.966779444308486"/>
  </r>
  <r>
    <x v="1"/>
    <n v="2134"/>
    <x v="0"/>
    <x v="2"/>
    <x v="5"/>
    <s v="1st line support"/>
    <x v="3"/>
    <x v="891"/>
    <d v="2023-05-19T02:59:48"/>
    <d v="2023-05-18T03:01:48"/>
    <d v="2023-05-18T03:00:06"/>
    <s v="Within SLA"/>
    <m/>
    <x v="1"/>
    <m/>
    <n v="4"/>
    <m/>
    <x v="2"/>
    <x v="0"/>
    <s v="Poland"/>
    <n v="52.536273000000001"/>
    <n v="19.050639"/>
    <s v="ok"/>
    <s v="ok"/>
    <s v="ok"/>
    <s v="ok"/>
    <s v="ok"/>
    <x v="1"/>
    <s v=""/>
  </r>
  <r>
    <x v="2"/>
    <n v="2135"/>
    <x v="0"/>
    <x v="1"/>
    <x v="0"/>
    <s v="1st line support"/>
    <x v="0"/>
    <x v="892"/>
    <d v="2023-05-20T05:54:00"/>
    <d v="2023-05-18T05:56:00"/>
    <d v="2023-05-17T20:19:49"/>
    <s v="Within SLA"/>
    <d v="2023-05-23T16:55:35"/>
    <x v="1"/>
    <m/>
    <n v="1"/>
    <m/>
    <x v="2"/>
    <x v="0"/>
    <s v="Austria"/>
    <n v="47.696471899999999"/>
    <n v="13.3457347"/>
    <s v="check"/>
    <s v="ok"/>
    <s v="ok"/>
    <s v="ok"/>
    <s v="ok"/>
    <x v="0"/>
    <n v="131.02641749993199"/>
  </r>
  <r>
    <x v="0"/>
    <n v="2136"/>
    <x v="0"/>
    <x v="2"/>
    <x v="1"/>
    <s v="2nd line support"/>
    <x v="7"/>
    <x v="893"/>
    <d v="2023-05-19T14:04:54"/>
    <d v="2023-05-18T14:06:54"/>
    <d v="2023-05-18T14:05:27"/>
    <s v="Within SLA"/>
    <d v="2023-05-19T12:01:01"/>
    <x v="0"/>
    <d v="2023-05-22T15:21:11"/>
    <n v="4"/>
    <n v="2"/>
    <x v="2"/>
    <x v="1"/>
    <s v="France"/>
    <n v="48.864716000000001"/>
    <n v="2.3490139999999999"/>
    <s v="ok"/>
    <s v="ok"/>
    <s v="ok"/>
    <s v="ok"/>
    <s v="ok"/>
    <x v="0"/>
    <n v="21.935397499997634"/>
  </r>
  <r>
    <x v="2"/>
    <n v="2137"/>
    <x v="1"/>
    <x v="0"/>
    <x v="1"/>
    <s v="1st line support"/>
    <x v="3"/>
    <x v="894"/>
    <d v="2023-05-20T06:09:03"/>
    <d v="2023-05-18T07:09:03"/>
    <d v="2023-05-18T06:37:49"/>
    <s v="Within SLA"/>
    <d v="2023-05-19T00:26:30"/>
    <x v="0"/>
    <m/>
    <n v="2"/>
    <m/>
    <x v="1"/>
    <x v="0"/>
    <s v="Bulgaria"/>
    <n v="42.724992499999999"/>
    <n v="25.483303899999999"/>
    <s v="ok"/>
    <s v="ok"/>
    <s v="ok"/>
    <s v="ok"/>
    <s v="ok"/>
    <x v="0"/>
    <n v="18.290771111205686"/>
  </r>
  <r>
    <x v="2"/>
    <n v="2138"/>
    <x v="0"/>
    <x v="2"/>
    <x v="4"/>
    <s v="1st line support"/>
    <x v="4"/>
    <x v="895"/>
    <d v="2023-05-19T01:02:52"/>
    <d v="2023-05-18T01:04:52"/>
    <d v="2023-05-18T01:05:48"/>
    <s v="SLA Violated"/>
    <d v="2023-05-18T09:21:08"/>
    <x v="0"/>
    <m/>
    <n v="6"/>
    <m/>
    <x v="3"/>
    <x v="0"/>
    <s v="Republic of Ireland"/>
    <n v="53.094023999999997"/>
    <n v="-8.0196749999999994"/>
    <s v="ok"/>
    <s v="ok"/>
    <s v="ok"/>
    <s v="ok"/>
    <s v="ok"/>
    <x v="0"/>
    <n v="8.3044758334290236"/>
  </r>
  <r>
    <x v="2"/>
    <n v="2139"/>
    <x v="2"/>
    <x v="0"/>
    <x v="2"/>
    <s v="1st line support"/>
    <x v="2"/>
    <x v="896"/>
    <d v="2023-05-20T00:56:39"/>
    <d v="2023-05-18T01:56:39"/>
    <d v="2023-05-18T00:57:18"/>
    <s v="Within SLA"/>
    <d v="2023-05-18T11:58:13"/>
    <x v="0"/>
    <m/>
    <n v="1"/>
    <m/>
    <x v="2"/>
    <x v="0"/>
    <s v="France"/>
    <n v="48.864716000000001"/>
    <n v="2.3490139999999999"/>
    <s v="ok"/>
    <s v="ok"/>
    <s v="ok"/>
    <s v="ok"/>
    <s v="ok"/>
    <x v="0"/>
    <n v="11.025999999954365"/>
  </r>
  <r>
    <x v="0"/>
    <n v="2140"/>
    <x v="1"/>
    <x v="2"/>
    <x v="0"/>
    <s v="2nd line support"/>
    <x v="5"/>
    <x v="897"/>
    <d v="2023-05-20T09:18:12"/>
    <d v="2023-05-19T09:20:12"/>
    <d v="2023-05-19T09:19:28"/>
    <s v="Within SLA"/>
    <d v="2023-05-19T12:22:54"/>
    <x v="0"/>
    <d v="2023-05-21T02:59:58"/>
    <n v="4"/>
    <n v="2"/>
    <x v="2"/>
    <x v="1"/>
    <s v="Italy"/>
    <n v="43.036776000000003"/>
    <n v="12.678565000000001"/>
    <s v="ok"/>
    <s v="ok"/>
    <s v="ok"/>
    <s v="ok"/>
    <s v="ok"/>
    <x v="0"/>
    <n v="3.0784016666002572"/>
  </r>
  <r>
    <x v="0"/>
    <n v="2141"/>
    <x v="0"/>
    <x v="2"/>
    <x v="0"/>
    <s v="2nd line support"/>
    <x v="1"/>
    <x v="898"/>
    <d v="2023-05-20T09:21:45"/>
    <d v="2023-05-19T09:23:45"/>
    <d v="2023-05-19T09:21:48"/>
    <s v="Within SLA"/>
    <d v="2023-05-19T22:06:52"/>
    <x v="0"/>
    <d v="2023-05-25T16:23:30"/>
    <n v="6"/>
    <n v="2"/>
    <x v="2"/>
    <x v="1"/>
    <s v="France"/>
    <n v="48.864716000000001"/>
    <n v="2.3490139999999999"/>
    <s v="ok"/>
    <s v="ok"/>
    <s v="ok"/>
    <s v="ok"/>
    <s v="ok"/>
    <x v="0"/>
    <n v="12.751908055564854"/>
  </r>
  <r>
    <x v="2"/>
    <n v="2142"/>
    <x v="2"/>
    <x v="0"/>
    <x v="3"/>
    <s v="1st line support"/>
    <x v="3"/>
    <x v="899"/>
    <d v="2023-05-21T20:11:47"/>
    <d v="2023-05-19T21:11:47"/>
    <d v="2023-05-19T20:32:06"/>
    <s v="Within SLA"/>
    <d v="2023-05-20T01:08:24"/>
    <x v="0"/>
    <m/>
    <n v="3"/>
    <m/>
    <x v="0"/>
    <x v="0"/>
    <s v="Spain"/>
    <n v="39.673369999999998"/>
    <n v="-4.7677259999999997"/>
    <s v="ok"/>
    <s v="ok"/>
    <s v="ok"/>
    <s v="ok"/>
    <s v="ok"/>
    <x v="0"/>
    <n v="4.943502499954775"/>
  </r>
  <r>
    <x v="0"/>
    <n v="2143"/>
    <x v="2"/>
    <x v="0"/>
    <x v="5"/>
    <s v="1st line support"/>
    <x v="4"/>
    <x v="900"/>
    <d v="2023-05-21T18:13:22"/>
    <d v="2023-05-19T19:13:22"/>
    <d v="2023-05-19T19:04:59"/>
    <s v="Within SLA"/>
    <d v="2023-05-20T00:22:52"/>
    <x v="0"/>
    <d v="2023-05-24T01:14:11"/>
    <n v="5"/>
    <n v="2"/>
    <x v="2"/>
    <x v="0"/>
    <s v="United Kingdom"/>
    <n v="55.378051999999997"/>
    <n v="-3.4359730000000002"/>
    <s v="ok"/>
    <s v="ok"/>
    <s v="ok"/>
    <s v="ok"/>
    <s v="ok"/>
    <x v="0"/>
    <n v="6.1583941665594466"/>
  </r>
  <r>
    <x v="0"/>
    <n v="2144"/>
    <x v="0"/>
    <x v="0"/>
    <x v="0"/>
    <s v="1st line support"/>
    <x v="3"/>
    <x v="901"/>
    <d v="2023-05-21T22:25:42"/>
    <d v="2023-05-19T23:25:42"/>
    <d v="2023-05-20T01:02:39"/>
    <s v="SLA Violated"/>
    <d v="2023-05-20T02:35:08"/>
    <x v="0"/>
    <d v="2023-05-24T05:30:16"/>
    <n v="1"/>
    <n v="5"/>
    <x v="2"/>
    <x v="0"/>
    <s v="Germany"/>
    <n v="51.165691000000002"/>
    <n v="10.451525999999999"/>
    <s v="ok"/>
    <s v="ok"/>
    <s v="ok"/>
    <s v="ok"/>
    <s v="ok"/>
    <x v="0"/>
    <n v="4.1571838888339698"/>
  </r>
  <r>
    <x v="2"/>
    <n v="2145"/>
    <x v="2"/>
    <x v="2"/>
    <x v="1"/>
    <s v="2nd line support"/>
    <x v="5"/>
    <x v="902"/>
    <d v="2023-05-20T22:52:07"/>
    <d v="2023-05-19T22:54:07"/>
    <d v="2023-05-19T22:52:39"/>
    <s v="Within SLA"/>
    <d v="2023-05-20T02:27:13"/>
    <x v="0"/>
    <m/>
    <n v="3"/>
    <m/>
    <x v="2"/>
    <x v="1"/>
    <s v="Italy"/>
    <n v="43.036776000000003"/>
    <n v="12.678565000000001"/>
    <s v="ok"/>
    <s v="ok"/>
    <s v="ok"/>
    <s v="ok"/>
    <s v="ok"/>
    <x v="0"/>
    <n v="3.584979722101707"/>
  </r>
  <r>
    <x v="1"/>
    <n v="2146"/>
    <x v="0"/>
    <x v="0"/>
    <x v="0"/>
    <s v="1st line support"/>
    <x v="4"/>
    <x v="903"/>
    <d v="2023-05-21T10:51:14"/>
    <d v="2023-05-19T11:51:14"/>
    <d v="2023-05-19T11:07:05"/>
    <s v="Within SLA"/>
    <m/>
    <x v="1"/>
    <m/>
    <n v="1"/>
    <m/>
    <x v="0"/>
    <x v="0"/>
    <s v="United Kingdom"/>
    <n v="55.378051999999997"/>
    <n v="-3.4359730000000002"/>
    <s v="ok"/>
    <s v="ok"/>
    <s v="ok"/>
    <s v="ok"/>
    <s v="ok"/>
    <x v="1"/>
    <s v=""/>
  </r>
  <r>
    <x v="2"/>
    <n v="2147"/>
    <x v="1"/>
    <x v="0"/>
    <x v="0"/>
    <s v="1st line support"/>
    <x v="4"/>
    <x v="904"/>
    <d v="2023-05-22T00:38:09"/>
    <d v="2023-05-20T01:38:09"/>
    <d v="2023-05-20T00:39:14"/>
    <s v="Within SLA"/>
    <d v="2023-05-21T16:59:32"/>
    <x v="0"/>
    <m/>
    <n v="6"/>
    <m/>
    <x v="1"/>
    <x v="0"/>
    <s v="Germany"/>
    <n v="51.165691000000002"/>
    <n v="10.451525999999999"/>
    <s v="ok"/>
    <s v="ok"/>
    <s v="ok"/>
    <s v="ok"/>
    <s v="ok"/>
    <x v="0"/>
    <n v="40.356422222277615"/>
  </r>
  <r>
    <x v="2"/>
    <n v="2151"/>
    <x v="0"/>
    <x v="0"/>
    <x v="0"/>
    <s v="1st line support"/>
    <x v="6"/>
    <x v="905"/>
    <d v="2023-05-22T14:53:34"/>
    <d v="2023-05-20T15:53:34"/>
    <d v="2023-05-20T15:45:13"/>
    <s v="Within SLA"/>
    <d v="2023-05-22T06:02:25"/>
    <x v="0"/>
    <m/>
    <n v="6"/>
    <m/>
    <x v="2"/>
    <x v="0"/>
    <s v="Greece"/>
    <n v="39.368279000000001"/>
    <n v="21.863140999999999"/>
    <s v="ok"/>
    <s v="ok"/>
    <s v="ok"/>
    <s v="ok"/>
    <s v="ok"/>
    <x v="0"/>
    <n v="39.147433611040469"/>
  </r>
  <r>
    <x v="1"/>
    <n v="2152"/>
    <x v="0"/>
    <x v="2"/>
    <x v="1"/>
    <s v="1st line support"/>
    <x v="3"/>
    <x v="906"/>
    <d v="2023-05-21T04:03:32"/>
    <d v="2023-05-20T04:05:32"/>
    <d v="2023-05-20T04:05:33"/>
    <s v="SLA Violated"/>
    <m/>
    <x v="1"/>
    <m/>
    <n v="3"/>
    <m/>
    <x v="2"/>
    <x v="0"/>
    <s v="Spain"/>
    <n v="39.673369999999998"/>
    <n v="-4.7677259999999997"/>
    <s v="ok"/>
    <s v="ok"/>
    <s v="ok"/>
    <s v="ok"/>
    <s v="ok"/>
    <x v="1"/>
    <s v=""/>
  </r>
  <r>
    <x v="2"/>
    <n v="2153"/>
    <x v="0"/>
    <x v="1"/>
    <x v="2"/>
    <s v="1st line support"/>
    <x v="3"/>
    <x v="907"/>
    <d v="2023-05-22T15:44:42"/>
    <d v="2023-05-20T15:46:42"/>
    <d v="2023-05-20T15:45:11"/>
    <s v="Within SLA"/>
    <d v="2023-05-21T08:59:17"/>
    <x v="0"/>
    <m/>
    <n v="6"/>
    <m/>
    <x v="2"/>
    <x v="0"/>
    <s v="Greece"/>
    <n v="39.368279000000001"/>
    <n v="21.863140999999999"/>
    <s v="ok"/>
    <s v="ok"/>
    <s v="ok"/>
    <s v="ok"/>
    <s v="ok"/>
    <x v="0"/>
    <n v="17.243102222098969"/>
  </r>
  <r>
    <x v="1"/>
    <n v="2154"/>
    <x v="2"/>
    <x v="0"/>
    <x v="1"/>
    <s v="1st line support"/>
    <x v="4"/>
    <x v="908"/>
    <d v="2023-05-23T10:36:31"/>
    <d v="2023-05-21T11:36:31"/>
    <d v="2023-05-21T11:15:04"/>
    <s v="Within SLA"/>
    <m/>
    <x v="1"/>
    <m/>
    <n v="1"/>
    <m/>
    <x v="0"/>
    <x v="0"/>
    <s v="Austria"/>
    <n v="47.696471899999999"/>
    <n v="13.3457347"/>
    <s v="ok"/>
    <s v="ok"/>
    <s v="ok"/>
    <s v="ok"/>
    <s v="ok"/>
    <x v="1"/>
    <s v=""/>
  </r>
  <r>
    <x v="0"/>
    <n v="2155"/>
    <x v="1"/>
    <x v="0"/>
    <x v="4"/>
    <s v="1st line support"/>
    <x v="2"/>
    <x v="909"/>
    <d v="2023-05-23T07:27:31"/>
    <d v="2023-05-21T08:27:31"/>
    <d v="2023-05-21T08:13:52"/>
    <s v="Within SLA"/>
    <d v="2023-05-23T00:09:51"/>
    <x v="0"/>
    <d v="2023-05-23T14:44:53"/>
    <n v="6"/>
    <n v="2"/>
    <x v="3"/>
    <x v="0"/>
    <s v="Republic of Ireland"/>
    <n v="53.094023999999997"/>
    <n v="-8.0196749999999994"/>
    <s v="ok"/>
    <s v="ok"/>
    <s v="ok"/>
    <s v="ok"/>
    <s v="ok"/>
    <x v="0"/>
    <n v="40.705598333326634"/>
  </r>
  <r>
    <x v="2"/>
    <n v="2156"/>
    <x v="2"/>
    <x v="1"/>
    <x v="1"/>
    <s v="1st line support"/>
    <x v="2"/>
    <x v="910"/>
    <d v="2023-05-23T20:41:47"/>
    <d v="2023-05-21T20:43:47"/>
    <d v="2023-05-21T20:41:59"/>
    <s v="Within SLA"/>
    <d v="2023-05-23T04:34:38"/>
    <x v="0"/>
    <m/>
    <n v="2"/>
    <m/>
    <x v="0"/>
    <x v="0"/>
    <s v="France"/>
    <n v="48.864716000000001"/>
    <n v="2.3490139999999999"/>
    <s v="ok"/>
    <s v="ok"/>
    <s v="ok"/>
    <s v="ok"/>
    <s v="ok"/>
    <x v="0"/>
    <n v="31.880814166681375"/>
  </r>
  <r>
    <x v="0"/>
    <n v="2161"/>
    <x v="2"/>
    <x v="1"/>
    <x v="1"/>
    <s v="2nd line support"/>
    <x v="7"/>
    <x v="911"/>
    <d v="2023-05-24T16:48:25"/>
    <d v="2023-05-22T16:50:25"/>
    <d v="2023-05-22T16:52:45"/>
    <s v="SLA Violated"/>
    <d v="2023-05-23T05:47:42"/>
    <x v="0"/>
    <d v="2023-05-25T17:34:11"/>
    <n v="6"/>
    <n v="3"/>
    <x v="1"/>
    <x v="1"/>
    <s v="Republic of Ireland"/>
    <n v="53.094023999999997"/>
    <n v="-8.0196749999999994"/>
    <s v="ok"/>
    <s v="ok"/>
    <s v="ok"/>
    <s v="ok"/>
    <s v="ok"/>
    <x v="0"/>
    <n v="12.98810194444377"/>
  </r>
  <r>
    <x v="2"/>
    <n v="2162"/>
    <x v="2"/>
    <x v="0"/>
    <x v="5"/>
    <s v="1st line support"/>
    <x v="6"/>
    <x v="912"/>
    <d v="2023-05-24T05:23:12"/>
    <d v="2023-05-22T06:23:12"/>
    <d v="2023-05-22T05:46:22"/>
    <s v="Within SLA"/>
    <d v="2023-05-23T03:27:43"/>
    <x v="0"/>
    <m/>
    <n v="1"/>
    <m/>
    <x v="2"/>
    <x v="0"/>
    <s v="Poland"/>
    <n v="52.536273000000001"/>
    <n v="19.050639"/>
    <s v="ok"/>
    <s v="ok"/>
    <s v="ok"/>
    <s v="ok"/>
    <s v="ok"/>
    <x v="0"/>
    <n v="22.075227222230751"/>
  </r>
  <r>
    <x v="2"/>
    <n v="2163"/>
    <x v="2"/>
    <x v="0"/>
    <x v="1"/>
    <s v="1st line support"/>
    <x v="4"/>
    <x v="913"/>
    <d v="2023-05-24T18:39:02"/>
    <d v="2023-05-22T19:39:02"/>
    <d v="2023-05-22T19:16:38"/>
    <s v="Within SLA"/>
    <d v="2023-05-22T23:56:24"/>
    <x v="0"/>
    <m/>
    <n v="9"/>
    <m/>
    <x v="3"/>
    <x v="0"/>
    <s v="United Kingdom"/>
    <n v="55.378051999999997"/>
    <n v="-3.4359730000000002"/>
    <s v="ok"/>
    <s v="ok"/>
    <s v="ok"/>
    <s v="ok"/>
    <s v="ok"/>
    <x v="0"/>
    <n v="5.2894666667561978"/>
  </r>
  <r>
    <x v="2"/>
    <n v="2164"/>
    <x v="1"/>
    <x v="0"/>
    <x v="5"/>
    <s v="1st line support"/>
    <x v="0"/>
    <x v="914"/>
    <d v="2023-05-24T21:17:37"/>
    <d v="2023-05-22T22:17:37"/>
    <d v="2023-05-22T21:22:05"/>
    <s v="Within SLA"/>
    <d v="2023-05-23T08:17:12"/>
    <x v="0"/>
    <m/>
    <n v="1"/>
    <m/>
    <x v="0"/>
    <x v="0"/>
    <s v="Poland"/>
    <n v="52.536273000000001"/>
    <n v="19.050639"/>
    <s v="ok"/>
    <s v="ok"/>
    <s v="ok"/>
    <s v="ok"/>
    <s v="ok"/>
    <x v="0"/>
    <n v="10.993138333316892"/>
  </r>
  <r>
    <x v="0"/>
    <n v="2165"/>
    <x v="0"/>
    <x v="1"/>
    <x v="3"/>
    <s v="2nd line support"/>
    <x v="7"/>
    <x v="915"/>
    <d v="2023-05-24T11:49:12"/>
    <d v="2023-05-22T11:51:12"/>
    <d v="2023-05-22T11:50:03"/>
    <s v="Within SLA"/>
    <d v="2023-05-22T20:54:06"/>
    <x v="0"/>
    <d v="2023-05-29T21:17:36"/>
    <n v="1"/>
    <n v="3"/>
    <x v="2"/>
    <x v="1"/>
    <s v="Greece"/>
    <n v="39.368279000000001"/>
    <n v="21.863140999999999"/>
    <s v="ok"/>
    <s v="ok"/>
    <s v="ok"/>
    <s v="ok"/>
    <s v="ok"/>
    <x v="0"/>
    <n v="9.0817172221723013"/>
  </r>
  <r>
    <x v="2"/>
    <n v="2166"/>
    <x v="2"/>
    <x v="1"/>
    <x v="5"/>
    <s v="2nd line support"/>
    <x v="7"/>
    <x v="916"/>
    <d v="2023-05-24T18:21:23"/>
    <d v="2023-05-22T18:23:23"/>
    <d v="2023-05-22T18:22:00"/>
    <s v="Within SLA"/>
    <d v="2023-05-24T02:44:48"/>
    <x v="0"/>
    <m/>
    <n v="3"/>
    <m/>
    <x v="3"/>
    <x v="1"/>
    <s v="Austria"/>
    <n v="47.696471899999999"/>
    <n v="13.3457347"/>
    <s v="ok"/>
    <s v="ok"/>
    <s v="ok"/>
    <s v="ok"/>
    <s v="ok"/>
    <x v="0"/>
    <n v="32.390323333384003"/>
  </r>
  <r>
    <x v="1"/>
    <n v="2167"/>
    <x v="0"/>
    <x v="2"/>
    <x v="3"/>
    <s v="1st line support"/>
    <x v="4"/>
    <x v="917"/>
    <d v="2023-05-23T03:46:21"/>
    <d v="2023-05-22T03:48:21"/>
    <d v="2023-05-22T03:47:42"/>
    <s v="Within SLA"/>
    <m/>
    <x v="1"/>
    <m/>
    <n v="6"/>
    <m/>
    <x v="2"/>
    <x v="0"/>
    <s v="France"/>
    <n v="48.864716000000001"/>
    <n v="2.3490139999999999"/>
    <s v="ok"/>
    <s v="ok"/>
    <s v="ok"/>
    <s v="ok"/>
    <s v="ok"/>
    <x v="1"/>
    <s v=""/>
  </r>
  <r>
    <x v="2"/>
    <n v="2168"/>
    <x v="2"/>
    <x v="1"/>
    <x v="3"/>
    <s v="1st line support"/>
    <x v="6"/>
    <x v="918"/>
    <d v="2023-05-24T07:29:34"/>
    <d v="2023-05-22T07:31:34"/>
    <d v="2023-05-22T07:29:57"/>
    <s v="Within SLA"/>
    <d v="2023-05-23T22:50:45"/>
    <x v="0"/>
    <m/>
    <n v="4"/>
    <m/>
    <x v="2"/>
    <x v="0"/>
    <s v="Greece"/>
    <n v="39.368279000000001"/>
    <n v="21.863140999999999"/>
    <s v="ok"/>
    <s v="ok"/>
    <s v="ok"/>
    <s v="ok"/>
    <s v="ok"/>
    <x v="0"/>
    <n v="39.353149722155649"/>
  </r>
  <r>
    <x v="0"/>
    <n v="2169"/>
    <x v="2"/>
    <x v="0"/>
    <x v="2"/>
    <s v="2nd line support"/>
    <x v="7"/>
    <x v="919"/>
    <d v="2023-05-24T12:09:17"/>
    <d v="2023-05-22T13:09:17"/>
    <d v="2023-05-22T13:03:44"/>
    <s v="Within SLA"/>
    <d v="2023-05-23T05:41:09"/>
    <x v="0"/>
    <d v="2023-05-28T06:54:22"/>
    <n v="3"/>
    <n v="4"/>
    <x v="3"/>
    <x v="1"/>
    <s v="Republic of Ireland"/>
    <n v="53.094023999999997"/>
    <n v="-8.0196749999999994"/>
    <s v="ok"/>
    <s v="ok"/>
    <s v="ok"/>
    <s v="ok"/>
    <s v="ok"/>
    <x v="0"/>
    <n v="17.531231388857123"/>
  </r>
  <r>
    <x v="2"/>
    <n v="2170"/>
    <x v="0"/>
    <x v="0"/>
    <x v="0"/>
    <s v="1st line support"/>
    <x v="4"/>
    <x v="920"/>
    <d v="2023-05-24T10:26:47"/>
    <d v="2023-05-22T11:26:47"/>
    <d v="2023-05-22T11:00:11"/>
    <s v="Within SLA"/>
    <d v="2023-05-23T22:49:45"/>
    <x v="0"/>
    <m/>
    <n v="8"/>
    <m/>
    <x v="1"/>
    <x v="0"/>
    <s v="Spain"/>
    <n v="39.673369999999998"/>
    <n v="-4.7677259999999997"/>
    <s v="ok"/>
    <s v="ok"/>
    <s v="ok"/>
    <s v="ok"/>
    <s v="ok"/>
    <x v="0"/>
    <n v="36.382841944461688"/>
  </r>
  <r>
    <x v="1"/>
    <n v="2171"/>
    <x v="0"/>
    <x v="0"/>
    <x v="5"/>
    <s v="1st line support"/>
    <x v="0"/>
    <x v="921"/>
    <d v="2023-05-24T09:23:54"/>
    <d v="2023-05-22T10:23:54"/>
    <d v="2023-05-22T10:18:03"/>
    <s v="Within SLA"/>
    <m/>
    <x v="1"/>
    <m/>
    <n v="1"/>
    <m/>
    <x v="2"/>
    <x v="0"/>
    <s v="France"/>
    <n v="48.864716000000001"/>
    <n v="2.3490139999999999"/>
    <s v="ok"/>
    <s v="ok"/>
    <s v="ok"/>
    <s v="ok"/>
    <s v="ok"/>
    <x v="1"/>
    <s v=""/>
  </r>
  <r>
    <x v="0"/>
    <n v="2172"/>
    <x v="0"/>
    <x v="2"/>
    <x v="4"/>
    <s v="1st line support"/>
    <x v="6"/>
    <x v="922"/>
    <d v="2023-05-23T15:13:22"/>
    <d v="2023-05-22T15:15:22"/>
    <d v="2023-05-22T15:14:15"/>
    <s v="Within SLA"/>
    <d v="2023-05-23T04:29:23"/>
    <x v="0"/>
    <d v="2023-05-26T02:02:07"/>
    <n v="4"/>
    <n v="2"/>
    <x v="0"/>
    <x v="0"/>
    <s v="Italy"/>
    <n v="43.036776000000003"/>
    <n v="12.678565000000001"/>
    <s v="ok"/>
    <s v="ok"/>
    <s v="ok"/>
    <s v="ok"/>
    <s v="ok"/>
    <x v="0"/>
    <n v="13.266996111022308"/>
  </r>
  <r>
    <x v="0"/>
    <n v="2173"/>
    <x v="2"/>
    <x v="0"/>
    <x v="3"/>
    <s v="1st line support"/>
    <x v="0"/>
    <x v="923"/>
    <d v="2023-05-24T20:37:08"/>
    <d v="2023-05-22T21:37:08"/>
    <d v="2023-05-22T21:21:47"/>
    <s v="Within SLA"/>
    <d v="2023-05-27T22:37:21"/>
    <x v="1"/>
    <d v="2023-05-29T06:12:47"/>
    <n v="2"/>
    <n v="4"/>
    <x v="1"/>
    <x v="0"/>
    <s v="Germany"/>
    <n v="51.165691000000002"/>
    <n v="10.451525999999999"/>
    <s v="ok"/>
    <s v="ok"/>
    <s v="ok"/>
    <s v="ok"/>
    <s v="ok"/>
    <x v="0"/>
    <n v="122.0036577777355"/>
  </r>
  <r>
    <x v="1"/>
    <n v="2174"/>
    <x v="2"/>
    <x v="0"/>
    <x v="3"/>
    <s v="2nd line support"/>
    <x v="1"/>
    <x v="924"/>
    <d v="2023-05-24T01:35:36"/>
    <d v="2023-05-22T02:35:36"/>
    <d v="2023-05-22T02:05:02"/>
    <s v="Within SLA"/>
    <m/>
    <x v="1"/>
    <m/>
    <n v="10"/>
    <m/>
    <x v="2"/>
    <x v="1"/>
    <s v="Slovenia"/>
    <n v="46.149166399999999"/>
    <n v="14.9860106"/>
    <s v="ok"/>
    <s v="ok"/>
    <s v="ok"/>
    <s v="ok"/>
    <s v="ok"/>
    <x v="1"/>
    <s v=""/>
  </r>
  <r>
    <x v="0"/>
    <n v="2175"/>
    <x v="0"/>
    <x v="0"/>
    <x v="3"/>
    <s v="1st line support"/>
    <x v="2"/>
    <x v="925"/>
    <d v="2023-05-24T04:58:52"/>
    <d v="2023-05-22T05:58:52"/>
    <d v="2023-05-22T05:11:09"/>
    <s v="Within SLA"/>
    <d v="2023-05-28T07:49:40"/>
    <x v="1"/>
    <d v="2023-05-28T00:51:20"/>
    <n v="2"/>
    <n v="3"/>
    <x v="3"/>
    <x v="0"/>
    <s v="United Kingdom"/>
    <n v="55.378051999999997"/>
    <n v="-3.4359730000000002"/>
    <s v="ok"/>
    <s v="ok"/>
    <s v="check"/>
    <s v="ok"/>
    <s v="ok"/>
    <x v="0"/>
    <n v="146.84666138881585"/>
  </r>
  <r>
    <x v="0"/>
    <n v="2176"/>
    <x v="2"/>
    <x v="2"/>
    <x v="6"/>
    <s v="1st line support"/>
    <x v="0"/>
    <x v="926"/>
    <d v="2023-05-24T22:40:09"/>
    <d v="2023-05-23T22:42:09"/>
    <d v="2023-05-23T22:40:15"/>
    <s v="Within SLA"/>
    <d v="2023-05-24T00:35:48"/>
    <x v="0"/>
    <d v="2023-05-30T01:51:00"/>
    <n v="6"/>
    <n v="2"/>
    <x v="3"/>
    <x v="0"/>
    <s v="France"/>
    <n v="48.864716000000001"/>
    <n v="2.3490139999999999"/>
    <s v="ok"/>
    <s v="ok"/>
    <s v="ok"/>
    <s v="ok"/>
    <s v="ok"/>
    <x v="0"/>
    <n v="1.927419722196646"/>
  </r>
  <r>
    <x v="0"/>
    <n v="2177"/>
    <x v="2"/>
    <x v="2"/>
    <x v="3"/>
    <s v="1st line support"/>
    <x v="4"/>
    <x v="927"/>
    <d v="2023-05-24T05:53:45"/>
    <d v="2023-05-23T05:55:45"/>
    <d v="2023-05-23T05:55:38"/>
    <s v="Within SLA"/>
    <d v="2023-05-23T09:42:37"/>
    <x v="0"/>
    <d v="2023-05-27T07:39:39"/>
    <n v="8"/>
    <n v="3"/>
    <x v="3"/>
    <x v="0"/>
    <s v="United Kingdom"/>
    <n v="55.378051999999997"/>
    <n v="-3.4359730000000002"/>
    <s v="ok"/>
    <s v="ok"/>
    <s v="ok"/>
    <s v="ok"/>
    <s v="ok"/>
    <x v="0"/>
    <n v="3.8144744445453398"/>
  </r>
  <r>
    <x v="0"/>
    <n v="2178"/>
    <x v="0"/>
    <x v="0"/>
    <x v="1"/>
    <s v="1st line support"/>
    <x v="3"/>
    <x v="928"/>
    <d v="2023-05-25T00:49:48"/>
    <d v="2023-05-23T01:49:48"/>
    <d v="2023-05-23T06:19:20"/>
    <s v="SLA Violated"/>
    <d v="2023-05-23T02:38:23"/>
    <x v="0"/>
    <d v="2023-05-26T21:17:44"/>
    <n v="5"/>
    <n v="4"/>
    <x v="3"/>
    <x v="0"/>
    <s v="United Kingdom"/>
    <n v="55.378051999999997"/>
    <n v="-3.4359730000000002"/>
    <s v="ok"/>
    <s v="ok"/>
    <s v="ok"/>
    <s v="ok"/>
    <s v="ok"/>
    <x v="0"/>
    <n v="1.8096036110655405"/>
  </r>
  <r>
    <x v="0"/>
    <n v="2179"/>
    <x v="2"/>
    <x v="0"/>
    <x v="1"/>
    <s v="1st line support"/>
    <x v="3"/>
    <x v="929"/>
    <d v="2023-05-25T11:32:40"/>
    <d v="2023-05-23T12:32:40"/>
    <d v="2023-05-23T12:30:20"/>
    <s v="Within SLA"/>
    <d v="2023-05-25T01:58:51"/>
    <x v="0"/>
    <d v="2023-05-25T19:30:42"/>
    <n v="1"/>
    <n v="5"/>
    <x v="1"/>
    <x v="0"/>
    <s v="Germany"/>
    <n v="51.165691000000002"/>
    <n v="10.451525999999999"/>
    <s v="ok"/>
    <s v="ok"/>
    <s v="ok"/>
    <s v="ok"/>
    <s v="ok"/>
    <x v="0"/>
    <n v="38.436506944417488"/>
  </r>
  <r>
    <x v="0"/>
    <n v="2180"/>
    <x v="1"/>
    <x v="0"/>
    <x v="1"/>
    <s v="1st line support"/>
    <x v="4"/>
    <x v="930"/>
    <d v="2023-05-25T06:23:44"/>
    <d v="2023-05-23T07:23:44"/>
    <d v="2023-05-23T07:17:07"/>
    <s v="Within SLA"/>
    <d v="2023-05-23T07:57:25"/>
    <x v="0"/>
    <d v="2023-05-26T19:57:12"/>
    <n v="6"/>
    <n v="3"/>
    <x v="0"/>
    <x v="0"/>
    <s v="Germany"/>
    <n v="51.165691000000002"/>
    <n v="10.451525999999999"/>
    <s v="ok"/>
    <s v="ok"/>
    <s v="ok"/>
    <s v="ok"/>
    <s v="ok"/>
    <x v="0"/>
    <n v="1.5612863888964057"/>
  </r>
  <r>
    <x v="1"/>
    <n v="2183"/>
    <x v="2"/>
    <x v="0"/>
    <x v="0"/>
    <s v="2nd line support"/>
    <x v="5"/>
    <x v="931"/>
    <d v="2023-05-25T02:47:45"/>
    <d v="2023-05-23T03:47:45"/>
    <d v="2023-05-23T03:39:33"/>
    <s v="Within SLA"/>
    <m/>
    <x v="1"/>
    <m/>
    <n v="1"/>
    <m/>
    <x v="0"/>
    <x v="1"/>
    <s v="Republic of Ireland"/>
    <n v="53.094023999999997"/>
    <n v="-8.0196749999999994"/>
    <s v="ok"/>
    <s v="ok"/>
    <s v="ok"/>
    <s v="ok"/>
    <s v="ok"/>
    <x v="1"/>
    <s v=""/>
  </r>
  <r>
    <x v="2"/>
    <n v="2184"/>
    <x v="1"/>
    <x v="0"/>
    <x v="1"/>
    <s v="1st line support"/>
    <x v="2"/>
    <x v="932"/>
    <d v="2023-05-26T03:30:28"/>
    <d v="2023-05-24T04:30:28"/>
    <d v="2023-05-24T03:50:07"/>
    <s v="Within SLA"/>
    <d v="2023-05-25T07:54:58"/>
    <x v="0"/>
    <m/>
    <n v="9"/>
    <m/>
    <x v="3"/>
    <x v="0"/>
    <s v="Bulgaria"/>
    <n v="42.724992499999999"/>
    <n v="25.483303899999999"/>
    <s v="ok"/>
    <s v="ok"/>
    <s v="ok"/>
    <s v="ok"/>
    <s v="ok"/>
    <x v="0"/>
    <n v="28.408305833407212"/>
  </r>
  <r>
    <x v="2"/>
    <n v="2185"/>
    <x v="0"/>
    <x v="2"/>
    <x v="1"/>
    <s v="1st line support"/>
    <x v="3"/>
    <x v="933"/>
    <d v="2023-05-25T07:40:10"/>
    <d v="2023-05-24T07:42:10"/>
    <d v="2023-05-24T07:41:42"/>
    <s v="Within SLA"/>
    <d v="2023-05-25T14:51:04"/>
    <x v="1"/>
    <m/>
    <n v="4"/>
    <m/>
    <x v="2"/>
    <x v="0"/>
    <s v="Poland"/>
    <n v="52.536273000000001"/>
    <n v="19.050639"/>
    <s v="ok"/>
    <s v="ok"/>
    <s v="ok"/>
    <s v="ok"/>
    <s v="ok"/>
    <x v="0"/>
    <n v="31.181749444396701"/>
  </r>
  <r>
    <x v="1"/>
    <n v="2186"/>
    <x v="0"/>
    <x v="2"/>
    <x v="0"/>
    <s v="2nd line support"/>
    <x v="5"/>
    <x v="934"/>
    <d v="2023-05-25T21:59:19"/>
    <d v="2023-05-24T22:01:19"/>
    <d v="2023-05-24T21:59:23"/>
    <s v="Within SLA"/>
    <m/>
    <x v="1"/>
    <m/>
    <n v="6"/>
    <m/>
    <x v="2"/>
    <x v="1"/>
    <s v="Slovenia"/>
    <n v="46.149166399999999"/>
    <n v="14.9860106"/>
    <s v="ok"/>
    <s v="ok"/>
    <s v="ok"/>
    <s v="ok"/>
    <s v="ok"/>
    <x v="1"/>
    <s v=""/>
  </r>
  <r>
    <x v="0"/>
    <n v="2188"/>
    <x v="1"/>
    <x v="2"/>
    <x v="1"/>
    <s v="1st line support"/>
    <x v="3"/>
    <x v="935"/>
    <d v="2023-05-25T22:52:47"/>
    <d v="2023-05-24T22:54:47"/>
    <d v="2023-05-24T22:52:47"/>
    <s v="Within SLA"/>
    <d v="2023-05-24T23:10:35"/>
    <x v="0"/>
    <d v="2023-05-30T19:17:19"/>
    <n v="3"/>
    <n v="3"/>
    <x v="1"/>
    <x v="0"/>
    <s v="Germany"/>
    <n v="51.165691000000002"/>
    <n v="10.451525999999999"/>
    <s v="ok"/>
    <s v="ok"/>
    <s v="ok"/>
    <s v="ok"/>
    <s v="ok"/>
    <x v="0"/>
    <n v="0.29669499996816739"/>
  </r>
  <r>
    <x v="0"/>
    <n v="2189"/>
    <x v="0"/>
    <x v="2"/>
    <x v="3"/>
    <s v="1st line support"/>
    <x v="0"/>
    <x v="936"/>
    <d v="2023-05-25T13:25:23"/>
    <d v="2023-05-24T13:27:23"/>
    <d v="2023-05-24T13:26:57"/>
    <s v="Within SLA"/>
    <d v="2023-05-24T21:15:36"/>
    <x v="0"/>
    <d v="2023-05-30T00:06:25"/>
    <n v="4"/>
    <n v="2"/>
    <x v="2"/>
    <x v="0"/>
    <s v="Greece"/>
    <n v="39.368279000000001"/>
    <n v="21.863140999999999"/>
    <s v="ok"/>
    <s v="ok"/>
    <s v="ok"/>
    <s v="ok"/>
    <s v="ok"/>
    <x v="0"/>
    <n v="7.8368766666390002"/>
  </r>
  <r>
    <x v="0"/>
    <n v="2190"/>
    <x v="0"/>
    <x v="0"/>
    <x v="3"/>
    <s v="1st line support"/>
    <x v="2"/>
    <x v="937"/>
    <d v="2023-05-26T01:25:21"/>
    <d v="2023-05-24T02:25:21"/>
    <d v="2023-05-24T02:09:39"/>
    <s v="Within SLA"/>
    <d v="2023-05-25T21:42:40"/>
    <x v="0"/>
    <d v="2023-05-25T15:58:35"/>
    <n v="2"/>
    <n v="1"/>
    <x v="1"/>
    <x v="0"/>
    <s v="Italy"/>
    <n v="43.036776000000003"/>
    <n v="12.678565000000001"/>
    <s v="ok"/>
    <s v="ok"/>
    <s v="check"/>
    <s v="ok"/>
    <s v="ok"/>
    <x v="0"/>
    <n v="44.288569166616071"/>
  </r>
  <r>
    <x v="2"/>
    <n v="2192"/>
    <x v="1"/>
    <x v="0"/>
    <x v="0"/>
    <s v="1st line support"/>
    <x v="6"/>
    <x v="938"/>
    <d v="2023-05-26T00:06:54"/>
    <d v="2023-05-24T01:06:54"/>
    <d v="2023-05-24T00:10:27"/>
    <s v="Within SLA"/>
    <d v="2023-05-25T18:50:48"/>
    <x v="0"/>
    <m/>
    <n v="10"/>
    <m/>
    <x v="0"/>
    <x v="0"/>
    <s v="Poland"/>
    <n v="52.536273000000001"/>
    <n v="19.050639"/>
    <s v="ok"/>
    <s v="ok"/>
    <s v="ok"/>
    <s v="ok"/>
    <s v="ok"/>
    <x v="0"/>
    <n v="42.731762500014156"/>
  </r>
  <r>
    <x v="0"/>
    <n v="2193"/>
    <x v="2"/>
    <x v="2"/>
    <x v="2"/>
    <s v="1st line support"/>
    <x v="6"/>
    <x v="939"/>
    <d v="2023-05-25T05:42:39"/>
    <d v="2023-05-24T05:44:39"/>
    <d v="2023-05-24T05:44:43"/>
    <s v="SLA Violated"/>
    <d v="2023-05-24T21:37:40"/>
    <x v="0"/>
    <d v="2023-05-29T18:48:13"/>
    <n v="4"/>
    <n v="2"/>
    <x v="1"/>
    <x v="0"/>
    <s v="Czech Republic"/>
    <n v="49.8037633"/>
    <n v="15.4749126"/>
    <s v="ok"/>
    <s v="ok"/>
    <s v="ok"/>
    <s v="ok"/>
    <s v="ok"/>
    <x v="0"/>
    <n v="15.917020833352581"/>
  </r>
  <r>
    <x v="2"/>
    <n v="2194"/>
    <x v="2"/>
    <x v="2"/>
    <x v="3"/>
    <s v="2nd line support"/>
    <x v="5"/>
    <x v="940"/>
    <d v="2023-05-26T00:10:39"/>
    <d v="2023-05-25T00:12:39"/>
    <d v="2023-05-25T00:12:31"/>
    <s v="Within SLA"/>
    <d v="2023-05-25T04:12:14"/>
    <x v="0"/>
    <m/>
    <n v="60"/>
    <m/>
    <x v="0"/>
    <x v="1"/>
    <s v="Spain"/>
    <n v="39.673369999999998"/>
    <n v="-4.7677259999999997"/>
    <s v="ok"/>
    <s v="ok"/>
    <s v="ok"/>
    <s v="ok"/>
    <s v="ok"/>
    <x v="0"/>
    <n v="4.0264647222356871"/>
  </r>
  <r>
    <x v="0"/>
    <n v="2195"/>
    <x v="0"/>
    <x v="0"/>
    <x v="0"/>
    <s v="1st line support"/>
    <x v="2"/>
    <x v="941"/>
    <d v="2023-05-27T03:02:20"/>
    <d v="2023-05-25T04:02:20"/>
    <d v="2023-05-25T03:44:38"/>
    <s v="Within SLA"/>
    <d v="2023-05-25T22:02:17"/>
    <x v="0"/>
    <d v="2023-05-30T01:50:52"/>
    <n v="2"/>
    <n v="5"/>
    <x v="2"/>
    <x v="0"/>
    <s v="Slovenia"/>
    <n v="46.149166399999999"/>
    <n v="14.9860106"/>
    <s v="ok"/>
    <s v="ok"/>
    <s v="ok"/>
    <s v="ok"/>
    <s v="ok"/>
    <x v="0"/>
    <n v="18.999082500056829"/>
  </r>
  <r>
    <x v="1"/>
    <n v="2196"/>
    <x v="0"/>
    <x v="2"/>
    <x v="5"/>
    <s v="1st line support"/>
    <x v="0"/>
    <x v="942"/>
    <d v="2023-05-26T16:37:26"/>
    <d v="2023-05-25T16:39:26"/>
    <d v="2023-05-25T16:37:52"/>
    <s v="Within SLA"/>
    <m/>
    <x v="1"/>
    <m/>
    <n v="5"/>
    <m/>
    <x v="2"/>
    <x v="0"/>
    <s v="Germany"/>
    <n v="51.165691000000002"/>
    <n v="10.451525999999999"/>
    <s v="ok"/>
    <s v="ok"/>
    <s v="ok"/>
    <s v="ok"/>
    <s v="ok"/>
    <x v="1"/>
    <s v=""/>
  </r>
  <r>
    <x v="2"/>
    <n v="2197"/>
    <x v="0"/>
    <x v="2"/>
    <x v="5"/>
    <s v="1st line support"/>
    <x v="2"/>
    <x v="943"/>
    <d v="2023-05-26T23:58:35"/>
    <d v="2023-05-26T00:00:35"/>
    <d v="2023-05-26T00:00:12"/>
    <s v="Within SLA"/>
    <d v="2023-05-26T10:27:21"/>
    <x v="0"/>
    <m/>
    <n v="4"/>
    <m/>
    <x v="2"/>
    <x v="0"/>
    <s v="Slovenia"/>
    <n v="46.149166399999999"/>
    <n v="14.9860106"/>
    <s v="ok"/>
    <s v="ok"/>
    <s v="ok"/>
    <s v="ok"/>
    <s v="ok"/>
    <x v="0"/>
    <n v="10.479431111016311"/>
  </r>
  <r>
    <x v="1"/>
    <n v="2198"/>
    <x v="0"/>
    <x v="0"/>
    <x v="2"/>
    <s v="1st line support"/>
    <x v="6"/>
    <x v="944"/>
    <d v="2023-05-27T05:26:04"/>
    <d v="2023-05-25T06:26:04"/>
    <d v="2023-05-25T08:24:28"/>
    <s v="SLA Violated"/>
    <m/>
    <x v="1"/>
    <m/>
    <n v="7"/>
    <m/>
    <x v="0"/>
    <x v="0"/>
    <s v="Slovenia"/>
    <n v="46.149166399999999"/>
    <n v="14.9860106"/>
    <s v="ok"/>
    <s v="ok"/>
    <s v="ok"/>
    <s v="ok"/>
    <s v="ok"/>
    <x v="1"/>
    <s v=""/>
  </r>
  <r>
    <x v="0"/>
    <n v="2199"/>
    <x v="1"/>
    <x v="1"/>
    <x v="0"/>
    <s v="1st line support"/>
    <x v="4"/>
    <x v="945"/>
    <d v="2023-05-27T14:47:02"/>
    <d v="2023-05-25T14:49:02"/>
    <d v="2023-05-25T14:50:42"/>
    <s v="SLA Violated"/>
    <d v="2023-05-26T03:27:57"/>
    <x v="0"/>
    <d v="2023-05-28T10:22:53"/>
    <n v="6"/>
    <n v="4"/>
    <x v="2"/>
    <x v="0"/>
    <s v="Poland"/>
    <n v="52.536273000000001"/>
    <n v="19.050639"/>
    <s v="ok"/>
    <s v="ok"/>
    <s v="ok"/>
    <s v="ok"/>
    <s v="ok"/>
    <x v="0"/>
    <n v="12.68180666671833"/>
  </r>
  <r>
    <x v="2"/>
    <n v="2200"/>
    <x v="0"/>
    <x v="2"/>
    <x v="1"/>
    <s v="1st line support"/>
    <x v="2"/>
    <x v="946"/>
    <d v="2023-05-26T20:08:06"/>
    <d v="2023-05-25T20:10:06"/>
    <d v="2023-05-25T20:10:27"/>
    <s v="SLA Violated"/>
    <d v="2023-05-26T02:36:18"/>
    <x v="0"/>
    <m/>
    <n v="4"/>
    <m/>
    <x v="0"/>
    <x v="0"/>
    <s v="Austria"/>
    <n v="47.696471899999999"/>
    <n v="13.3457347"/>
    <s v="ok"/>
    <s v="ok"/>
    <s v="ok"/>
    <s v="ok"/>
    <s v="ok"/>
    <x v="0"/>
    <n v="6.4699336111661978"/>
  </r>
  <r>
    <x v="0"/>
    <n v="2201"/>
    <x v="1"/>
    <x v="2"/>
    <x v="3"/>
    <s v="2nd line support"/>
    <x v="7"/>
    <x v="947"/>
    <d v="2023-05-26T13:55:06"/>
    <d v="2023-05-25T13:57:06"/>
    <d v="2023-05-25T13:55:56"/>
    <s v="Within SLA"/>
    <d v="2023-05-26T05:14:41"/>
    <x v="0"/>
    <d v="2023-05-30T19:42:59"/>
    <n v="3"/>
    <n v="3"/>
    <x v="2"/>
    <x v="1"/>
    <s v="Bulgaria"/>
    <n v="42.724992499999999"/>
    <n v="25.483303899999999"/>
    <s v="ok"/>
    <s v="ok"/>
    <s v="ok"/>
    <s v="ok"/>
    <s v="ok"/>
    <x v="0"/>
    <n v="15.326473333407193"/>
  </r>
  <r>
    <x v="0"/>
    <n v="2202"/>
    <x v="0"/>
    <x v="0"/>
    <x v="1"/>
    <s v="1st line support"/>
    <x v="0"/>
    <x v="948"/>
    <d v="2023-05-27T17:33:19"/>
    <d v="2023-05-25T18:33:19"/>
    <d v="2023-05-25T18:00:22"/>
    <s v="Within SLA"/>
    <d v="2023-05-25T18:22:48"/>
    <x v="0"/>
    <d v="2023-05-29T14:15:35"/>
    <n v="1"/>
    <n v="3"/>
    <x v="0"/>
    <x v="0"/>
    <s v="Republic of Ireland"/>
    <n v="53.094023999999997"/>
    <n v="-8.0196749999999994"/>
    <s v="ok"/>
    <s v="ok"/>
    <s v="ok"/>
    <s v="ok"/>
    <s v="ok"/>
    <x v="0"/>
    <n v="0.82481611124239862"/>
  </r>
  <r>
    <x v="2"/>
    <n v="2203"/>
    <x v="2"/>
    <x v="0"/>
    <x v="3"/>
    <s v="1st line support"/>
    <x v="4"/>
    <x v="949"/>
    <d v="2023-05-27T13:52:26"/>
    <d v="2023-05-25T14:52:26"/>
    <d v="2023-05-25T14:11:03"/>
    <s v="Within SLA"/>
    <d v="2023-05-26T01:29:28"/>
    <x v="0"/>
    <m/>
    <n v="1"/>
    <m/>
    <x v="2"/>
    <x v="0"/>
    <s v="United Kingdom"/>
    <n v="55.378051999999997"/>
    <n v="-3.4359730000000002"/>
    <s v="ok"/>
    <s v="ok"/>
    <s v="ok"/>
    <s v="ok"/>
    <s v="ok"/>
    <x v="0"/>
    <n v="11.617283611209132"/>
  </r>
  <r>
    <x v="2"/>
    <n v="2204"/>
    <x v="0"/>
    <x v="0"/>
    <x v="1"/>
    <s v="1st line support"/>
    <x v="4"/>
    <x v="950"/>
    <d v="2023-05-28T18:49:22"/>
    <d v="2023-05-26T19:49:22"/>
    <d v="2023-05-26T18:51:57"/>
    <s v="Within SLA"/>
    <d v="2023-05-27T12:36:42"/>
    <x v="0"/>
    <m/>
    <n v="1"/>
    <m/>
    <x v="0"/>
    <x v="0"/>
    <s v="Slovenia"/>
    <n v="46.149166399999999"/>
    <n v="14.9860106"/>
    <s v="ok"/>
    <s v="ok"/>
    <s v="ok"/>
    <s v="ok"/>
    <s v="ok"/>
    <x v="0"/>
    <n v="17.788751111074816"/>
  </r>
  <r>
    <x v="0"/>
    <n v="2205"/>
    <x v="2"/>
    <x v="0"/>
    <x v="0"/>
    <s v="2nd line support"/>
    <x v="5"/>
    <x v="951"/>
    <d v="2023-05-28T21:16:25"/>
    <d v="2023-05-26T22:16:25"/>
    <d v="2023-05-26T21:49:30"/>
    <s v="Within SLA"/>
    <d v="2023-05-27T10:17:33"/>
    <x v="0"/>
    <d v="2023-05-29T09:39:39"/>
    <n v="9"/>
    <n v="1"/>
    <x v="1"/>
    <x v="1"/>
    <s v="Greece"/>
    <n v="39.368279000000001"/>
    <n v="21.863140999999999"/>
    <s v="ok"/>
    <s v="ok"/>
    <s v="ok"/>
    <s v="ok"/>
    <s v="ok"/>
    <x v="0"/>
    <n v="13.018840277683921"/>
  </r>
  <r>
    <x v="2"/>
    <n v="2206"/>
    <x v="0"/>
    <x v="0"/>
    <x v="3"/>
    <s v="1st line support"/>
    <x v="0"/>
    <x v="952"/>
    <d v="2023-05-28T11:09:54"/>
    <d v="2023-05-26T12:09:54"/>
    <d v="2023-05-26T12:07:46"/>
    <s v="Within SLA"/>
    <d v="2023-05-28T08:26:59"/>
    <x v="0"/>
    <m/>
    <n v="7"/>
    <m/>
    <x v="0"/>
    <x v="0"/>
    <s v="Germany"/>
    <n v="51.165691000000002"/>
    <n v="10.451525999999999"/>
    <s v="ok"/>
    <s v="ok"/>
    <s v="ok"/>
    <s v="ok"/>
    <s v="ok"/>
    <x v="0"/>
    <n v="45.284588611044455"/>
  </r>
  <r>
    <x v="2"/>
    <n v="2207"/>
    <x v="0"/>
    <x v="0"/>
    <x v="4"/>
    <s v="1st line support"/>
    <x v="6"/>
    <x v="953"/>
    <d v="2023-05-28T07:39:45"/>
    <d v="2023-05-26T08:39:45"/>
    <d v="2023-05-26T08:10:49"/>
    <s v="Within SLA"/>
    <d v="2023-05-27T23:42:36"/>
    <x v="0"/>
    <m/>
    <n v="3"/>
    <m/>
    <x v="0"/>
    <x v="0"/>
    <s v="France"/>
    <n v="48.864716000000001"/>
    <n v="2.3490139999999999"/>
    <s v="ok"/>
    <s v="ok"/>
    <s v="ok"/>
    <s v="ok"/>
    <s v="ok"/>
    <x v="0"/>
    <n v="40.047429166676011"/>
  </r>
  <r>
    <x v="2"/>
    <n v="2208"/>
    <x v="2"/>
    <x v="0"/>
    <x v="3"/>
    <s v="1st line support"/>
    <x v="3"/>
    <x v="954"/>
    <d v="2023-05-28T22:47:11"/>
    <d v="2023-05-26T23:47:11"/>
    <d v="2023-05-26T23:33:12"/>
    <s v="Within SLA"/>
    <d v="2023-05-27T22:57:11"/>
    <x v="0"/>
    <m/>
    <n v="3"/>
    <m/>
    <x v="0"/>
    <x v="0"/>
    <s v="Bulgaria"/>
    <n v="42.724992499999999"/>
    <n v="25.483303899999999"/>
    <s v="ok"/>
    <s v="ok"/>
    <s v="ok"/>
    <s v="ok"/>
    <s v="ok"/>
    <x v="0"/>
    <n v="24.16660638875328"/>
  </r>
  <r>
    <x v="1"/>
    <n v="2209"/>
    <x v="0"/>
    <x v="2"/>
    <x v="1"/>
    <s v="1st line support"/>
    <x v="4"/>
    <x v="955"/>
    <d v="2023-05-27T16:39:38"/>
    <d v="2023-05-26T16:41:38"/>
    <d v="2023-05-26T16:41:15"/>
    <s v="Within SLA"/>
    <m/>
    <x v="1"/>
    <m/>
    <n v="3"/>
    <m/>
    <x v="2"/>
    <x v="0"/>
    <s v="Poland"/>
    <n v="52.536273000000001"/>
    <n v="19.050639"/>
    <s v="ok"/>
    <s v="ok"/>
    <s v="ok"/>
    <s v="ok"/>
    <s v="ok"/>
    <x v="1"/>
    <s v=""/>
  </r>
  <r>
    <x v="0"/>
    <n v="2219"/>
    <x v="0"/>
    <x v="0"/>
    <x v="5"/>
    <s v="1st line support"/>
    <x v="0"/>
    <x v="956"/>
    <d v="2023-05-30T18:01:07"/>
    <d v="2023-05-28T19:01:07"/>
    <d v="2023-05-28T18:15:07"/>
    <s v="Within SLA"/>
    <d v="2023-05-29T21:22:30"/>
    <x v="0"/>
    <d v="2023-05-31T22:33:24"/>
    <n v="7"/>
    <n v="2"/>
    <x v="2"/>
    <x v="0"/>
    <s v="Poland"/>
    <n v="52.536273000000001"/>
    <n v="19.050639"/>
    <s v="ok"/>
    <s v="ok"/>
    <s v="ok"/>
    <s v="ok"/>
    <s v="ok"/>
    <x v="0"/>
    <n v="27.35651555552613"/>
  </r>
  <r>
    <x v="2"/>
    <n v="2220"/>
    <x v="0"/>
    <x v="0"/>
    <x v="0"/>
    <s v="1st line support"/>
    <x v="4"/>
    <x v="957"/>
    <d v="2023-05-30T17:35:16"/>
    <d v="2023-05-28T18:35:16"/>
    <d v="2023-05-28T17:44:32"/>
    <s v="Within SLA"/>
    <d v="2023-05-29T07:33:27"/>
    <x v="0"/>
    <m/>
    <n v="8"/>
    <m/>
    <x v="1"/>
    <x v="0"/>
    <s v="Poland"/>
    <n v="52.536273000000001"/>
    <n v="19.050639"/>
    <s v="ok"/>
    <s v="ok"/>
    <s v="ok"/>
    <s v="ok"/>
    <s v="ok"/>
    <x v="0"/>
    <n v="13.969720277760644"/>
  </r>
  <r>
    <x v="0"/>
    <n v="2221"/>
    <x v="2"/>
    <x v="2"/>
    <x v="0"/>
    <s v="1st line support"/>
    <x v="3"/>
    <x v="958"/>
    <d v="2023-05-29T23:04:13"/>
    <d v="2023-05-28T23:06:13"/>
    <d v="2023-05-28T23:09:14"/>
    <s v="SLA Violated"/>
    <d v="2023-05-29T18:08:28"/>
    <x v="0"/>
    <d v="2023-06-04T15:07:12"/>
    <n v="6"/>
    <n v="4"/>
    <x v="2"/>
    <x v="0"/>
    <s v="Poland"/>
    <n v="52.536273000000001"/>
    <n v="19.050639"/>
    <s v="ok"/>
    <s v="ok"/>
    <s v="ok"/>
    <s v="ok"/>
    <s v="ok"/>
    <x v="0"/>
    <n v="19.070707222097553"/>
  </r>
  <r>
    <x v="2"/>
    <n v="2222"/>
    <x v="0"/>
    <x v="0"/>
    <x v="5"/>
    <s v="1st line support"/>
    <x v="2"/>
    <x v="959"/>
    <d v="2023-05-30T03:21:55"/>
    <d v="2023-05-28T04:21:55"/>
    <d v="2023-05-28T04:15:15"/>
    <s v="Within SLA"/>
    <d v="2023-06-01T07:08:30"/>
    <x v="1"/>
    <m/>
    <n v="4"/>
    <m/>
    <x v="0"/>
    <x v="0"/>
    <s v="Poland"/>
    <n v="52.536273000000001"/>
    <n v="19.050639"/>
    <s v="ok"/>
    <s v="ok"/>
    <s v="ok"/>
    <s v="ok"/>
    <s v="ok"/>
    <x v="0"/>
    <n v="99.776442222297192"/>
  </r>
  <r>
    <x v="0"/>
    <n v="2223"/>
    <x v="1"/>
    <x v="0"/>
    <x v="2"/>
    <s v="1st line support"/>
    <x v="6"/>
    <x v="960"/>
    <d v="2023-05-31T15:46:30"/>
    <d v="2023-05-29T16:46:30"/>
    <d v="2023-05-29T20:42:25"/>
    <s v="SLA Violated"/>
    <d v="2023-06-03T14:50:15"/>
    <x v="1"/>
    <d v="2023-06-04T07:23:01"/>
    <n v="2"/>
    <n v="4"/>
    <x v="1"/>
    <x v="0"/>
    <s v="Spain"/>
    <n v="39.673369999999998"/>
    <n v="-4.7677259999999997"/>
    <s v="ok"/>
    <s v="ok"/>
    <s v="ok"/>
    <s v="ok"/>
    <s v="ok"/>
    <x v="0"/>
    <n v="119.06259999994654"/>
  </r>
  <r>
    <x v="2"/>
    <n v="2224"/>
    <x v="2"/>
    <x v="2"/>
    <x v="1"/>
    <s v="1st line support"/>
    <x v="2"/>
    <x v="961"/>
    <d v="2023-05-30T00:44:02"/>
    <d v="2023-05-29T00:46:02"/>
    <d v="2023-05-29T00:45:05"/>
    <s v="Within SLA"/>
    <d v="2023-05-30T03:06:02"/>
    <x v="1"/>
    <m/>
    <n v="6"/>
    <m/>
    <x v="0"/>
    <x v="0"/>
    <s v="Greece"/>
    <n v="39.368279000000001"/>
    <n v="21.863140999999999"/>
    <s v="ok"/>
    <s v="ok"/>
    <s v="ok"/>
    <s v="ok"/>
    <s v="ok"/>
    <x v="0"/>
    <n v="26.366538055473939"/>
  </r>
  <r>
    <x v="2"/>
    <n v="2225"/>
    <x v="0"/>
    <x v="2"/>
    <x v="2"/>
    <s v="2nd line support"/>
    <x v="7"/>
    <x v="962"/>
    <d v="2023-05-31T02:42:21"/>
    <d v="2023-05-30T02:44:21"/>
    <d v="2023-05-30T02:44:12"/>
    <s v="Within SLA"/>
    <d v="2023-05-30T06:31:31"/>
    <x v="0"/>
    <m/>
    <n v="3"/>
    <m/>
    <x v="1"/>
    <x v="1"/>
    <s v="Italy"/>
    <n v="43.036776000000003"/>
    <n v="12.678565000000001"/>
    <s v="ok"/>
    <s v="ok"/>
    <s v="ok"/>
    <s v="ok"/>
    <s v="ok"/>
    <x v="0"/>
    <n v="3.8194224999169819"/>
  </r>
  <r>
    <x v="2"/>
    <n v="2226"/>
    <x v="0"/>
    <x v="2"/>
    <x v="0"/>
    <s v="1st line support"/>
    <x v="4"/>
    <x v="963"/>
    <d v="2023-05-31T15:57:45"/>
    <d v="2023-05-30T15:59:45"/>
    <d v="2023-05-30T15:57:47"/>
    <s v="Within SLA"/>
    <d v="2023-05-31T07:34:53"/>
    <x v="0"/>
    <m/>
    <n v="6"/>
    <m/>
    <x v="2"/>
    <x v="0"/>
    <s v="United Kingdom"/>
    <n v="55.378051999999997"/>
    <n v="-3.4359730000000002"/>
    <s v="ok"/>
    <s v="ok"/>
    <s v="ok"/>
    <s v="ok"/>
    <s v="ok"/>
    <x v="0"/>
    <n v="15.618935277743731"/>
  </r>
  <r>
    <x v="1"/>
    <n v="2227"/>
    <x v="1"/>
    <x v="1"/>
    <x v="3"/>
    <s v="1st line support"/>
    <x v="6"/>
    <x v="964"/>
    <d v="2023-06-01T18:33:13"/>
    <d v="2023-05-30T18:35:13"/>
    <d v="2023-05-30T18:33:21"/>
    <s v="Within SLA"/>
    <m/>
    <x v="1"/>
    <m/>
    <n v="2"/>
    <m/>
    <x v="2"/>
    <x v="0"/>
    <s v="Slovenia"/>
    <n v="46.149166399999999"/>
    <n v="14.9860106"/>
    <s v="ok"/>
    <s v="ok"/>
    <s v="ok"/>
    <s v="ok"/>
    <s v="ok"/>
    <x v="1"/>
    <s v=""/>
  </r>
  <r>
    <x v="1"/>
    <n v="2228"/>
    <x v="2"/>
    <x v="2"/>
    <x v="3"/>
    <s v="2nd line support"/>
    <x v="1"/>
    <x v="965"/>
    <d v="2023-05-31T08:36:51"/>
    <d v="2023-05-30T08:38:51"/>
    <d v="2023-05-30T08:37:50"/>
    <s v="Within SLA"/>
    <m/>
    <x v="1"/>
    <m/>
    <n v="4"/>
    <m/>
    <x v="2"/>
    <x v="1"/>
    <s v="Austria"/>
    <n v="47.696471899999999"/>
    <n v="13.3457347"/>
    <s v="ok"/>
    <s v="ok"/>
    <s v="ok"/>
    <s v="ok"/>
    <s v="ok"/>
    <x v="1"/>
    <s v=""/>
  </r>
  <r>
    <x v="0"/>
    <n v="2229"/>
    <x v="2"/>
    <x v="2"/>
    <x v="2"/>
    <s v="2nd line support"/>
    <x v="7"/>
    <x v="966"/>
    <d v="2023-05-31T13:39:34"/>
    <d v="2023-05-30T13:41:34"/>
    <d v="2023-05-30T13:45:14"/>
    <s v="SLA Violated"/>
    <d v="2023-05-30T22:02:09"/>
    <x v="0"/>
    <d v="2023-06-03T14:37:18"/>
    <n v="6"/>
    <n v="5"/>
    <x v="2"/>
    <x v="1"/>
    <s v="Czech Republic"/>
    <n v="49.8037633"/>
    <n v="15.4749126"/>
    <s v="ok"/>
    <s v="ok"/>
    <s v="ok"/>
    <s v="ok"/>
    <s v="ok"/>
    <x v="0"/>
    <n v="8.3765047221095301"/>
  </r>
  <r>
    <x v="1"/>
    <n v="2230"/>
    <x v="0"/>
    <x v="1"/>
    <x v="2"/>
    <s v="1st line support"/>
    <x v="4"/>
    <x v="967"/>
    <d v="2023-06-02T12:33:45"/>
    <d v="2023-05-31T12:35:45"/>
    <d v="2023-05-31T12:34:21"/>
    <s v="Within SLA"/>
    <m/>
    <x v="1"/>
    <m/>
    <n v="1"/>
    <m/>
    <x v="3"/>
    <x v="0"/>
    <s v="Austria"/>
    <n v="47.696471899999999"/>
    <n v="13.3457347"/>
    <s v="ok"/>
    <s v="ok"/>
    <s v="ok"/>
    <s v="ok"/>
    <s v="ok"/>
    <x v="1"/>
    <s v=""/>
  </r>
  <r>
    <x v="2"/>
    <n v="2231"/>
    <x v="1"/>
    <x v="0"/>
    <x v="4"/>
    <s v="1st line support"/>
    <x v="4"/>
    <x v="968"/>
    <d v="2023-06-02T17:08:54"/>
    <d v="2023-05-31T18:08:54"/>
    <d v="2023-05-31T17:44:32"/>
    <s v="Within SLA"/>
    <d v="2023-06-01T11:31:30"/>
    <x v="0"/>
    <m/>
    <n v="6"/>
    <m/>
    <x v="2"/>
    <x v="0"/>
    <s v="United Kingdom"/>
    <n v="55.378051999999997"/>
    <n v="-3.4359730000000002"/>
    <s v="ok"/>
    <s v="ok"/>
    <s v="ok"/>
    <s v="ok"/>
    <s v="ok"/>
    <x v="0"/>
    <n v="18.37652777787298"/>
  </r>
  <r>
    <x v="2"/>
    <n v="2232"/>
    <x v="0"/>
    <x v="0"/>
    <x v="1"/>
    <s v="1st line support"/>
    <x v="6"/>
    <x v="969"/>
    <d v="2023-06-02T22:08:57"/>
    <d v="2023-05-31T23:08:57"/>
    <d v="2023-05-31T22:12:53"/>
    <s v="Within SLA"/>
    <d v="2023-06-01T21:29:19"/>
    <x v="0"/>
    <m/>
    <n v="5"/>
    <m/>
    <x v="0"/>
    <x v="0"/>
    <s v="France"/>
    <n v="48.864716000000001"/>
    <n v="2.3490139999999999"/>
    <s v="ok"/>
    <s v="ok"/>
    <s v="ok"/>
    <s v="ok"/>
    <s v="ok"/>
    <x v="0"/>
    <n v="23.339369722176343"/>
  </r>
  <r>
    <x v="2"/>
    <n v="2233"/>
    <x v="0"/>
    <x v="2"/>
    <x v="1"/>
    <s v="2nd line support"/>
    <x v="7"/>
    <x v="970"/>
    <d v="2023-06-01T09:43:09"/>
    <d v="2023-05-31T09:45:09"/>
    <d v="2023-05-31T09:43:30"/>
    <s v="Within SLA"/>
    <d v="2023-06-01T04:46:08"/>
    <x v="0"/>
    <m/>
    <n v="4"/>
    <m/>
    <x v="2"/>
    <x v="1"/>
    <s v="Germany"/>
    <n v="51.165691000000002"/>
    <n v="10.451525999999999"/>
    <s v="ok"/>
    <s v="ok"/>
    <s v="ok"/>
    <s v="ok"/>
    <s v="ok"/>
    <x v="0"/>
    <n v="19.049597500066739"/>
  </r>
  <r>
    <x v="2"/>
    <n v="2234"/>
    <x v="0"/>
    <x v="2"/>
    <x v="1"/>
    <s v="2nd line support"/>
    <x v="5"/>
    <x v="971"/>
    <d v="2023-06-01T01:43:07"/>
    <d v="2023-05-31T01:45:07"/>
    <d v="2023-05-31T01:43:39"/>
    <s v="Within SLA"/>
    <d v="2023-05-31T20:29:31"/>
    <x v="0"/>
    <m/>
    <n v="6"/>
    <m/>
    <x v="2"/>
    <x v="1"/>
    <s v="Germany"/>
    <n v="51.165691000000002"/>
    <n v="10.451525999999999"/>
    <s v="ok"/>
    <s v="ok"/>
    <s v="ok"/>
    <s v="ok"/>
    <s v="ok"/>
    <x v="0"/>
    <n v="18.773374722339213"/>
  </r>
  <r>
    <x v="0"/>
    <n v="2235"/>
    <x v="0"/>
    <x v="2"/>
    <x v="4"/>
    <s v="2nd line support"/>
    <x v="1"/>
    <x v="972"/>
    <d v="2023-06-01T15:37:38"/>
    <d v="2023-05-31T15:39:38"/>
    <d v="2023-05-31T15:38:27"/>
    <s v="Within SLA"/>
    <d v="2023-05-31T15:58:20"/>
    <x v="0"/>
    <d v="2023-06-07T20:31:07"/>
    <n v="5"/>
    <n v="1"/>
    <x v="0"/>
    <x v="1"/>
    <s v="Czech Republic"/>
    <n v="49.8037633"/>
    <n v="15.4749126"/>
    <s v="ok"/>
    <s v="ok"/>
    <s v="ok"/>
    <s v="ok"/>
    <s v="ok"/>
    <x v="0"/>
    <n v="0.34503888903418556"/>
  </r>
  <r>
    <x v="2"/>
    <n v="2236"/>
    <x v="2"/>
    <x v="1"/>
    <x v="3"/>
    <s v="1st line support"/>
    <x v="2"/>
    <x v="973"/>
    <d v="2023-06-02T00:42:59"/>
    <d v="2023-05-31T00:44:59"/>
    <d v="2023-05-31T00:44:45"/>
    <s v="Within SLA"/>
    <d v="2023-05-31T15:33:16"/>
    <x v="0"/>
    <m/>
    <n v="1"/>
    <m/>
    <x v="2"/>
    <x v="0"/>
    <s v="Germany"/>
    <n v="51.165691000000002"/>
    <n v="10.451525999999999"/>
    <s v="ok"/>
    <s v="ok"/>
    <s v="ok"/>
    <s v="ok"/>
    <s v="ok"/>
    <x v="0"/>
    <n v="14.838077222288121"/>
  </r>
  <r>
    <x v="2"/>
    <n v="2237"/>
    <x v="0"/>
    <x v="0"/>
    <x v="0"/>
    <s v="1st line support"/>
    <x v="3"/>
    <x v="974"/>
    <d v="2023-06-02T05:35:05"/>
    <d v="2023-05-31T06:35:05"/>
    <d v="2023-05-31T06:33:29"/>
    <s v="Within SLA"/>
    <d v="2023-06-01T13:32:13"/>
    <x v="0"/>
    <m/>
    <n v="2"/>
    <m/>
    <x v="2"/>
    <x v="0"/>
    <s v="Greece"/>
    <n v="39.368279000000001"/>
    <n v="21.863140999999999"/>
    <s v="ok"/>
    <s v="ok"/>
    <s v="ok"/>
    <s v="ok"/>
    <s v="ok"/>
    <x v="0"/>
    <n v="31.95219972229097"/>
  </r>
  <r>
    <x v="1"/>
    <n v="2238"/>
    <x v="1"/>
    <x v="0"/>
    <x v="0"/>
    <s v="1st line support"/>
    <x v="4"/>
    <x v="975"/>
    <d v="2023-06-02T15:30:07"/>
    <d v="2023-05-31T16:30:07"/>
    <d v="2023-05-31T16:09:26"/>
    <s v="Within SLA"/>
    <m/>
    <x v="1"/>
    <m/>
    <n v="5"/>
    <m/>
    <x v="1"/>
    <x v="0"/>
    <s v="France"/>
    <n v="48.864716000000001"/>
    <n v="2.3490139999999999"/>
    <s v="ok"/>
    <s v="ok"/>
    <s v="ok"/>
    <s v="ok"/>
    <s v="ok"/>
    <x v="1"/>
    <s v=""/>
  </r>
  <r>
    <x v="0"/>
    <n v="2239"/>
    <x v="0"/>
    <x v="2"/>
    <x v="0"/>
    <s v="1st line support"/>
    <x v="6"/>
    <x v="976"/>
    <d v="2023-06-01T07:51:56"/>
    <d v="2023-05-31T07:53:56"/>
    <d v="2023-05-31T07:56:20"/>
    <s v="SLA Violated"/>
    <d v="2023-05-31T23:24:25"/>
    <x v="0"/>
    <d v="2023-06-07T23:48:02"/>
    <n v="9"/>
    <n v="4"/>
    <x v="2"/>
    <x v="0"/>
    <s v="Germany"/>
    <n v="51.165691000000002"/>
    <n v="10.451525999999999"/>
    <s v="ok"/>
    <s v="ok"/>
    <s v="ok"/>
    <s v="ok"/>
    <s v="ok"/>
    <x v="0"/>
    <n v="15.541384999989532"/>
  </r>
  <r>
    <x v="2"/>
    <n v="2240"/>
    <x v="0"/>
    <x v="0"/>
    <x v="1"/>
    <s v="1st line support"/>
    <x v="2"/>
    <x v="977"/>
    <d v="2023-06-02T18:01:38"/>
    <d v="2023-05-31T19:01:38"/>
    <d v="2023-05-31T18:40:35"/>
    <s v="Within SLA"/>
    <d v="2023-06-01T10:28:53"/>
    <x v="0"/>
    <m/>
    <n v="1"/>
    <m/>
    <x v="3"/>
    <x v="0"/>
    <s v="United Kingdom"/>
    <n v="55.378051999999997"/>
    <n v="-3.4359730000000002"/>
    <s v="ok"/>
    <s v="ok"/>
    <s v="ok"/>
    <s v="ok"/>
    <s v="ok"/>
    <x v="0"/>
    <n v="16.454195555532351"/>
  </r>
  <r>
    <x v="0"/>
    <n v="2241"/>
    <x v="2"/>
    <x v="2"/>
    <x v="0"/>
    <s v="1st line support"/>
    <x v="3"/>
    <x v="978"/>
    <d v="2023-06-02T09:58:22"/>
    <d v="2023-06-01T10:00:22"/>
    <d v="2023-06-01T09:58:30"/>
    <s v="Within SLA"/>
    <d v="2023-06-01T10:14:23"/>
    <x v="0"/>
    <d v="2023-06-08T03:00:24"/>
    <n v="6"/>
    <n v="5"/>
    <x v="0"/>
    <x v="0"/>
    <s v="Austria"/>
    <n v="47.696471899999999"/>
    <n v="13.3457347"/>
    <s v="ok"/>
    <s v="ok"/>
    <s v="ok"/>
    <s v="ok"/>
    <s v="ok"/>
    <x v="0"/>
    <n v="0.26702611113432795"/>
  </r>
  <r>
    <x v="1"/>
    <n v="2242"/>
    <x v="0"/>
    <x v="0"/>
    <x v="5"/>
    <s v="1st line support"/>
    <x v="3"/>
    <x v="979"/>
    <d v="2023-06-03T06:03:01"/>
    <d v="2023-06-01T07:03:01"/>
    <d v="2023-06-01T06:19:57"/>
    <s v="Within SLA"/>
    <m/>
    <x v="1"/>
    <m/>
    <n v="3"/>
    <m/>
    <x v="2"/>
    <x v="0"/>
    <s v="Poland"/>
    <n v="52.536273000000001"/>
    <n v="19.050639"/>
    <s v="ok"/>
    <s v="ok"/>
    <s v="ok"/>
    <s v="ok"/>
    <s v="ok"/>
    <x v="1"/>
    <s v=""/>
  </r>
  <r>
    <x v="2"/>
    <n v="2243"/>
    <x v="1"/>
    <x v="2"/>
    <x v="0"/>
    <s v="2nd line support"/>
    <x v="1"/>
    <x v="980"/>
    <d v="2023-06-02T07:22:16"/>
    <d v="2023-06-01T07:24:16"/>
    <d v="2023-06-01T07:24:14"/>
    <s v="Within SLA"/>
    <d v="2023-06-01T15:00:46"/>
    <x v="0"/>
    <m/>
    <n v="4"/>
    <m/>
    <x v="2"/>
    <x v="1"/>
    <s v="Czech Republic"/>
    <n v="49.8037633"/>
    <n v="15.4749126"/>
    <s v="ok"/>
    <s v="ok"/>
    <s v="ok"/>
    <s v="ok"/>
    <s v="ok"/>
    <x v="0"/>
    <n v="7.6417522220872343"/>
  </r>
  <r>
    <x v="0"/>
    <n v="2244"/>
    <x v="1"/>
    <x v="2"/>
    <x v="0"/>
    <s v="2nd line support"/>
    <x v="7"/>
    <x v="981"/>
    <d v="2023-06-02T23:48:05"/>
    <d v="2023-06-01T23:50:05"/>
    <d v="2023-06-01T23:49:08"/>
    <s v="Within SLA"/>
    <d v="2023-06-02T18:18:04"/>
    <x v="0"/>
    <d v="2023-06-06T07:24:10"/>
    <n v="3"/>
    <n v="3"/>
    <x v="2"/>
    <x v="1"/>
    <s v="Poland"/>
    <n v="52.536273000000001"/>
    <n v="19.050639"/>
    <s v="ok"/>
    <s v="ok"/>
    <s v="ok"/>
    <s v="ok"/>
    <s v="ok"/>
    <x v="0"/>
    <n v="18.499720555613749"/>
  </r>
  <r>
    <x v="1"/>
    <n v="2245"/>
    <x v="1"/>
    <x v="2"/>
    <x v="1"/>
    <s v="1st line support"/>
    <x v="2"/>
    <x v="982"/>
    <d v="2023-06-02T17:36:29"/>
    <d v="2023-06-01T17:38:29"/>
    <d v="2023-06-01T17:37:00"/>
    <s v="Within SLA"/>
    <m/>
    <x v="1"/>
    <m/>
    <n v="6"/>
    <m/>
    <x v="1"/>
    <x v="0"/>
    <s v="Bulgaria"/>
    <n v="42.724992499999999"/>
    <n v="25.483303899999999"/>
    <s v="ok"/>
    <s v="ok"/>
    <s v="ok"/>
    <s v="ok"/>
    <s v="ok"/>
    <x v="1"/>
    <s v=""/>
  </r>
  <r>
    <x v="1"/>
    <n v="2246"/>
    <x v="0"/>
    <x v="2"/>
    <x v="0"/>
    <s v="1st line support"/>
    <x v="3"/>
    <x v="983"/>
    <d v="2023-06-03T15:45:26"/>
    <d v="2023-06-02T15:47:26"/>
    <d v="2023-06-02T15:47:13"/>
    <s v="Within SLA"/>
    <m/>
    <x v="1"/>
    <m/>
    <n v="4"/>
    <m/>
    <x v="1"/>
    <x v="0"/>
    <s v="Slovenia"/>
    <n v="46.149166399999999"/>
    <n v="14.9860106"/>
    <s v="ok"/>
    <s v="ok"/>
    <s v="ok"/>
    <s v="ok"/>
    <s v="ok"/>
    <x v="1"/>
    <s v=""/>
  </r>
  <r>
    <x v="2"/>
    <n v="2247"/>
    <x v="0"/>
    <x v="1"/>
    <x v="2"/>
    <s v="1st line support"/>
    <x v="6"/>
    <x v="984"/>
    <d v="2023-06-04T00:48:15"/>
    <d v="2023-06-02T00:50:15"/>
    <d v="2023-06-02T00:49:56"/>
    <s v="Within SLA"/>
    <d v="2023-06-03T14:05:54"/>
    <x v="0"/>
    <m/>
    <n v="1"/>
    <m/>
    <x v="2"/>
    <x v="0"/>
    <s v="United Kingdom"/>
    <n v="55.378051999999997"/>
    <n v="-3.4359730000000002"/>
    <s v="ok"/>
    <s v="ok"/>
    <s v="ok"/>
    <s v="ok"/>
    <s v="ok"/>
    <x v="0"/>
    <n v="37.294192500121426"/>
  </r>
  <r>
    <x v="1"/>
    <n v="2248"/>
    <x v="0"/>
    <x v="1"/>
    <x v="1"/>
    <s v="2nd line support"/>
    <x v="1"/>
    <x v="985"/>
    <d v="2023-06-04T16:43:08"/>
    <d v="2023-06-02T16:45:08"/>
    <d v="2023-06-02T16:46:46"/>
    <s v="SLA Violated"/>
    <m/>
    <x v="1"/>
    <m/>
    <n v="3"/>
    <m/>
    <x v="2"/>
    <x v="1"/>
    <s v="Republic of Ireland"/>
    <n v="53.094023999999997"/>
    <n v="-8.0196749999999994"/>
    <s v="ok"/>
    <s v="ok"/>
    <s v="ok"/>
    <s v="ok"/>
    <s v="ok"/>
    <x v="1"/>
    <s v=""/>
  </r>
  <r>
    <x v="0"/>
    <n v="2249"/>
    <x v="0"/>
    <x v="2"/>
    <x v="3"/>
    <s v="1st line support"/>
    <x v="3"/>
    <x v="986"/>
    <d v="2023-06-03T17:57:50"/>
    <d v="2023-06-02T17:59:50"/>
    <d v="2023-06-02T17:57:52"/>
    <s v="Within SLA"/>
    <d v="2023-06-05T21:53:17"/>
    <x v="1"/>
    <d v="2023-06-06T03:42:18"/>
    <n v="3"/>
    <n v="5"/>
    <x v="1"/>
    <x v="0"/>
    <s v="Germany"/>
    <n v="51.165691000000002"/>
    <n v="10.451525999999999"/>
    <s v="ok"/>
    <s v="ok"/>
    <s v="ok"/>
    <s v="ok"/>
    <s v="ok"/>
    <x v="0"/>
    <n v="75.924233889032621"/>
  </r>
  <r>
    <x v="0"/>
    <n v="2250"/>
    <x v="0"/>
    <x v="2"/>
    <x v="2"/>
    <s v="1st line support"/>
    <x v="0"/>
    <x v="987"/>
    <d v="2023-06-03T03:33:53"/>
    <d v="2023-06-02T03:35:53"/>
    <d v="2023-06-02T03:34:02"/>
    <s v="Within SLA"/>
    <d v="2023-06-06T09:54:34"/>
    <x v="1"/>
    <d v="2023-06-07T04:57:13"/>
    <n v="3"/>
    <n v="5"/>
    <x v="0"/>
    <x v="0"/>
    <s v="Italy"/>
    <n v="43.036776000000003"/>
    <n v="12.678565000000001"/>
    <s v="ok"/>
    <s v="ok"/>
    <s v="ok"/>
    <s v="ok"/>
    <s v="ok"/>
    <x v="0"/>
    <n v="102.3446872222703"/>
  </r>
  <r>
    <x v="0"/>
    <n v="2251"/>
    <x v="0"/>
    <x v="0"/>
    <x v="2"/>
    <s v="2nd line support"/>
    <x v="5"/>
    <x v="988"/>
    <d v="2023-06-04T11:24:06"/>
    <d v="2023-06-02T12:24:06"/>
    <d v="2023-06-02T11:33:06"/>
    <s v="Within SLA"/>
    <d v="2023-06-04T00:02:10"/>
    <x v="0"/>
    <d v="2023-06-07T17:29:49"/>
    <n v="1"/>
    <n v="2"/>
    <x v="0"/>
    <x v="1"/>
    <s v="Czech Republic"/>
    <n v="49.8037633"/>
    <n v="15.4749126"/>
    <s v="ok"/>
    <s v="ok"/>
    <s v="ok"/>
    <s v="ok"/>
    <s v="ok"/>
    <x v="0"/>
    <n v="36.634502500004601"/>
  </r>
  <r>
    <x v="2"/>
    <n v="2252"/>
    <x v="0"/>
    <x v="0"/>
    <x v="1"/>
    <s v="1st line support"/>
    <x v="2"/>
    <x v="989"/>
    <d v="2023-06-05T09:56:16"/>
    <d v="2023-06-03T10:56:16"/>
    <d v="2023-06-03T10:54:23"/>
    <s v="Within SLA"/>
    <d v="2023-06-05T05:58:07"/>
    <x v="0"/>
    <m/>
    <n v="10"/>
    <m/>
    <x v="2"/>
    <x v="0"/>
    <s v="Republic of Ireland"/>
    <n v="53.094023999999997"/>
    <n v="-8.0196749999999994"/>
    <s v="ok"/>
    <s v="ok"/>
    <s v="ok"/>
    <s v="ok"/>
    <s v="ok"/>
    <x v="0"/>
    <n v="44.030899166653398"/>
  </r>
  <r>
    <x v="0"/>
    <n v="2253"/>
    <x v="2"/>
    <x v="2"/>
    <x v="3"/>
    <s v="1st line support"/>
    <x v="2"/>
    <x v="990"/>
    <d v="2023-06-04T10:52:50"/>
    <d v="2023-06-03T10:54:50"/>
    <d v="2023-06-03T10:52:59"/>
    <s v="Within SLA"/>
    <d v="2023-06-03T12:12:06"/>
    <x v="0"/>
    <d v="2023-06-07T23:17:28"/>
    <n v="8"/>
    <n v="4"/>
    <x v="0"/>
    <x v="0"/>
    <s v="Italy"/>
    <n v="43.036776000000003"/>
    <n v="12.678565000000001"/>
    <s v="ok"/>
    <s v="ok"/>
    <s v="ok"/>
    <s v="ok"/>
    <s v="ok"/>
    <x v="0"/>
    <n v="1.3211049999226816"/>
  </r>
  <r>
    <x v="2"/>
    <n v="2254"/>
    <x v="0"/>
    <x v="2"/>
    <x v="5"/>
    <s v="1st line support"/>
    <x v="4"/>
    <x v="991"/>
    <d v="2023-06-04T00:48:39"/>
    <d v="2023-06-03T00:50:39"/>
    <d v="2023-06-03T00:53:21"/>
    <s v="SLA Violated"/>
    <d v="2023-06-03T13:44:11"/>
    <x v="0"/>
    <m/>
    <n v="4"/>
    <m/>
    <x v="3"/>
    <x v="0"/>
    <s v="Poland"/>
    <n v="52.536273000000001"/>
    <n v="19.050639"/>
    <s v="ok"/>
    <s v="ok"/>
    <s v="ok"/>
    <s v="ok"/>
    <s v="ok"/>
    <x v="0"/>
    <n v="12.925638333312236"/>
  </r>
  <r>
    <x v="2"/>
    <n v="2255"/>
    <x v="0"/>
    <x v="2"/>
    <x v="0"/>
    <s v="1st line support"/>
    <x v="2"/>
    <x v="992"/>
    <d v="2023-06-04T05:01:48"/>
    <d v="2023-06-03T05:03:48"/>
    <d v="2023-06-03T05:01:51"/>
    <s v="Within SLA"/>
    <d v="2023-06-04T01:34:16"/>
    <x v="0"/>
    <m/>
    <n v="5"/>
    <m/>
    <x v="2"/>
    <x v="0"/>
    <s v="France"/>
    <n v="48.864716000000001"/>
    <n v="2.3490139999999999"/>
    <s v="ok"/>
    <s v="ok"/>
    <s v="ok"/>
    <s v="ok"/>
    <s v="ok"/>
    <x v="0"/>
    <n v="20.541221110965125"/>
  </r>
  <r>
    <x v="0"/>
    <n v="2267"/>
    <x v="0"/>
    <x v="0"/>
    <x v="3"/>
    <s v="1st line support"/>
    <x v="3"/>
    <x v="993"/>
    <d v="2023-06-06T05:31:08"/>
    <d v="2023-06-04T06:31:08"/>
    <d v="2023-06-04T05:48:28"/>
    <s v="Within SLA"/>
    <d v="2023-06-04T12:44:12"/>
    <x v="0"/>
    <d v="2023-06-07T16:20:44"/>
    <n v="9"/>
    <n v="5"/>
    <x v="2"/>
    <x v="0"/>
    <s v="United Kingdom"/>
    <n v="55.378051999999997"/>
    <n v="-3.4359730000000002"/>
    <s v="ok"/>
    <s v="ok"/>
    <s v="ok"/>
    <s v="ok"/>
    <s v="ok"/>
    <x v="0"/>
    <n v="7.2178583333152346"/>
  </r>
  <r>
    <x v="0"/>
    <n v="2268"/>
    <x v="2"/>
    <x v="0"/>
    <x v="4"/>
    <s v="1st line support"/>
    <x v="4"/>
    <x v="994"/>
    <d v="2023-06-06T18:21:52"/>
    <d v="2023-06-04T19:21:52"/>
    <d v="2023-06-04T18:49:41"/>
    <s v="Within SLA"/>
    <d v="2023-06-06T13:09:18"/>
    <x v="0"/>
    <d v="2023-06-08T04:11:09"/>
    <n v="2"/>
    <n v="2"/>
    <x v="1"/>
    <x v="0"/>
    <s v="Republic of Ireland"/>
    <n v="53.094023999999997"/>
    <n v="-8.0196749999999994"/>
    <s v="ok"/>
    <s v="ok"/>
    <s v="ok"/>
    <s v="ok"/>
    <s v="ok"/>
    <x v="0"/>
    <n v="42.790541666618083"/>
  </r>
  <r>
    <x v="0"/>
    <n v="2269"/>
    <x v="2"/>
    <x v="0"/>
    <x v="1"/>
    <s v="1st line support"/>
    <x v="3"/>
    <x v="995"/>
    <d v="2023-06-06T12:39:07"/>
    <d v="2023-06-04T13:39:07"/>
    <d v="2023-06-04T13:20:02"/>
    <s v="Within SLA"/>
    <d v="2023-06-05T14:27:57"/>
    <x v="0"/>
    <d v="2023-06-06T16:24:21"/>
    <n v="2"/>
    <n v="4"/>
    <x v="2"/>
    <x v="0"/>
    <s v="Poland"/>
    <n v="52.536273000000001"/>
    <n v="19.050639"/>
    <s v="ok"/>
    <s v="ok"/>
    <s v="ok"/>
    <s v="ok"/>
    <s v="ok"/>
    <x v="0"/>
    <n v="25.813840000075288"/>
  </r>
  <r>
    <x v="0"/>
    <n v="2270"/>
    <x v="0"/>
    <x v="0"/>
    <x v="3"/>
    <s v="1st line support"/>
    <x v="6"/>
    <x v="996"/>
    <d v="2023-06-07T16:13:03"/>
    <d v="2023-06-05T17:13:03"/>
    <d v="2023-06-05T16:51:14"/>
    <s v="Within SLA"/>
    <d v="2023-06-06T00:13:30"/>
    <x v="0"/>
    <d v="2023-06-08T03:47:16"/>
    <n v="10"/>
    <n v="1"/>
    <x v="2"/>
    <x v="0"/>
    <s v="Poland"/>
    <n v="52.536273000000001"/>
    <n v="19.050639"/>
    <s v="ok"/>
    <s v="ok"/>
    <s v="ok"/>
    <s v="ok"/>
    <s v="ok"/>
    <x v="0"/>
    <n v="8.0076197222806513"/>
  </r>
  <r>
    <x v="2"/>
    <n v="2271"/>
    <x v="0"/>
    <x v="2"/>
    <x v="2"/>
    <s v="1st line support"/>
    <x v="0"/>
    <x v="997"/>
    <d v="2023-06-06T07:21:15"/>
    <d v="2023-06-05T07:23:15"/>
    <d v="2023-06-05T07:26:19"/>
    <s v="SLA Violated"/>
    <d v="2023-06-10T05:24:56"/>
    <x v="1"/>
    <m/>
    <n v="4"/>
    <m/>
    <x v="2"/>
    <x v="0"/>
    <s v="Greece"/>
    <n v="39.368279000000001"/>
    <n v="21.863140999999999"/>
    <s v="ok"/>
    <s v="ok"/>
    <s v="ok"/>
    <s v="ok"/>
    <s v="ok"/>
    <x v="0"/>
    <n v="118.06147222226718"/>
  </r>
  <r>
    <x v="0"/>
    <n v="2272"/>
    <x v="0"/>
    <x v="0"/>
    <x v="1"/>
    <s v="1st line support"/>
    <x v="3"/>
    <x v="998"/>
    <d v="2023-06-07T10:43:50"/>
    <d v="2023-06-05T11:43:50"/>
    <d v="2023-06-05T11:24:19"/>
    <s v="Within SLA"/>
    <d v="2023-06-07T12:00:41"/>
    <x v="1"/>
    <d v="2023-06-08T08:57:18"/>
    <n v="3"/>
    <n v="5"/>
    <x v="1"/>
    <x v="0"/>
    <s v="Republic of Ireland"/>
    <n v="53.094023999999997"/>
    <n v="-8.0196749999999994"/>
    <s v="ok"/>
    <s v="ok"/>
    <s v="ok"/>
    <s v="ok"/>
    <s v="ok"/>
    <x v="0"/>
    <n v="49.280828611110337"/>
  </r>
  <r>
    <x v="0"/>
    <n v="2273"/>
    <x v="2"/>
    <x v="2"/>
    <x v="3"/>
    <s v="1st line support"/>
    <x v="3"/>
    <x v="999"/>
    <d v="2023-06-06T03:19:23"/>
    <d v="2023-06-05T03:21:23"/>
    <d v="2023-06-05T03:20:14"/>
    <s v="Within SLA"/>
    <d v="2023-06-05T10:25:10"/>
    <x v="0"/>
    <d v="2023-06-08T05:15:25"/>
    <n v="5"/>
    <n v="3"/>
    <x v="3"/>
    <x v="0"/>
    <s v="United Kingdom"/>
    <n v="55.378051999999997"/>
    <n v="-3.4359730000000002"/>
    <s v="ok"/>
    <s v="ok"/>
    <s v="ok"/>
    <s v="ok"/>
    <s v="ok"/>
    <x v="0"/>
    <n v="7.096363055461552"/>
  </r>
  <r>
    <x v="0"/>
    <n v="2274"/>
    <x v="0"/>
    <x v="0"/>
    <x v="2"/>
    <s v="2nd line support"/>
    <x v="1"/>
    <x v="1000"/>
    <d v="2023-06-07T04:41:14"/>
    <d v="2023-06-05T05:41:14"/>
    <d v="2023-06-05T04:53:30"/>
    <s v="Within SLA"/>
    <d v="2023-06-06T22:59:56"/>
    <x v="0"/>
    <d v="2023-06-09T15:39:17"/>
    <n v="1"/>
    <n v="1"/>
    <x v="1"/>
    <x v="1"/>
    <s v="Slovenia"/>
    <n v="46.149166399999999"/>
    <n v="14.9860106"/>
    <s v="ok"/>
    <s v="ok"/>
    <s v="ok"/>
    <s v="ok"/>
    <s v="ok"/>
    <x v="0"/>
    <n v="42.311754722264595"/>
  </r>
  <r>
    <x v="2"/>
    <n v="2275"/>
    <x v="0"/>
    <x v="2"/>
    <x v="5"/>
    <s v="1st line support"/>
    <x v="0"/>
    <x v="1001"/>
    <d v="2023-06-06T05:03:31"/>
    <d v="2023-06-05T05:05:31"/>
    <d v="2023-06-05T05:04:46"/>
    <s v="Within SLA"/>
    <d v="2023-06-05T23:44:41"/>
    <x v="0"/>
    <m/>
    <n v="6"/>
    <m/>
    <x v="0"/>
    <x v="0"/>
    <s v="Slovenia"/>
    <n v="46.149166399999999"/>
    <n v="14.9860106"/>
    <s v="ok"/>
    <s v="ok"/>
    <s v="ok"/>
    <s v="ok"/>
    <s v="ok"/>
    <x v="0"/>
    <n v="18.685981388844084"/>
  </r>
  <r>
    <x v="1"/>
    <n v="2276"/>
    <x v="2"/>
    <x v="2"/>
    <x v="2"/>
    <s v="1st line support"/>
    <x v="2"/>
    <x v="1002"/>
    <d v="2023-06-06T09:11:50"/>
    <d v="2023-06-05T09:13:50"/>
    <d v="2023-06-05T09:13:14"/>
    <s v="Within SLA"/>
    <m/>
    <x v="1"/>
    <m/>
    <n v="6"/>
    <m/>
    <x v="2"/>
    <x v="0"/>
    <s v="Republic of Ireland"/>
    <n v="53.094023999999997"/>
    <n v="-8.0196749999999994"/>
    <s v="ok"/>
    <s v="ok"/>
    <s v="ok"/>
    <s v="ok"/>
    <s v="ok"/>
    <x v="1"/>
    <s v=""/>
  </r>
  <r>
    <x v="0"/>
    <n v="2277"/>
    <x v="2"/>
    <x v="2"/>
    <x v="1"/>
    <s v="1st line support"/>
    <x v="6"/>
    <x v="1003"/>
    <d v="2023-06-06T01:52:10"/>
    <d v="2023-06-05T01:54:10"/>
    <d v="2023-06-05T01:54:07"/>
    <s v="Within SLA"/>
    <d v="2023-06-08T16:01:23"/>
    <x v="1"/>
    <d v="2023-06-09T06:44:47"/>
    <n v="6"/>
    <n v="3"/>
    <x v="2"/>
    <x v="0"/>
    <s v="Austria"/>
    <n v="47.696471899999999"/>
    <n v="13.3457347"/>
    <s v="ok"/>
    <s v="ok"/>
    <s v="ok"/>
    <s v="ok"/>
    <s v="ok"/>
    <x v="0"/>
    <n v="86.153505555703305"/>
  </r>
  <r>
    <x v="0"/>
    <n v="2278"/>
    <x v="2"/>
    <x v="0"/>
    <x v="2"/>
    <s v="1st line support"/>
    <x v="4"/>
    <x v="1004"/>
    <d v="2023-06-08T14:36:33"/>
    <d v="2023-06-06T15:36:33"/>
    <d v="2023-06-06T15:05:14"/>
    <s v="Within SLA"/>
    <d v="2023-06-06T15:35:24"/>
    <x v="0"/>
    <d v="2023-06-09T08:15:06"/>
    <n v="2"/>
    <n v="5"/>
    <x v="2"/>
    <x v="0"/>
    <s v="Spain"/>
    <n v="39.673369999999998"/>
    <n v="-4.7677259999999997"/>
    <s v="ok"/>
    <s v="ok"/>
    <s v="ok"/>
    <s v="ok"/>
    <s v="ok"/>
    <x v="0"/>
    <n v="0.98089305561734363"/>
  </r>
  <r>
    <x v="0"/>
    <n v="2279"/>
    <x v="0"/>
    <x v="0"/>
    <x v="4"/>
    <s v="1st line support"/>
    <x v="4"/>
    <x v="1005"/>
    <d v="2023-06-08T01:49:25"/>
    <d v="2023-06-06T02:49:25"/>
    <d v="2023-06-06T02:31:18"/>
    <s v="Within SLA"/>
    <d v="2023-06-06T13:23:41"/>
    <x v="0"/>
    <d v="2023-06-10T19:47:39"/>
    <n v="7"/>
    <n v="4"/>
    <x v="3"/>
    <x v="0"/>
    <s v="Republic of Ireland"/>
    <n v="53.094023999999997"/>
    <n v="-8.0196749999999994"/>
    <s v="ok"/>
    <s v="ok"/>
    <s v="ok"/>
    <s v="ok"/>
    <s v="ok"/>
    <x v="0"/>
    <n v="11.571209722256754"/>
  </r>
  <r>
    <x v="0"/>
    <n v="2280"/>
    <x v="0"/>
    <x v="0"/>
    <x v="2"/>
    <s v="1st line support"/>
    <x v="0"/>
    <x v="1006"/>
    <d v="2023-06-08T00:04:57"/>
    <d v="2023-06-06T01:04:57"/>
    <d v="2023-06-06T00:59:37"/>
    <s v="Within SLA"/>
    <d v="2023-06-06T09:35:55"/>
    <x v="0"/>
    <d v="2023-06-09T06:23:04"/>
    <n v="6"/>
    <n v="5"/>
    <x v="2"/>
    <x v="0"/>
    <s v="Spain"/>
    <n v="39.673369999999998"/>
    <n v="-4.7677259999999997"/>
    <s v="ok"/>
    <s v="ok"/>
    <s v="ok"/>
    <s v="ok"/>
    <s v="ok"/>
    <x v="0"/>
    <n v="9.5159786110161804"/>
  </r>
  <r>
    <x v="0"/>
    <n v="2281"/>
    <x v="2"/>
    <x v="0"/>
    <x v="2"/>
    <s v="1st line support"/>
    <x v="6"/>
    <x v="1007"/>
    <d v="2023-06-08T11:24:39"/>
    <d v="2023-06-06T12:24:39"/>
    <d v="2023-06-06T12:08:10"/>
    <s v="Within SLA"/>
    <d v="2023-06-11T04:04:31"/>
    <x v="1"/>
    <d v="2023-06-11T07:47:11"/>
    <n v="3"/>
    <n v="5"/>
    <x v="1"/>
    <x v="0"/>
    <s v="Italy"/>
    <n v="43.036776000000003"/>
    <n v="12.678565000000001"/>
    <s v="ok"/>
    <s v="ok"/>
    <s v="ok"/>
    <s v="ok"/>
    <s v="ok"/>
    <x v="0"/>
    <n v="112.66438694443787"/>
  </r>
  <r>
    <x v="2"/>
    <n v="2282"/>
    <x v="0"/>
    <x v="1"/>
    <x v="3"/>
    <s v="1st line support"/>
    <x v="2"/>
    <x v="1008"/>
    <d v="2023-06-08T21:13:59"/>
    <d v="2023-06-06T21:15:59"/>
    <d v="2023-06-06T21:18:16"/>
    <s v="SLA Violated"/>
    <d v="2023-06-07T15:28:43"/>
    <x v="0"/>
    <m/>
    <n v="3"/>
    <m/>
    <x v="0"/>
    <x v="0"/>
    <s v="Greece"/>
    <n v="39.368279000000001"/>
    <n v="21.863140999999999"/>
    <s v="ok"/>
    <s v="ok"/>
    <s v="ok"/>
    <s v="ok"/>
    <s v="ok"/>
    <x v="0"/>
    <n v="18.245647222269326"/>
  </r>
  <r>
    <x v="1"/>
    <n v="2283"/>
    <x v="0"/>
    <x v="2"/>
    <x v="0"/>
    <s v="1st line support"/>
    <x v="6"/>
    <x v="1009"/>
    <d v="2023-06-07T17:27:40"/>
    <d v="2023-06-06T17:29:40"/>
    <d v="2023-06-06T17:32:08"/>
    <s v="SLA Violated"/>
    <m/>
    <x v="1"/>
    <m/>
    <n v="6"/>
    <m/>
    <x v="0"/>
    <x v="0"/>
    <s v="Slovenia"/>
    <n v="46.149166399999999"/>
    <n v="14.9860106"/>
    <s v="ok"/>
    <s v="ok"/>
    <s v="ok"/>
    <s v="ok"/>
    <s v="ok"/>
    <x v="1"/>
    <s v=""/>
  </r>
  <r>
    <x v="2"/>
    <n v="2284"/>
    <x v="2"/>
    <x v="1"/>
    <x v="3"/>
    <s v="1st line support"/>
    <x v="4"/>
    <x v="1010"/>
    <d v="2023-06-08T21:50:46"/>
    <d v="2023-06-06T21:52:46"/>
    <d v="2023-06-06T21:52:39"/>
    <s v="Within SLA"/>
    <d v="2023-06-07T19:08:34"/>
    <x v="0"/>
    <m/>
    <n v="4"/>
    <m/>
    <x v="1"/>
    <x v="0"/>
    <s v="Italy"/>
    <n v="43.036776000000003"/>
    <n v="12.678565000000001"/>
    <s v="ok"/>
    <s v="ok"/>
    <s v="ok"/>
    <s v="ok"/>
    <s v="ok"/>
    <x v="0"/>
    <n v="21.296725000021979"/>
  </r>
  <r>
    <x v="0"/>
    <n v="2285"/>
    <x v="2"/>
    <x v="1"/>
    <x v="1"/>
    <s v="1st line support"/>
    <x v="0"/>
    <x v="1011"/>
    <d v="2023-06-08T06:29:54"/>
    <d v="2023-06-06T06:31:54"/>
    <d v="2023-06-06T06:30:08"/>
    <s v="Within SLA"/>
    <d v="2023-06-07T19:55:28"/>
    <x v="0"/>
    <d v="2023-06-08T07:34:22"/>
    <n v="1"/>
    <n v="2"/>
    <x v="2"/>
    <x v="0"/>
    <s v="United Kingdom"/>
    <n v="55.378051999999997"/>
    <n v="-3.4359730000000002"/>
    <s v="ok"/>
    <s v="ok"/>
    <s v="ok"/>
    <s v="ok"/>
    <s v="ok"/>
    <x v="0"/>
    <n v="37.42617777781561"/>
  </r>
  <r>
    <x v="0"/>
    <n v="2287"/>
    <x v="2"/>
    <x v="0"/>
    <x v="0"/>
    <s v="1st line support"/>
    <x v="2"/>
    <x v="1012"/>
    <d v="2023-06-08T13:23:19"/>
    <d v="2023-06-06T14:23:19"/>
    <d v="2023-06-06T13:35:02"/>
    <s v="Within SLA"/>
    <d v="2023-06-07T12:50:56"/>
    <x v="0"/>
    <d v="2023-06-13T10:43:19"/>
    <n v="3"/>
    <n v="5"/>
    <x v="2"/>
    <x v="0"/>
    <s v="Spain"/>
    <n v="39.673369999999998"/>
    <n v="-4.7677259999999997"/>
    <s v="ok"/>
    <s v="ok"/>
    <s v="ok"/>
    <s v="ok"/>
    <s v="ok"/>
    <x v="0"/>
    <n v="23.460252222314011"/>
  </r>
  <r>
    <x v="2"/>
    <n v="2288"/>
    <x v="0"/>
    <x v="2"/>
    <x v="1"/>
    <s v="2nd line support"/>
    <x v="5"/>
    <x v="1013"/>
    <d v="2023-06-07T11:06:41"/>
    <d v="2023-06-06T11:08:41"/>
    <d v="2023-06-06T11:06:53"/>
    <s v="Within SLA"/>
    <d v="2023-06-07T05:14:52"/>
    <x v="0"/>
    <m/>
    <n v="8"/>
    <m/>
    <x v="1"/>
    <x v="1"/>
    <s v="Austria"/>
    <n v="47.696471899999999"/>
    <n v="13.3457347"/>
    <s v="ok"/>
    <s v="ok"/>
    <s v="ok"/>
    <s v="ok"/>
    <s v="ok"/>
    <x v="0"/>
    <n v="18.136409722210374"/>
  </r>
  <r>
    <x v="0"/>
    <n v="2289"/>
    <x v="2"/>
    <x v="2"/>
    <x v="3"/>
    <s v="1st line support"/>
    <x v="2"/>
    <x v="1014"/>
    <d v="2023-06-08T19:00:40"/>
    <d v="2023-06-07T19:02:40"/>
    <d v="2023-06-07T19:02:11"/>
    <s v="Within SLA"/>
    <d v="2023-06-08T15:23:14"/>
    <x v="0"/>
    <d v="2023-06-12T19:42:19"/>
    <n v="4"/>
    <n v="4"/>
    <x v="0"/>
    <x v="0"/>
    <s v="Poland"/>
    <n v="52.536273000000001"/>
    <n v="19.050639"/>
    <s v="ok"/>
    <s v="ok"/>
    <s v="ok"/>
    <s v="ok"/>
    <s v="ok"/>
    <x v="0"/>
    <n v="20.376193611184135"/>
  </r>
  <r>
    <x v="2"/>
    <n v="2290"/>
    <x v="0"/>
    <x v="0"/>
    <x v="3"/>
    <s v="1st line support"/>
    <x v="3"/>
    <x v="1015"/>
    <d v="2023-06-09T18:11:08"/>
    <d v="2023-06-07T19:11:08"/>
    <d v="2023-06-07T18:34:10"/>
    <s v="Within SLA"/>
    <d v="2023-06-07T19:13:20"/>
    <x v="0"/>
    <m/>
    <n v="3"/>
    <m/>
    <x v="0"/>
    <x v="0"/>
    <s v="Bulgaria"/>
    <n v="42.724992499999999"/>
    <n v="25.483303899999999"/>
    <s v="ok"/>
    <s v="ok"/>
    <s v="ok"/>
    <s v="ok"/>
    <s v="ok"/>
    <x v="0"/>
    <n v="1.0367249999544583"/>
  </r>
  <r>
    <x v="0"/>
    <n v="2291"/>
    <x v="2"/>
    <x v="0"/>
    <x v="3"/>
    <s v="1st line support"/>
    <x v="6"/>
    <x v="1016"/>
    <d v="2023-06-09T20:16:46"/>
    <d v="2023-06-07T21:16:46"/>
    <d v="2023-06-08T03:57:38"/>
    <s v="SLA Violated"/>
    <d v="2023-06-08T03:43:35"/>
    <x v="0"/>
    <d v="2023-06-10T16:33:20"/>
    <n v="1"/>
    <n v="4"/>
    <x v="2"/>
    <x v="0"/>
    <s v="Czech Republic"/>
    <n v="49.8037633"/>
    <n v="15.4749126"/>
    <s v="ok"/>
    <s v="ok"/>
    <s v="ok"/>
    <s v="ok"/>
    <s v="ok"/>
    <x v="0"/>
    <n v="7.446970833290834"/>
  </r>
  <r>
    <x v="0"/>
    <n v="2293"/>
    <x v="0"/>
    <x v="0"/>
    <x v="2"/>
    <s v="2nd line support"/>
    <x v="1"/>
    <x v="1017"/>
    <d v="2023-06-09T14:19:45"/>
    <d v="2023-06-07T15:19:45"/>
    <d v="2023-06-07T15:09:43"/>
    <s v="Within SLA"/>
    <d v="2023-06-07T19:33:40"/>
    <x v="0"/>
    <d v="2023-06-11T04:53:52"/>
    <n v="3"/>
    <n v="5"/>
    <x v="1"/>
    <x v="1"/>
    <s v="France"/>
    <n v="48.864716000000001"/>
    <n v="2.3490139999999999"/>
    <s v="ok"/>
    <s v="ok"/>
    <s v="ok"/>
    <s v="ok"/>
    <s v="ok"/>
    <x v="0"/>
    <n v="5.2320274999947287"/>
  </r>
  <r>
    <x v="1"/>
    <n v="2294"/>
    <x v="2"/>
    <x v="2"/>
    <x v="1"/>
    <s v="1st line support"/>
    <x v="3"/>
    <x v="1018"/>
    <d v="2023-06-08T20:19:54"/>
    <d v="2023-06-07T20:21:54"/>
    <d v="2023-06-07T20:21:30"/>
    <s v="Within SLA"/>
    <m/>
    <x v="1"/>
    <m/>
    <n v="9"/>
    <m/>
    <x v="3"/>
    <x v="0"/>
    <s v="United Kingdom"/>
    <n v="55.378051999999997"/>
    <n v="-3.4359730000000002"/>
    <s v="ok"/>
    <s v="ok"/>
    <s v="ok"/>
    <s v="ok"/>
    <s v="ok"/>
    <x v="1"/>
    <s v=""/>
  </r>
  <r>
    <x v="1"/>
    <n v="2295"/>
    <x v="0"/>
    <x v="2"/>
    <x v="1"/>
    <s v="1st line support"/>
    <x v="4"/>
    <x v="1019"/>
    <d v="2023-06-08T10:55:09"/>
    <d v="2023-06-07T10:57:09"/>
    <d v="2023-06-07T10:56:35"/>
    <s v="Within SLA"/>
    <m/>
    <x v="1"/>
    <m/>
    <n v="6"/>
    <m/>
    <x v="1"/>
    <x v="0"/>
    <s v="Poland"/>
    <n v="52.536273000000001"/>
    <n v="19.050639"/>
    <s v="ok"/>
    <s v="ok"/>
    <s v="ok"/>
    <s v="ok"/>
    <s v="ok"/>
    <x v="1"/>
    <s v=""/>
  </r>
  <r>
    <x v="2"/>
    <n v="2296"/>
    <x v="0"/>
    <x v="0"/>
    <x v="3"/>
    <s v="1st line support"/>
    <x v="4"/>
    <x v="1020"/>
    <d v="2023-06-09T11:43:39"/>
    <d v="2023-06-07T12:43:39"/>
    <d v="2023-06-07T12:37:01"/>
    <s v="Within SLA"/>
    <d v="2023-06-07T18:16:20"/>
    <x v="0"/>
    <m/>
    <n v="7"/>
    <m/>
    <x v="2"/>
    <x v="0"/>
    <s v="Poland"/>
    <n v="52.536273000000001"/>
    <n v="19.050639"/>
    <s v="ok"/>
    <s v="ok"/>
    <s v="ok"/>
    <s v="ok"/>
    <s v="ok"/>
    <x v="0"/>
    <n v="6.5446791666909121"/>
  </r>
  <r>
    <x v="2"/>
    <n v="2297"/>
    <x v="1"/>
    <x v="2"/>
    <x v="3"/>
    <s v="1st line support"/>
    <x v="6"/>
    <x v="1021"/>
    <d v="2023-06-08T00:04:06"/>
    <d v="2023-06-07T00:06:06"/>
    <d v="2023-06-07T00:04:11"/>
    <s v="Within SLA"/>
    <d v="2023-06-07T06:54:05"/>
    <x v="0"/>
    <m/>
    <n v="6"/>
    <m/>
    <x v="1"/>
    <x v="0"/>
    <s v="Czech Republic"/>
    <n v="49.8037633"/>
    <n v="15.4749126"/>
    <s v="ok"/>
    <s v="ok"/>
    <s v="ok"/>
    <s v="ok"/>
    <s v="ok"/>
    <x v="0"/>
    <n v="6.8329288887907751"/>
  </r>
  <r>
    <x v="1"/>
    <n v="2298"/>
    <x v="0"/>
    <x v="0"/>
    <x v="2"/>
    <s v="2nd line support"/>
    <x v="5"/>
    <x v="1022"/>
    <d v="2023-06-09T02:16:11"/>
    <d v="2023-06-07T03:16:11"/>
    <d v="2023-06-07T03:03:18"/>
    <s v="Within SLA"/>
    <m/>
    <x v="1"/>
    <m/>
    <n v="3"/>
    <m/>
    <x v="0"/>
    <x v="1"/>
    <s v="Poland"/>
    <n v="52.536273000000001"/>
    <n v="19.050639"/>
    <s v="ok"/>
    <s v="ok"/>
    <s v="ok"/>
    <s v="ok"/>
    <s v="ok"/>
    <x v="1"/>
    <s v=""/>
  </r>
  <r>
    <x v="0"/>
    <n v="2299"/>
    <x v="1"/>
    <x v="0"/>
    <x v="1"/>
    <s v="2nd line support"/>
    <x v="7"/>
    <x v="1023"/>
    <d v="2023-06-10T15:54:13"/>
    <d v="2023-06-08T16:54:13"/>
    <d v="2023-06-08T16:20:51"/>
    <s v="Within SLA"/>
    <d v="2023-06-10T01:10:01"/>
    <x v="0"/>
    <d v="2023-06-14T13:40:06"/>
    <n v="1"/>
    <n v="4"/>
    <x v="0"/>
    <x v="1"/>
    <s v="Germany"/>
    <n v="51.165691000000002"/>
    <n v="10.451525999999999"/>
    <s v="ok"/>
    <s v="ok"/>
    <s v="ok"/>
    <s v="ok"/>
    <s v="ok"/>
    <x v="0"/>
    <n v="33.2634108333732"/>
  </r>
  <r>
    <x v="0"/>
    <n v="2300"/>
    <x v="0"/>
    <x v="0"/>
    <x v="0"/>
    <s v="2nd line support"/>
    <x v="1"/>
    <x v="1024"/>
    <d v="2023-06-10T03:34:17"/>
    <d v="2023-06-08T04:34:17"/>
    <d v="2023-06-08T03:44:09"/>
    <s v="Within SLA"/>
    <d v="2023-06-09T05:49:32"/>
    <x v="0"/>
    <d v="2023-06-10T03:47:09"/>
    <n v="1"/>
    <n v="2"/>
    <x v="0"/>
    <x v="1"/>
    <s v="Bulgaria"/>
    <n v="42.724992499999999"/>
    <n v="25.483303899999999"/>
    <s v="ok"/>
    <s v="ok"/>
    <s v="ok"/>
    <s v="ok"/>
    <s v="ok"/>
    <x v="0"/>
    <n v="26.254077777732164"/>
  </r>
  <r>
    <x v="0"/>
    <n v="2301"/>
    <x v="2"/>
    <x v="0"/>
    <x v="0"/>
    <s v="1st line support"/>
    <x v="2"/>
    <x v="1025"/>
    <d v="2023-06-10T16:52:30"/>
    <d v="2023-06-08T17:52:30"/>
    <d v="2023-06-08T17:48:39"/>
    <s v="Within SLA"/>
    <d v="2023-06-14T04:55:54"/>
    <x v="1"/>
    <d v="2023-06-16T00:03:37"/>
    <n v="3"/>
    <n v="4"/>
    <x v="0"/>
    <x v="0"/>
    <s v="Republic of Ireland"/>
    <n v="53.094023999999997"/>
    <n v="-8.0196749999999994"/>
    <s v="ok"/>
    <s v="ok"/>
    <s v="ok"/>
    <s v="ok"/>
    <s v="ok"/>
    <x v="0"/>
    <n v="132.05679694446735"/>
  </r>
  <r>
    <x v="1"/>
    <n v="2302"/>
    <x v="0"/>
    <x v="2"/>
    <x v="3"/>
    <s v="1st line support"/>
    <x v="3"/>
    <x v="1026"/>
    <d v="2023-06-09T00:17:24"/>
    <d v="2023-06-08T00:19:24"/>
    <d v="2023-06-08T00:18:03"/>
    <s v="Within SLA"/>
    <m/>
    <x v="1"/>
    <m/>
    <n v="8"/>
    <m/>
    <x v="0"/>
    <x v="0"/>
    <s v="France"/>
    <n v="48.864716000000001"/>
    <n v="2.3490139999999999"/>
    <s v="ok"/>
    <s v="ok"/>
    <s v="ok"/>
    <s v="ok"/>
    <s v="ok"/>
    <x v="1"/>
    <s v=""/>
  </r>
  <r>
    <x v="1"/>
    <n v="2304"/>
    <x v="0"/>
    <x v="0"/>
    <x v="3"/>
    <s v="1st line support"/>
    <x v="6"/>
    <x v="1027"/>
    <d v="2023-06-11T20:18:40"/>
    <d v="2023-06-09T21:18:40"/>
    <d v="2023-06-09T21:00:30"/>
    <s v="Within SLA"/>
    <m/>
    <x v="1"/>
    <m/>
    <n v="1"/>
    <m/>
    <x v="0"/>
    <x v="0"/>
    <s v="United Kingdom"/>
    <n v="55.378051999999997"/>
    <n v="-3.4359730000000002"/>
    <s v="ok"/>
    <s v="ok"/>
    <s v="ok"/>
    <s v="ok"/>
    <s v="ok"/>
    <x v="1"/>
    <s v=""/>
  </r>
  <r>
    <x v="0"/>
    <n v="2305"/>
    <x v="0"/>
    <x v="0"/>
    <x v="3"/>
    <s v="1st line support"/>
    <x v="4"/>
    <x v="1028"/>
    <d v="2023-06-11T15:57:03"/>
    <d v="2023-06-09T16:57:03"/>
    <d v="2023-06-09T16:12:31"/>
    <s v="Within SLA"/>
    <d v="2023-06-11T11:37:38"/>
    <x v="0"/>
    <d v="2023-06-11T07:11:25"/>
    <n v="10"/>
    <n v="5"/>
    <x v="3"/>
    <x v="0"/>
    <s v="Poland"/>
    <n v="52.536273000000001"/>
    <n v="19.050639"/>
    <s v="ok"/>
    <s v="ok"/>
    <s v="check"/>
    <s v="ok"/>
    <s v="ok"/>
    <x v="0"/>
    <n v="43.676431944477372"/>
  </r>
  <r>
    <x v="0"/>
    <n v="2306"/>
    <x v="0"/>
    <x v="2"/>
    <x v="1"/>
    <s v="2nd line support"/>
    <x v="7"/>
    <x v="1029"/>
    <d v="2023-06-10T23:12:15"/>
    <d v="2023-06-09T23:14:15"/>
    <d v="2023-06-09T23:13:57"/>
    <s v="Within SLA"/>
    <d v="2023-06-10T02:15:40"/>
    <x v="0"/>
    <d v="2023-06-14T09:57:36"/>
    <n v="7"/>
    <n v="3"/>
    <x v="0"/>
    <x v="1"/>
    <s v="Italy"/>
    <n v="43.036776000000003"/>
    <n v="12.678565000000001"/>
    <s v="ok"/>
    <s v="ok"/>
    <s v="ok"/>
    <s v="ok"/>
    <s v="ok"/>
    <x v="0"/>
    <n v="3.057056111167185"/>
  </r>
  <r>
    <x v="1"/>
    <n v="2307"/>
    <x v="1"/>
    <x v="0"/>
    <x v="5"/>
    <s v="2nd line support"/>
    <x v="1"/>
    <x v="1030"/>
    <d v="2023-06-11T00:30:42"/>
    <d v="2023-06-09T01:30:42"/>
    <d v="2023-06-09T00:36:53"/>
    <s v="Within SLA"/>
    <m/>
    <x v="1"/>
    <m/>
    <n v="2"/>
    <m/>
    <x v="2"/>
    <x v="1"/>
    <s v="Austria"/>
    <n v="47.696471899999999"/>
    <n v="13.3457347"/>
    <s v="ok"/>
    <s v="ok"/>
    <s v="ok"/>
    <s v="ok"/>
    <s v="ok"/>
    <x v="1"/>
    <s v=""/>
  </r>
  <r>
    <x v="0"/>
    <n v="2309"/>
    <x v="0"/>
    <x v="2"/>
    <x v="5"/>
    <s v="2nd line support"/>
    <x v="1"/>
    <x v="1031"/>
    <d v="2023-06-10T15:51:47"/>
    <d v="2023-06-09T15:53:47"/>
    <d v="2023-06-09T15:54:22"/>
    <s v="SLA Violated"/>
    <d v="2023-06-10T00:04:18"/>
    <x v="0"/>
    <d v="2023-06-09T22:14:11"/>
    <n v="3"/>
    <n v="3"/>
    <x v="0"/>
    <x v="1"/>
    <s v="Greece"/>
    <n v="39.368279000000001"/>
    <n v="21.863140999999999"/>
    <s v="ok"/>
    <s v="ok"/>
    <s v="check"/>
    <s v="ok"/>
    <s v="ok"/>
    <x v="0"/>
    <n v="8.2087066666572355"/>
  </r>
  <r>
    <x v="0"/>
    <n v="2310"/>
    <x v="0"/>
    <x v="2"/>
    <x v="5"/>
    <s v="1st line support"/>
    <x v="3"/>
    <x v="1032"/>
    <d v="2023-06-10T13:39:42"/>
    <d v="2023-06-09T13:41:42"/>
    <d v="2023-06-09T13:41:25"/>
    <s v="Within SLA"/>
    <d v="2023-06-09T16:01:08"/>
    <x v="0"/>
    <d v="2023-06-13T20:23:01"/>
    <n v="60"/>
    <n v="3"/>
    <x v="3"/>
    <x v="0"/>
    <s v="Germany"/>
    <n v="51.165691000000002"/>
    <n v="10.451525999999999"/>
    <s v="ok"/>
    <s v="ok"/>
    <s v="ok"/>
    <s v="ok"/>
    <s v="ok"/>
    <x v="0"/>
    <n v="2.3573519443161786"/>
  </r>
  <r>
    <x v="0"/>
    <n v="2311"/>
    <x v="1"/>
    <x v="0"/>
    <x v="3"/>
    <s v="1st line support"/>
    <x v="0"/>
    <x v="1033"/>
    <d v="2023-06-11T15:21:40"/>
    <d v="2023-06-09T16:21:40"/>
    <d v="2023-06-09T15:37:05"/>
    <s v="Within SLA"/>
    <d v="2023-06-10T01:55:26"/>
    <x v="0"/>
    <d v="2023-06-11T23:11:13"/>
    <n v="1"/>
    <n v="5"/>
    <x v="0"/>
    <x v="0"/>
    <s v="Republic of Ireland"/>
    <n v="53.094023999999997"/>
    <n v="-8.0196749999999994"/>
    <s v="ok"/>
    <s v="ok"/>
    <s v="ok"/>
    <s v="ok"/>
    <s v="ok"/>
    <x v="0"/>
    <n v="10.562814166594762"/>
  </r>
  <r>
    <x v="1"/>
    <n v="2313"/>
    <x v="0"/>
    <x v="0"/>
    <x v="3"/>
    <s v="1st line support"/>
    <x v="0"/>
    <x v="1034"/>
    <d v="2023-06-12T03:28:37"/>
    <d v="2023-06-10T04:28:37"/>
    <d v="2023-06-10T03:36:28"/>
    <s v="Within SLA"/>
    <m/>
    <x v="1"/>
    <m/>
    <n v="10"/>
    <m/>
    <x v="0"/>
    <x v="0"/>
    <s v="Austria"/>
    <n v="47.696471899999999"/>
    <n v="13.3457347"/>
    <s v="ok"/>
    <s v="ok"/>
    <s v="ok"/>
    <s v="ok"/>
    <s v="ok"/>
    <x v="1"/>
    <s v=""/>
  </r>
  <r>
    <x v="2"/>
    <n v="2321"/>
    <x v="2"/>
    <x v="2"/>
    <x v="1"/>
    <s v="2nd line support"/>
    <x v="7"/>
    <x v="1035"/>
    <d v="2023-06-11T05:14:08"/>
    <d v="2023-06-10T05:16:08"/>
    <d v="2023-06-10T05:15:57"/>
    <s v="Within SLA"/>
    <d v="2023-06-10T16:07:45"/>
    <x v="0"/>
    <m/>
    <n v="6"/>
    <m/>
    <x v="2"/>
    <x v="1"/>
    <s v="France"/>
    <n v="48.864716000000001"/>
    <n v="2.3490139999999999"/>
    <s v="ok"/>
    <s v="ok"/>
    <s v="ok"/>
    <s v="ok"/>
    <s v="ok"/>
    <x v="0"/>
    <n v="10.893538055650424"/>
  </r>
  <r>
    <x v="2"/>
    <n v="2322"/>
    <x v="0"/>
    <x v="2"/>
    <x v="0"/>
    <s v="1st line support"/>
    <x v="3"/>
    <x v="1036"/>
    <d v="2023-06-11T15:57:39"/>
    <d v="2023-06-10T15:59:39"/>
    <d v="2023-06-10T15:59:34"/>
    <s v="Within SLA"/>
    <d v="2023-06-11T10:32:41"/>
    <x v="0"/>
    <m/>
    <n v="5"/>
    <m/>
    <x v="2"/>
    <x v="0"/>
    <s v="France"/>
    <n v="48.864716000000001"/>
    <n v="2.3490139999999999"/>
    <s v="ok"/>
    <s v="ok"/>
    <s v="ok"/>
    <s v="ok"/>
    <s v="ok"/>
    <x v="0"/>
    <n v="18.584022777678911"/>
  </r>
  <r>
    <x v="0"/>
    <n v="2323"/>
    <x v="0"/>
    <x v="0"/>
    <x v="1"/>
    <s v="2nd line support"/>
    <x v="7"/>
    <x v="1037"/>
    <d v="2023-06-12T02:58:45"/>
    <d v="2023-06-10T03:58:45"/>
    <d v="2023-06-10T10:20:29"/>
    <s v="SLA Violated"/>
    <d v="2023-06-11T15:01:23"/>
    <x v="0"/>
    <d v="2023-06-16T15:31:34"/>
    <n v="2"/>
    <n v="5"/>
    <x v="3"/>
    <x v="1"/>
    <s v="France"/>
    <n v="48.864716000000001"/>
    <n v="2.3490139999999999"/>
    <s v="ok"/>
    <s v="ok"/>
    <s v="ok"/>
    <s v="ok"/>
    <s v="ok"/>
    <x v="0"/>
    <n v="36.044024444476236"/>
  </r>
  <r>
    <x v="2"/>
    <n v="2324"/>
    <x v="1"/>
    <x v="1"/>
    <x v="1"/>
    <s v="1st line support"/>
    <x v="4"/>
    <x v="1038"/>
    <d v="2023-06-12T03:37:03"/>
    <d v="2023-06-10T03:39:03"/>
    <d v="2023-06-10T03:38:59"/>
    <s v="Within SLA"/>
    <d v="2023-06-10T09:37:16"/>
    <x v="0"/>
    <m/>
    <n v="1"/>
    <m/>
    <x v="3"/>
    <x v="0"/>
    <s v="Czech Republic"/>
    <n v="49.8037633"/>
    <n v="15.4749126"/>
    <s v="ok"/>
    <s v="ok"/>
    <s v="ok"/>
    <s v="ok"/>
    <s v="ok"/>
    <x v="0"/>
    <n v="6.0035188890178688"/>
  </r>
  <r>
    <x v="2"/>
    <n v="2325"/>
    <x v="0"/>
    <x v="0"/>
    <x v="3"/>
    <s v="2nd line support"/>
    <x v="7"/>
    <x v="1039"/>
    <d v="2023-06-13T17:44:56"/>
    <d v="2023-06-11T18:44:56"/>
    <d v="2023-06-11T18:11:39"/>
    <s v="Within SLA"/>
    <d v="2023-06-13T04:25:03"/>
    <x v="0"/>
    <m/>
    <n v="8"/>
    <m/>
    <x v="2"/>
    <x v="1"/>
    <s v="Slovenia"/>
    <n v="46.149166399999999"/>
    <n v="14.9860106"/>
    <s v="ok"/>
    <s v="ok"/>
    <s v="ok"/>
    <s v="ok"/>
    <s v="ok"/>
    <x v="0"/>
    <n v="34.66853694448946"/>
  </r>
  <r>
    <x v="0"/>
    <n v="2332"/>
    <x v="2"/>
    <x v="2"/>
    <x v="3"/>
    <s v="1st line support"/>
    <x v="3"/>
    <x v="1040"/>
    <d v="2023-06-13T18:07:44"/>
    <d v="2023-06-12T18:09:44"/>
    <d v="2023-06-12T18:09:43"/>
    <s v="Within SLA"/>
    <d v="2023-06-12T23:16:38"/>
    <x v="0"/>
    <d v="2023-06-15T05:04:28"/>
    <n v="6"/>
    <n v="4"/>
    <x v="1"/>
    <x v="0"/>
    <s v="Poland"/>
    <n v="52.536273000000001"/>
    <n v="19.050639"/>
    <s v="ok"/>
    <s v="ok"/>
    <s v="ok"/>
    <s v="ok"/>
    <s v="ok"/>
    <x v="0"/>
    <n v="5.1483711112523451"/>
  </r>
  <r>
    <x v="0"/>
    <n v="2333"/>
    <x v="0"/>
    <x v="2"/>
    <x v="2"/>
    <s v="2nd line support"/>
    <x v="1"/>
    <x v="1041"/>
    <d v="2023-06-13T08:43:13"/>
    <d v="2023-06-12T08:45:13"/>
    <d v="2023-06-12T08:44:40"/>
    <s v="Within SLA"/>
    <d v="2023-06-13T06:10:37"/>
    <x v="0"/>
    <d v="2023-06-15T23:36:06"/>
    <n v="6"/>
    <n v="1"/>
    <x v="2"/>
    <x v="1"/>
    <s v="Greece"/>
    <n v="39.368279000000001"/>
    <n v="21.863140999999999"/>
    <s v="ok"/>
    <s v="ok"/>
    <s v="ok"/>
    <s v="ok"/>
    <s v="ok"/>
    <x v="0"/>
    <n v="21.456667500024196"/>
  </r>
  <r>
    <x v="2"/>
    <n v="2334"/>
    <x v="0"/>
    <x v="2"/>
    <x v="3"/>
    <s v="2nd line support"/>
    <x v="5"/>
    <x v="1042"/>
    <d v="2023-06-13T18:04:14"/>
    <d v="2023-06-12T18:06:14"/>
    <d v="2023-06-12T18:05:44"/>
    <s v="Within SLA"/>
    <d v="2023-06-16T06:26:09"/>
    <x v="1"/>
    <m/>
    <n v="4"/>
    <m/>
    <x v="2"/>
    <x v="1"/>
    <s v="Spain"/>
    <n v="39.673369999999998"/>
    <n v="-4.7677259999999997"/>
    <s v="ok"/>
    <s v="ok"/>
    <s v="ok"/>
    <s v="ok"/>
    <s v="ok"/>
    <x v="0"/>
    <n v="84.36530944443075"/>
  </r>
  <r>
    <x v="0"/>
    <n v="2335"/>
    <x v="0"/>
    <x v="0"/>
    <x v="5"/>
    <s v="1st line support"/>
    <x v="2"/>
    <x v="1043"/>
    <d v="2023-06-14T14:05:37"/>
    <d v="2023-06-12T15:05:37"/>
    <d v="2023-06-12T14:16:41"/>
    <s v="Within SLA"/>
    <d v="2023-06-13T19:56:43"/>
    <x v="0"/>
    <d v="2023-06-18T11:38:56"/>
    <n v="3"/>
    <n v="5"/>
    <x v="2"/>
    <x v="0"/>
    <s v="Republic of Ireland"/>
    <n v="53.094023999999997"/>
    <n v="-8.0196749999999994"/>
    <s v="ok"/>
    <s v="ok"/>
    <s v="ok"/>
    <s v="ok"/>
    <s v="ok"/>
    <x v="0"/>
    <n v="29.851798055693507"/>
  </r>
  <r>
    <x v="1"/>
    <n v="2336"/>
    <x v="0"/>
    <x v="0"/>
    <x v="2"/>
    <s v="1st line support"/>
    <x v="6"/>
    <x v="1044"/>
    <d v="2023-06-14T04:41:42"/>
    <d v="2023-06-12T05:41:42"/>
    <d v="2023-06-12T05:32:53"/>
    <s v="Within SLA"/>
    <m/>
    <x v="1"/>
    <m/>
    <n v="1"/>
    <m/>
    <x v="1"/>
    <x v="0"/>
    <s v="United Kingdom"/>
    <n v="55.378051999999997"/>
    <n v="-3.4359730000000002"/>
    <s v="ok"/>
    <s v="ok"/>
    <s v="ok"/>
    <s v="ok"/>
    <s v="ok"/>
    <x v="1"/>
    <s v=""/>
  </r>
  <r>
    <x v="1"/>
    <n v="2337"/>
    <x v="0"/>
    <x v="2"/>
    <x v="0"/>
    <s v="2nd line support"/>
    <x v="1"/>
    <x v="1045"/>
    <d v="2023-06-13T20:04:14"/>
    <d v="2023-06-12T20:06:14"/>
    <d v="2023-06-12T20:05:32"/>
    <s v="Within SLA"/>
    <m/>
    <x v="1"/>
    <m/>
    <n v="3"/>
    <m/>
    <x v="2"/>
    <x v="1"/>
    <s v="Czech Republic"/>
    <n v="49.8037633"/>
    <n v="15.4749126"/>
    <s v="ok"/>
    <s v="ok"/>
    <s v="ok"/>
    <s v="ok"/>
    <s v="ok"/>
    <x v="1"/>
    <s v=""/>
  </r>
  <r>
    <x v="2"/>
    <n v="2338"/>
    <x v="0"/>
    <x v="2"/>
    <x v="2"/>
    <s v="1st line support"/>
    <x v="4"/>
    <x v="1046"/>
    <d v="2023-06-13T17:39:34"/>
    <d v="2023-06-12T17:41:34"/>
    <d v="2023-06-12T17:41:15"/>
    <s v="Within SLA"/>
    <d v="2023-06-13T10:42:42"/>
    <x v="0"/>
    <m/>
    <n v="5"/>
    <m/>
    <x v="1"/>
    <x v="0"/>
    <s v="United Kingdom"/>
    <n v="55.378051999999997"/>
    <n v="-3.4359730000000002"/>
    <s v="ok"/>
    <s v="ok"/>
    <s v="ok"/>
    <s v="ok"/>
    <s v="ok"/>
    <x v="0"/>
    <n v="17.052286388876382"/>
  </r>
  <r>
    <x v="0"/>
    <n v="2339"/>
    <x v="0"/>
    <x v="0"/>
    <x v="3"/>
    <s v="2nd line support"/>
    <x v="1"/>
    <x v="1047"/>
    <d v="2023-06-14T02:59:16"/>
    <d v="2023-06-12T03:59:16"/>
    <d v="2023-06-12T03:54:00"/>
    <s v="Within SLA"/>
    <d v="2023-06-13T07:09:26"/>
    <x v="0"/>
    <d v="2023-06-16T17:07:12"/>
    <n v="8"/>
    <n v="3"/>
    <x v="0"/>
    <x v="1"/>
    <s v="United Kingdom"/>
    <n v="55.378051999999997"/>
    <n v="-3.4359730000000002"/>
    <s v="ok"/>
    <s v="ok"/>
    <s v="ok"/>
    <s v="ok"/>
    <s v="ok"/>
    <x v="0"/>
    <n v="28.169487500097603"/>
  </r>
  <r>
    <x v="0"/>
    <n v="2340"/>
    <x v="2"/>
    <x v="0"/>
    <x v="3"/>
    <s v="2nd line support"/>
    <x v="7"/>
    <x v="1048"/>
    <d v="2023-06-15T11:58:37"/>
    <d v="2023-06-13T12:58:37"/>
    <d v="2023-06-13T12:28:39"/>
    <s v="Within SLA"/>
    <d v="2023-06-14T19:51:19"/>
    <x v="0"/>
    <d v="2023-06-14T02:08:27"/>
    <n v="9"/>
    <n v="2"/>
    <x v="0"/>
    <x v="1"/>
    <s v="Italy"/>
    <n v="43.036776000000003"/>
    <n v="12.678565000000001"/>
    <s v="ok"/>
    <s v="ok"/>
    <s v="check"/>
    <s v="ok"/>
    <s v="ok"/>
    <x v="0"/>
    <n v="31.878461666638032"/>
  </r>
  <r>
    <x v="2"/>
    <n v="2341"/>
    <x v="1"/>
    <x v="2"/>
    <x v="0"/>
    <s v="2nd line support"/>
    <x v="1"/>
    <x v="1049"/>
    <d v="2023-06-14T15:33:31"/>
    <d v="2023-06-13T15:35:31"/>
    <d v="2023-06-13T15:35:16"/>
    <s v="Within SLA"/>
    <d v="2023-06-13T19:30:08"/>
    <x v="0"/>
    <m/>
    <n v="60"/>
    <m/>
    <x v="1"/>
    <x v="1"/>
    <s v="Italy"/>
    <n v="43.036776000000003"/>
    <n v="12.678565000000001"/>
    <s v="ok"/>
    <s v="ok"/>
    <s v="ok"/>
    <s v="ok"/>
    <s v="ok"/>
    <x v="0"/>
    <n v="3.9436813888605684"/>
  </r>
  <r>
    <x v="0"/>
    <n v="2342"/>
    <x v="0"/>
    <x v="0"/>
    <x v="0"/>
    <s v="1st line support"/>
    <x v="4"/>
    <x v="1050"/>
    <d v="2023-06-15T07:16:46"/>
    <d v="2023-06-13T08:16:46"/>
    <d v="2023-06-13T10:44:37"/>
    <s v="SLA Violated"/>
    <d v="2023-06-14T18:46:17"/>
    <x v="0"/>
    <d v="2023-06-16T20:37:15"/>
    <n v="2"/>
    <n v="4"/>
    <x v="2"/>
    <x v="0"/>
    <s v="Germany"/>
    <n v="51.165691000000002"/>
    <n v="10.451525999999999"/>
    <s v="ok"/>
    <s v="ok"/>
    <s v="ok"/>
    <s v="ok"/>
    <s v="ok"/>
    <x v="0"/>
    <n v="35.491956944460981"/>
  </r>
  <r>
    <x v="0"/>
    <n v="2343"/>
    <x v="1"/>
    <x v="0"/>
    <x v="2"/>
    <s v="1st line support"/>
    <x v="0"/>
    <x v="1051"/>
    <d v="2023-06-15T08:41:04"/>
    <d v="2023-06-13T09:41:04"/>
    <d v="2023-06-13T09:30:05"/>
    <s v="Within SLA"/>
    <d v="2023-06-15T16:27:17"/>
    <x v="1"/>
    <d v="2023-06-16T17:08:40"/>
    <n v="3"/>
    <n v="5"/>
    <x v="0"/>
    <x v="0"/>
    <s v="Greece"/>
    <n v="39.368279000000001"/>
    <n v="21.863140999999999"/>
    <s v="ok"/>
    <s v="ok"/>
    <s v="ok"/>
    <s v="ok"/>
    <s v="ok"/>
    <x v="0"/>
    <n v="55.77032972231973"/>
  </r>
  <r>
    <x v="0"/>
    <n v="2344"/>
    <x v="0"/>
    <x v="2"/>
    <x v="0"/>
    <s v="1st line support"/>
    <x v="2"/>
    <x v="1052"/>
    <d v="2023-06-14T17:13:06"/>
    <d v="2023-06-13T17:15:06"/>
    <d v="2023-06-13T17:14:24"/>
    <s v="Within SLA"/>
    <d v="2023-06-14T14:51:07"/>
    <x v="0"/>
    <d v="2023-06-18T03:31:57"/>
    <n v="6"/>
    <n v="5"/>
    <x v="2"/>
    <x v="0"/>
    <s v="Czech Republic"/>
    <n v="49.8037633"/>
    <n v="15.4749126"/>
    <s v="ok"/>
    <s v="ok"/>
    <s v="ok"/>
    <s v="ok"/>
    <s v="ok"/>
    <x v="0"/>
    <n v="21.633699166704901"/>
  </r>
  <r>
    <x v="0"/>
    <n v="2345"/>
    <x v="0"/>
    <x v="0"/>
    <x v="1"/>
    <s v="1st line support"/>
    <x v="3"/>
    <x v="1053"/>
    <d v="2023-06-15T09:35:27"/>
    <d v="2023-06-13T10:35:27"/>
    <d v="2023-06-13T09:55:02"/>
    <s v="Within SLA"/>
    <d v="2023-06-14T10:40:55"/>
    <x v="0"/>
    <d v="2023-06-19T07:46:46"/>
    <n v="3"/>
    <n v="4"/>
    <x v="2"/>
    <x v="0"/>
    <s v="France"/>
    <n v="48.864716000000001"/>
    <n v="2.3490139999999999"/>
    <s v="ok"/>
    <s v="ok"/>
    <s v="ok"/>
    <s v="ok"/>
    <s v="ok"/>
    <x v="0"/>
    <n v="25.091195833403617"/>
  </r>
  <r>
    <x v="2"/>
    <n v="2346"/>
    <x v="0"/>
    <x v="0"/>
    <x v="1"/>
    <s v="1st line support"/>
    <x v="3"/>
    <x v="1054"/>
    <d v="2023-06-15T13:58:40"/>
    <d v="2023-06-13T14:58:40"/>
    <d v="2023-06-13T14:20:12"/>
    <s v="Within SLA"/>
    <d v="2023-06-14T23:28:31"/>
    <x v="0"/>
    <m/>
    <n v="9"/>
    <m/>
    <x v="2"/>
    <x v="0"/>
    <s v="Germany"/>
    <n v="51.165691000000002"/>
    <n v="10.451525999999999"/>
    <s v="ok"/>
    <s v="ok"/>
    <s v="ok"/>
    <s v="ok"/>
    <s v="ok"/>
    <x v="0"/>
    <n v="33.497365555667784"/>
  </r>
  <r>
    <x v="0"/>
    <n v="2347"/>
    <x v="2"/>
    <x v="0"/>
    <x v="5"/>
    <s v="1st line support"/>
    <x v="0"/>
    <x v="1055"/>
    <d v="2023-06-15T01:46:10"/>
    <d v="2023-06-13T02:46:10"/>
    <d v="2023-06-13T01:54:22"/>
    <s v="Within SLA"/>
    <d v="2023-06-13T20:42:10"/>
    <x v="0"/>
    <d v="2023-06-18T15:49:33"/>
    <n v="8"/>
    <n v="4"/>
    <x v="0"/>
    <x v="0"/>
    <s v="Poland"/>
    <n v="52.536273000000001"/>
    <n v="19.050639"/>
    <s v="ok"/>
    <s v="ok"/>
    <s v="ok"/>
    <s v="ok"/>
    <s v="ok"/>
    <x v="0"/>
    <n v="18.933325555524789"/>
  </r>
  <r>
    <x v="0"/>
    <n v="2348"/>
    <x v="0"/>
    <x v="2"/>
    <x v="3"/>
    <s v="1st line support"/>
    <x v="4"/>
    <x v="1056"/>
    <d v="2023-06-15T03:36:59"/>
    <d v="2023-06-14T03:38:59"/>
    <d v="2023-06-14T03:38:12"/>
    <s v="Within SLA"/>
    <d v="2023-06-15T03:32:20"/>
    <x v="0"/>
    <d v="2023-06-18T17:18:26"/>
    <n v="3"/>
    <n v="4"/>
    <x v="2"/>
    <x v="0"/>
    <s v="Republic of Ireland"/>
    <n v="53.094023999999997"/>
    <n v="-8.0196749999999994"/>
    <s v="ok"/>
    <s v="ok"/>
    <s v="ok"/>
    <s v="ok"/>
    <s v="ok"/>
    <x v="0"/>
    <n v="23.922491944336798"/>
  </r>
  <r>
    <x v="2"/>
    <n v="2349"/>
    <x v="0"/>
    <x v="1"/>
    <x v="2"/>
    <s v="1st line support"/>
    <x v="6"/>
    <x v="1057"/>
    <d v="2023-06-16T05:05:18"/>
    <d v="2023-06-14T05:07:18"/>
    <d v="2023-06-14T05:10:53"/>
    <s v="SLA Violated"/>
    <d v="2023-06-15T01:06:42"/>
    <x v="0"/>
    <m/>
    <n v="6"/>
    <m/>
    <x v="2"/>
    <x v="0"/>
    <s v="Germany"/>
    <n v="51.165691000000002"/>
    <n v="10.451525999999999"/>
    <s v="ok"/>
    <s v="ok"/>
    <s v="ok"/>
    <s v="ok"/>
    <s v="ok"/>
    <x v="0"/>
    <n v="20.023372222320177"/>
  </r>
  <r>
    <x v="2"/>
    <n v="2350"/>
    <x v="2"/>
    <x v="0"/>
    <x v="0"/>
    <s v="1st line support"/>
    <x v="4"/>
    <x v="1058"/>
    <d v="2023-06-16T14:13:32"/>
    <d v="2023-06-14T15:13:32"/>
    <d v="2023-06-14T15:01:12"/>
    <s v="Within SLA"/>
    <d v="2023-06-15T04:54:37"/>
    <x v="0"/>
    <m/>
    <n v="6"/>
    <m/>
    <x v="2"/>
    <x v="0"/>
    <s v="Germany"/>
    <n v="51.165691000000002"/>
    <n v="10.451525999999999"/>
    <s v="ok"/>
    <s v="ok"/>
    <s v="ok"/>
    <s v="ok"/>
    <s v="ok"/>
    <x v="0"/>
    <n v="14.684644166612998"/>
  </r>
  <r>
    <x v="0"/>
    <n v="2351"/>
    <x v="0"/>
    <x v="1"/>
    <x v="1"/>
    <s v="2nd line support"/>
    <x v="1"/>
    <x v="1059"/>
    <d v="2023-06-16T07:37:55"/>
    <d v="2023-06-14T07:39:55"/>
    <d v="2023-06-14T07:39:18"/>
    <s v="Within SLA"/>
    <d v="2023-06-15T11:12:44"/>
    <x v="0"/>
    <d v="2023-06-20T18:01:24"/>
    <n v="7"/>
    <n v="1"/>
    <x v="2"/>
    <x v="1"/>
    <s v="Republic of Ireland"/>
    <n v="53.094023999999997"/>
    <n v="-8.0196749999999994"/>
    <s v="ok"/>
    <s v="ok"/>
    <s v="ok"/>
    <s v="ok"/>
    <s v="ok"/>
    <x v="0"/>
    <n v="27.580223888915498"/>
  </r>
  <r>
    <x v="2"/>
    <n v="2352"/>
    <x v="1"/>
    <x v="0"/>
    <x v="6"/>
    <s v="2nd line support"/>
    <x v="5"/>
    <x v="1060"/>
    <d v="2023-06-16T19:25:36"/>
    <d v="2023-06-14T20:25:36"/>
    <d v="2023-06-14T19:27:40"/>
    <s v="Within SLA"/>
    <d v="2023-06-19T15:23:09"/>
    <x v="1"/>
    <m/>
    <n v="10"/>
    <m/>
    <x v="3"/>
    <x v="1"/>
    <s v="Bulgaria"/>
    <n v="42.724992499999999"/>
    <n v="25.483303899999999"/>
    <s v="ok"/>
    <s v="ok"/>
    <s v="ok"/>
    <s v="ok"/>
    <s v="ok"/>
    <x v="0"/>
    <n v="115.95921972231008"/>
  </r>
  <r>
    <x v="0"/>
    <n v="2353"/>
    <x v="2"/>
    <x v="0"/>
    <x v="1"/>
    <s v="1st line support"/>
    <x v="6"/>
    <x v="1061"/>
    <d v="2023-06-16T08:44:11"/>
    <d v="2023-06-14T09:44:11"/>
    <d v="2023-06-14T11:05:25"/>
    <s v="SLA Violated"/>
    <d v="2023-06-16T11:16:15"/>
    <x v="1"/>
    <d v="2023-06-17T02:19:10"/>
    <n v="3"/>
    <n v="3"/>
    <x v="3"/>
    <x v="0"/>
    <s v="United Kingdom"/>
    <n v="55.378051999999997"/>
    <n v="-3.4359730000000002"/>
    <s v="ok"/>
    <s v="ok"/>
    <s v="ok"/>
    <s v="ok"/>
    <s v="ok"/>
    <x v="0"/>
    <n v="50.534558333340101"/>
  </r>
  <r>
    <x v="0"/>
    <n v="2354"/>
    <x v="2"/>
    <x v="0"/>
    <x v="5"/>
    <s v="1st line support"/>
    <x v="4"/>
    <x v="1062"/>
    <d v="2023-06-16T03:27:43"/>
    <d v="2023-06-14T04:27:43"/>
    <d v="2023-06-14T03:38:57"/>
    <s v="Within SLA"/>
    <d v="2023-06-15T19:29:36"/>
    <x v="0"/>
    <d v="2023-06-19T21:50:09"/>
    <n v="9"/>
    <n v="4"/>
    <x v="2"/>
    <x v="0"/>
    <s v="Czech Republic"/>
    <n v="49.8037633"/>
    <n v="15.4749126"/>
    <s v="ok"/>
    <s v="ok"/>
    <s v="ok"/>
    <s v="ok"/>
    <s v="ok"/>
    <x v="0"/>
    <n v="40.031276666675694"/>
  </r>
  <r>
    <x v="1"/>
    <n v="2355"/>
    <x v="2"/>
    <x v="2"/>
    <x v="3"/>
    <s v="2nd line support"/>
    <x v="7"/>
    <x v="1063"/>
    <d v="2023-06-16T07:44:22"/>
    <d v="2023-06-15T07:46:22"/>
    <d v="2023-06-15T07:45:53"/>
    <s v="Within SLA"/>
    <m/>
    <x v="1"/>
    <m/>
    <n v="7"/>
    <m/>
    <x v="2"/>
    <x v="1"/>
    <s v="Austria"/>
    <n v="47.696471899999999"/>
    <n v="13.3457347"/>
    <s v="ok"/>
    <s v="ok"/>
    <s v="ok"/>
    <s v="ok"/>
    <s v="ok"/>
    <x v="1"/>
    <s v=""/>
  </r>
  <r>
    <x v="0"/>
    <n v="2356"/>
    <x v="2"/>
    <x v="2"/>
    <x v="0"/>
    <s v="2nd line support"/>
    <x v="5"/>
    <x v="1064"/>
    <d v="2023-06-16T09:33:18"/>
    <d v="2023-06-15T09:35:18"/>
    <d v="2023-06-15T09:38:33"/>
    <s v="SLA Violated"/>
    <d v="2023-06-16T02:03:48"/>
    <x v="0"/>
    <d v="2023-06-17T23:06:41"/>
    <n v="6"/>
    <n v="3"/>
    <x v="1"/>
    <x v="1"/>
    <s v="Slovenia"/>
    <n v="46.149166399999999"/>
    <n v="14.9860106"/>
    <s v="ok"/>
    <s v="ok"/>
    <s v="ok"/>
    <s v="ok"/>
    <s v="ok"/>
    <x v="0"/>
    <n v="16.508420555619523"/>
  </r>
  <r>
    <x v="1"/>
    <n v="2357"/>
    <x v="1"/>
    <x v="0"/>
    <x v="0"/>
    <s v="2nd line support"/>
    <x v="5"/>
    <x v="1065"/>
    <d v="2023-06-17T03:11:42"/>
    <d v="2023-06-15T04:11:42"/>
    <d v="2023-06-15T03:36:32"/>
    <s v="Within SLA"/>
    <m/>
    <x v="1"/>
    <m/>
    <n v="5"/>
    <m/>
    <x v="0"/>
    <x v="1"/>
    <s v="United Kingdom"/>
    <n v="55.378051999999997"/>
    <n v="-3.4359730000000002"/>
    <s v="ok"/>
    <s v="ok"/>
    <s v="ok"/>
    <s v="ok"/>
    <s v="ok"/>
    <x v="1"/>
    <s v=""/>
  </r>
  <r>
    <x v="0"/>
    <n v="2358"/>
    <x v="2"/>
    <x v="0"/>
    <x v="1"/>
    <s v="2nd line support"/>
    <x v="7"/>
    <x v="1066"/>
    <d v="2023-06-17T19:11:03"/>
    <d v="2023-06-15T20:11:03"/>
    <d v="2023-06-15T20:05:41"/>
    <s v="Within SLA"/>
    <d v="2023-06-16T16:58:36"/>
    <x v="0"/>
    <d v="2023-06-18T08:52:26"/>
    <n v="8"/>
    <n v="1"/>
    <x v="3"/>
    <x v="1"/>
    <s v="Republic of Ireland"/>
    <n v="53.094023999999997"/>
    <n v="-8.0196749999999994"/>
    <s v="ok"/>
    <s v="ok"/>
    <s v="ok"/>
    <s v="ok"/>
    <s v="ok"/>
    <x v="0"/>
    <n v="21.792551944381557"/>
  </r>
  <r>
    <x v="0"/>
    <n v="2359"/>
    <x v="0"/>
    <x v="2"/>
    <x v="1"/>
    <s v="2nd line support"/>
    <x v="1"/>
    <x v="1067"/>
    <d v="2023-06-16T03:22:26"/>
    <d v="2023-06-15T03:24:26"/>
    <d v="2023-06-15T03:24:14"/>
    <s v="Within SLA"/>
    <d v="2023-06-15T10:47:44"/>
    <x v="0"/>
    <d v="2023-06-16T09:47:04"/>
    <n v="4"/>
    <n v="3"/>
    <x v="0"/>
    <x v="1"/>
    <s v="France"/>
    <n v="48.864716000000001"/>
    <n v="2.3490139999999999"/>
    <s v="ok"/>
    <s v="ok"/>
    <s v="ok"/>
    <s v="ok"/>
    <s v="ok"/>
    <x v="0"/>
    <n v="7.4215411111945286"/>
  </r>
  <r>
    <x v="0"/>
    <n v="2360"/>
    <x v="0"/>
    <x v="2"/>
    <x v="6"/>
    <s v="1st line support"/>
    <x v="6"/>
    <x v="1068"/>
    <d v="2023-06-16T12:47:13"/>
    <d v="2023-06-15T12:49:13"/>
    <d v="2023-06-15T12:48:23"/>
    <s v="Within SLA"/>
    <d v="2023-06-16T08:59:24"/>
    <x v="0"/>
    <d v="2023-06-18T23:26:44"/>
    <n v="6"/>
    <n v="4"/>
    <x v="3"/>
    <x v="0"/>
    <s v="Germany"/>
    <n v="51.165691000000002"/>
    <n v="10.451525999999999"/>
    <s v="ok"/>
    <s v="ok"/>
    <s v="ok"/>
    <s v="ok"/>
    <s v="ok"/>
    <x v="0"/>
    <n v="20.20317611109931"/>
  </r>
  <r>
    <x v="2"/>
    <n v="2361"/>
    <x v="0"/>
    <x v="0"/>
    <x v="0"/>
    <s v="2nd line support"/>
    <x v="7"/>
    <x v="1069"/>
    <d v="2023-06-17T01:48:45"/>
    <d v="2023-06-15T02:48:45"/>
    <d v="2023-06-15T02:17:08"/>
    <s v="Within SLA"/>
    <d v="2023-06-15T05:51:56"/>
    <x v="0"/>
    <m/>
    <n v="2"/>
    <m/>
    <x v="2"/>
    <x v="1"/>
    <s v="Greece"/>
    <n v="39.368279000000001"/>
    <n v="21.863140999999999"/>
    <s v="ok"/>
    <s v="ok"/>
    <s v="ok"/>
    <s v="ok"/>
    <s v="ok"/>
    <x v="0"/>
    <n v="4.0530433332896791"/>
  </r>
  <r>
    <x v="0"/>
    <n v="2362"/>
    <x v="2"/>
    <x v="0"/>
    <x v="6"/>
    <s v="2nd line support"/>
    <x v="7"/>
    <x v="1070"/>
    <d v="2023-06-17T21:46:17"/>
    <d v="2023-06-15T22:46:17"/>
    <d v="2023-06-15T22:31:50"/>
    <s v="Within SLA"/>
    <d v="2023-06-17T08:17:10"/>
    <x v="0"/>
    <d v="2023-06-16T17:08:56"/>
    <n v="10"/>
    <n v="2"/>
    <x v="3"/>
    <x v="1"/>
    <s v="Poland"/>
    <n v="52.536273000000001"/>
    <n v="19.050639"/>
    <s v="ok"/>
    <s v="ok"/>
    <s v="check"/>
    <s v="ok"/>
    <s v="ok"/>
    <x v="0"/>
    <n v="34.514771389018279"/>
  </r>
  <r>
    <x v="2"/>
    <n v="2363"/>
    <x v="2"/>
    <x v="0"/>
    <x v="0"/>
    <s v="2nd line support"/>
    <x v="1"/>
    <x v="1071"/>
    <d v="2023-06-17T00:54:40"/>
    <d v="2023-06-15T01:54:40"/>
    <d v="2023-06-15T01:43:04"/>
    <s v="Within SLA"/>
    <d v="2023-06-16T20:27:14"/>
    <x v="0"/>
    <m/>
    <n v="7"/>
    <m/>
    <x v="0"/>
    <x v="1"/>
    <s v="United Kingdom"/>
    <n v="55.378051999999997"/>
    <n v="-3.4359730000000002"/>
    <s v="ok"/>
    <s v="ok"/>
    <s v="ok"/>
    <s v="ok"/>
    <s v="ok"/>
    <x v="0"/>
    <n v="43.542678889003582"/>
  </r>
  <r>
    <x v="2"/>
    <n v="2364"/>
    <x v="0"/>
    <x v="0"/>
    <x v="0"/>
    <s v="1st line support"/>
    <x v="3"/>
    <x v="1072"/>
    <d v="2023-06-18T21:52:30"/>
    <d v="2023-06-16T22:52:30"/>
    <d v="2023-06-16T22:45:23"/>
    <s v="Within SLA"/>
    <d v="2023-06-21T13:03:26"/>
    <x v="1"/>
    <m/>
    <n v="1"/>
    <m/>
    <x v="0"/>
    <x v="0"/>
    <s v="Czech Republic"/>
    <n v="49.8037633"/>
    <n v="15.4749126"/>
    <s v="ok"/>
    <s v="ok"/>
    <s v="ok"/>
    <s v="ok"/>
    <s v="ok"/>
    <x v="0"/>
    <n v="111.18217333318898"/>
  </r>
  <r>
    <x v="0"/>
    <n v="2365"/>
    <x v="2"/>
    <x v="0"/>
    <x v="2"/>
    <s v="1st line support"/>
    <x v="4"/>
    <x v="1073"/>
    <d v="2023-06-18T11:53:56"/>
    <d v="2023-06-16T12:53:56"/>
    <d v="2023-06-16T12:23:34"/>
    <s v="Within SLA"/>
    <d v="2023-06-18T01:37:19"/>
    <x v="0"/>
    <d v="2023-06-20T09:46:21"/>
    <n v="1"/>
    <n v="4"/>
    <x v="2"/>
    <x v="0"/>
    <s v="Republic of Ireland"/>
    <n v="53.094023999999997"/>
    <n v="-8.0196749999999994"/>
    <s v="ok"/>
    <s v="ok"/>
    <s v="ok"/>
    <s v="ok"/>
    <s v="ok"/>
    <x v="0"/>
    <n v="37.722935833444353"/>
  </r>
  <r>
    <x v="0"/>
    <n v="2366"/>
    <x v="1"/>
    <x v="0"/>
    <x v="4"/>
    <s v="1st line support"/>
    <x v="0"/>
    <x v="1074"/>
    <d v="2023-06-18T15:52:33"/>
    <d v="2023-06-16T16:52:33"/>
    <d v="2023-06-16T16:28:42"/>
    <s v="Within SLA"/>
    <d v="2023-06-18T14:06:05"/>
    <x v="0"/>
    <d v="2023-06-20T00:34:47"/>
    <n v="5"/>
    <n v="5"/>
    <x v="2"/>
    <x v="0"/>
    <s v="Greece"/>
    <n v="39.368279000000001"/>
    <n v="21.863140999999999"/>
    <s v="ok"/>
    <s v="ok"/>
    <s v="ok"/>
    <s v="ok"/>
    <s v="ok"/>
    <x v="0"/>
    <n v="46.225631111010443"/>
  </r>
  <r>
    <x v="0"/>
    <n v="2367"/>
    <x v="0"/>
    <x v="2"/>
    <x v="1"/>
    <s v="1st line support"/>
    <x v="0"/>
    <x v="1075"/>
    <d v="2023-06-17T09:59:53"/>
    <d v="2023-06-16T10:01:53"/>
    <d v="2023-06-16T10:01:29"/>
    <s v="Within SLA"/>
    <d v="2023-06-16T14:30:22"/>
    <x v="0"/>
    <d v="2023-06-24T02:53:52"/>
    <n v="3"/>
    <n v="4"/>
    <x v="2"/>
    <x v="0"/>
    <s v="Greece"/>
    <n v="39.368279000000001"/>
    <n v="21.863140999999999"/>
    <s v="ok"/>
    <s v="ok"/>
    <s v="ok"/>
    <s v="ok"/>
    <s v="ok"/>
    <x v="0"/>
    <n v="4.5080483332858421"/>
  </r>
  <r>
    <x v="2"/>
    <n v="2368"/>
    <x v="0"/>
    <x v="0"/>
    <x v="3"/>
    <s v="1st line support"/>
    <x v="3"/>
    <x v="1076"/>
    <d v="2023-06-18T16:30:16"/>
    <d v="2023-06-16T17:30:16"/>
    <d v="2023-06-16T17:35:49"/>
    <s v="SLA Violated"/>
    <d v="2023-06-20T04:22:07"/>
    <x v="1"/>
    <m/>
    <n v="1"/>
    <m/>
    <x v="0"/>
    <x v="0"/>
    <s v="Republic of Ireland"/>
    <n v="53.094023999999997"/>
    <n v="-8.0196749999999994"/>
    <s v="ok"/>
    <s v="ok"/>
    <s v="ok"/>
    <s v="ok"/>
    <s v="ok"/>
    <x v="0"/>
    <n v="83.864262777788099"/>
  </r>
  <r>
    <x v="1"/>
    <n v="2369"/>
    <x v="0"/>
    <x v="2"/>
    <x v="1"/>
    <s v="2nd line support"/>
    <x v="5"/>
    <x v="1077"/>
    <d v="2023-06-17T06:07:53"/>
    <d v="2023-06-16T06:09:53"/>
    <d v="2023-06-16T06:09:10"/>
    <s v="Within SLA"/>
    <m/>
    <x v="1"/>
    <m/>
    <n v="4"/>
    <m/>
    <x v="0"/>
    <x v="1"/>
    <s v="France"/>
    <n v="48.864716000000001"/>
    <n v="2.3490139999999999"/>
    <s v="ok"/>
    <s v="ok"/>
    <s v="ok"/>
    <s v="ok"/>
    <s v="ok"/>
    <x v="1"/>
    <s v=""/>
  </r>
  <r>
    <x v="0"/>
    <n v="2370"/>
    <x v="0"/>
    <x v="0"/>
    <x v="3"/>
    <s v="1st line support"/>
    <x v="2"/>
    <x v="1078"/>
    <d v="2023-06-18T14:52:30"/>
    <d v="2023-06-16T15:52:30"/>
    <d v="2023-06-16T15:42:36"/>
    <s v="Within SLA"/>
    <d v="2023-06-17T11:22:05"/>
    <x v="0"/>
    <d v="2023-06-17T04:17:25"/>
    <n v="10"/>
    <n v="4"/>
    <x v="0"/>
    <x v="0"/>
    <s v="Greece"/>
    <n v="39.368279000000001"/>
    <n v="21.863140999999999"/>
    <s v="ok"/>
    <s v="ok"/>
    <s v="check"/>
    <s v="ok"/>
    <s v="ok"/>
    <x v="0"/>
    <n v="20.493037777778227"/>
  </r>
  <r>
    <x v="1"/>
    <n v="2371"/>
    <x v="2"/>
    <x v="0"/>
    <x v="2"/>
    <s v="2nd line support"/>
    <x v="1"/>
    <x v="1079"/>
    <d v="2023-06-18T18:36:18"/>
    <d v="2023-06-16T19:36:18"/>
    <d v="2023-06-16T18:46:25"/>
    <s v="Within SLA"/>
    <m/>
    <x v="1"/>
    <m/>
    <n v="1"/>
    <m/>
    <x v="2"/>
    <x v="1"/>
    <s v="Republic of Ireland"/>
    <n v="53.094023999999997"/>
    <n v="-8.0196749999999994"/>
    <s v="ok"/>
    <s v="ok"/>
    <s v="ok"/>
    <s v="ok"/>
    <s v="ok"/>
    <x v="1"/>
    <s v=""/>
  </r>
  <r>
    <x v="2"/>
    <n v="2372"/>
    <x v="0"/>
    <x v="2"/>
    <x v="3"/>
    <s v="1st line support"/>
    <x v="2"/>
    <x v="1080"/>
    <d v="2023-06-17T18:14:15"/>
    <d v="2023-06-16T18:16:15"/>
    <d v="2023-06-16T18:14:55"/>
    <s v="Within SLA"/>
    <d v="2023-06-17T04:48:39"/>
    <x v="0"/>
    <m/>
    <n v="3"/>
    <m/>
    <x v="2"/>
    <x v="0"/>
    <s v="Spain"/>
    <n v="39.673369999999998"/>
    <n v="-4.7677259999999997"/>
    <s v="ok"/>
    <s v="ok"/>
    <s v="ok"/>
    <s v="ok"/>
    <s v="ok"/>
    <x v="0"/>
    <n v="10.573315555520821"/>
  </r>
  <r>
    <x v="0"/>
    <n v="2373"/>
    <x v="1"/>
    <x v="0"/>
    <x v="5"/>
    <s v="1st line support"/>
    <x v="4"/>
    <x v="1081"/>
    <d v="2023-06-18T03:03:28"/>
    <d v="2023-06-16T04:03:28"/>
    <d v="2023-06-16T04:01:06"/>
    <s v="Within SLA"/>
    <d v="2023-06-17T04:24:55"/>
    <x v="0"/>
    <d v="2023-06-18T13:38:48"/>
    <n v="3"/>
    <n v="4"/>
    <x v="2"/>
    <x v="0"/>
    <s v="France"/>
    <n v="48.864716000000001"/>
    <n v="2.3490139999999999"/>
    <s v="ok"/>
    <s v="ok"/>
    <s v="ok"/>
    <s v="ok"/>
    <s v="ok"/>
    <x v="0"/>
    <n v="25.3575805555447"/>
  </r>
  <r>
    <x v="0"/>
    <n v="2374"/>
    <x v="0"/>
    <x v="0"/>
    <x v="5"/>
    <s v="1st line support"/>
    <x v="2"/>
    <x v="1082"/>
    <d v="2023-06-19T13:06:16"/>
    <d v="2023-06-17T14:06:16"/>
    <d v="2023-06-17T13:36:16"/>
    <s v="Within SLA"/>
    <d v="2023-06-18T07:10:39"/>
    <x v="0"/>
    <d v="2023-06-23T07:12:35"/>
    <n v="1"/>
    <n v="2"/>
    <x v="2"/>
    <x v="0"/>
    <s v="Poland"/>
    <n v="52.536273000000001"/>
    <n v="19.050639"/>
    <s v="ok"/>
    <s v="ok"/>
    <s v="ok"/>
    <s v="ok"/>
    <s v="ok"/>
    <x v="0"/>
    <n v="18.073037499852944"/>
  </r>
  <r>
    <x v="0"/>
    <n v="2375"/>
    <x v="0"/>
    <x v="0"/>
    <x v="3"/>
    <s v="1st line support"/>
    <x v="4"/>
    <x v="1083"/>
    <d v="2023-06-19T06:29:35"/>
    <d v="2023-06-17T07:29:35"/>
    <d v="2023-06-17T07:26:15"/>
    <s v="Within SLA"/>
    <d v="2023-06-18T00:09:35"/>
    <x v="0"/>
    <d v="2023-06-22T17:38:40"/>
    <n v="6"/>
    <n v="4"/>
    <x v="3"/>
    <x v="0"/>
    <s v="United Kingdom"/>
    <n v="55.378051999999997"/>
    <n v="-3.4359730000000002"/>
    <s v="ok"/>
    <s v="ok"/>
    <s v="ok"/>
    <s v="ok"/>
    <s v="ok"/>
    <x v="0"/>
    <n v="17.666578888893127"/>
  </r>
  <r>
    <x v="1"/>
    <n v="2376"/>
    <x v="0"/>
    <x v="2"/>
    <x v="3"/>
    <s v="1st line support"/>
    <x v="0"/>
    <x v="1084"/>
    <d v="2023-06-18T06:31:32"/>
    <d v="2023-06-17T06:33:32"/>
    <d v="2023-06-17T06:37:19"/>
    <s v="SLA Violated"/>
    <m/>
    <x v="1"/>
    <m/>
    <n v="9"/>
    <m/>
    <x v="2"/>
    <x v="0"/>
    <s v="United Kingdom"/>
    <n v="55.378051999999997"/>
    <n v="-3.4359730000000002"/>
    <s v="ok"/>
    <s v="ok"/>
    <s v="ok"/>
    <s v="ok"/>
    <s v="ok"/>
    <x v="1"/>
    <s v=""/>
  </r>
  <r>
    <x v="2"/>
    <n v="2381"/>
    <x v="0"/>
    <x v="2"/>
    <x v="0"/>
    <s v="2nd line support"/>
    <x v="1"/>
    <x v="1085"/>
    <d v="2023-06-19T18:13:48"/>
    <d v="2023-06-18T18:15:48"/>
    <d v="2023-06-18T18:14:17"/>
    <s v="Within SLA"/>
    <d v="2023-06-20T07:45:45"/>
    <x v="1"/>
    <m/>
    <n v="7"/>
    <m/>
    <x v="0"/>
    <x v="1"/>
    <s v="United Kingdom"/>
    <n v="55.378051999999997"/>
    <n v="-3.4359730000000002"/>
    <s v="ok"/>
    <s v="ok"/>
    <s v="ok"/>
    <s v="ok"/>
    <s v="ok"/>
    <x v="0"/>
    <n v="37.532450833416078"/>
  </r>
  <r>
    <x v="0"/>
    <n v="2382"/>
    <x v="0"/>
    <x v="2"/>
    <x v="3"/>
    <s v="1st line support"/>
    <x v="4"/>
    <x v="1086"/>
    <d v="2023-06-19T14:10:22"/>
    <d v="2023-06-18T14:12:22"/>
    <d v="2023-06-18T14:10:47"/>
    <s v="Within SLA"/>
    <d v="2023-06-18T19:08:10"/>
    <x v="0"/>
    <d v="2023-06-20T01:53:06"/>
    <n v="3"/>
    <n v="3"/>
    <x v="0"/>
    <x v="0"/>
    <s v="Poland"/>
    <n v="52.536273000000001"/>
    <n v="19.050639"/>
    <s v="ok"/>
    <s v="ok"/>
    <s v="ok"/>
    <s v="ok"/>
    <s v="ok"/>
    <x v="0"/>
    <n v="4.9633386111818254"/>
  </r>
  <r>
    <x v="1"/>
    <n v="2383"/>
    <x v="1"/>
    <x v="2"/>
    <x v="1"/>
    <s v="1st line support"/>
    <x v="0"/>
    <x v="1087"/>
    <d v="2023-06-20T07:11:25"/>
    <d v="2023-06-19T07:13:25"/>
    <d v="2023-06-19T07:13:44"/>
    <s v="SLA Violated"/>
    <m/>
    <x v="1"/>
    <m/>
    <n v="6"/>
    <m/>
    <x v="2"/>
    <x v="0"/>
    <s v="Spain"/>
    <n v="39.673369999999998"/>
    <n v="-4.7677259999999997"/>
    <s v="ok"/>
    <s v="ok"/>
    <s v="ok"/>
    <s v="ok"/>
    <s v="ok"/>
    <x v="1"/>
    <s v=""/>
  </r>
  <r>
    <x v="0"/>
    <n v="2384"/>
    <x v="0"/>
    <x v="2"/>
    <x v="3"/>
    <s v="1st line support"/>
    <x v="3"/>
    <x v="1088"/>
    <d v="2023-06-20T10:06:01"/>
    <d v="2023-06-19T10:08:01"/>
    <d v="2023-06-19T10:07:06"/>
    <s v="Within SLA"/>
    <d v="2023-06-20T08:41:32"/>
    <x v="0"/>
    <d v="2023-06-23T19:47:44"/>
    <n v="6"/>
    <n v="4"/>
    <x v="0"/>
    <x v="0"/>
    <s v="Italy"/>
    <n v="43.036776000000003"/>
    <n v="12.678565000000001"/>
    <s v="ok"/>
    <s v="ok"/>
    <s v="ok"/>
    <s v="ok"/>
    <s v="ok"/>
    <x v="0"/>
    <n v="22.59193138894625"/>
  </r>
  <r>
    <x v="1"/>
    <n v="2385"/>
    <x v="0"/>
    <x v="0"/>
    <x v="0"/>
    <s v="2nd line support"/>
    <x v="1"/>
    <x v="1089"/>
    <d v="2023-06-21T02:56:47"/>
    <d v="2023-06-19T03:56:47"/>
    <d v="2023-06-19T03:19:47"/>
    <s v="Within SLA"/>
    <m/>
    <x v="1"/>
    <m/>
    <n v="1"/>
    <m/>
    <x v="1"/>
    <x v="1"/>
    <s v="Slovenia"/>
    <n v="46.149166399999999"/>
    <n v="14.9860106"/>
    <s v="ok"/>
    <s v="ok"/>
    <s v="ok"/>
    <s v="ok"/>
    <s v="ok"/>
    <x v="1"/>
    <s v=""/>
  </r>
  <r>
    <x v="0"/>
    <n v="2386"/>
    <x v="0"/>
    <x v="0"/>
    <x v="1"/>
    <s v="2nd line support"/>
    <x v="7"/>
    <x v="1090"/>
    <d v="2023-06-21T09:47:32"/>
    <d v="2023-06-19T10:47:32"/>
    <d v="2023-06-19T10:25:29"/>
    <s v="Within SLA"/>
    <d v="2023-06-20T05:32:37"/>
    <x v="0"/>
    <d v="2023-06-22T11:14:20"/>
    <n v="1"/>
    <n v="5"/>
    <x v="2"/>
    <x v="1"/>
    <s v="Republic of Ireland"/>
    <n v="53.094023999999997"/>
    <n v="-8.0196749999999994"/>
    <s v="ok"/>
    <s v="ok"/>
    <s v="ok"/>
    <s v="ok"/>
    <s v="ok"/>
    <x v="0"/>
    <n v="19.751441389031243"/>
  </r>
  <r>
    <x v="1"/>
    <n v="2387"/>
    <x v="2"/>
    <x v="0"/>
    <x v="5"/>
    <s v="1st line support"/>
    <x v="4"/>
    <x v="1091"/>
    <d v="2023-06-21T15:00:04"/>
    <d v="2023-06-19T16:00:04"/>
    <d v="2023-06-19T15:04:14"/>
    <s v="Within SLA"/>
    <m/>
    <x v="1"/>
    <m/>
    <n v="9"/>
    <m/>
    <x v="0"/>
    <x v="0"/>
    <s v="Austria"/>
    <n v="47.696471899999999"/>
    <n v="13.3457347"/>
    <s v="ok"/>
    <s v="ok"/>
    <s v="ok"/>
    <s v="ok"/>
    <s v="ok"/>
    <x v="1"/>
    <s v=""/>
  </r>
  <r>
    <x v="1"/>
    <n v="2388"/>
    <x v="0"/>
    <x v="0"/>
    <x v="3"/>
    <s v="1st line support"/>
    <x v="4"/>
    <x v="1092"/>
    <d v="2023-06-21T18:56:11"/>
    <d v="2023-06-19T19:56:11"/>
    <d v="2023-06-19T19:55:43"/>
    <s v="Within SLA"/>
    <m/>
    <x v="1"/>
    <m/>
    <n v="1"/>
    <m/>
    <x v="1"/>
    <x v="0"/>
    <s v="Czech Republic"/>
    <n v="49.8037633"/>
    <n v="15.4749126"/>
    <s v="ok"/>
    <s v="ok"/>
    <s v="ok"/>
    <s v="ok"/>
    <s v="ok"/>
    <x v="1"/>
    <s v=""/>
  </r>
  <r>
    <x v="2"/>
    <n v="2389"/>
    <x v="2"/>
    <x v="0"/>
    <x v="0"/>
    <s v="1st line support"/>
    <x v="3"/>
    <x v="1093"/>
    <d v="2023-06-21T13:19:08"/>
    <d v="2023-06-19T14:19:08"/>
    <d v="2023-06-19T13:32:29"/>
    <s v="Within SLA"/>
    <d v="2023-06-19T20:41:52"/>
    <x v="0"/>
    <m/>
    <n v="7"/>
    <m/>
    <x v="2"/>
    <x v="0"/>
    <s v="Austria"/>
    <n v="47.696471899999999"/>
    <n v="13.3457347"/>
    <s v="ok"/>
    <s v="ok"/>
    <s v="ok"/>
    <s v="ok"/>
    <s v="ok"/>
    <x v="0"/>
    <n v="7.3787641666713171"/>
  </r>
  <r>
    <x v="0"/>
    <n v="2390"/>
    <x v="0"/>
    <x v="0"/>
    <x v="2"/>
    <s v="1st line support"/>
    <x v="2"/>
    <x v="1094"/>
    <d v="2023-06-22T05:58:21"/>
    <d v="2023-06-20T06:58:21"/>
    <d v="2023-06-20T06:03:17"/>
    <s v="Within SLA"/>
    <d v="2023-06-22T01:44:27"/>
    <x v="0"/>
    <d v="2023-06-22T12:41:45"/>
    <n v="1"/>
    <n v="5"/>
    <x v="1"/>
    <x v="0"/>
    <s v="United Kingdom"/>
    <n v="55.378051999999997"/>
    <n v="-3.4359730000000002"/>
    <s v="ok"/>
    <s v="ok"/>
    <s v="ok"/>
    <s v="ok"/>
    <s v="ok"/>
    <x v="0"/>
    <n v="43.768276388815138"/>
  </r>
  <r>
    <x v="1"/>
    <n v="2391"/>
    <x v="0"/>
    <x v="2"/>
    <x v="1"/>
    <s v="1st line support"/>
    <x v="6"/>
    <x v="1095"/>
    <d v="2023-06-21T03:21:33"/>
    <d v="2023-06-20T03:23:33"/>
    <d v="2023-06-20T03:22:40"/>
    <s v="Within SLA"/>
    <m/>
    <x v="1"/>
    <m/>
    <n v="5"/>
    <m/>
    <x v="2"/>
    <x v="0"/>
    <s v="Czech Republic"/>
    <n v="49.8037633"/>
    <n v="15.4749126"/>
    <s v="ok"/>
    <s v="ok"/>
    <s v="ok"/>
    <s v="ok"/>
    <s v="ok"/>
    <x v="1"/>
    <s v=""/>
  </r>
  <r>
    <x v="0"/>
    <n v="2392"/>
    <x v="0"/>
    <x v="0"/>
    <x v="3"/>
    <s v="1st line support"/>
    <x v="2"/>
    <x v="1096"/>
    <d v="2023-06-22T00:42:46"/>
    <d v="2023-06-20T01:42:46"/>
    <d v="2023-06-20T01:41:53"/>
    <s v="Within SLA"/>
    <d v="2023-06-23T15:17:53"/>
    <x v="1"/>
    <d v="2023-06-25T11:38:47"/>
    <n v="3"/>
    <n v="2"/>
    <x v="1"/>
    <x v="0"/>
    <s v="Bulgaria"/>
    <n v="42.724992499999999"/>
    <n v="25.483303899999999"/>
    <s v="ok"/>
    <s v="ok"/>
    <s v="ok"/>
    <s v="ok"/>
    <s v="ok"/>
    <x v="0"/>
    <n v="86.58527888887329"/>
  </r>
  <r>
    <x v="0"/>
    <n v="2393"/>
    <x v="0"/>
    <x v="1"/>
    <x v="1"/>
    <s v="1st line support"/>
    <x v="3"/>
    <x v="1097"/>
    <d v="2023-06-22T03:00:12"/>
    <d v="2023-06-20T03:02:12"/>
    <d v="2023-06-20T03:00:50"/>
    <s v="Within SLA"/>
    <d v="2023-06-21T10:31:18"/>
    <x v="0"/>
    <d v="2023-06-20T22:49:12"/>
    <n v="3"/>
    <n v="3"/>
    <x v="2"/>
    <x v="0"/>
    <s v="United Kingdom"/>
    <n v="55.378051999999997"/>
    <n v="-3.4359730000000002"/>
    <s v="ok"/>
    <s v="ok"/>
    <s v="check"/>
    <s v="ok"/>
    <s v="ok"/>
    <x v="0"/>
    <n v="31.518203611078206"/>
  </r>
  <r>
    <x v="0"/>
    <n v="2394"/>
    <x v="0"/>
    <x v="2"/>
    <x v="4"/>
    <s v="1st line support"/>
    <x v="3"/>
    <x v="1098"/>
    <d v="2023-06-21T04:41:46"/>
    <d v="2023-06-20T04:43:46"/>
    <d v="2023-06-20T04:43:06"/>
    <s v="Within SLA"/>
    <d v="2023-06-20T23:55:57"/>
    <x v="0"/>
    <d v="2023-06-21T04:13:44"/>
    <n v="3"/>
    <n v="4"/>
    <x v="2"/>
    <x v="0"/>
    <s v="Italy"/>
    <n v="43.036776000000003"/>
    <n v="12.678565000000001"/>
    <s v="ok"/>
    <s v="ok"/>
    <s v="ok"/>
    <s v="ok"/>
    <s v="ok"/>
    <x v="0"/>
    <n v="19.236313333385624"/>
  </r>
  <r>
    <x v="0"/>
    <n v="2395"/>
    <x v="1"/>
    <x v="0"/>
    <x v="1"/>
    <s v="2nd line support"/>
    <x v="5"/>
    <x v="1099"/>
    <d v="2023-06-23T19:25:13"/>
    <d v="2023-06-21T20:25:13"/>
    <d v="2023-06-21T19:40:16"/>
    <s v="Within SLA"/>
    <d v="2023-06-22T16:57:48"/>
    <x v="0"/>
    <d v="2023-06-25T21:33:41"/>
    <n v="10"/>
    <n v="1"/>
    <x v="2"/>
    <x v="1"/>
    <s v="United Kingdom"/>
    <n v="55.378051999999997"/>
    <n v="-3.4359730000000002"/>
    <s v="ok"/>
    <s v="ok"/>
    <s v="ok"/>
    <s v="ok"/>
    <s v="ok"/>
    <x v="0"/>
    <n v="21.543065555510111"/>
  </r>
  <r>
    <x v="2"/>
    <n v="2396"/>
    <x v="1"/>
    <x v="0"/>
    <x v="3"/>
    <s v="1st line support"/>
    <x v="2"/>
    <x v="1100"/>
    <d v="2023-06-23T17:34:47"/>
    <d v="2023-06-21T18:34:47"/>
    <d v="2023-06-21T18:09:40"/>
    <s v="Within SLA"/>
    <d v="2023-06-23T07:58:31"/>
    <x v="0"/>
    <m/>
    <n v="7"/>
    <m/>
    <x v="0"/>
    <x v="0"/>
    <s v="Germany"/>
    <n v="51.165691000000002"/>
    <n v="10.451525999999999"/>
    <s v="ok"/>
    <s v="ok"/>
    <s v="ok"/>
    <s v="ok"/>
    <s v="ok"/>
    <x v="0"/>
    <n v="38.39567138889106"/>
  </r>
  <r>
    <x v="2"/>
    <n v="2397"/>
    <x v="0"/>
    <x v="0"/>
    <x v="4"/>
    <s v="1st line support"/>
    <x v="3"/>
    <x v="1101"/>
    <d v="2023-06-23T05:06:53"/>
    <d v="2023-06-21T06:06:53"/>
    <d v="2023-06-21T05:32:02"/>
    <s v="Within SLA"/>
    <d v="2023-06-22T08:11:45"/>
    <x v="0"/>
    <m/>
    <n v="2"/>
    <m/>
    <x v="0"/>
    <x v="0"/>
    <s v="Poland"/>
    <n v="52.536273000000001"/>
    <n v="19.050639"/>
    <s v="ok"/>
    <s v="ok"/>
    <s v="ok"/>
    <s v="ok"/>
    <s v="ok"/>
    <x v="0"/>
    <n v="27.081130555656273"/>
  </r>
  <r>
    <x v="0"/>
    <n v="2398"/>
    <x v="0"/>
    <x v="0"/>
    <x v="2"/>
    <s v="1st line support"/>
    <x v="3"/>
    <x v="1102"/>
    <d v="2023-06-23T19:47:41"/>
    <d v="2023-06-21T20:47:41"/>
    <d v="2023-06-21T19:50:01"/>
    <s v="Within SLA"/>
    <d v="2023-06-22T13:39:42"/>
    <x v="0"/>
    <d v="2023-06-24T02:05:35"/>
    <n v="10"/>
    <n v="5"/>
    <x v="2"/>
    <x v="0"/>
    <s v="Bulgaria"/>
    <n v="42.724992499999999"/>
    <n v="25.483303899999999"/>
    <s v="ok"/>
    <s v="ok"/>
    <s v="ok"/>
    <s v="ok"/>
    <s v="ok"/>
    <x v="0"/>
    <n v="17.867033055634238"/>
  </r>
  <r>
    <x v="0"/>
    <n v="2399"/>
    <x v="1"/>
    <x v="2"/>
    <x v="1"/>
    <s v="2nd line support"/>
    <x v="7"/>
    <x v="1103"/>
    <d v="2023-06-22T10:02:44"/>
    <d v="2023-06-21T10:04:44"/>
    <d v="2023-06-21T10:03:28"/>
    <s v="Within SLA"/>
    <d v="2023-06-22T17:22:19"/>
    <x v="1"/>
    <d v="2023-06-24T15:43:07"/>
    <n v="4"/>
    <n v="3"/>
    <x v="0"/>
    <x v="1"/>
    <s v="United Kingdom"/>
    <n v="55.378051999999997"/>
    <n v="-3.4359730000000002"/>
    <s v="ok"/>
    <s v="ok"/>
    <s v="ok"/>
    <s v="ok"/>
    <s v="ok"/>
    <x v="0"/>
    <n v="31.326283888891339"/>
  </r>
  <r>
    <x v="0"/>
    <n v="2400"/>
    <x v="1"/>
    <x v="2"/>
    <x v="0"/>
    <s v="1st line support"/>
    <x v="6"/>
    <x v="1104"/>
    <d v="2023-06-22T22:56:11"/>
    <d v="2023-06-21T22:58:11"/>
    <d v="2023-06-21T22:57:40"/>
    <s v="Within SLA"/>
    <d v="2023-06-27T19:57:56"/>
    <x v="1"/>
    <d v="2023-06-28T21:43:00"/>
    <n v="6"/>
    <n v="3"/>
    <x v="2"/>
    <x v="0"/>
    <s v="Poland"/>
    <n v="52.536273000000001"/>
    <n v="19.050639"/>
    <s v="ok"/>
    <s v="ok"/>
    <s v="ok"/>
    <s v="ok"/>
    <s v="ok"/>
    <x v="0"/>
    <n v="141.02927416667808"/>
  </r>
  <r>
    <x v="2"/>
    <n v="2401"/>
    <x v="0"/>
    <x v="2"/>
    <x v="4"/>
    <s v="1st line support"/>
    <x v="3"/>
    <x v="1105"/>
    <d v="2023-06-22T18:25:14"/>
    <d v="2023-06-21T18:27:14"/>
    <d v="2023-06-21T18:28:57"/>
    <s v="SLA Violated"/>
    <d v="2023-06-22T15:59:52"/>
    <x v="0"/>
    <m/>
    <n v="4"/>
    <m/>
    <x v="2"/>
    <x v="0"/>
    <s v="Spain"/>
    <n v="39.673369999999998"/>
    <n v="-4.7677259999999997"/>
    <s v="ok"/>
    <s v="ok"/>
    <s v="ok"/>
    <s v="ok"/>
    <s v="ok"/>
    <x v="0"/>
    <n v="21.57726388896117"/>
  </r>
  <r>
    <x v="0"/>
    <n v="2402"/>
    <x v="2"/>
    <x v="0"/>
    <x v="0"/>
    <s v="1st line support"/>
    <x v="0"/>
    <x v="1106"/>
    <d v="2023-06-23T23:30:20"/>
    <d v="2023-06-22T00:30:20"/>
    <d v="2023-06-22T00:20:37"/>
    <s v="Within SLA"/>
    <d v="2023-06-22T20:43:43"/>
    <x v="0"/>
    <d v="2023-06-25T15:08:07"/>
    <n v="1"/>
    <n v="5"/>
    <x v="2"/>
    <x v="0"/>
    <s v="Germany"/>
    <n v="51.165691000000002"/>
    <n v="10.451525999999999"/>
    <s v="ok"/>
    <s v="ok"/>
    <s v="ok"/>
    <s v="ok"/>
    <s v="ok"/>
    <x v="0"/>
    <n v="21.22297166660428"/>
  </r>
  <r>
    <x v="2"/>
    <n v="2403"/>
    <x v="1"/>
    <x v="2"/>
    <x v="4"/>
    <s v="1st line support"/>
    <x v="0"/>
    <x v="1107"/>
    <d v="2023-06-22T11:31:28"/>
    <d v="2023-06-21T11:33:28"/>
    <d v="2023-06-21T11:32:38"/>
    <s v="Within SLA"/>
    <d v="2023-06-21T11:39:05"/>
    <x v="0"/>
    <m/>
    <n v="60"/>
    <m/>
    <x v="0"/>
    <x v="0"/>
    <s v="United Kingdom"/>
    <n v="55.378051999999997"/>
    <n v="-3.4359730000000002"/>
    <s v="ok"/>
    <s v="ok"/>
    <s v="ok"/>
    <s v="ok"/>
    <s v="ok"/>
    <x v="0"/>
    <n v="0.12692361103836447"/>
  </r>
  <r>
    <x v="0"/>
    <n v="2404"/>
    <x v="0"/>
    <x v="0"/>
    <x v="6"/>
    <s v="2nd line support"/>
    <x v="1"/>
    <x v="1108"/>
    <d v="2023-06-23T08:31:17"/>
    <d v="2023-06-21T09:31:17"/>
    <d v="2023-06-21T08:52:45"/>
    <s v="Within SLA"/>
    <d v="2023-06-21T21:32:34"/>
    <x v="0"/>
    <d v="2023-06-25T12:33:20"/>
    <n v="8"/>
    <n v="3"/>
    <x v="3"/>
    <x v="1"/>
    <s v="Poland"/>
    <n v="52.536273000000001"/>
    <n v="19.050639"/>
    <s v="ok"/>
    <s v="ok"/>
    <s v="ok"/>
    <s v="ok"/>
    <s v="ok"/>
    <x v="0"/>
    <n v="13.021477222151589"/>
  </r>
  <r>
    <x v="1"/>
    <n v="2405"/>
    <x v="2"/>
    <x v="0"/>
    <x v="6"/>
    <s v="1st line support"/>
    <x v="3"/>
    <x v="1109"/>
    <d v="2023-06-23T18:46:11"/>
    <d v="2023-06-21T19:46:11"/>
    <d v="2023-06-21T19:34:19"/>
    <s v="Within SLA"/>
    <m/>
    <x v="1"/>
    <m/>
    <n v="8"/>
    <m/>
    <x v="3"/>
    <x v="0"/>
    <s v="Spain"/>
    <n v="39.673369999999998"/>
    <n v="-4.7677259999999997"/>
    <s v="ok"/>
    <s v="ok"/>
    <s v="ok"/>
    <s v="ok"/>
    <s v="ok"/>
    <x v="1"/>
    <s v=""/>
  </r>
  <r>
    <x v="1"/>
    <n v="2406"/>
    <x v="2"/>
    <x v="0"/>
    <x v="1"/>
    <s v="1st line support"/>
    <x v="3"/>
    <x v="1110"/>
    <d v="2023-06-23T15:15:00"/>
    <d v="2023-06-21T16:15:00"/>
    <d v="2023-06-21T15:57:39"/>
    <s v="Within SLA"/>
    <m/>
    <x v="1"/>
    <m/>
    <n v="2"/>
    <m/>
    <x v="2"/>
    <x v="0"/>
    <s v="Poland"/>
    <n v="52.536273000000001"/>
    <n v="19.050639"/>
    <s v="ok"/>
    <s v="ok"/>
    <s v="ok"/>
    <s v="ok"/>
    <s v="ok"/>
    <x v="1"/>
    <s v=""/>
  </r>
  <r>
    <x v="2"/>
    <n v="2407"/>
    <x v="1"/>
    <x v="0"/>
    <x v="0"/>
    <s v="2nd line support"/>
    <x v="7"/>
    <x v="1111"/>
    <d v="2023-06-23T15:13:01"/>
    <d v="2023-06-21T16:13:01"/>
    <d v="2023-06-21T15:51:51"/>
    <s v="Within SLA"/>
    <d v="2023-06-23T02:46:06"/>
    <x v="0"/>
    <m/>
    <n v="3"/>
    <m/>
    <x v="1"/>
    <x v="1"/>
    <s v="Poland"/>
    <n v="52.536273000000001"/>
    <n v="19.050639"/>
    <s v="ok"/>
    <s v="ok"/>
    <s v="ok"/>
    <s v="ok"/>
    <s v="ok"/>
    <x v="0"/>
    <n v="35.551443055446725"/>
  </r>
  <r>
    <x v="0"/>
    <n v="2408"/>
    <x v="0"/>
    <x v="1"/>
    <x v="3"/>
    <s v="1st line support"/>
    <x v="4"/>
    <x v="1112"/>
    <d v="2023-06-23T15:24:15"/>
    <d v="2023-06-21T15:26:15"/>
    <d v="2023-06-21T15:25:00"/>
    <s v="Within SLA"/>
    <d v="2023-06-27T08:48:41"/>
    <x v="1"/>
    <d v="2023-06-29T03:21:09"/>
    <n v="5"/>
    <n v="4"/>
    <x v="3"/>
    <x v="0"/>
    <s v="Germany"/>
    <n v="51.165691000000002"/>
    <n v="10.451525999999999"/>
    <s v="ok"/>
    <s v="ok"/>
    <s v="ok"/>
    <s v="ok"/>
    <s v="ok"/>
    <x v="0"/>
    <n v="137.40723000001162"/>
  </r>
  <r>
    <x v="1"/>
    <n v="2409"/>
    <x v="0"/>
    <x v="0"/>
    <x v="1"/>
    <s v="1st line support"/>
    <x v="3"/>
    <x v="1113"/>
    <d v="2023-06-23T07:58:57"/>
    <d v="2023-06-21T08:58:57"/>
    <d v="2023-06-21T08:53:03"/>
    <s v="Within SLA"/>
    <m/>
    <x v="1"/>
    <m/>
    <n v="2"/>
    <m/>
    <x v="1"/>
    <x v="0"/>
    <s v="United Kingdom"/>
    <n v="55.378051999999997"/>
    <n v="-3.4359730000000002"/>
    <s v="ok"/>
    <s v="ok"/>
    <s v="ok"/>
    <s v="ok"/>
    <s v="ok"/>
    <x v="1"/>
    <s v=""/>
  </r>
  <r>
    <x v="0"/>
    <n v="2410"/>
    <x v="0"/>
    <x v="1"/>
    <x v="1"/>
    <s v="1st line support"/>
    <x v="6"/>
    <x v="1114"/>
    <d v="2023-06-23T14:09:56"/>
    <d v="2023-06-21T14:11:56"/>
    <d v="2023-06-21T14:13:04"/>
    <s v="SLA Violated"/>
    <d v="2023-06-21T22:35:13"/>
    <x v="0"/>
    <d v="2023-06-25T16:37:27"/>
    <n v="1"/>
    <n v="2"/>
    <x v="2"/>
    <x v="0"/>
    <s v="Slovenia"/>
    <n v="46.149166399999999"/>
    <n v="14.9860106"/>
    <s v="ok"/>
    <s v="ok"/>
    <s v="ok"/>
    <s v="ok"/>
    <s v="ok"/>
    <x v="0"/>
    <n v="8.421450833324343"/>
  </r>
  <r>
    <x v="2"/>
    <n v="2411"/>
    <x v="1"/>
    <x v="0"/>
    <x v="0"/>
    <s v="2nd line support"/>
    <x v="7"/>
    <x v="1115"/>
    <d v="2023-06-24T21:31:03"/>
    <d v="2023-06-22T22:31:03"/>
    <d v="2023-06-22T21:36:58"/>
    <s v="Within SLA"/>
    <d v="2023-06-23T11:02:13"/>
    <x v="0"/>
    <m/>
    <n v="1"/>
    <m/>
    <x v="0"/>
    <x v="1"/>
    <s v="Austria"/>
    <n v="47.696471899999999"/>
    <n v="13.3457347"/>
    <s v="ok"/>
    <s v="ok"/>
    <s v="ok"/>
    <s v="ok"/>
    <s v="ok"/>
    <x v="0"/>
    <n v="13.519318888953421"/>
  </r>
  <r>
    <x v="1"/>
    <n v="2412"/>
    <x v="2"/>
    <x v="1"/>
    <x v="3"/>
    <s v="1st line support"/>
    <x v="4"/>
    <x v="1116"/>
    <d v="2023-06-24T09:19:42"/>
    <d v="2023-06-22T09:21:42"/>
    <d v="2023-06-22T09:22:04"/>
    <s v="SLA Violated"/>
    <m/>
    <x v="1"/>
    <m/>
    <n v="1"/>
    <m/>
    <x v="0"/>
    <x v="0"/>
    <s v="United Kingdom"/>
    <n v="55.378051999999997"/>
    <n v="-3.4359730000000002"/>
    <s v="ok"/>
    <s v="ok"/>
    <s v="ok"/>
    <s v="ok"/>
    <s v="ok"/>
    <x v="1"/>
    <s v=""/>
  </r>
  <r>
    <x v="2"/>
    <n v="2413"/>
    <x v="1"/>
    <x v="2"/>
    <x v="3"/>
    <s v="1st line support"/>
    <x v="4"/>
    <x v="1117"/>
    <d v="2023-06-23T21:24:24"/>
    <d v="2023-06-22T21:26:24"/>
    <d v="2023-06-22T21:25:53"/>
    <s v="Within SLA"/>
    <d v="2023-06-23T08:25:47"/>
    <x v="0"/>
    <m/>
    <n v="4"/>
    <m/>
    <x v="1"/>
    <x v="0"/>
    <s v="Czech Republic"/>
    <n v="49.8037633"/>
    <n v="15.4749126"/>
    <s v="ok"/>
    <s v="ok"/>
    <s v="ok"/>
    <s v="ok"/>
    <s v="ok"/>
    <x v="0"/>
    <n v="11.023174444329925"/>
  </r>
  <r>
    <x v="0"/>
    <n v="2414"/>
    <x v="0"/>
    <x v="0"/>
    <x v="0"/>
    <s v="2nd line support"/>
    <x v="7"/>
    <x v="1118"/>
    <d v="2023-06-24T15:10:05"/>
    <d v="2023-06-22T16:10:05"/>
    <d v="2023-06-22T21:32:05"/>
    <s v="SLA Violated"/>
    <d v="2023-06-23T01:28:53"/>
    <x v="0"/>
    <d v="2023-06-28T14:11:43"/>
    <n v="1"/>
    <n v="5"/>
    <x v="0"/>
    <x v="1"/>
    <s v="Poland"/>
    <n v="52.536273000000001"/>
    <n v="19.050639"/>
    <s v="ok"/>
    <s v="ok"/>
    <s v="ok"/>
    <s v="ok"/>
    <s v="ok"/>
    <x v="0"/>
    <n v="10.31323694443563"/>
  </r>
  <r>
    <x v="1"/>
    <n v="2415"/>
    <x v="2"/>
    <x v="0"/>
    <x v="4"/>
    <s v="1st line support"/>
    <x v="0"/>
    <x v="1119"/>
    <d v="2023-06-24T09:31:15"/>
    <d v="2023-06-22T10:31:15"/>
    <d v="2023-06-22T10:12:14"/>
    <s v="Within SLA"/>
    <m/>
    <x v="1"/>
    <m/>
    <n v="3"/>
    <m/>
    <x v="2"/>
    <x v="0"/>
    <s v="Germany"/>
    <n v="51.165691000000002"/>
    <n v="10.451525999999999"/>
    <s v="ok"/>
    <s v="ok"/>
    <s v="ok"/>
    <s v="ok"/>
    <s v="ok"/>
    <x v="1"/>
    <s v=""/>
  </r>
  <r>
    <x v="0"/>
    <n v="2416"/>
    <x v="0"/>
    <x v="2"/>
    <x v="1"/>
    <s v="1st line support"/>
    <x v="4"/>
    <x v="1120"/>
    <d v="2023-06-23T03:14:48"/>
    <d v="2023-06-22T03:16:48"/>
    <d v="2023-06-22T03:16:01"/>
    <s v="Within SLA"/>
    <d v="2023-06-22T08:24:32"/>
    <x v="0"/>
    <d v="2023-06-27T11:55:12"/>
    <n v="3"/>
    <n v="4"/>
    <x v="2"/>
    <x v="0"/>
    <s v="Poland"/>
    <n v="52.536273000000001"/>
    <n v="19.050639"/>
    <s v="ok"/>
    <s v="ok"/>
    <s v="ok"/>
    <s v="ok"/>
    <s v="ok"/>
    <x v="0"/>
    <n v="5.1621949999826029"/>
  </r>
  <r>
    <x v="1"/>
    <n v="2417"/>
    <x v="0"/>
    <x v="2"/>
    <x v="6"/>
    <s v="2nd line support"/>
    <x v="7"/>
    <x v="1121"/>
    <d v="2023-06-23T05:33:00"/>
    <d v="2023-06-22T05:35:00"/>
    <d v="2023-06-22T05:36:01"/>
    <s v="SLA Violated"/>
    <m/>
    <x v="1"/>
    <m/>
    <n v="8"/>
    <m/>
    <x v="3"/>
    <x v="1"/>
    <s v="Italy"/>
    <n v="43.036776000000003"/>
    <n v="12.678565000000001"/>
    <s v="ok"/>
    <s v="ok"/>
    <s v="ok"/>
    <s v="ok"/>
    <s v="ok"/>
    <x v="1"/>
    <s v=""/>
  </r>
  <r>
    <x v="0"/>
    <n v="2418"/>
    <x v="2"/>
    <x v="0"/>
    <x v="2"/>
    <s v="2nd line support"/>
    <x v="5"/>
    <x v="1122"/>
    <d v="2023-06-24T15:20:02"/>
    <d v="2023-06-22T16:20:02"/>
    <d v="2023-06-22T15:36:47"/>
    <s v="Within SLA"/>
    <d v="2023-06-25T01:52:58"/>
    <x v="1"/>
    <d v="2023-06-26T02:42:04"/>
    <n v="1"/>
    <n v="4"/>
    <x v="2"/>
    <x v="1"/>
    <s v="Germany"/>
    <n v="51.165691000000002"/>
    <n v="10.451525999999999"/>
    <s v="ok"/>
    <s v="ok"/>
    <s v="ok"/>
    <s v="ok"/>
    <s v="ok"/>
    <x v="0"/>
    <n v="58.548890833393671"/>
  </r>
  <r>
    <x v="0"/>
    <n v="2419"/>
    <x v="0"/>
    <x v="1"/>
    <x v="3"/>
    <s v="1st line support"/>
    <x v="3"/>
    <x v="1123"/>
    <d v="2023-06-24T15:17:57"/>
    <d v="2023-06-22T15:19:57"/>
    <d v="2023-06-22T15:18:08"/>
    <s v="Within SLA"/>
    <d v="2023-06-24T06:43:14"/>
    <x v="0"/>
    <d v="2023-06-26T13:52:24"/>
    <n v="2"/>
    <n v="3"/>
    <x v="0"/>
    <x v="0"/>
    <s v="France"/>
    <n v="48.864716000000001"/>
    <n v="2.3490139999999999"/>
    <s v="ok"/>
    <s v="ok"/>
    <s v="ok"/>
    <s v="ok"/>
    <s v="ok"/>
    <x v="0"/>
    <n v="39.421483055397402"/>
  </r>
  <r>
    <x v="0"/>
    <n v="2420"/>
    <x v="2"/>
    <x v="2"/>
    <x v="4"/>
    <s v="2nd line support"/>
    <x v="1"/>
    <x v="1124"/>
    <d v="2023-06-23T10:16:27"/>
    <d v="2023-06-22T10:18:27"/>
    <d v="2023-06-22T10:20:46"/>
    <s v="SLA Violated"/>
    <d v="2023-06-22T14:53:00"/>
    <x v="0"/>
    <d v="2023-06-26T20:28:09"/>
    <n v="60"/>
    <n v="4"/>
    <x v="1"/>
    <x v="1"/>
    <s v="France"/>
    <n v="48.864716000000001"/>
    <n v="2.3490139999999999"/>
    <s v="ok"/>
    <s v="ok"/>
    <s v="ok"/>
    <s v="ok"/>
    <s v="ok"/>
    <x v="0"/>
    <n v="4.6092266667983495"/>
  </r>
  <r>
    <x v="2"/>
    <n v="2421"/>
    <x v="0"/>
    <x v="1"/>
    <x v="4"/>
    <s v="1st line support"/>
    <x v="0"/>
    <x v="1125"/>
    <d v="2023-06-25T02:51:48"/>
    <d v="2023-06-23T02:53:48"/>
    <d v="2023-06-23T02:52:11"/>
    <s v="Within SLA"/>
    <d v="2023-06-23T16:17:04"/>
    <x v="0"/>
    <m/>
    <n v="3"/>
    <m/>
    <x v="2"/>
    <x v="0"/>
    <s v="Bulgaria"/>
    <n v="42.724992499999999"/>
    <n v="25.483303899999999"/>
    <s v="ok"/>
    <s v="ok"/>
    <s v="ok"/>
    <s v="ok"/>
    <s v="ok"/>
    <x v="0"/>
    <n v="13.421014999912586"/>
  </r>
  <r>
    <x v="2"/>
    <n v="2422"/>
    <x v="0"/>
    <x v="1"/>
    <x v="3"/>
    <s v="1st line support"/>
    <x v="2"/>
    <x v="1126"/>
    <d v="2023-06-25T02:00:34"/>
    <d v="2023-06-23T02:02:34"/>
    <d v="2023-06-23T02:04:43"/>
    <s v="SLA Violated"/>
    <d v="2023-06-23T21:33:51"/>
    <x v="0"/>
    <m/>
    <n v="2"/>
    <m/>
    <x v="3"/>
    <x v="0"/>
    <s v="Austria"/>
    <n v="47.696471899999999"/>
    <n v="13.3457347"/>
    <s v="ok"/>
    <s v="ok"/>
    <s v="ok"/>
    <s v="ok"/>
    <s v="ok"/>
    <x v="0"/>
    <n v="19.554793333285488"/>
  </r>
  <r>
    <x v="0"/>
    <n v="2423"/>
    <x v="0"/>
    <x v="0"/>
    <x v="0"/>
    <s v="1st line support"/>
    <x v="3"/>
    <x v="1127"/>
    <d v="2023-06-25T11:18:18"/>
    <d v="2023-06-23T12:18:18"/>
    <d v="2023-06-23T12:10:12"/>
    <s v="Within SLA"/>
    <d v="2023-06-23T23:12:52"/>
    <x v="0"/>
    <d v="2023-06-25T01:19:42"/>
    <n v="1"/>
    <n v="3"/>
    <x v="2"/>
    <x v="0"/>
    <s v="Germany"/>
    <n v="51.165691000000002"/>
    <n v="10.451525999999999"/>
    <s v="ok"/>
    <s v="ok"/>
    <s v="ok"/>
    <s v="ok"/>
    <s v="ok"/>
    <x v="0"/>
    <n v="11.909569722251035"/>
  </r>
  <r>
    <x v="0"/>
    <n v="2425"/>
    <x v="2"/>
    <x v="0"/>
    <x v="1"/>
    <s v="1st line support"/>
    <x v="2"/>
    <x v="1128"/>
    <d v="2023-06-25T13:46:19"/>
    <d v="2023-06-23T14:46:19"/>
    <d v="2023-06-23T14:10:55"/>
    <s v="Within SLA"/>
    <d v="2023-06-24T23:07:51"/>
    <x v="0"/>
    <d v="2023-06-25T08:08:50"/>
    <n v="1"/>
    <n v="4"/>
    <x v="2"/>
    <x v="0"/>
    <s v="United Kingdom"/>
    <n v="55.378051999999997"/>
    <n v="-3.4359730000000002"/>
    <s v="ok"/>
    <s v="ok"/>
    <s v="ok"/>
    <s v="ok"/>
    <s v="ok"/>
    <x v="0"/>
    <n v="33.358894166594837"/>
  </r>
  <r>
    <x v="1"/>
    <n v="2426"/>
    <x v="0"/>
    <x v="0"/>
    <x v="3"/>
    <s v="1st line support"/>
    <x v="0"/>
    <x v="1129"/>
    <d v="2023-06-25T20:46:30"/>
    <d v="2023-06-23T21:46:30"/>
    <d v="2023-06-23T21:26:44"/>
    <s v="Within SLA"/>
    <m/>
    <x v="1"/>
    <m/>
    <n v="2"/>
    <m/>
    <x v="0"/>
    <x v="0"/>
    <s v="Germany"/>
    <n v="51.165691000000002"/>
    <n v="10.451525999999999"/>
    <s v="ok"/>
    <s v="ok"/>
    <s v="ok"/>
    <s v="ok"/>
    <s v="ok"/>
    <x v="1"/>
    <s v=""/>
  </r>
  <r>
    <x v="2"/>
    <n v="2429"/>
    <x v="0"/>
    <x v="0"/>
    <x v="3"/>
    <s v="1st line support"/>
    <x v="6"/>
    <x v="1130"/>
    <d v="2023-06-25T22:09:46"/>
    <d v="2023-06-23T23:09:46"/>
    <d v="2023-06-23T22:20:05"/>
    <s v="Within SLA"/>
    <d v="2023-06-25T00:32:48"/>
    <x v="0"/>
    <m/>
    <n v="2"/>
    <m/>
    <x v="2"/>
    <x v="0"/>
    <s v="Italy"/>
    <n v="43.036776000000003"/>
    <n v="12.678565000000001"/>
    <s v="ok"/>
    <s v="ok"/>
    <s v="ok"/>
    <s v="ok"/>
    <s v="ok"/>
    <x v="0"/>
    <n v="26.383881111221854"/>
  </r>
  <r>
    <x v="0"/>
    <n v="2431"/>
    <x v="1"/>
    <x v="0"/>
    <x v="2"/>
    <s v="1st line support"/>
    <x v="2"/>
    <x v="1131"/>
    <d v="2023-06-26T07:16:23"/>
    <d v="2023-06-24T08:16:23"/>
    <d v="2023-06-24T07:52:50"/>
    <s v="Within SLA"/>
    <d v="2023-06-30T04:11:12"/>
    <x v="1"/>
    <d v="2023-07-01T07:41:40"/>
    <n v="1"/>
    <n v="4"/>
    <x v="1"/>
    <x v="0"/>
    <s v="Italy"/>
    <n v="43.036776000000003"/>
    <n v="12.678565000000001"/>
    <s v="ok"/>
    <s v="ok"/>
    <s v="ok"/>
    <s v="ok"/>
    <s v="ok"/>
    <x v="0"/>
    <n v="140.91352611099137"/>
  </r>
  <r>
    <x v="0"/>
    <n v="2433"/>
    <x v="0"/>
    <x v="2"/>
    <x v="0"/>
    <s v="1st line support"/>
    <x v="4"/>
    <x v="1132"/>
    <d v="2023-06-25T18:39:33"/>
    <d v="2023-06-24T18:41:33"/>
    <d v="2023-06-24T18:40:26"/>
    <s v="Within SLA"/>
    <d v="2023-06-25T12:35:40"/>
    <x v="0"/>
    <d v="2023-06-30T22:30:51"/>
    <n v="3"/>
    <n v="2"/>
    <x v="2"/>
    <x v="0"/>
    <s v="Bulgaria"/>
    <n v="42.724992499999999"/>
    <n v="25.483303899999999"/>
    <s v="ok"/>
    <s v="ok"/>
    <s v="ok"/>
    <s v="ok"/>
    <s v="ok"/>
    <x v="0"/>
    <n v="17.935258333222009"/>
  </r>
  <r>
    <x v="0"/>
    <n v="2446"/>
    <x v="0"/>
    <x v="2"/>
    <x v="3"/>
    <s v="2nd line support"/>
    <x v="7"/>
    <x v="1133"/>
    <d v="2023-06-26T16:40:38"/>
    <d v="2023-06-25T16:42:38"/>
    <d v="2023-06-25T16:42:37"/>
    <s v="Within SLA"/>
    <d v="2023-06-26T13:32:30"/>
    <x v="0"/>
    <d v="2023-06-26T19:07:13"/>
    <n v="6"/>
    <n v="4"/>
    <x v="0"/>
    <x v="1"/>
    <s v="Republic of Ireland"/>
    <n v="53.094023999999997"/>
    <n v="-8.0196749999999994"/>
    <s v="ok"/>
    <s v="ok"/>
    <s v="ok"/>
    <s v="ok"/>
    <s v="ok"/>
    <x v="0"/>
    <n v="20.864363333210349"/>
  </r>
  <r>
    <x v="2"/>
    <n v="2447"/>
    <x v="1"/>
    <x v="2"/>
    <x v="2"/>
    <s v="1st line support"/>
    <x v="0"/>
    <x v="1134"/>
    <d v="2023-06-26T11:26:56"/>
    <d v="2023-06-25T11:28:56"/>
    <d v="2023-06-25T11:28:23"/>
    <s v="Within SLA"/>
    <d v="2023-06-25T13:44:36"/>
    <x v="0"/>
    <m/>
    <n v="8"/>
    <m/>
    <x v="2"/>
    <x v="0"/>
    <s v="Poland"/>
    <n v="52.536273000000001"/>
    <n v="19.050639"/>
    <s v="ok"/>
    <s v="ok"/>
    <s v="ok"/>
    <s v="ok"/>
    <s v="ok"/>
    <x v="0"/>
    <n v="2.2943886111024767"/>
  </r>
  <r>
    <x v="0"/>
    <n v="2448"/>
    <x v="0"/>
    <x v="0"/>
    <x v="4"/>
    <s v="2nd line support"/>
    <x v="5"/>
    <x v="1135"/>
    <d v="2023-06-28T22:38:22"/>
    <d v="2023-06-26T23:38:22"/>
    <d v="2023-06-27T05:46:55"/>
    <s v="SLA Violated"/>
    <d v="2023-06-28T00:49:29"/>
    <x v="0"/>
    <d v="2023-06-27T15:53:11"/>
    <n v="2"/>
    <n v="4"/>
    <x v="2"/>
    <x v="1"/>
    <s v="France"/>
    <n v="48.864716000000001"/>
    <n v="2.3490139999999999"/>
    <s v="ok"/>
    <s v="ok"/>
    <s v="check"/>
    <s v="ok"/>
    <s v="ok"/>
    <x v="0"/>
    <n v="26.185351944586728"/>
  </r>
  <r>
    <x v="1"/>
    <n v="2449"/>
    <x v="0"/>
    <x v="0"/>
    <x v="1"/>
    <s v="1st line support"/>
    <x v="3"/>
    <x v="1136"/>
    <d v="2023-06-28T10:41:45"/>
    <d v="2023-06-26T11:41:45"/>
    <d v="2023-06-26T11:30:50"/>
    <s v="Within SLA"/>
    <m/>
    <x v="1"/>
    <m/>
    <n v="10"/>
    <m/>
    <x v="1"/>
    <x v="0"/>
    <s v="Italy"/>
    <n v="43.036776000000003"/>
    <n v="12.678565000000001"/>
    <s v="ok"/>
    <s v="ok"/>
    <s v="ok"/>
    <s v="ok"/>
    <s v="ok"/>
    <x v="1"/>
    <s v=""/>
  </r>
  <r>
    <x v="2"/>
    <n v="2450"/>
    <x v="0"/>
    <x v="1"/>
    <x v="5"/>
    <s v="1st line support"/>
    <x v="4"/>
    <x v="1137"/>
    <d v="2023-06-28T05:34:44"/>
    <d v="2023-06-26T05:36:44"/>
    <d v="2023-06-26T05:35:20"/>
    <s v="Within SLA"/>
    <d v="2023-06-27T17:15:10"/>
    <x v="0"/>
    <m/>
    <n v="1"/>
    <m/>
    <x v="2"/>
    <x v="0"/>
    <s v="Spain"/>
    <n v="39.673369999999998"/>
    <n v="-4.7677259999999997"/>
    <s v="ok"/>
    <s v="ok"/>
    <s v="ok"/>
    <s v="ok"/>
    <s v="ok"/>
    <x v="0"/>
    <n v="35.673791666573379"/>
  </r>
  <r>
    <x v="0"/>
    <n v="2451"/>
    <x v="1"/>
    <x v="1"/>
    <x v="4"/>
    <s v="2nd line support"/>
    <x v="7"/>
    <x v="1138"/>
    <d v="2023-06-28T12:51:02"/>
    <d v="2023-06-26T12:53:02"/>
    <d v="2023-06-26T12:52:12"/>
    <s v="Within SLA"/>
    <d v="2023-06-27T12:39:07"/>
    <x v="0"/>
    <d v="2023-06-27T16:11:50"/>
    <n v="3"/>
    <n v="3"/>
    <x v="3"/>
    <x v="1"/>
    <s v="United Kingdom"/>
    <n v="55.378051999999997"/>
    <n v="-3.4359730000000002"/>
    <s v="ok"/>
    <s v="ok"/>
    <s v="ok"/>
    <s v="ok"/>
    <s v="ok"/>
    <x v="0"/>
    <n v="23.801507222349755"/>
  </r>
  <r>
    <x v="0"/>
    <n v="2452"/>
    <x v="2"/>
    <x v="1"/>
    <x v="0"/>
    <s v="1st line support"/>
    <x v="3"/>
    <x v="1139"/>
    <d v="2023-06-28T05:51:24"/>
    <d v="2023-06-26T05:53:24"/>
    <d v="2023-06-26T05:53:36"/>
    <s v="SLA Violated"/>
    <d v="2023-06-28T03:04:17"/>
    <x v="0"/>
    <d v="2023-06-28T18:01:43"/>
    <n v="3"/>
    <n v="5"/>
    <x v="0"/>
    <x v="0"/>
    <s v="Spain"/>
    <n v="39.673369999999998"/>
    <n v="-4.7677259999999997"/>
    <s v="ok"/>
    <s v="ok"/>
    <s v="ok"/>
    <s v="ok"/>
    <s v="ok"/>
    <x v="0"/>
    <n v="45.214706388884224"/>
  </r>
  <r>
    <x v="0"/>
    <n v="2453"/>
    <x v="0"/>
    <x v="0"/>
    <x v="2"/>
    <s v="1st line support"/>
    <x v="4"/>
    <x v="1140"/>
    <d v="2023-06-28T11:00:12"/>
    <d v="2023-06-26T12:00:12"/>
    <d v="2023-06-26T11:24:52"/>
    <s v="Within SLA"/>
    <d v="2023-06-30T19:00:37"/>
    <x v="1"/>
    <d v="2023-07-02T02:57:41"/>
    <n v="1"/>
    <n v="3"/>
    <x v="0"/>
    <x v="0"/>
    <s v="Republic of Ireland"/>
    <n v="53.094023999999997"/>
    <n v="-8.0196749999999994"/>
    <s v="ok"/>
    <s v="ok"/>
    <s v="ok"/>
    <s v="ok"/>
    <s v="ok"/>
    <x v="0"/>
    <n v="104.00687277788529"/>
  </r>
  <r>
    <x v="1"/>
    <n v="2454"/>
    <x v="0"/>
    <x v="1"/>
    <x v="4"/>
    <s v="1st line support"/>
    <x v="3"/>
    <x v="1141"/>
    <d v="2023-06-28T11:40:47"/>
    <d v="2023-06-26T11:42:47"/>
    <d v="2023-06-26T11:42:19"/>
    <s v="Within SLA"/>
    <m/>
    <x v="1"/>
    <m/>
    <n v="1"/>
    <m/>
    <x v="0"/>
    <x v="0"/>
    <s v="Germany"/>
    <n v="51.165691000000002"/>
    <n v="10.451525999999999"/>
    <s v="ok"/>
    <s v="ok"/>
    <s v="ok"/>
    <s v="ok"/>
    <s v="ok"/>
    <x v="1"/>
    <s v=""/>
  </r>
  <r>
    <x v="1"/>
    <n v="2455"/>
    <x v="0"/>
    <x v="0"/>
    <x v="3"/>
    <s v="1st line support"/>
    <x v="2"/>
    <x v="1142"/>
    <d v="2023-06-28T20:30:04"/>
    <d v="2023-06-26T21:30:04"/>
    <d v="2023-06-26T20:44:27"/>
    <s v="Within SLA"/>
    <m/>
    <x v="1"/>
    <m/>
    <n v="2"/>
    <m/>
    <x v="0"/>
    <x v="0"/>
    <s v="Poland"/>
    <n v="52.536273000000001"/>
    <n v="19.050639"/>
    <s v="ok"/>
    <s v="ok"/>
    <s v="ok"/>
    <s v="ok"/>
    <s v="ok"/>
    <x v="1"/>
    <s v=""/>
  </r>
  <r>
    <x v="0"/>
    <n v="2456"/>
    <x v="2"/>
    <x v="1"/>
    <x v="0"/>
    <s v="1st line support"/>
    <x v="6"/>
    <x v="1143"/>
    <d v="2023-06-28T07:54:40"/>
    <d v="2023-06-26T07:56:40"/>
    <d v="2023-06-26T08:00:32"/>
    <s v="SLA Violated"/>
    <d v="2023-06-27T18:20:54"/>
    <x v="0"/>
    <d v="2023-07-01T04:16:43"/>
    <n v="3"/>
    <n v="5"/>
    <x v="2"/>
    <x v="0"/>
    <s v="Bulgaria"/>
    <n v="42.724992499999999"/>
    <n v="25.483303899999999"/>
    <s v="ok"/>
    <s v="ok"/>
    <s v="ok"/>
    <s v="ok"/>
    <s v="ok"/>
    <x v="0"/>
    <n v="34.437302222242579"/>
  </r>
  <r>
    <x v="0"/>
    <n v="2457"/>
    <x v="0"/>
    <x v="2"/>
    <x v="5"/>
    <s v="1st line support"/>
    <x v="3"/>
    <x v="1144"/>
    <d v="2023-06-27T08:29:45"/>
    <d v="2023-06-26T08:31:45"/>
    <d v="2023-06-26T08:31:01"/>
    <s v="Within SLA"/>
    <d v="2023-06-27T07:18:21"/>
    <x v="0"/>
    <d v="2023-06-27T12:32:59"/>
    <n v="9"/>
    <n v="4"/>
    <x v="3"/>
    <x v="0"/>
    <s v="Slovenia"/>
    <n v="46.149166399999999"/>
    <n v="14.9860106"/>
    <s v="ok"/>
    <s v="ok"/>
    <s v="ok"/>
    <s v="ok"/>
    <s v="ok"/>
    <x v="0"/>
    <n v="22.80996472213883"/>
  </r>
  <r>
    <x v="2"/>
    <n v="2458"/>
    <x v="0"/>
    <x v="0"/>
    <x v="5"/>
    <s v="2nd line support"/>
    <x v="5"/>
    <x v="1145"/>
    <d v="2023-06-28T03:46:35"/>
    <d v="2023-06-26T04:46:35"/>
    <d v="2023-06-26T03:52:58"/>
    <s v="Within SLA"/>
    <d v="2023-06-29T23:39:56"/>
    <x v="1"/>
    <m/>
    <n v="2"/>
    <m/>
    <x v="2"/>
    <x v="1"/>
    <s v="Slovenia"/>
    <n v="46.149166399999999"/>
    <n v="14.9860106"/>
    <s v="ok"/>
    <s v="ok"/>
    <s v="ok"/>
    <s v="ok"/>
    <s v="ok"/>
    <x v="0"/>
    <n v="91.889168611087371"/>
  </r>
  <r>
    <x v="0"/>
    <n v="2459"/>
    <x v="2"/>
    <x v="0"/>
    <x v="0"/>
    <s v="2nd line support"/>
    <x v="7"/>
    <x v="1146"/>
    <d v="2023-06-29T23:17:53"/>
    <d v="2023-06-28T00:17:53"/>
    <d v="2023-06-27T23:34:02"/>
    <s v="Within SLA"/>
    <d v="2023-06-28T15:33:12"/>
    <x v="0"/>
    <d v="2023-07-02T18:12:27"/>
    <n v="3"/>
    <n v="2"/>
    <x v="2"/>
    <x v="1"/>
    <s v="Italy"/>
    <n v="43.036776000000003"/>
    <n v="12.678565000000001"/>
    <s v="ok"/>
    <s v="ok"/>
    <s v="ok"/>
    <s v="ok"/>
    <s v="ok"/>
    <x v="0"/>
    <n v="16.255392777733505"/>
  </r>
  <r>
    <x v="0"/>
    <n v="2460"/>
    <x v="2"/>
    <x v="2"/>
    <x v="3"/>
    <s v="1st line support"/>
    <x v="2"/>
    <x v="1147"/>
    <d v="2023-06-28T12:16:37"/>
    <d v="2023-06-27T12:18:37"/>
    <d v="2023-06-27T12:17:31"/>
    <s v="Within SLA"/>
    <d v="2023-06-27T19:53:52"/>
    <x v="0"/>
    <d v="2023-06-29T10:16:53"/>
    <n v="6"/>
    <n v="1"/>
    <x v="2"/>
    <x v="0"/>
    <s v="Spain"/>
    <n v="39.673369999999998"/>
    <n v="-4.7677259999999997"/>
    <s v="ok"/>
    <s v="ok"/>
    <s v="ok"/>
    <s v="ok"/>
    <s v="ok"/>
    <x v="0"/>
    <n v="7.6208997223293409"/>
  </r>
  <r>
    <x v="0"/>
    <n v="2461"/>
    <x v="0"/>
    <x v="2"/>
    <x v="0"/>
    <s v="2nd line support"/>
    <x v="7"/>
    <x v="1148"/>
    <d v="2023-06-28T08:00:05"/>
    <d v="2023-06-27T08:02:05"/>
    <d v="2023-06-27T08:00:38"/>
    <s v="Within SLA"/>
    <d v="2023-06-27T15:01:38"/>
    <x v="0"/>
    <d v="2023-06-30T04:39:47"/>
    <n v="3"/>
    <n v="4"/>
    <x v="0"/>
    <x v="1"/>
    <s v="Italy"/>
    <n v="43.036776000000003"/>
    <n v="12.678565000000001"/>
    <s v="ok"/>
    <s v="ok"/>
    <s v="ok"/>
    <s v="ok"/>
    <s v="ok"/>
    <x v="0"/>
    <n v="7.0259005555417389"/>
  </r>
  <r>
    <x v="1"/>
    <n v="2462"/>
    <x v="0"/>
    <x v="2"/>
    <x v="2"/>
    <s v="1st line support"/>
    <x v="4"/>
    <x v="1149"/>
    <d v="2023-06-28T22:45:24"/>
    <d v="2023-06-27T22:47:24"/>
    <d v="2023-06-27T22:48:16"/>
    <s v="SLA Violated"/>
    <m/>
    <x v="1"/>
    <m/>
    <n v="9"/>
    <m/>
    <x v="2"/>
    <x v="0"/>
    <s v="Spain"/>
    <n v="39.673369999999998"/>
    <n v="-4.7677259999999997"/>
    <s v="ok"/>
    <s v="ok"/>
    <s v="ok"/>
    <s v="ok"/>
    <s v="ok"/>
    <x v="1"/>
    <s v=""/>
  </r>
  <r>
    <x v="0"/>
    <n v="2463"/>
    <x v="0"/>
    <x v="1"/>
    <x v="4"/>
    <s v="1st line support"/>
    <x v="4"/>
    <x v="1150"/>
    <d v="2023-06-29T21:39:49"/>
    <d v="2023-06-27T21:41:49"/>
    <d v="2023-06-27T21:40:31"/>
    <s v="Within SLA"/>
    <d v="2023-06-28T18:14:26"/>
    <x v="0"/>
    <d v="2023-07-05T16:31:25"/>
    <n v="1"/>
    <n v="2"/>
    <x v="2"/>
    <x v="0"/>
    <s v="Poland"/>
    <n v="52.536273000000001"/>
    <n v="19.050639"/>
    <s v="ok"/>
    <s v="ok"/>
    <s v="ok"/>
    <s v="ok"/>
    <s v="ok"/>
    <x v="0"/>
    <n v="20.576895277714357"/>
  </r>
  <r>
    <x v="2"/>
    <n v="2464"/>
    <x v="0"/>
    <x v="0"/>
    <x v="3"/>
    <s v="1st line support"/>
    <x v="6"/>
    <x v="1151"/>
    <d v="2023-06-29T06:19:27"/>
    <d v="2023-06-27T07:19:27"/>
    <d v="2023-06-27T06:31:46"/>
    <s v="Within SLA"/>
    <d v="2023-07-01T14:54:35"/>
    <x v="1"/>
    <m/>
    <n v="2"/>
    <m/>
    <x v="0"/>
    <x v="0"/>
    <s v="United Kingdom"/>
    <n v="55.378051999999997"/>
    <n v="-3.4359730000000002"/>
    <s v="ok"/>
    <s v="ok"/>
    <s v="ok"/>
    <s v="ok"/>
    <s v="ok"/>
    <x v="0"/>
    <n v="104.58542499993928"/>
  </r>
  <r>
    <x v="2"/>
    <n v="2465"/>
    <x v="1"/>
    <x v="2"/>
    <x v="1"/>
    <s v="2nd line support"/>
    <x v="5"/>
    <x v="1152"/>
    <d v="2023-06-28T06:27:31"/>
    <d v="2023-06-27T06:29:31"/>
    <d v="2023-06-27T06:29:31"/>
    <s v="SLA Violated"/>
    <d v="2023-07-01T03:26:00"/>
    <x v="1"/>
    <m/>
    <n v="6"/>
    <m/>
    <x v="0"/>
    <x v="1"/>
    <s v="Spain"/>
    <n v="39.673369999999998"/>
    <n v="-4.7677259999999997"/>
    <s v="ok"/>
    <s v="ok"/>
    <s v="ok"/>
    <s v="ok"/>
    <s v="ok"/>
    <x v="0"/>
    <n v="92.974597500055097"/>
  </r>
  <r>
    <x v="2"/>
    <n v="2466"/>
    <x v="2"/>
    <x v="0"/>
    <x v="5"/>
    <s v="1st line support"/>
    <x v="2"/>
    <x v="1153"/>
    <d v="2023-06-29T01:10:56"/>
    <d v="2023-06-27T02:10:56"/>
    <d v="2023-06-27T01:50:11"/>
    <s v="Within SLA"/>
    <d v="2023-06-27T02:52:02"/>
    <x v="0"/>
    <m/>
    <n v="2"/>
    <m/>
    <x v="2"/>
    <x v="0"/>
    <s v="United Kingdom"/>
    <n v="55.378051999999997"/>
    <n v="-3.4359730000000002"/>
    <s v="ok"/>
    <s v="ok"/>
    <s v="ok"/>
    <s v="ok"/>
    <s v="ok"/>
    <x v="0"/>
    <n v="1.6850013888906687"/>
  </r>
  <r>
    <x v="2"/>
    <n v="2467"/>
    <x v="0"/>
    <x v="0"/>
    <x v="2"/>
    <s v="2nd line support"/>
    <x v="5"/>
    <x v="1154"/>
    <d v="2023-06-29T19:26:27"/>
    <d v="2023-06-27T20:26:27"/>
    <d v="2023-06-27T19:45:39"/>
    <s v="Within SLA"/>
    <d v="2023-06-28T05:55:06"/>
    <x v="0"/>
    <m/>
    <n v="9"/>
    <m/>
    <x v="0"/>
    <x v="1"/>
    <s v="Poland"/>
    <n v="52.536273000000001"/>
    <n v="19.050639"/>
    <s v="ok"/>
    <s v="ok"/>
    <s v="ok"/>
    <s v="ok"/>
    <s v="ok"/>
    <x v="0"/>
    <n v="10.477514166617766"/>
  </r>
  <r>
    <x v="0"/>
    <n v="2468"/>
    <x v="0"/>
    <x v="2"/>
    <x v="1"/>
    <s v="1st line support"/>
    <x v="2"/>
    <x v="1155"/>
    <d v="2023-06-29T05:59:15"/>
    <d v="2023-06-28T06:01:15"/>
    <d v="2023-06-28T06:00:10"/>
    <s v="Within SLA"/>
    <d v="2023-06-28T15:31:48"/>
    <x v="0"/>
    <d v="2023-06-30T06:40:59"/>
    <n v="4"/>
    <n v="4"/>
    <x v="2"/>
    <x v="0"/>
    <s v="Poland"/>
    <n v="52.536273000000001"/>
    <n v="19.050639"/>
    <s v="ok"/>
    <s v="ok"/>
    <s v="ok"/>
    <s v="ok"/>
    <s v="ok"/>
    <x v="0"/>
    <n v="9.5424888887791894"/>
  </r>
  <r>
    <x v="0"/>
    <n v="2469"/>
    <x v="0"/>
    <x v="0"/>
    <x v="3"/>
    <s v="1st line support"/>
    <x v="0"/>
    <x v="1156"/>
    <d v="2023-06-30T09:54:25"/>
    <d v="2023-06-28T10:54:25"/>
    <d v="2023-06-28T09:55:26"/>
    <s v="Within SLA"/>
    <d v="2023-06-29T13:39:01"/>
    <x v="0"/>
    <d v="2023-06-30T12:13:55"/>
    <n v="3"/>
    <n v="5"/>
    <x v="2"/>
    <x v="0"/>
    <s v="United Kingdom"/>
    <n v="55.378051999999997"/>
    <n v="-3.4359730000000002"/>
    <s v="ok"/>
    <s v="ok"/>
    <s v="ok"/>
    <s v="ok"/>
    <s v="ok"/>
    <x v="0"/>
    <n v="27.743216111033689"/>
  </r>
  <r>
    <x v="0"/>
    <n v="2470"/>
    <x v="0"/>
    <x v="2"/>
    <x v="3"/>
    <s v="1st line support"/>
    <x v="2"/>
    <x v="1157"/>
    <d v="2023-06-29T12:57:26"/>
    <d v="2023-06-28T12:59:26"/>
    <d v="2023-06-28T12:58:59"/>
    <s v="Within SLA"/>
    <d v="2023-06-28T21:24:25"/>
    <x v="0"/>
    <d v="2023-07-04T17:32:00"/>
    <n v="6"/>
    <n v="3"/>
    <x v="2"/>
    <x v="0"/>
    <s v="Germany"/>
    <n v="51.165691000000002"/>
    <n v="10.451525999999999"/>
    <s v="ok"/>
    <s v="ok"/>
    <s v="ok"/>
    <s v="ok"/>
    <s v="ok"/>
    <x v="0"/>
    <n v="8.4497661109780893"/>
  </r>
  <r>
    <x v="2"/>
    <n v="2471"/>
    <x v="0"/>
    <x v="2"/>
    <x v="3"/>
    <s v="1st line support"/>
    <x v="0"/>
    <x v="1158"/>
    <d v="2023-06-29T12:31:36"/>
    <d v="2023-06-28T12:33:36"/>
    <d v="2023-06-28T12:31:37"/>
    <s v="Within SLA"/>
    <d v="2023-06-28T14:39:39"/>
    <x v="0"/>
    <m/>
    <n v="4"/>
    <m/>
    <x v="1"/>
    <x v="0"/>
    <s v="Poland"/>
    <n v="52.536273000000001"/>
    <n v="19.050639"/>
    <s v="ok"/>
    <s v="ok"/>
    <s v="ok"/>
    <s v="ok"/>
    <s v="ok"/>
    <x v="0"/>
    <n v="2.1341075000236742"/>
  </r>
  <r>
    <x v="2"/>
    <n v="2473"/>
    <x v="2"/>
    <x v="0"/>
    <x v="3"/>
    <s v="1st line support"/>
    <x v="6"/>
    <x v="1159"/>
    <d v="2023-06-30T01:59:56"/>
    <d v="2023-06-28T02:59:56"/>
    <d v="2023-06-28T04:06:08"/>
    <s v="SLA Violated"/>
    <d v="2023-06-28T04:16:02"/>
    <x v="0"/>
    <m/>
    <n v="4"/>
    <m/>
    <x v="3"/>
    <x v="0"/>
    <s v="Germany"/>
    <n v="51.165691000000002"/>
    <n v="10.451525999999999"/>
    <s v="ok"/>
    <s v="ok"/>
    <s v="ok"/>
    <s v="ok"/>
    <s v="ok"/>
    <x v="0"/>
    <n v="2.2684602778754197"/>
  </r>
  <r>
    <x v="2"/>
    <n v="2475"/>
    <x v="0"/>
    <x v="2"/>
    <x v="1"/>
    <s v="1st line support"/>
    <x v="3"/>
    <x v="1160"/>
    <d v="2023-06-29T05:47:38"/>
    <d v="2023-06-28T05:49:38"/>
    <d v="2023-06-28T05:49:34"/>
    <s v="Within SLA"/>
    <d v="2023-07-02T08:50:53"/>
    <x v="1"/>
    <m/>
    <n v="8"/>
    <m/>
    <x v="2"/>
    <x v="0"/>
    <s v="Germany"/>
    <n v="51.165691000000002"/>
    <n v="10.451525999999999"/>
    <s v="ok"/>
    <s v="ok"/>
    <s v="ok"/>
    <s v="ok"/>
    <s v="ok"/>
    <x v="0"/>
    <n v="99.054068888886832"/>
  </r>
  <r>
    <x v="0"/>
    <n v="2476"/>
    <x v="1"/>
    <x v="2"/>
    <x v="4"/>
    <s v="1st line support"/>
    <x v="2"/>
    <x v="1161"/>
    <d v="2023-06-29T10:12:07"/>
    <d v="2023-06-28T10:14:07"/>
    <d v="2023-06-28T10:15:07"/>
    <s v="SLA Violated"/>
    <d v="2023-06-28T13:12:04"/>
    <x v="0"/>
    <d v="2023-07-03T16:03:59"/>
    <n v="60"/>
    <n v="3"/>
    <x v="0"/>
    <x v="0"/>
    <s v="Poland"/>
    <n v="52.536273000000001"/>
    <n v="19.050639"/>
    <s v="ok"/>
    <s v="ok"/>
    <s v="ok"/>
    <s v="ok"/>
    <s v="ok"/>
    <x v="0"/>
    <n v="2.9991991666029207"/>
  </r>
  <r>
    <x v="1"/>
    <n v="2477"/>
    <x v="2"/>
    <x v="2"/>
    <x v="0"/>
    <s v="1st line support"/>
    <x v="2"/>
    <x v="1162"/>
    <d v="2023-06-29T18:31:59"/>
    <d v="2023-06-28T18:33:59"/>
    <d v="2023-06-28T18:33:08"/>
    <s v="Within SLA"/>
    <m/>
    <x v="1"/>
    <m/>
    <n v="6"/>
    <m/>
    <x v="0"/>
    <x v="0"/>
    <s v="France"/>
    <n v="48.864716000000001"/>
    <n v="2.3490139999999999"/>
    <s v="ok"/>
    <s v="ok"/>
    <s v="ok"/>
    <s v="ok"/>
    <s v="ok"/>
    <x v="1"/>
    <s v=""/>
  </r>
  <r>
    <x v="1"/>
    <n v="2478"/>
    <x v="1"/>
    <x v="2"/>
    <x v="1"/>
    <s v="2nd line support"/>
    <x v="1"/>
    <x v="1163"/>
    <d v="2023-06-29T18:37:55"/>
    <d v="2023-06-28T18:39:55"/>
    <d v="2023-06-28T18:38:46"/>
    <s v="Within SLA"/>
    <m/>
    <x v="1"/>
    <m/>
    <n v="7"/>
    <m/>
    <x v="0"/>
    <x v="1"/>
    <s v="France"/>
    <n v="48.864716000000001"/>
    <n v="2.3490139999999999"/>
    <s v="ok"/>
    <s v="ok"/>
    <s v="ok"/>
    <s v="ok"/>
    <s v="ok"/>
    <x v="1"/>
    <s v=""/>
  </r>
  <r>
    <x v="2"/>
    <n v="2479"/>
    <x v="0"/>
    <x v="0"/>
    <x v="4"/>
    <s v="2nd line support"/>
    <x v="7"/>
    <x v="1164"/>
    <d v="2023-06-30T04:10:43"/>
    <d v="2023-06-28T05:10:43"/>
    <d v="2023-06-28T05:08:58"/>
    <s v="Within SLA"/>
    <d v="2023-06-30T02:42:21"/>
    <x v="0"/>
    <m/>
    <n v="6"/>
    <m/>
    <x v="3"/>
    <x v="1"/>
    <s v="Germany"/>
    <n v="51.165691000000002"/>
    <n v="10.451525999999999"/>
    <s v="ok"/>
    <s v="ok"/>
    <s v="ok"/>
    <s v="ok"/>
    <s v="ok"/>
    <x v="0"/>
    <n v="46.527113055519294"/>
  </r>
  <r>
    <x v="2"/>
    <n v="2481"/>
    <x v="1"/>
    <x v="2"/>
    <x v="4"/>
    <s v="1st line support"/>
    <x v="0"/>
    <x v="1165"/>
    <d v="2023-06-30T20:05:17"/>
    <d v="2023-06-29T20:07:17"/>
    <d v="2023-06-29T20:05:23"/>
    <s v="Within SLA"/>
    <d v="2023-06-30T15:22:55"/>
    <x v="0"/>
    <m/>
    <n v="9"/>
    <m/>
    <x v="2"/>
    <x v="0"/>
    <s v="Bulgaria"/>
    <n v="42.724992499999999"/>
    <n v="25.483303899999999"/>
    <s v="ok"/>
    <s v="ok"/>
    <s v="ok"/>
    <s v="ok"/>
    <s v="ok"/>
    <x v="0"/>
    <n v="19.293843611085322"/>
  </r>
  <r>
    <x v="0"/>
    <n v="2482"/>
    <x v="0"/>
    <x v="0"/>
    <x v="5"/>
    <s v="1st line support"/>
    <x v="0"/>
    <x v="1166"/>
    <d v="2023-07-01T02:01:11"/>
    <d v="2023-06-29T03:01:11"/>
    <d v="2023-06-29T02:56:52"/>
    <s v="Within SLA"/>
    <d v="2023-06-29T15:53:38"/>
    <x v="0"/>
    <d v="2023-07-04T06:17:19"/>
    <n v="1"/>
    <n v="5"/>
    <x v="3"/>
    <x v="0"/>
    <s v="Greece"/>
    <n v="39.368279000000001"/>
    <n v="21.863140999999999"/>
    <s v="ok"/>
    <s v="ok"/>
    <s v="ok"/>
    <s v="ok"/>
    <s v="ok"/>
    <x v="0"/>
    <n v="13.874165000044741"/>
  </r>
  <r>
    <x v="2"/>
    <n v="2483"/>
    <x v="0"/>
    <x v="0"/>
    <x v="1"/>
    <s v="2nd line support"/>
    <x v="7"/>
    <x v="1167"/>
    <d v="2023-07-01T08:11:33"/>
    <d v="2023-06-29T09:11:33"/>
    <d v="2023-06-29T08:48:39"/>
    <s v="Within SLA"/>
    <d v="2023-07-02T04:26:55"/>
    <x v="1"/>
    <m/>
    <n v="3"/>
    <m/>
    <x v="1"/>
    <x v="1"/>
    <s v="Italy"/>
    <n v="43.036776000000003"/>
    <n v="12.678565000000001"/>
    <s v="ok"/>
    <s v="ok"/>
    <s v="ok"/>
    <s v="ok"/>
    <s v="ok"/>
    <x v="0"/>
    <n v="68.256146111176349"/>
  </r>
  <r>
    <x v="2"/>
    <n v="2484"/>
    <x v="2"/>
    <x v="0"/>
    <x v="1"/>
    <s v="1st line support"/>
    <x v="6"/>
    <x v="1168"/>
    <d v="2023-07-01T23:48:01"/>
    <d v="2023-06-30T00:48:01"/>
    <d v="2023-06-30T00:35:39"/>
    <s v="Within SLA"/>
    <d v="2023-07-01T16:55:35"/>
    <x v="0"/>
    <m/>
    <n v="4"/>
    <m/>
    <x v="3"/>
    <x v="0"/>
    <s v="Italy"/>
    <n v="43.036776000000003"/>
    <n v="12.678565000000001"/>
    <s v="ok"/>
    <s v="ok"/>
    <s v="ok"/>
    <s v="ok"/>
    <s v="ok"/>
    <x v="0"/>
    <n v="41.126090277917683"/>
  </r>
  <r>
    <x v="2"/>
    <n v="2485"/>
    <x v="2"/>
    <x v="0"/>
    <x v="4"/>
    <s v="1st line support"/>
    <x v="2"/>
    <x v="1169"/>
    <d v="2023-07-01T01:15:34"/>
    <d v="2023-06-29T02:15:34"/>
    <d v="2023-06-29T01:56:03"/>
    <s v="Within SLA"/>
    <d v="2023-06-30T04:38:44"/>
    <x v="0"/>
    <m/>
    <n v="2"/>
    <m/>
    <x v="3"/>
    <x v="0"/>
    <s v="Austria"/>
    <n v="47.696471899999999"/>
    <n v="13.3457347"/>
    <s v="ok"/>
    <s v="ok"/>
    <s v="ok"/>
    <s v="ok"/>
    <s v="ok"/>
    <x v="0"/>
    <n v="27.386095833324362"/>
  </r>
  <r>
    <x v="2"/>
    <n v="2486"/>
    <x v="0"/>
    <x v="1"/>
    <x v="1"/>
    <s v="1st line support"/>
    <x v="2"/>
    <x v="1170"/>
    <d v="2023-07-02T11:38:07"/>
    <d v="2023-06-30T11:40:07"/>
    <d v="2023-06-30T11:38:38"/>
    <s v="Within SLA"/>
    <d v="2023-06-30T21:04:36"/>
    <x v="0"/>
    <m/>
    <n v="1"/>
    <m/>
    <x v="2"/>
    <x v="0"/>
    <s v="Greece"/>
    <n v="39.368279000000001"/>
    <n v="21.863140999999999"/>
    <s v="ok"/>
    <s v="ok"/>
    <s v="ok"/>
    <s v="ok"/>
    <s v="ok"/>
    <x v="0"/>
    <n v="9.4413427777471952"/>
  </r>
  <r>
    <x v="2"/>
    <n v="2487"/>
    <x v="1"/>
    <x v="2"/>
    <x v="1"/>
    <s v="2nd line support"/>
    <x v="5"/>
    <x v="1171"/>
    <d v="2023-07-01T01:01:06"/>
    <d v="2023-06-30T01:03:06"/>
    <d v="2023-06-30T01:02:51"/>
    <s v="Within SLA"/>
    <d v="2023-06-30T21:26:05"/>
    <x v="0"/>
    <m/>
    <n v="7"/>
    <m/>
    <x v="1"/>
    <x v="1"/>
    <s v="Poland"/>
    <n v="52.536273000000001"/>
    <n v="19.050639"/>
    <s v="ok"/>
    <s v="ok"/>
    <s v="ok"/>
    <s v="ok"/>
    <s v="ok"/>
    <x v="0"/>
    <n v="20.416376111155841"/>
  </r>
  <r>
    <x v="0"/>
    <n v="2488"/>
    <x v="0"/>
    <x v="2"/>
    <x v="0"/>
    <s v="2nd line support"/>
    <x v="1"/>
    <x v="1172"/>
    <d v="2023-07-01T00:30:35"/>
    <d v="2023-06-30T00:32:35"/>
    <d v="2023-06-30T00:31:13"/>
    <s v="Within SLA"/>
    <d v="2023-06-30T22:15:29"/>
    <x v="0"/>
    <d v="2023-07-03T22:07:56"/>
    <n v="4"/>
    <n v="3"/>
    <x v="0"/>
    <x v="1"/>
    <s v="Poland"/>
    <n v="52.536273000000001"/>
    <n v="19.050639"/>
    <s v="ok"/>
    <s v="ok"/>
    <s v="ok"/>
    <s v="ok"/>
    <s v="ok"/>
    <x v="0"/>
    <n v="21.748320555430837"/>
  </r>
  <r>
    <x v="0"/>
    <n v="2489"/>
    <x v="0"/>
    <x v="2"/>
    <x v="2"/>
    <s v="1st line support"/>
    <x v="2"/>
    <x v="1173"/>
    <d v="2023-07-01T11:55:24"/>
    <d v="2023-06-30T11:57:24"/>
    <d v="2023-06-30T11:57:20"/>
    <s v="Within SLA"/>
    <d v="2023-06-30T19:39:21"/>
    <x v="0"/>
    <d v="2023-07-03T12:24:20"/>
    <n v="6"/>
    <n v="3"/>
    <x v="0"/>
    <x v="0"/>
    <s v="Slovenia"/>
    <n v="46.149166399999999"/>
    <n v="14.9860106"/>
    <s v="ok"/>
    <s v="ok"/>
    <s v="ok"/>
    <s v="ok"/>
    <s v="ok"/>
    <x v="0"/>
    <n v="7.7324333333526738"/>
  </r>
  <r>
    <x v="0"/>
    <n v="2490"/>
    <x v="2"/>
    <x v="0"/>
    <x v="1"/>
    <s v="2nd line support"/>
    <x v="7"/>
    <x v="1174"/>
    <d v="2023-07-02T03:26:27"/>
    <d v="2023-06-30T04:26:27"/>
    <d v="2023-06-30T04:12:24"/>
    <s v="Within SLA"/>
    <d v="2023-06-30T22:59:01"/>
    <x v="0"/>
    <d v="2023-07-05T18:15:05"/>
    <n v="2"/>
    <n v="4"/>
    <x v="2"/>
    <x v="1"/>
    <s v="Poland"/>
    <n v="52.536273000000001"/>
    <n v="19.050639"/>
    <s v="ok"/>
    <s v="ok"/>
    <s v="ok"/>
    <s v="ok"/>
    <s v="ok"/>
    <x v="0"/>
    <n v="19.542702499951702"/>
  </r>
  <r>
    <x v="0"/>
    <n v="2491"/>
    <x v="1"/>
    <x v="2"/>
    <x v="3"/>
    <s v="1st line support"/>
    <x v="6"/>
    <x v="1175"/>
    <d v="2023-07-01T11:16:15"/>
    <d v="2023-06-30T11:18:15"/>
    <d v="2023-06-30T11:19:23"/>
    <s v="SLA Violated"/>
    <d v="2023-06-30T16:23:33"/>
    <x v="0"/>
    <d v="2023-07-02T00:11:42"/>
    <n v="7"/>
    <n v="5"/>
    <x v="0"/>
    <x v="0"/>
    <s v="Bulgaria"/>
    <n v="42.724992499999999"/>
    <n v="25.483303899999999"/>
    <s v="ok"/>
    <s v="ok"/>
    <s v="ok"/>
    <s v="ok"/>
    <s v="ok"/>
    <x v="0"/>
    <n v="5.1217927778488956"/>
  </r>
  <r>
    <x v="1"/>
    <n v="2492"/>
    <x v="2"/>
    <x v="0"/>
    <x v="1"/>
    <s v="1st line support"/>
    <x v="3"/>
    <x v="1176"/>
    <d v="2023-07-02T01:18:00"/>
    <d v="2023-06-30T02:18:00"/>
    <d v="2023-06-30T02:03:01"/>
    <s v="Within SLA"/>
    <m/>
    <x v="1"/>
    <m/>
    <n v="6"/>
    <m/>
    <x v="2"/>
    <x v="0"/>
    <s v="Spain"/>
    <n v="39.673369999999998"/>
    <n v="-4.7677259999999997"/>
    <s v="ok"/>
    <s v="ok"/>
    <s v="ok"/>
    <s v="ok"/>
    <s v="ok"/>
    <x v="1"/>
    <s v=""/>
  </r>
  <r>
    <x v="0"/>
    <n v="2493"/>
    <x v="0"/>
    <x v="0"/>
    <x v="1"/>
    <s v="2nd line support"/>
    <x v="5"/>
    <x v="1177"/>
    <d v="2023-07-02T08:43:31"/>
    <d v="2023-06-30T09:43:31"/>
    <d v="2023-06-30T09:31:16"/>
    <s v="Within SLA"/>
    <d v="2023-07-02T12:41:35"/>
    <x v="1"/>
    <d v="2023-07-03T13:09:01"/>
    <n v="5"/>
    <n v="3"/>
    <x v="2"/>
    <x v="1"/>
    <s v="Poland"/>
    <n v="52.536273000000001"/>
    <n v="19.050639"/>
    <s v="ok"/>
    <s v="ok"/>
    <s v="ok"/>
    <s v="ok"/>
    <s v="ok"/>
    <x v="0"/>
    <n v="51.967752222146373"/>
  </r>
  <r>
    <x v="1"/>
    <n v="2494"/>
    <x v="2"/>
    <x v="2"/>
    <x v="0"/>
    <s v="1st line support"/>
    <x v="4"/>
    <x v="1178"/>
    <d v="2023-07-01T18:51:17"/>
    <d v="2023-06-30T18:53:17"/>
    <d v="2023-06-30T18:52:55"/>
    <s v="Within SLA"/>
    <m/>
    <x v="1"/>
    <m/>
    <n v="6"/>
    <m/>
    <x v="1"/>
    <x v="0"/>
    <s v="Greece"/>
    <n v="39.368279000000001"/>
    <n v="21.863140999999999"/>
    <s v="ok"/>
    <s v="ok"/>
    <s v="ok"/>
    <s v="ok"/>
    <s v="ok"/>
    <x v="1"/>
    <s v=""/>
  </r>
  <r>
    <x v="2"/>
    <n v="2495"/>
    <x v="1"/>
    <x v="0"/>
    <x v="0"/>
    <s v="2nd line support"/>
    <x v="7"/>
    <x v="1179"/>
    <d v="2023-07-02T11:48:13"/>
    <d v="2023-06-30T12:48:13"/>
    <d v="2023-06-30T12:07:49"/>
    <s v="Within SLA"/>
    <d v="2023-07-05T11:34:09"/>
    <x v="1"/>
    <m/>
    <n v="6"/>
    <m/>
    <x v="1"/>
    <x v="1"/>
    <s v="Czech Republic"/>
    <n v="49.8037633"/>
    <n v="15.4749126"/>
    <s v="ok"/>
    <s v="ok"/>
    <s v="ok"/>
    <s v="ok"/>
    <s v="ok"/>
    <x v="0"/>
    <n v="119.76568555558333"/>
  </r>
  <r>
    <x v="0"/>
    <n v="2496"/>
    <x v="2"/>
    <x v="0"/>
    <x v="2"/>
    <s v="1st line support"/>
    <x v="4"/>
    <x v="1180"/>
    <d v="2023-07-02T07:56:05"/>
    <d v="2023-06-30T08:56:05"/>
    <d v="2023-06-30T07:58:35"/>
    <s v="Within SLA"/>
    <d v="2023-07-02T06:30:19"/>
    <x v="0"/>
    <d v="2023-07-05T10:34:08"/>
    <n v="5"/>
    <n v="2"/>
    <x v="0"/>
    <x v="0"/>
    <s v="Italy"/>
    <n v="43.036776000000003"/>
    <n v="12.678565000000001"/>
    <s v="ok"/>
    <s v="ok"/>
    <s v="ok"/>
    <s v="ok"/>
    <s v="ok"/>
    <x v="0"/>
    <n v="46.570574166602455"/>
  </r>
  <r>
    <x v="1"/>
    <n v="2497"/>
    <x v="0"/>
    <x v="0"/>
    <x v="0"/>
    <s v="1st line support"/>
    <x v="0"/>
    <x v="1181"/>
    <d v="2023-07-03T19:34:25"/>
    <d v="2023-07-01T20:34:25"/>
    <d v="2023-07-01T19:48:13"/>
    <s v="Within SLA"/>
    <m/>
    <x v="1"/>
    <m/>
    <n v="1"/>
    <m/>
    <x v="2"/>
    <x v="0"/>
    <s v="United Kingdom"/>
    <n v="55.378051999999997"/>
    <n v="-3.4359730000000002"/>
    <s v="ok"/>
    <s v="ok"/>
    <s v="ok"/>
    <s v="ok"/>
    <s v="ok"/>
    <x v="1"/>
    <s v=""/>
  </r>
  <r>
    <x v="0"/>
    <n v="2498"/>
    <x v="1"/>
    <x v="2"/>
    <x v="1"/>
    <s v="1st line support"/>
    <x v="4"/>
    <x v="1182"/>
    <d v="2023-07-02T04:08:10"/>
    <d v="2023-07-01T04:10:10"/>
    <d v="2023-07-01T04:09:14"/>
    <s v="Within SLA"/>
    <d v="2023-07-01T05:42:51"/>
    <x v="0"/>
    <d v="2023-07-05T12:24:37"/>
    <n v="4"/>
    <n v="5"/>
    <x v="2"/>
    <x v="0"/>
    <s v="Italy"/>
    <n v="43.036776000000003"/>
    <n v="12.678565000000001"/>
    <s v="ok"/>
    <s v="ok"/>
    <s v="ok"/>
    <s v="ok"/>
    <s v="ok"/>
    <x v="0"/>
    <n v="1.5780886110733263"/>
  </r>
  <r>
    <x v="2"/>
    <n v="2508"/>
    <x v="2"/>
    <x v="1"/>
    <x v="4"/>
    <s v="1st line support"/>
    <x v="6"/>
    <x v="1183"/>
    <d v="2023-07-04T11:43:22"/>
    <d v="2023-07-02T11:45:22"/>
    <d v="2023-07-02T11:43:44"/>
    <s v="Within SLA"/>
    <d v="2023-07-08T05:52:44"/>
    <x v="1"/>
    <m/>
    <n v="1"/>
    <m/>
    <x v="2"/>
    <x v="0"/>
    <s v="Greece"/>
    <n v="39.368279000000001"/>
    <n v="21.863140999999999"/>
    <s v="ok"/>
    <s v="ok"/>
    <s v="ok"/>
    <s v="ok"/>
    <s v="ok"/>
    <x v="0"/>
    <n v="138.15623861120548"/>
  </r>
  <r>
    <x v="0"/>
    <n v="2509"/>
    <x v="2"/>
    <x v="2"/>
    <x v="0"/>
    <s v="1st line support"/>
    <x v="4"/>
    <x v="1184"/>
    <d v="2023-07-03T15:34:25"/>
    <d v="2023-07-02T15:36:25"/>
    <d v="2023-07-02T15:36:18"/>
    <s v="Within SLA"/>
    <d v="2023-07-03T12:17:20"/>
    <x v="0"/>
    <d v="2023-07-03T23:10:04"/>
    <n v="3"/>
    <n v="4"/>
    <x v="1"/>
    <x v="0"/>
    <s v="Bulgaria"/>
    <n v="42.724992499999999"/>
    <n v="25.483303899999999"/>
    <s v="ok"/>
    <s v="ok"/>
    <s v="ok"/>
    <s v="ok"/>
    <s v="ok"/>
    <x v="0"/>
    <n v="20.71527611115016"/>
  </r>
  <r>
    <x v="1"/>
    <n v="2510"/>
    <x v="0"/>
    <x v="1"/>
    <x v="1"/>
    <s v="1st line support"/>
    <x v="4"/>
    <x v="1185"/>
    <d v="2023-07-04T12:17:52"/>
    <d v="2023-07-02T12:19:52"/>
    <d v="2023-07-02T12:19:37"/>
    <s v="Within SLA"/>
    <m/>
    <x v="1"/>
    <m/>
    <n v="2"/>
    <m/>
    <x v="2"/>
    <x v="0"/>
    <s v="United Kingdom"/>
    <n v="55.378051999999997"/>
    <n v="-3.4359730000000002"/>
    <s v="ok"/>
    <s v="ok"/>
    <s v="ok"/>
    <s v="ok"/>
    <s v="ok"/>
    <x v="1"/>
    <s v=""/>
  </r>
  <r>
    <x v="1"/>
    <n v="2511"/>
    <x v="0"/>
    <x v="2"/>
    <x v="1"/>
    <s v="1st line support"/>
    <x v="6"/>
    <x v="1186"/>
    <d v="2023-07-04T12:38:49"/>
    <d v="2023-07-03T12:40:49"/>
    <d v="2023-07-03T12:42:53"/>
    <s v="SLA Violated"/>
    <m/>
    <x v="1"/>
    <m/>
    <n v="3"/>
    <m/>
    <x v="0"/>
    <x v="0"/>
    <s v="Greece"/>
    <n v="39.368279000000001"/>
    <n v="21.863140999999999"/>
    <s v="ok"/>
    <s v="ok"/>
    <s v="ok"/>
    <s v="ok"/>
    <s v="ok"/>
    <x v="1"/>
    <s v=""/>
  </r>
  <r>
    <x v="2"/>
    <n v="2512"/>
    <x v="0"/>
    <x v="0"/>
    <x v="3"/>
    <s v="1st line support"/>
    <x v="3"/>
    <x v="1187"/>
    <d v="2023-07-05T05:38:12"/>
    <d v="2023-07-03T06:38:12"/>
    <d v="2023-07-03T05:56:44"/>
    <s v="Within SLA"/>
    <d v="2023-07-04T03:37:20"/>
    <x v="0"/>
    <m/>
    <n v="6"/>
    <m/>
    <x v="2"/>
    <x v="0"/>
    <s v="Czech Republic"/>
    <n v="49.8037633"/>
    <n v="15.4749126"/>
    <s v="ok"/>
    <s v="ok"/>
    <s v="ok"/>
    <s v="ok"/>
    <s v="ok"/>
    <x v="0"/>
    <n v="21.985482499992941"/>
  </r>
  <r>
    <x v="1"/>
    <n v="2513"/>
    <x v="0"/>
    <x v="0"/>
    <x v="5"/>
    <s v="1st line support"/>
    <x v="4"/>
    <x v="1188"/>
    <d v="2023-07-05T22:38:16"/>
    <d v="2023-07-03T23:38:16"/>
    <d v="2023-07-03T22:53:31"/>
    <s v="Within SLA"/>
    <m/>
    <x v="1"/>
    <m/>
    <n v="1"/>
    <m/>
    <x v="0"/>
    <x v="0"/>
    <s v="United Kingdom"/>
    <n v="55.378051999999997"/>
    <n v="-3.4359730000000002"/>
    <s v="ok"/>
    <s v="ok"/>
    <s v="ok"/>
    <s v="ok"/>
    <s v="ok"/>
    <x v="1"/>
    <s v=""/>
  </r>
  <r>
    <x v="1"/>
    <n v="2514"/>
    <x v="0"/>
    <x v="0"/>
    <x v="5"/>
    <s v="1st line support"/>
    <x v="2"/>
    <x v="1189"/>
    <d v="2023-07-05T00:50:51"/>
    <d v="2023-07-03T01:50:51"/>
    <d v="2023-07-03T01:39:06"/>
    <s v="Within SLA"/>
    <m/>
    <x v="1"/>
    <m/>
    <n v="3"/>
    <m/>
    <x v="2"/>
    <x v="0"/>
    <s v="Germany"/>
    <n v="51.165691000000002"/>
    <n v="10.451525999999999"/>
    <s v="ok"/>
    <s v="ok"/>
    <s v="ok"/>
    <s v="ok"/>
    <s v="ok"/>
    <x v="1"/>
    <s v=""/>
  </r>
  <r>
    <x v="1"/>
    <n v="2515"/>
    <x v="0"/>
    <x v="2"/>
    <x v="0"/>
    <s v="1st line support"/>
    <x v="4"/>
    <x v="1190"/>
    <d v="2023-07-04T19:13:13"/>
    <d v="2023-07-03T19:15:13"/>
    <d v="2023-07-03T19:14:27"/>
    <s v="Within SLA"/>
    <m/>
    <x v="1"/>
    <m/>
    <n v="4"/>
    <m/>
    <x v="0"/>
    <x v="0"/>
    <s v="Poland"/>
    <n v="52.536273000000001"/>
    <n v="19.050639"/>
    <s v="ok"/>
    <s v="ok"/>
    <s v="ok"/>
    <s v="ok"/>
    <s v="ok"/>
    <x v="1"/>
    <s v=""/>
  </r>
  <r>
    <x v="2"/>
    <n v="2516"/>
    <x v="2"/>
    <x v="0"/>
    <x v="1"/>
    <s v="1st line support"/>
    <x v="2"/>
    <x v="1191"/>
    <d v="2023-07-06T23:47:01"/>
    <d v="2023-07-05T00:47:01"/>
    <d v="2023-07-05T00:07:29"/>
    <s v="Within SLA"/>
    <d v="2023-07-05T13:06:08"/>
    <x v="0"/>
    <m/>
    <n v="2"/>
    <m/>
    <x v="2"/>
    <x v="0"/>
    <s v="Germany"/>
    <n v="51.165691000000002"/>
    <n v="10.451525999999999"/>
    <s v="ok"/>
    <s v="ok"/>
    <s v="ok"/>
    <s v="ok"/>
    <s v="ok"/>
    <x v="0"/>
    <n v="13.318694166548084"/>
  </r>
  <r>
    <x v="0"/>
    <n v="2517"/>
    <x v="2"/>
    <x v="2"/>
    <x v="3"/>
    <s v="2nd line support"/>
    <x v="1"/>
    <x v="1192"/>
    <d v="2023-07-05T02:36:13"/>
    <d v="2023-07-04T02:38:13"/>
    <d v="2023-07-04T02:36:42"/>
    <s v="Within SLA"/>
    <d v="2023-07-04T19:31:19"/>
    <x v="0"/>
    <d v="2023-07-11T10:38:46"/>
    <n v="9"/>
    <n v="2"/>
    <x v="3"/>
    <x v="1"/>
    <s v="Italy"/>
    <n v="43.036776000000003"/>
    <n v="12.678565000000001"/>
    <s v="ok"/>
    <s v="ok"/>
    <s v="ok"/>
    <s v="ok"/>
    <s v="ok"/>
    <x v="0"/>
    <n v="16.918459722131956"/>
  </r>
  <r>
    <x v="2"/>
    <n v="2518"/>
    <x v="0"/>
    <x v="0"/>
    <x v="3"/>
    <s v="1st line support"/>
    <x v="3"/>
    <x v="1193"/>
    <d v="2023-07-06T00:39:52"/>
    <d v="2023-07-04T01:39:52"/>
    <d v="2023-07-04T01:08:14"/>
    <s v="Within SLA"/>
    <d v="2023-07-05T10:13:46"/>
    <x v="0"/>
    <m/>
    <n v="3"/>
    <m/>
    <x v="2"/>
    <x v="0"/>
    <s v="Poland"/>
    <n v="52.536273000000001"/>
    <n v="19.050639"/>
    <s v="ok"/>
    <s v="ok"/>
    <s v="ok"/>
    <s v="ok"/>
    <s v="ok"/>
    <x v="0"/>
    <n v="33.564919444383122"/>
  </r>
  <r>
    <x v="0"/>
    <n v="2519"/>
    <x v="1"/>
    <x v="1"/>
    <x v="3"/>
    <s v="1st line support"/>
    <x v="2"/>
    <x v="1194"/>
    <d v="2023-07-06T10:01:39"/>
    <d v="2023-07-04T10:03:39"/>
    <d v="2023-07-04T10:01:53"/>
    <s v="Within SLA"/>
    <d v="2023-07-06T00:51:08"/>
    <x v="0"/>
    <d v="2023-07-07T01:35:22"/>
    <n v="1"/>
    <n v="3"/>
    <x v="2"/>
    <x v="0"/>
    <s v="United Kingdom"/>
    <n v="55.378051999999997"/>
    <n v="-3.4359730000000002"/>
    <s v="ok"/>
    <s v="ok"/>
    <s v="ok"/>
    <s v="ok"/>
    <s v="ok"/>
    <x v="0"/>
    <n v="38.824616111058276"/>
  </r>
  <r>
    <x v="1"/>
    <n v="2520"/>
    <x v="1"/>
    <x v="2"/>
    <x v="4"/>
    <s v="1st line support"/>
    <x v="0"/>
    <x v="1195"/>
    <d v="2023-07-05T13:14:19"/>
    <d v="2023-07-04T13:16:19"/>
    <d v="2023-07-04T13:16:14"/>
    <s v="Within SLA"/>
    <m/>
    <x v="1"/>
    <m/>
    <n v="9"/>
    <m/>
    <x v="2"/>
    <x v="0"/>
    <s v="Germany"/>
    <n v="51.165691000000002"/>
    <n v="10.451525999999999"/>
    <s v="ok"/>
    <s v="ok"/>
    <s v="ok"/>
    <s v="ok"/>
    <s v="ok"/>
    <x v="1"/>
    <s v=""/>
  </r>
  <r>
    <x v="0"/>
    <n v="2521"/>
    <x v="0"/>
    <x v="0"/>
    <x v="4"/>
    <s v="2nd line support"/>
    <x v="5"/>
    <x v="1196"/>
    <d v="2023-07-06T01:40:31"/>
    <d v="2023-07-04T02:40:31"/>
    <d v="2023-07-04T04:13:22"/>
    <s v="SLA Violated"/>
    <d v="2023-07-05T11:19:50"/>
    <x v="0"/>
    <d v="2023-07-11T00:58:21"/>
    <n v="10"/>
    <n v="5"/>
    <x v="0"/>
    <x v="1"/>
    <s v="Republic of Ireland"/>
    <n v="53.094023999999997"/>
    <n v="-8.0196749999999994"/>
    <s v="ok"/>
    <s v="ok"/>
    <s v="ok"/>
    <s v="ok"/>
    <s v="ok"/>
    <x v="0"/>
    <n v="33.655190833378583"/>
  </r>
  <r>
    <x v="0"/>
    <n v="2522"/>
    <x v="0"/>
    <x v="0"/>
    <x v="5"/>
    <s v="1st line support"/>
    <x v="6"/>
    <x v="1197"/>
    <d v="2023-07-06T03:48:41"/>
    <d v="2023-07-04T04:48:41"/>
    <d v="2023-07-04T04:48:25"/>
    <s v="Within SLA"/>
    <d v="2023-07-04T05:00:11"/>
    <x v="0"/>
    <d v="2023-07-07T04:28:49"/>
    <n v="8"/>
    <n v="1"/>
    <x v="0"/>
    <x v="0"/>
    <s v="Austria"/>
    <n v="47.696471899999999"/>
    <n v="13.3457347"/>
    <s v="ok"/>
    <s v="ok"/>
    <s v="ok"/>
    <s v="ok"/>
    <s v="ok"/>
    <x v="0"/>
    <n v="1.1916524998960085"/>
  </r>
  <r>
    <x v="1"/>
    <n v="2523"/>
    <x v="0"/>
    <x v="2"/>
    <x v="5"/>
    <s v="2nd line support"/>
    <x v="5"/>
    <x v="1198"/>
    <d v="2023-07-05T15:19:33"/>
    <d v="2023-07-04T15:21:33"/>
    <d v="2023-07-04T15:20:28"/>
    <s v="Within SLA"/>
    <m/>
    <x v="1"/>
    <m/>
    <n v="6"/>
    <m/>
    <x v="2"/>
    <x v="1"/>
    <s v="Austria"/>
    <n v="47.696471899999999"/>
    <n v="13.3457347"/>
    <s v="ok"/>
    <s v="ok"/>
    <s v="ok"/>
    <s v="ok"/>
    <s v="ok"/>
    <x v="1"/>
    <s v=""/>
  </r>
  <r>
    <x v="0"/>
    <n v="2525"/>
    <x v="1"/>
    <x v="2"/>
    <x v="5"/>
    <s v="2nd line support"/>
    <x v="1"/>
    <x v="1199"/>
    <d v="2023-07-06T12:47:04"/>
    <d v="2023-07-05T12:49:04"/>
    <d v="2023-07-05T12:52:06"/>
    <s v="SLA Violated"/>
    <d v="2023-07-05T21:54:28"/>
    <x v="0"/>
    <d v="2023-07-06T13:00:36"/>
    <n v="6"/>
    <n v="1"/>
    <x v="2"/>
    <x v="1"/>
    <s v="Slovenia"/>
    <n v="46.149166399999999"/>
    <n v="14.9860106"/>
    <s v="ok"/>
    <s v="ok"/>
    <s v="ok"/>
    <s v="ok"/>
    <s v="ok"/>
    <x v="0"/>
    <n v="9.1232730555930175"/>
  </r>
  <r>
    <x v="2"/>
    <n v="2526"/>
    <x v="2"/>
    <x v="2"/>
    <x v="1"/>
    <s v="1st line support"/>
    <x v="0"/>
    <x v="1200"/>
    <d v="2023-07-06T15:03:26"/>
    <d v="2023-07-05T15:05:26"/>
    <d v="2023-07-05T15:08:08"/>
    <s v="SLA Violated"/>
    <d v="2023-07-05T23:40:48"/>
    <x v="0"/>
    <m/>
    <n v="3"/>
    <m/>
    <x v="2"/>
    <x v="0"/>
    <s v="Germany"/>
    <n v="51.165691000000002"/>
    <n v="10.451525999999999"/>
    <s v="ok"/>
    <s v="ok"/>
    <s v="ok"/>
    <s v="ok"/>
    <s v="ok"/>
    <x v="0"/>
    <n v="8.6228713889722712"/>
  </r>
  <r>
    <x v="2"/>
    <n v="2527"/>
    <x v="0"/>
    <x v="0"/>
    <x v="1"/>
    <s v="1st line support"/>
    <x v="6"/>
    <x v="1201"/>
    <d v="2023-07-07T23:01:55"/>
    <d v="2023-07-06T00:01:55"/>
    <d v="2023-07-05T23:18:20"/>
    <s v="Within SLA"/>
    <d v="2023-07-07T01:06:25"/>
    <x v="0"/>
    <m/>
    <n v="1"/>
    <m/>
    <x v="2"/>
    <x v="0"/>
    <s v="Spain"/>
    <n v="39.673369999999998"/>
    <n v="-4.7677259999999997"/>
    <s v="ok"/>
    <s v="ok"/>
    <s v="ok"/>
    <s v="ok"/>
    <s v="ok"/>
    <x v="0"/>
    <n v="26.07495805551298"/>
  </r>
  <r>
    <x v="2"/>
    <n v="2528"/>
    <x v="2"/>
    <x v="0"/>
    <x v="1"/>
    <s v="1st line support"/>
    <x v="2"/>
    <x v="1202"/>
    <d v="2023-07-07T21:03:38"/>
    <d v="2023-07-05T22:03:38"/>
    <d v="2023-07-05T21:13:43"/>
    <s v="Within SLA"/>
    <d v="2023-07-07T10:11:44"/>
    <x v="0"/>
    <m/>
    <n v="3"/>
    <m/>
    <x v="0"/>
    <x v="0"/>
    <s v="Poland"/>
    <n v="52.536273000000001"/>
    <n v="19.050639"/>
    <s v="ok"/>
    <s v="ok"/>
    <s v="ok"/>
    <s v="ok"/>
    <s v="ok"/>
    <x v="0"/>
    <n v="37.135030555597041"/>
  </r>
  <r>
    <x v="2"/>
    <n v="2529"/>
    <x v="2"/>
    <x v="2"/>
    <x v="1"/>
    <s v="1st line support"/>
    <x v="6"/>
    <x v="1203"/>
    <d v="2023-07-06T22:10:12"/>
    <d v="2023-07-05T22:12:12"/>
    <d v="2023-07-05T22:11:47"/>
    <s v="Within SLA"/>
    <d v="2023-07-06T17:00:03"/>
    <x v="0"/>
    <m/>
    <n v="6"/>
    <m/>
    <x v="2"/>
    <x v="0"/>
    <s v="Poland"/>
    <n v="52.536273000000001"/>
    <n v="19.050639"/>
    <s v="ok"/>
    <s v="ok"/>
    <s v="ok"/>
    <s v="ok"/>
    <s v="ok"/>
    <x v="0"/>
    <n v="18.830787777726073"/>
  </r>
  <r>
    <x v="1"/>
    <n v="2530"/>
    <x v="0"/>
    <x v="2"/>
    <x v="1"/>
    <s v="1st line support"/>
    <x v="4"/>
    <x v="1204"/>
    <d v="2023-07-06T17:10:41"/>
    <d v="2023-07-05T17:12:41"/>
    <d v="2023-07-05T17:10:59"/>
    <s v="Within SLA"/>
    <m/>
    <x v="1"/>
    <m/>
    <n v="3"/>
    <m/>
    <x v="2"/>
    <x v="0"/>
    <s v="Italy"/>
    <n v="43.036776000000003"/>
    <n v="12.678565000000001"/>
    <s v="ok"/>
    <s v="ok"/>
    <s v="ok"/>
    <s v="ok"/>
    <s v="ok"/>
    <x v="1"/>
    <s v=""/>
  </r>
  <r>
    <x v="0"/>
    <n v="2532"/>
    <x v="1"/>
    <x v="0"/>
    <x v="0"/>
    <s v="1st line support"/>
    <x v="6"/>
    <x v="1205"/>
    <d v="2023-07-07T14:30:43"/>
    <d v="2023-07-05T15:30:43"/>
    <d v="2023-07-05T14:36:50"/>
    <s v="Within SLA"/>
    <d v="2023-07-05T17:41:47"/>
    <x v="0"/>
    <d v="2023-07-09T00:06:22"/>
    <n v="2"/>
    <n v="1"/>
    <x v="2"/>
    <x v="0"/>
    <s v="United Kingdom"/>
    <n v="55.378051999999997"/>
    <n v="-3.4359730000000002"/>
    <s v="ok"/>
    <s v="ok"/>
    <s v="ok"/>
    <s v="ok"/>
    <s v="ok"/>
    <x v="0"/>
    <n v="3.1845188890001737"/>
  </r>
  <r>
    <x v="2"/>
    <n v="2535"/>
    <x v="0"/>
    <x v="2"/>
    <x v="1"/>
    <s v="1st line support"/>
    <x v="3"/>
    <x v="1206"/>
    <d v="2023-07-07T02:48:03"/>
    <d v="2023-07-06T02:50:03"/>
    <d v="2023-07-06T02:49:33"/>
    <s v="Within SLA"/>
    <d v="2023-07-07T01:49:32"/>
    <x v="0"/>
    <m/>
    <n v="6"/>
    <m/>
    <x v="2"/>
    <x v="0"/>
    <s v="Italy"/>
    <n v="43.036776000000003"/>
    <n v="12.678565000000001"/>
    <s v="ok"/>
    <s v="ok"/>
    <s v="ok"/>
    <s v="ok"/>
    <s v="ok"/>
    <x v="0"/>
    <n v="23.024855833326001"/>
  </r>
  <r>
    <x v="1"/>
    <n v="2536"/>
    <x v="0"/>
    <x v="2"/>
    <x v="4"/>
    <s v="1st line support"/>
    <x v="3"/>
    <x v="1207"/>
    <d v="2023-07-07T19:49:27"/>
    <d v="2023-07-06T19:51:27"/>
    <d v="2023-07-06T19:49:46"/>
    <s v="Within SLA"/>
    <m/>
    <x v="1"/>
    <m/>
    <n v="9"/>
    <m/>
    <x v="0"/>
    <x v="0"/>
    <s v="Germany"/>
    <n v="51.165691000000002"/>
    <n v="10.451525999999999"/>
    <s v="ok"/>
    <s v="ok"/>
    <s v="ok"/>
    <s v="ok"/>
    <s v="ok"/>
    <x v="1"/>
    <s v=""/>
  </r>
  <r>
    <x v="0"/>
    <n v="2537"/>
    <x v="2"/>
    <x v="2"/>
    <x v="1"/>
    <s v="2nd line support"/>
    <x v="5"/>
    <x v="1208"/>
    <d v="2023-07-07T10:23:03"/>
    <d v="2023-07-06T10:25:03"/>
    <d v="2023-07-06T10:24:38"/>
    <s v="Within SLA"/>
    <d v="2023-07-07T04:25:55"/>
    <x v="0"/>
    <d v="2023-07-11T21:20:38"/>
    <n v="6"/>
    <n v="5"/>
    <x v="0"/>
    <x v="1"/>
    <s v="Italy"/>
    <n v="43.036776000000003"/>
    <n v="12.678565000000001"/>
    <s v="ok"/>
    <s v="ok"/>
    <s v="ok"/>
    <s v="ok"/>
    <s v="ok"/>
    <x v="0"/>
    <n v="18.047863333427813"/>
  </r>
  <r>
    <x v="0"/>
    <n v="2539"/>
    <x v="0"/>
    <x v="0"/>
    <x v="3"/>
    <s v="1st line support"/>
    <x v="4"/>
    <x v="1209"/>
    <d v="2023-07-08T13:22:22"/>
    <d v="2023-07-06T14:22:22"/>
    <d v="2023-07-06T14:09:12"/>
    <s v="Within SLA"/>
    <d v="2023-07-08T05:15:47"/>
    <x v="0"/>
    <d v="2023-07-11T08:01:43"/>
    <n v="10"/>
    <n v="4"/>
    <x v="2"/>
    <x v="0"/>
    <s v="Poland"/>
    <n v="52.536273000000001"/>
    <n v="19.050639"/>
    <s v="ok"/>
    <s v="ok"/>
    <s v="ok"/>
    <s v="ok"/>
    <s v="ok"/>
    <x v="0"/>
    <n v="39.890321944432799"/>
  </r>
  <r>
    <x v="2"/>
    <n v="2540"/>
    <x v="0"/>
    <x v="0"/>
    <x v="4"/>
    <s v="1st line support"/>
    <x v="0"/>
    <x v="1210"/>
    <d v="2023-07-08T01:26:59"/>
    <d v="2023-07-06T02:26:59"/>
    <d v="2023-07-06T01:30:40"/>
    <s v="Within SLA"/>
    <d v="2023-07-06T13:02:45"/>
    <x v="0"/>
    <m/>
    <n v="1"/>
    <m/>
    <x v="2"/>
    <x v="0"/>
    <s v="Greece"/>
    <n v="39.368279000000001"/>
    <n v="21.863140999999999"/>
    <s v="ok"/>
    <s v="ok"/>
    <s v="ok"/>
    <s v="ok"/>
    <s v="ok"/>
    <x v="0"/>
    <n v="11.596182777837384"/>
  </r>
  <r>
    <x v="0"/>
    <n v="2541"/>
    <x v="0"/>
    <x v="2"/>
    <x v="3"/>
    <s v="2nd line support"/>
    <x v="1"/>
    <x v="1211"/>
    <d v="2023-07-07T16:59:58"/>
    <d v="2023-07-06T17:01:58"/>
    <d v="2023-07-06T17:05:50"/>
    <s v="SLA Violated"/>
    <d v="2023-07-08T10:12:09"/>
    <x v="1"/>
    <d v="2023-07-09T08:33:56"/>
    <n v="6"/>
    <n v="4"/>
    <x v="2"/>
    <x v="1"/>
    <s v="Poland"/>
    <n v="52.536273000000001"/>
    <n v="19.050639"/>
    <s v="ok"/>
    <s v="ok"/>
    <s v="ok"/>
    <s v="ok"/>
    <s v="ok"/>
    <x v="0"/>
    <n v="41.202944166725501"/>
  </r>
  <r>
    <x v="0"/>
    <n v="2543"/>
    <x v="0"/>
    <x v="1"/>
    <x v="1"/>
    <s v="1st line support"/>
    <x v="0"/>
    <x v="1212"/>
    <d v="2023-07-08T08:04:13"/>
    <d v="2023-07-06T08:06:13"/>
    <d v="2023-07-06T08:07:21"/>
    <s v="SLA Violated"/>
    <d v="2023-07-08T05:22:11"/>
    <x v="0"/>
    <d v="2023-07-13T10:00:34"/>
    <n v="2"/>
    <n v="4"/>
    <x v="2"/>
    <x v="0"/>
    <s v="Germany"/>
    <n v="51.165691000000002"/>
    <n v="10.451525999999999"/>
    <s v="ok"/>
    <s v="ok"/>
    <s v="ok"/>
    <s v="ok"/>
    <s v="ok"/>
    <x v="0"/>
    <n v="45.299357777636033"/>
  </r>
  <r>
    <x v="0"/>
    <n v="2544"/>
    <x v="2"/>
    <x v="0"/>
    <x v="3"/>
    <s v="1st line support"/>
    <x v="4"/>
    <x v="1213"/>
    <d v="2023-07-08T14:05:11"/>
    <d v="2023-07-06T15:05:11"/>
    <d v="2023-07-06T14:10:24"/>
    <s v="Within SLA"/>
    <d v="2023-07-07T02:40:53"/>
    <x v="0"/>
    <d v="2023-07-10T00:29:21"/>
    <n v="5"/>
    <n v="4"/>
    <x v="1"/>
    <x v="0"/>
    <s v="Spain"/>
    <n v="39.673369999999998"/>
    <n v="-4.7677259999999997"/>
    <s v="ok"/>
    <s v="ok"/>
    <s v="ok"/>
    <s v="ok"/>
    <s v="ok"/>
    <x v="0"/>
    <n v="12.595016111154109"/>
  </r>
  <r>
    <x v="0"/>
    <n v="2545"/>
    <x v="1"/>
    <x v="2"/>
    <x v="5"/>
    <s v="1st line support"/>
    <x v="4"/>
    <x v="1214"/>
    <d v="2023-07-07T02:12:09"/>
    <d v="2023-07-06T02:14:09"/>
    <d v="2023-07-06T02:13:31"/>
    <s v="Within SLA"/>
    <d v="2023-07-06T21:17:03"/>
    <x v="0"/>
    <d v="2023-07-13T22:57:44"/>
    <n v="2"/>
    <n v="4"/>
    <x v="0"/>
    <x v="0"/>
    <s v="Poland"/>
    <n v="52.536273000000001"/>
    <n v="19.050639"/>
    <s v="ok"/>
    <s v="ok"/>
    <s v="ok"/>
    <s v="ok"/>
    <s v="ok"/>
    <x v="0"/>
    <n v="19.081545277673285"/>
  </r>
  <r>
    <x v="2"/>
    <n v="2546"/>
    <x v="0"/>
    <x v="0"/>
    <x v="0"/>
    <s v="2nd line support"/>
    <x v="5"/>
    <x v="1215"/>
    <d v="2023-07-08T23:36:06"/>
    <d v="2023-07-07T00:36:06"/>
    <d v="2023-07-06T23:45:32"/>
    <s v="Within SLA"/>
    <d v="2023-07-10T09:17:57"/>
    <x v="1"/>
    <m/>
    <n v="10"/>
    <m/>
    <x v="2"/>
    <x v="1"/>
    <s v="United Kingdom"/>
    <n v="55.378051999999997"/>
    <n v="-3.4359730000000002"/>
    <s v="ok"/>
    <s v="ok"/>
    <s v="ok"/>
    <s v="ok"/>
    <s v="ok"/>
    <x v="0"/>
    <n v="81.697553888952825"/>
  </r>
  <r>
    <x v="2"/>
    <n v="2547"/>
    <x v="0"/>
    <x v="0"/>
    <x v="0"/>
    <s v="1st line support"/>
    <x v="2"/>
    <x v="1216"/>
    <d v="2023-07-09T00:03:58"/>
    <d v="2023-07-07T01:03:58"/>
    <d v="2023-07-07T00:23:28"/>
    <s v="Within SLA"/>
    <d v="2023-07-07T17:42:20"/>
    <x v="0"/>
    <m/>
    <n v="2"/>
    <m/>
    <x v="0"/>
    <x v="0"/>
    <s v="United Kingdom"/>
    <n v="55.378051999999997"/>
    <n v="-3.4359730000000002"/>
    <s v="ok"/>
    <s v="ok"/>
    <s v="ok"/>
    <s v="ok"/>
    <s v="ok"/>
    <x v="0"/>
    <n v="17.63957888900768"/>
  </r>
  <r>
    <x v="2"/>
    <n v="2548"/>
    <x v="2"/>
    <x v="0"/>
    <x v="3"/>
    <s v="2nd line support"/>
    <x v="7"/>
    <x v="1217"/>
    <d v="2023-07-09T13:22:46"/>
    <d v="2023-07-07T14:22:46"/>
    <d v="2023-07-07T13:55:06"/>
    <s v="Within SLA"/>
    <d v="2023-07-09T03:13:09"/>
    <x v="0"/>
    <m/>
    <n v="9"/>
    <m/>
    <x v="2"/>
    <x v="1"/>
    <s v="Czech Republic"/>
    <n v="49.8037633"/>
    <n v="15.4749126"/>
    <s v="ok"/>
    <s v="ok"/>
    <s v="ok"/>
    <s v="ok"/>
    <s v="ok"/>
    <x v="0"/>
    <n v="37.83971861115424"/>
  </r>
  <r>
    <x v="2"/>
    <n v="2549"/>
    <x v="2"/>
    <x v="2"/>
    <x v="3"/>
    <s v="2nd line support"/>
    <x v="5"/>
    <x v="1218"/>
    <d v="2023-07-08T11:51:04"/>
    <d v="2023-07-07T11:53:04"/>
    <d v="2023-07-07T11:51:24"/>
    <s v="Within SLA"/>
    <d v="2023-07-07T18:46:17"/>
    <x v="0"/>
    <m/>
    <n v="6"/>
    <m/>
    <x v="2"/>
    <x v="1"/>
    <s v="Italy"/>
    <n v="43.036776000000003"/>
    <n v="12.678565000000001"/>
    <s v="ok"/>
    <s v="ok"/>
    <s v="ok"/>
    <s v="ok"/>
    <s v="ok"/>
    <x v="0"/>
    <n v="6.9204022223129869"/>
  </r>
  <r>
    <x v="1"/>
    <n v="2550"/>
    <x v="0"/>
    <x v="2"/>
    <x v="1"/>
    <s v="1st line support"/>
    <x v="2"/>
    <x v="1219"/>
    <d v="2023-07-08T14:51:18"/>
    <d v="2023-07-07T14:53:18"/>
    <d v="2023-07-07T14:53:11"/>
    <s v="Within SLA"/>
    <m/>
    <x v="1"/>
    <m/>
    <n v="6"/>
    <m/>
    <x v="2"/>
    <x v="0"/>
    <s v="Italy"/>
    <n v="43.036776000000003"/>
    <n v="12.678565000000001"/>
    <s v="ok"/>
    <s v="ok"/>
    <s v="ok"/>
    <s v="ok"/>
    <s v="ok"/>
    <x v="1"/>
    <s v=""/>
  </r>
  <r>
    <x v="2"/>
    <n v="2551"/>
    <x v="1"/>
    <x v="0"/>
    <x v="4"/>
    <s v="1st line support"/>
    <x v="3"/>
    <x v="1220"/>
    <d v="2023-07-09T12:22:32"/>
    <d v="2023-07-07T13:22:32"/>
    <d v="2023-07-07T12:48:37"/>
    <s v="Within SLA"/>
    <d v="2023-07-13T12:00:23"/>
    <x v="1"/>
    <m/>
    <n v="7"/>
    <m/>
    <x v="2"/>
    <x v="0"/>
    <s v="France"/>
    <n v="48.864716000000001"/>
    <n v="2.3490139999999999"/>
    <s v="ok"/>
    <s v="ok"/>
    <s v="ok"/>
    <s v="ok"/>
    <s v="ok"/>
    <x v="0"/>
    <n v="143.63092111120932"/>
  </r>
  <r>
    <x v="0"/>
    <n v="2552"/>
    <x v="0"/>
    <x v="0"/>
    <x v="1"/>
    <s v="1st line support"/>
    <x v="6"/>
    <x v="1221"/>
    <d v="2023-07-09T23:08:26"/>
    <d v="2023-07-08T00:08:26"/>
    <d v="2023-07-07T23:26:36"/>
    <s v="Within SLA"/>
    <d v="2023-07-09T10:13:16"/>
    <x v="0"/>
    <d v="2023-07-14T19:42:23"/>
    <n v="9"/>
    <n v="5"/>
    <x v="3"/>
    <x v="0"/>
    <s v="Germany"/>
    <n v="51.165691000000002"/>
    <n v="10.451525999999999"/>
    <s v="ok"/>
    <s v="ok"/>
    <s v="ok"/>
    <s v="ok"/>
    <s v="ok"/>
    <x v="0"/>
    <n v="35.080688333313446"/>
  </r>
  <r>
    <x v="2"/>
    <n v="2553"/>
    <x v="0"/>
    <x v="1"/>
    <x v="4"/>
    <s v="1st line support"/>
    <x v="2"/>
    <x v="1222"/>
    <d v="2023-07-09T22:58:06"/>
    <d v="2023-07-07T23:00:06"/>
    <d v="2023-07-07T22:59:38"/>
    <s v="Within SLA"/>
    <d v="2023-07-08T22:15:21"/>
    <x v="0"/>
    <m/>
    <n v="7"/>
    <m/>
    <x v="1"/>
    <x v="0"/>
    <s v="Spain"/>
    <n v="39.673369999999998"/>
    <n v="-4.7677259999999997"/>
    <s v="ok"/>
    <s v="ok"/>
    <s v="ok"/>
    <s v="ok"/>
    <s v="ok"/>
    <x v="0"/>
    <n v="23.287397777836304"/>
  </r>
  <r>
    <x v="2"/>
    <n v="2554"/>
    <x v="1"/>
    <x v="0"/>
    <x v="5"/>
    <s v="1st line support"/>
    <x v="6"/>
    <x v="1223"/>
    <d v="2023-07-09T15:00:47"/>
    <d v="2023-07-07T16:00:47"/>
    <d v="2023-07-07T15:08:32"/>
    <s v="Within SLA"/>
    <d v="2023-07-11T10:23:22"/>
    <x v="1"/>
    <m/>
    <n v="3"/>
    <m/>
    <x v="0"/>
    <x v="0"/>
    <s v="Spain"/>
    <n v="39.673369999999998"/>
    <n v="-4.7677259999999997"/>
    <s v="ok"/>
    <s v="ok"/>
    <s v="ok"/>
    <s v="ok"/>
    <s v="ok"/>
    <x v="0"/>
    <n v="91.376387777680065"/>
  </r>
  <r>
    <x v="0"/>
    <n v="2555"/>
    <x v="0"/>
    <x v="2"/>
    <x v="0"/>
    <s v="2nd line support"/>
    <x v="5"/>
    <x v="1224"/>
    <d v="2023-07-08T10:28:20"/>
    <d v="2023-07-07T10:30:20"/>
    <d v="2023-07-07T10:29:40"/>
    <s v="Within SLA"/>
    <d v="2023-07-08T02:34:15"/>
    <x v="0"/>
    <d v="2023-07-10T18:32:37"/>
    <n v="2"/>
    <n v="4"/>
    <x v="2"/>
    <x v="1"/>
    <s v="France"/>
    <n v="48.864716000000001"/>
    <n v="2.3490139999999999"/>
    <s v="ok"/>
    <s v="ok"/>
    <s v="ok"/>
    <s v="ok"/>
    <s v="ok"/>
    <x v="0"/>
    <n v="16.098699166614097"/>
  </r>
  <r>
    <x v="2"/>
    <n v="2556"/>
    <x v="0"/>
    <x v="1"/>
    <x v="5"/>
    <s v="1st line support"/>
    <x v="0"/>
    <x v="1225"/>
    <d v="2023-07-09T00:06:17"/>
    <d v="2023-07-07T00:08:17"/>
    <d v="2023-07-07T00:06:31"/>
    <s v="Within SLA"/>
    <d v="2023-07-07T22:47:37"/>
    <x v="0"/>
    <m/>
    <n v="1"/>
    <m/>
    <x v="0"/>
    <x v="0"/>
    <s v="Germany"/>
    <n v="51.165691000000002"/>
    <n v="10.451525999999999"/>
    <s v="ok"/>
    <s v="ok"/>
    <s v="ok"/>
    <s v="ok"/>
    <s v="ok"/>
    <x v="0"/>
    <n v="22.68883305543568"/>
  </r>
  <r>
    <x v="0"/>
    <n v="2557"/>
    <x v="2"/>
    <x v="0"/>
    <x v="1"/>
    <s v="1st line support"/>
    <x v="2"/>
    <x v="1226"/>
    <d v="2023-07-10T00:15:43"/>
    <d v="2023-07-08T01:15:43"/>
    <d v="2023-07-08T00:57:33"/>
    <s v="Within SLA"/>
    <d v="2023-07-08T04:50:42"/>
    <x v="0"/>
    <d v="2023-07-11T13:51:17"/>
    <n v="3"/>
    <n v="3"/>
    <x v="2"/>
    <x v="0"/>
    <s v="Italy"/>
    <n v="43.036776000000003"/>
    <n v="12.678565000000001"/>
    <s v="ok"/>
    <s v="ok"/>
    <s v="ok"/>
    <s v="ok"/>
    <s v="ok"/>
    <x v="0"/>
    <n v="4.5830180556513369"/>
  </r>
  <r>
    <x v="0"/>
    <n v="2558"/>
    <x v="0"/>
    <x v="2"/>
    <x v="2"/>
    <s v="1st line support"/>
    <x v="0"/>
    <x v="1227"/>
    <d v="2023-07-09T05:06:51"/>
    <d v="2023-07-08T05:08:51"/>
    <d v="2023-07-08T05:07:02"/>
    <s v="Within SLA"/>
    <d v="2023-07-08T16:56:17"/>
    <x v="0"/>
    <d v="2023-07-14T05:04:55"/>
    <n v="6"/>
    <n v="3"/>
    <x v="1"/>
    <x v="0"/>
    <s v="Austria"/>
    <n v="47.696471899999999"/>
    <n v="13.3457347"/>
    <s v="ok"/>
    <s v="ok"/>
    <s v="ok"/>
    <s v="ok"/>
    <s v="ok"/>
    <x v="0"/>
    <n v="11.823846388841048"/>
  </r>
  <r>
    <x v="0"/>
    <n v="2559"/>
    <x v="2"/>
    <x v="2"/>
    <x v="1"/>
    <s v="2nd line support"/>
    <x v="1"/>
    <x v="1228"/>
    <d v="2023-07-10T17:02:18"/>
    <d v="2023-07-09T17:04:18"/>
    <d v="2023-07-09T17:03:42"/>
    <s v="Within SLA"/>
    <d v="2023-07-09T22:11:36"/>
    <x v="0"/>
    <d v="2023-07-16T11:51:06"/>
    <n v="2"/>
    <n v="2"/>
    <x v="2"/>
    <x v="1"/>
    <s v="France"/>
    <n v="48.864716000000001"/>
    <n v="2.3490139999999999"/>
    <s v="ok"/>
    <s v="ok"/>
    <s v="ok"/>
    <s v="ok"/>
    <s v="ok"/>
    <x v="0"/>
    <n v="5.1551300001447089"/>
  </r>
  <r>
    <x v="2"/>
    <n v="2566"/>
    <x v="0"/>
    <x v="1"/>
    <x v="0"/>
    <s v="1st line support"/>
    <x v="2"/>
    <x v="1229"/>
    <d v="2023-07-11T14:19:39"/>
    <d v="2023-07-09T14:21:39"/>
    <d v="2023-07-09T14:20:01"/>
    <s v="Within SLA"/>
    <d v="2023-07-10T20:27:34"/>
    <x v="0"/>
    <m/>
    <n v="1"/>
    <m/>
    <x v="0"/>
    <x v="0"/>
    <s v="Austria"/>
    <n v="47.696471899999999"/>
    <n v="13.3457347"/>
    <s v="ok"/>
    <s v="ok"/>
    <s v="ok"/>
    <s v="ok"/>
    <s v="ok"/>
    <x v="0"/>
    <n v="30.131854166742414"/>
  </r>
  <r>
    <x v="2"/>
    <n v="2567"/>
    <x v="2"/>
    <x v="0"/>
    <x v="3"/>
    <s v="1st line support"/>
    <x v="6"/>
    <x v="1230"/>
    <d v="2023-07-11T08:37:29"/>
    <d v="2023-07-09T09:37:29"/>
    <d v="2023-07-09T09:08:45"/>
    <s v="Within SLA"/>
    <d v="2023-07-10T14:27:25"/>
    <x v="0"/>
    <m/>
    <n v="3"/>
    <m/>
    <x v="2"/>
    <x v="0"/>
    <s v="Czech Republic"/>
    <n v="49.8037633"/>
    <n v="15.4749126"/>
    <s v="ok"/>
    <s v="ok"/>
    <s v="ok"/>
    <s v="ok"/>
    <s v="ok"/>
    <x v="0"/>
    <n v="29.832132500130683"/>
  </r>
  <r>
    <x v="2"/>
    <n v="2568"/>
    <x v="0"/>
    <x v="0"/>
    <x v="2"/>
    <s v="1st line support"/>
    <x v="3"/>
    <x v="1231"/>
    <d v="2023-07-11T22:06:34"/>
    <d v="2023-07-09T23:06:34"/>
    <d v="2023-07-09T23:03:41"/>
    <s v="Within SLA"/>
    <d v="2023-07-10T16:37:39"/>
    <x v="0"/>
    <m/>
    <n v="1"/>
    <m/>
    <x v="2"/>
    <x v="0"/>
    <s v="Germany"/>
    <n v="51.165691000000002"/>
    <n v="10.451525999999999"/>
    <s v="ok"/>
    <s v="ok"/>
    <s v="ok"/>
    <s v="ok"/>
    <s v="ok"/>
    <x v="0"/>
    <n v="18.517998611088842"/>
  </r>
  <r>
    <x v="0"/>
    <n v="2569"/>
    <x v="0"/>
    <x v="2"/>
    <x v="1"/>
    <s v="2nd line support"/>
    <x v="7"/>
    <x v="1232"/>
    <d v="2023-07-11T06:08:41"/>
    <d v="2023-07-10T06:10:41"/>
    <d v="2023-07-10T06:09:09"/>
    <s v="Within SLA"/>
    <d v="2023-07-10T06:32:24"/>
    <x v="0"/>
    <d v="2023-07-16T09:38:04"/>
    <n v="60"/>
    <n v="2"/>
    <x v="0"/>
    <x v="1"/>
    <s v="United Kingdom"/>
    <n v="55.378051999999997"/>
    <n v="-3.4359730000000002"/>
    <s v="ok"/>
    <s v="ok"/>
    <s v="ok"/>
    <s v="ok"/>
    <s v="ok"/>
    <x v="0"/>
    <n v="0.39527638885192573"/>
  </r>
  <r>
    <x v="2"/>
    <n v="2570"/>
    <x v="0"/>
    <x v="0"/>
    <x v="0"/>
    <s v="2nd line support"/>
    <x v="5"/>
    <x v="1233"/>
    <d v="2023-07-12T19:01:46"/>
    <d v="2023-07-10T20:01:46"/>
    <d v="2023-07-10T19:36:11"/>
    <s v="Within SLA"/>
    <d v="2023-07-10T20:14:49"/>
    <x v="0"/>
    <m/>
    <n v="2"/>
    <m/>
    <x v="2"/>
    <x v="1"/>
    <s v="Bulgaria"/>
    <n v="42.724992499999999"/>
    <n v="25.483303899999999"/>
    <s v="ok"/>
    <s v="ok"/>
    <s v="ok"/>
    <s v="ok"/>
    <s v="ok"/>
    <x v="0"/>
    <n v="1.2173711110954173"/>
  </r>
  <r>
    <x v="0"/>
    <n v="2571"/>
    <x v="2"/>
    <x v="0"/>
    <x v="6"/>
    <s v="1st line support"/>
    <x v="2"/>
    <x v="1234"/>
    <d v="2023-07-12T18:34:35"/>
    <d v="2023-07-10T19:34:35"/>
    <d v="2023-07-10T18:52:17"/>
    <s v="Within SLA"/>
    <d v="2023-07-16T02:30:07"/>
    <x v="1"/>
    <d v="2023-07-16T08:51:27"/>
    <n v="9"/>
    <n v="1"/>
    <x v="3"/>
    <x v="0"/>
    <s v="Germany"/>
    <n v="51.165691000000002"/>
    <n v="10.451525999999999"/>
    <s v="ok"/>
    <s v="ok"/>
    <s v="ok"/>
    <s v="ok"/>
    <s v="ok"/>
    <x v="0"/>
    <n v="127.92544111126335"/>
  </r>
  <r>
    <x v="0"/>
    <n v="2572"/>
    <x v="0"/>
    <x v="0"/>
    <x v="1"/>
    <s v="1st line support"/>
    <x v="6"/>
    <x v="1235"/>
    <d v="2023-07-12T05:59:09"/>
    <d v="2023-07-10T06:59:09"/>
    <d v="2023-07-10T06:13:24"/>
    <s v="Within SLA"/>
    <d v="2023-07-15T21:26:03"/>
    <x v="1"/>
    <d v="2023-07-16T20:08:52"/>
    <n v="3"/>
    <n v="4"/>
    <x v="2"/>
    <x v="0"/>
    <s v="Bulgaria"/>
    <n v="42.724992499999999"/>
    <n v="25.483303899999999"/>
    <s v="ok"/>
    <s v="ok"/>
    <s v="ok"/>
    <s v="ok"/>
    <s v="ok"/>
    <x v="0"/>
    <n v="135.4482405554736"/>
  </r>
  <r>
    <x v="2"/>
    <n v="2573"/>
    <x v="0"/>
    <x v="2"/>
    <x v="6"/>
    <s v="2nd line support"/>
    <x v="5"/>
    <x v="1236"/>
    <d v="2023-07-11T14:32:40"/>
    <d v="2023-07-10T14:34:40"/>
    <d v="2023-07-10T14:34:17"/>
    <s v="Within SLA"/>
    <d v="2023-07-14T15:26:53"/>
    <x v="1"/>
    <m/>
    <n v="2"/>
    <m/>
    <x v="3"/>
    <x v="1"/>
    <s v="Bulgaria"/>
    <n v="42.724992499999999"/>
    <n v="25.483303899999999"/>
    <s v="ok"/>
    <s v="ok"/>
    <s v="ok"/>
    <s v="ok"/>
    <s v="ok"/>
    <x v="0"/>
    <n v="96.903525833389722"/>
  </r>
  <r>
    <x v="0"/>
    <n v="2574"/>
    <x v="2"/>
    <x v="1"/>
    <x v="4"/>
    <s v="1st line support"/>
    <x v="3"/>
    <x v="1237"/>
    <d v="2023-07-12T04:02:53"/>
    <d v="2023-07-10T04:04:53"/>
    <d v="2023-07-10T04:04:07"/>
    <s v="Within SLA"/>
    <d v="2023-07-10T16:54:19"/>
    <x v="0"/>
    <d v="2023-07-12T15:20:55"/>
    <n v="2"/>
    <n v="4"/>
    <x v="2"/>
    <x v="0"/>
    <s v="Poland"/>
    <n v="52.536273000000001"/>
    <n v="19.050639"/>
    <s v="ok"/>
    <s v="ok"/>
    <s v="ok"/>
    <s v="ok"/>
    <s v="ok"/>
    <x v="0"/>
    <n v="12.857151111122221"/>
  </r>
  <r>
    <x v="0"/>
    <n v="2575"/>
    <x v="2"/>
    <x v="0"/>
    <x v="5"/>
    <s v="1st line support"/>
    <x v="3"/>
    <x v="1238"/>
    <d v="2023-07-12T04:15:42"/>
    <d v="2023-07-10T05:15:42"/>
    <d v="2023-07-10T04:32:11"/>
    <s v="Within SLA"/>
    <d v="2023-07-11T01:11:46"/>
    <x v="0"/>
    <d v="2023-07-13T04:40:12"/>
    <n v="5"/>
    <n v="5"/>
    <x v="2"/>
    <x v="0"/>
    <s v="Republic of Ireland"/>
    <n v="53.094023999999997"/>
    <n v="-8.0196749999999994"/>
    <s v="ok"/>
    <s v="ok"/>
    <s v="ok"/>
    <s v="ok"/>
    <s v="ok"/>
    <x v="0"/>
    <n v="20.934481111122295"/>
  </r>
  <r>
    <x v="1"/>
    <n v="2576"/>
    <x v="0"/>
    <x v="1"/>
    <x v="1"/>
    <s v="1st line support"/>
    <x v="6"/>
    <x v="1239"/>
    <d v="2023-07-12T17:17:26"/>
    <d v="2023-07-10T17:19:26"/>
    <d v="2023-07-10T17:20:57"/>
    <s v="SLA Violated"/>
    <m/>
    <x v="1"/>
    <m/>
    <n v="5"/>
    <m/>
    <x v="1"/>
    <x v="0"/>
    <s v="Republic of Ireland"/>
    <n v="53.094023999999997"/>
    <n v="-8.0196749999999994"/>
    <s v="ok"/>
    <s v="ok"/>
    <s v="ok"/>
    <s v="ok"/>
    <s v="ok"/>
    <x v="1"/>
    <s v=""/>
  </r>
  <r>
    <x v="2"/>
    <n v="2577"/>
    <x v="2"/>
    <x v="2"/>
    <x v="0"/>
    <s v="1st line support"/>
    <x v="4"/>
    <x v="1240"/>
    <d v="2023-07-11T07:34:10"/>
    <d v="2023-07-10T07:36:10"/>
    <d v="2023-07-10T07:36:47"/>
    <s v="SLA Violated"/>
    <d v="2023-07-10T11:02:02"/>
    <x v="0"/>
    <m/>
    <n v="6"/>
    <m/>
    <x v="2"/>
    <x v="0"/>
    <s v="France"/>
    <n v="48.864716000000001"/>
    <n v="2.3490139999999999"/>
    <s v="ok"/>
    <s v="ok"/>
    <s v="ok"/>
    <s v="ok"/>
    <s v="ok"/>
    <x v="0"/>
    <n v="3.4645405554911122"/>
  </r>
  <r>
    <x v="2"/>
    <n v="2578"/>
    <x v="2"/>
    <x v="2"/>
    <x v="0"/>
    <s v="2nd line support"/>
    <x v="5"/>
    <x v="1241"/>
    <d v="2023-07-11T21:04:00"/>
    <d v="2023-07-10T21:06:00"/>
    <d v="2023-07-10T21:05:41"/>
    <s v="Within SLA"/>
    <d v="2023-07-11T01:00:14"/>
    <x v="0"/>
    <m/>
    <n v="6"/>
    <m/>
    <x v="1"/>
    <x v="1"/>
    <s v="United Kingdom"/>
    <n v="55.378051999999997"/>
    <n v="-3.4359730000000002"/>
    <s v="ok"/>
    <s v="ok"/>
    <s v="ok"/>
    <s v="ok"/>
    <s v="ok"/>
    <x v="0"/>
    <n v="3.9372955554281361"/>
  </r>
  <r>
    <x v="2"/>
    <n v="2579"/>
    <x v="0"/>
    <x v="0"/>
    <x v="1"/>
    <s v="1st line support"/>
    <x v="6"/>
    <x v="1242"/>
    <d v="2023-07-12T07:54:18"/>
    <d v="2023-07-10T08:54:18"/>
    <d v="2023-07-10T08:16:31"/>
    <s v="Within SLA"/>
    <d v="2023-07-11T01:19:09"/>
    <x v="0"/>
    <m/>
    <n v="3"/>
    <m/>
    <x v="1"/>
    <x v="0"/>
    <s v="United Kingdom"/>
    <n v="55.378051999999997"/>
    <n v="-3.4359730000000002"/>
    <s v="ok"/>
    <s v="ok"/>
    <s v="ok"/>
    <s v="ok"/>
    <s v="ok"/>
    <x v="0"/>
    <n v="17.414054999942891"/>
  </r>
  <r>
    <x v="2"/>
    <n v="2580"/>
    <x v="2"/>
    <x v="0"/>
    <x v="0"/>
    <s v="1st line support"/>
    <x v="0"/>
    <x v="1243"/>
    <d v="2023-07-12T11:07:20"/>
    <d v="2023-07-10T12:07:20"/>
    <d v="2023-07-10T11:44:31"/>
    <s v="Within SLA"/>
    <d v="2023-07-15T19:27:58"/>
    <x v="1"/>
    <m/>
    <n v="2"/>
    <m/>
    <x v="2"/>
    <x v="0"/>
    <s v="Germany"/>
    <n v="51.165691000000002"/>
    <n v="10.451525999999999"/>
    <s v="ok"/>
    <s v="ok"/>
    <s v="ok"/>
    <s v="ok"/>
    <s v="ok"/>
    <x v="0"/>
    <n v="128.34400111116702"/>
  </r>
  <r>
    <x v="1"/>
    <n v="2581"/>
    <x v="1"/>
    <x v="2"/>
    <x v="6"/>
    <s v="1st line support"/>
    <x v="3"/>
    <x v="1244"/>
    <d v="2023-07-12T10:05:38"/>
    <d v="2023-07-11T10:07:38"/>
    <d v="2023-07-11T10:06:23"/>
    <s v="Within SLA"/>
    <m/>
    <x v="1"/>
    <m/>
    <n v="2"/>
    <m/>
    <x v="3"/>
    <x v="0"/>
    <s v="Italy"/>
    <n v="43.036776000000003"/>
    <n v="12.678565000000001"/>
    <s v="ok"/>
    <s v="ok"/>
    <s v="ok"/>
    <s v="ok"/>
    <s v="ok"/>
    <x v="1"/>
    <s v=""/>
  </r>
  <r>
    <x v="2"/>
    <n v="2582"/>
    <x v="0"/>
    <x v="0"/>
    <x v="2"/>
    <s v="2nd line support"/>
    <x v="5"/>
    <x v="1245"/>
    <d v="2023-07-13T05:02:47"/>
    <d v="2023-07-11T06:02:47"/>
    <d v="2023-07-11T05:05:15"/>
    <s v="Within SLA"/>
    <d v="2023-07-12T15:21:49"/>
    <x v="0"/>
    <m/>
    <n v="10"/>
    <m/>
    <x v="0"/>
    <x v="1"/>
    <s v="Germany"/>
    <n v="51.165691000000002"/>
    <n v="10.451525999999999"/>
    <s v="ok"/>
    <s v="ok"/>
    <s v="ok"/>
    <s v="ok"/>
    <s v="ok"/>
    <x v="0"/>
    <n v="34.317353055404965"/>
  </r>
  <r>
    <x v="0"/>
    <n v="2583"/>
    <x v="1"/>
    <x v="2"/>
    <x v="2"/>
    <s v="1st line support"/>
    <x v="4"/>
    <x v="1246"/>
    <d v="2023-07-12T21:40:15"/>
    <d v="2023-07-11T21:42:15"/>
    <d v="2023-07-11T21:40:52"/>
    <s v="Within SLA"/>
    <d v="2023-07-12T13:40:37"/>
    <x v="0"/>
    <d v="2023-07-17T08:31:21"/>
    <n v="5"/>
    <n v="2"/>
    <x v="1"/>
    <x v="0"/>
    <s v="Spain"/>
    <n v="39.673369999999998"/>
    <n v="-4.7677259999999997"/>
    <s v="ok"/>
    <s v="ok"/>
    <s v="ok"/>
    <s v="ok"/>
    <s v="ok"/>
    <x v="0"/>
    <n v="16.00619777769316"/>
  </r>
  <r>
    <x v="0"/>
    <n v="2584"/>
    <x v="2"/>
    <x v="0"/>
    <x v="2"/>
    <s v="2nd line support"/>
    <x v="7"/>
    <x v="1247"/>
    <d v="2023-07-13T22:04:08"/>
    <d v="2023-07-11T23:04:08"/>
    <d v="2023-07-11T23:02:17"/>
    <s v="Within SLA"/>
    <d v="2023-07-12T22:56:27"/>
    <x v="0"/>
    <d v="2023-07-16T03:10:26"/>
    <n v="10"/>
    <n v="3"/>
    <x v="1"/>
    <x v="1"/>
    <s v="France"/>
    <n v="48.864716000000001"/>
    <n v="2.3490139999999999"/>
    <s v="ok"/>
    <s v="ok"/>
    <s v="ok"/>
    <s v="ok"/>
    <s v="ok"/>
    <x v="0"/>
    <n v="24.871985277801286"/>
  </r>
  <r>
    <x v="0"/>
    <n v="2585"/>
    <x v="0"/>
    <x v="1"/>
    <x v="0"/>
    <s v="1st line support"/>
    <x v="4"/>
    <x v="1248"/>
    <d v="2023-07-13T00:09:17"/>
    <d v="2023-07-11T00:11:17"/>
    <d v="2023-07-11T00:11:07"/>
    <s v="Within SLA"/>
    <d v="2023-07-12T07:52:55"/>
    <x v="0"/>
    <d v="2023-07-13T23:59:11"/>
    <n v="4"/>
    <n v="2"/>
    <x v="2"/>
    <x v="0"/>
    <s v="Germany"/>
    <n v="51.165691000000002"/>
    <n v="10.451525999999999"/>
    <s v="ok"/>
    <s v="ok"/>
    <s v="ok"/>
    <s v="ok"/>
    <s v="ok"/>
    <x v="0"/>
    <n v="31.727354999980889"/>
  </r>
  <r>
    <x v="2"/>
    <n v="2586"/>
    <x v="2"/>
    <x v="2"/>
    <x v="0"/>
    <s v="1st line support"/>
    <x v="3"/>
    <x v="1249"/>
    <d v="2023-07-12T01:59:56"/>
    <d v="2023-07-11T02:01:56"/>
    <d v="2023-07-11T02:01:37"/>
    <s v="Within SLA"/>
    <d v="2023-07-16T21:10:37"/>
    <x v="1"/>
    <m/>
    <n v="3"/>
    <m/>
    <x v="2"/>
    <x v="0"/>
    <s v="Germany"/>
    <n v="51.165691000000002"/>
    <n v="10.451525999999999"/>
    <s v="ok"/>
    <s v="ok"/>
    <s v="ok"/>
    <s v="ok"/>
    <s v="ok"/>
    <x v="0"/>
    <n v="139.17819083336508"/>
  </r>
  <r>
    <x v="0"/>
    <n v="2587"/>
    <x v="0"/>
    <x v="0"/>
    <x v="5"/>
    <s v="1st line support"/>
    <x v="3"/>
    <x v="1250"/>
    <d v="2023-07-13T04:59:45"/>
    <d v="2023-07-11T05:59:45"/>
    <d v="2023-07-11T05:33:15"/>
    <s v="Within SLA"/>
    <d v="2023-07-12T19:18:22"/>
    <x v="0"/>
    <d v="2023-07-17T09:49:02"/>
    <n v="5"/>
    <n v="3"/>
    <x v="0"/>
    <x v="0"/>
    <s v="Poland"/>
    <n v="52.536273000000001"/>
    <n v="19.050639"/>
    <s v="ok"/>
    <s v="ok"/>
    <s v="ok"/>
    <s v="ok"/>
    <s v="ok"/>
    <x v="0"/>
    <n v="38.31018027785467"/>
  </r>
  <r>
    <x v="1"/>
    <n v="2588"/>
    <x v="2"/>
    <x v="0"/>
    <x v="1"/>
    <s v="1st line support"/>
    <x v="4"/>
    <x v="1251"/>
    <d v="2023-07-13T01:35:33"/>
    <d v="2023-07-11T02:35:33"/>
    <d v="2023-07-11T02:27:02"/>
    <s v="Within SLA"/>
    <m/>
    <x v="1"/>
    <m/>
    <n v="10"/>
    <m/>
    <x v="0"/>
    <x v="0"/>
    <s v="Slovenia"/>
    <n v="46.149166399999999"/>
    <n v="14.9860106"/>
    <s v="ok"/>
    <s v="ok"/>
    <s v="ok"/>
    <s v="ok"/>
    <s v="ok"/>
    <x v="1"/>
    <s v=""/>
  </r>
  <r>
    <x v="2"/>
    <n v="2589"/>
    <x v="0"/>
    <x v="2"/>
    <x v="0"/>
    <s v="1st line support"/>
    <x v="2"/>
    <x v="1252"/>
    <d v="2023-07-12T03:05:44"/>
    <d v="2023-07-11T03:07:44"/>
    <d v="2023-07-11T03:06:30"/>
    <s v="Within SLA"/>
    <d v="2023-07-11T12:47:02"/>
    <x v="0"/>
    <m/>
    <n v="6"/>
    <m/>
    <x v="2"/>
    <x v="0"/>
    <s v="Germany"/>
    <n v="51.165691000000002"/>
    <n v="10.451525999999999"/>
    <s v="ok"/>
    <s v="ok"/>
    <s v="ok"/>
    <s v="ok"/>
    <s v="ok"/>
    <x v="0"/>
    <n v="9.6883544444572181"/>
  </r>
  <r>
    <x v="0"/>
    <n v="2590"/>
    <x v="2"/>
    <x v="0"/>
    <x v="3"/>
    <s v="1st line support"/>
    <x v="4"/>
    <x v="1253"/>
    <d v="2023-07-14T16:05:06"/>
    <d v="2023-07-12T17:05:06"/>
    <d v="2023-07-12T16:59:40"/>
    <s v="Within SLA"/>
    <d v="2023-07-17T17:37:53"/>
    <x v="1"/>
    <d v="2023-07-18T05:59:39"/>
    <n v="2"/>
    <n v="3"/>
    <x v="0"/>
    <x v="0"/>
    <s v="France"/>
    <n v="48.864716000000001"/>
    <n v="2.3490139999999999"/>
    <s v="ok"/>
    <s v="ok"/>
    <s v="ok"/>
    <s v="ok"/>
    <s v="ok"/>
    <x v="0"/>
    <n v="121.54644638876198"/>
  </r>
  <r>
    <x v="1"/>
    <n v="2591"/>
    <x v="0"/>
    <x v="0"/>
    <x v="2"/>
    <s v="1st line support"/>
    <x v="2"/>
    <x v="1254"/>
    <d v="2023-07-14T07:32:06"/>
    <d v="2023-07-12T08:32:06"/>
    <d v="2023-07-12T07:51:02"/>
    <s v="Within SLA"/>
    <m/>
    <x v="1"/>
    <m/>
    <n v="9"/>
    <m/>
    <x v="2"/>
    <x v="0"/>
    <s v="Germany"/>
    <n v="51.165691000000002"/>
    <n v="10.451525999999999"/>
    <s v="ok"/>
    <s v="ok"/>
    <s v="ok"/>
    <s v="ok"/>
    <s v="ok"/>
    <x v="1"/>
    <s v=""/>
  </r>
  <r>
    <x v="0"/>
    <n v="2592"/>
    <x v="0"/>
    <x v="2"/>
    <x v="1"/>
    <s v="1st line support"/>
    <x v="2"/>
    <x v="1255"/>
    <d v="2023-07-13T16:04:48"/>
    <d v="2023-07-12T16:06:48"/>
    <d v="2023-07-12T16:07:27"/>
    <s v="SLA Violated"/>
    <d v="2023-07-12T17:09:45"/>
    <x v="0"/>
    <d v="2023-07-15T07:06:54"/>
    <n v="6"/>
    <n v="3"/>
    <x v="2"/>
    <x v="0"/>
    <s v="United Kingdom"/>
    <n v="55.378051999999997"/>
    <n v="-3.4359730000000002"/>
    <s v="ok"/>
    <s v="ok"/>
    <s v="ok"/>
    <s v="ok"/>
    <s v="ok"/>
    <x v="0"/>
    <n v="1.0825902778306045"/>
  </r>
  <r>
    <x v="0"/>
    <n v="2593"/>
    <x v="0"/>
    <x v="2"/>
    <x v="3"/>
    <s v="2nd line support"/>
    <x v="5"/>
    <x v="1256"/>
    <d v="2023-07-13T04:04:43"/>
    <d v="2023-07-12T04:06:43"/>
    <d v="2023-07-12T04:06:17"/>
    <s v="Within SLA"/>
    <d v="2023-07-12T13:15:22"/>
    <x v="0"/>
    <d v="2023-07-12T21:56:30"/>
    <n v="4"/>
    <n v="4"/>
    <x v="2"/>
    <x v="1"/>
    <s v="Italy"/>
    <n v="43.036776000000003"/>
    <n v="12.678565000000001"/>
    <s v="ok"/>
    <s v="ok"/>
    <s v="ok"/>
    <s v="ok"/>
    <s v="ok"/>
    <x v="0"/>
    <n v="9.1774544444633648"/>
  </r>
  <r>
    <x v="1"/>
    <n v="2594"/>
    <x v="2"/>
    <x v="0"/>
    <x v="2"/>
    <s v="1st line support"/>
    <x v="3"/>
    <x v="1257"/>
    <d v="2023-07-14T17:46:44"/>
    <d v="2023-07-12T18:46:44"/>
    <d v="2023-07-12T18:23:47"/>
    <s v="Within SLA"/>
    <m/>
    <x v="1"/>
    <m/>
    <n v="1"/>
    <m/>
    <x v="2"/>
    <x v="0"/>
    <s v="United Kingdom"/>
    <n v="55.378051999999997"/>
    <n v="-3.4359730000000002"/>
    <s v="ok"/>
    <s v="ok"/>
    <s v="ok"/>
    <s v="ok"/>
    <s v="ok"/>
    <x v="1"/>
    <s v=""/>
  </r>
  <r>
    <x v="0"/>
    <n v="2595"/>
    <x v="0"/>
    <x v="2"/>
    <x v="3"/>
    <s v="1st line support"/>
    <x v="2"/>
    <x v="1258"/>
    <d v="2023-07-13T20:49:18"/>
    <d v="2023-07-12T20:51:18"/>
    <d v="2023-07-12T20:50:52"/>
    <s v="Within SLA"/>
    <d v="2023-07-13T11:18:21"/>
    <x v="0"/>
    <d v="2023-07-13T17:39:13"/>
    <n v="6"/>
    <n v="3"/>
    <x v="2"/>
    <x v="0"/>
    <s v="Poland"/>
    <n v="52.536273000000001"/>
    <n v="19.050639"/>
    <s v="ok"/>
    <s v="ok"/>
    <s v="ok"/>
    <s v="ok"/>
    <s v="ok"/>
    <x v="0"/>
    <n v="14.484052499989048"/>
  </r>
  <r>
    <x v="0"/>
    <n v="2596"/>
    <x v="2"/>
    <x v="1"/>
    <x v="3"/>
    <s v="1st line support"/>
    <x v="6"/>
    <x v="1259"/>
    <d v="2023-07-14T21:28:34"/>
    <d v="2023-07-12T21:30:34"/>
    <d v="2023-07-12T21:29:29"/>
    <s v="Within SLA"/>
    <d v="2023-07-18T11:17:15"/>
    <x v="1"/>
    <d v="2023-07-19T17:28:29"/>
    <n v="3"/>
    <n v="4"/>
    <x v="2"/>
    <x v="0"/>
    <s v="Italy"/>
    <n v="43.036776000000003"/>
    <n v="12.678565000000001"/>
    <s v="ok"/>
    <s v="ok"/>
    <s v="ok"/>
    <s v="ok"/>
    <s v="ok"/>
    <x v="0"/>
    <n v="133.81132666667691"/>
  </r>
  <r>
    <x v="0"/>
    <n v="2597"/>
    <x v="2"/>
    <x v="2"/>
    <x v="0"/>
    <s v="1st line support"/>
    <x v="4"/>
    <x v="1260"/>
    <d v="2023-07-13T15:40:30"/>
    <d v="2023-07-12T15:42:30"/>
    <d v="2023-07-12T15:42:15"/>
    <s v="Within SLA"/>
    <d v="2023-07-13T01:03:49"/>
    <x v="0"/>
    <d v="2023-07-13T11:11:54"/>
    <n v="3"/>
    <n v="4"/>
    <x v="2"/>
    <x v="0"/>
    <s v="Slovenia"/>
    <n v="46.149166399999999"/>
    <n v="14.9860106"/>
    <s v="ok"/>
    <s v="ok"/>
    <s v="ok"/>
    <s v="ok"/>
    <s v="ok"/>
    <x v="0"/>
    <n v="9.3885263889678754"/>
  </r>
  <r>
    <x v="2"/>
    <n v="2598"/>
    <x v="0"/>
    <x v="2"/>
    <x v="0"/>
    <s v="1st line support"/>
    <x v="4"/>
    <x v="1261"/>
    <d v="2023-07-13T17:30:29"/>
    <d v="2023-07-12T17:32:29"/>
    <d v="2023-07-12T17:34:43"/>
    <s v="SLA Violated"/>
    <d v="2023-07-12T22:31:55"/>
    <x v="0"/>
    <m/>
    <n v="60"/>
    <m/>
    <x v="2"/>
    <x v="0"/>
    <s v="United Kingdom"/>
    <n v="55.378051999999997"/>
    <n v="-3.4359730000000002"/>
    <s v="ok"/>
    <s v="ok"/>
    <s v="ok"/>
    <s v="ok"/>
    <s v="ok"/>
    <x v="0"/>
    <n v="5.0239005555049516"/>
  </r>
  <r>
    <x v="1"/>
    <n v="2599"/>
    <x v="1"/>
    <x v="1"/>
    <x v="1"/>
    <s v="1st line support"/>
    <x v="3"/>
    <x v="1262"/>
    <d v="2023-07-15T17:14:29"/>
    <d v="2023-07-13T17:16:29"/>
    <d v="2023-07-13T17:15:07"/>
    <s v="Within SLA"/>
    <m/>
    <x v="1"/>
    <m/>
    <n v="2"/>
    <m/>
    <x v="3"/>
    <x v="0"/>
    <s v="Germany"/>
    <n v="51.165691000000002"/>
    <n v="10.451525999999999"/>
    <s v="ok"/>
    <s v="ok"/>
    <s v="ok"/>
    <s v="ok"/>
    <s v="ok"/>
    <x v="1"/>
    <s v=""/>
  </r>
  <r>
    <x v="2"/>
    <n v="2600"/>
    <x v="2"/>
    <x v="1"/>
    <x v="3"/>
    <s v="2nd line support"/>
    <x v="1"/>
    <x v="1263"/>
    <d v="2023-07-15T07:02:40"/>
    <d v="2023-07-13T07:04:40"/>
    <d v="2023-07-13T07:04:07"/>
    <s v="Within SLA"/>
    <d v="2023-07-13T21:58:45"/>
    <x v="0"/>
    <m/>
    <n v="1"/>
    <m/>
    <x v="0"/>
    <x v="1"/>
    <s v="Poland"/>
    <n v="52.536273000000001"/>
    <n v="19.050639"/>
    <s v="ok"/>
    <s v="ok"/>
    <s v="ok"/>
    <s v="ok"/>
    <s v="ok"/>
    <x v="0"/>
    <n v="14.934603055589832"/>
  </r>
  <r>
    <x v="0"/>
    <n v="2601"/>
    <x v="2"/>
    <x v="2"/>
    <x v="5"/>
    <s v="1st line support"/>
    <x v="2"/>
    <x v="1264"/>
    <d v="2023-07-14T07:09:10"/>
    <d v="2023-07-13T07:11:10"/>
    <d v="2023-07-13T07:09:20"/>
    <s v="Within SLA"/>
    <d v="2023-07-13T20:38:04"/>
    <x v="0"/>
    <d v="2023-07-18T15:56:35"/>
    <n v="6"/>
    <n v="3"/>
    <x v="3"/>
    <x v="0"/>
    <s v="United Kingdom"/>
    <n v="55.378051999999997"/>
    <n v="-3.4359730000000002"/>
    <s v="ok"/>
    <s v="ok"/>
    <s v="ok"/>
    <s v="ok"/>
    <s v="ok"/>
    <x v="0"/>
    <n v="13.481758333335165"/>
  </r>
  <r>
    <x v="0"/>
    <n v="2602"/>
    <x v="2"/>
    <x v="2"/>
    <x v="3"/>
    <s v="1st line support"/>
    <x v="3"/>
    <x v="1265"/>
    <d v="2023-07-14T05:54:51"/>
    <d v="2023-07-13T05:56:51"/>
    <d v="2023-07-13T05:56:39"/>
    <s v="Within SLA"/>
    <d v="2023-07-18T17:20:27"/>
    <x v="1"/>
    <d v="2023-07-19T16:02:10"/>
    <n v="6"/>
    <n v="4"/>
    <x v="2"/>
    <x v="0"/>
    <s v="Bulgaria"/>
    <n v="42.724992499999999"/>
    <n v="25.483303899999999"/>
    <s v="ok"/>
    <s v="ok"/>
    <s v="ok"/>
    <s v="ok"/>
    <s v="ok"/>
    <x v="0"/>
    <n v="131.42653416667599"/>
  </r>
  <r>
    <x v="2"/>
    <n v="2603"/>
    <x v="2"/>
    <x v="0"/>
    <x v="2"/>
    <s v="1st line support"/>
    <x v="2"/>
    <x v="1266"/>
    <d v="2023-07-15T10:58:35"/>
    <d v="2023-07-13T11:58:35"/>
    <d v="2023-07-13T11:22:47"/>
    <s v="Within SLA"/>
    <d v="2023-07-14T13:21:05"/>
    <x v="0"/>
    <m/>
    <n v="1"/>
    <m/>
    <x v="2"/>
    <x v="0"/>
    <s v="Poland"/>
    <n v="52.536273000000001"/>
    <n v="19.050639"/>
    <s v="ok"/>
    <s v="ok"/>
    <s v="ok"/>
    <s v="ok"/>
    <s v="ok"/>
    <x v="0"/>
    <n v="26.375053055584431"/>
  </r>
  <r>
    <x v="1"/>
    <n v="2604"/>
    <x v="1"/>
    <x v="0"/>
    <x v="4"/>
    <s v="2nd line support"/>
    <x v="1"/>
    <x v="1267"/>
    <d v="2023-07-16T16:19:04"/>
    <d v="2023-07-14T17:19:04"/>
    <d v="2023-07-14T16:33:49"/>
    <s v="Within SLA"/>
    <m/>
    <x v="1"/>
    <m/>
    <n v="10"/>
    <m/>
    <x v="2"/>
    <x v="1"/>
    <s v="Poland"/>
    <n v="52.536273000000001"/>
    <n v="19.050639"/>
    <s v="ok"/>
    <s v="ok"/>
    <s v="ok"/>
    <s v="ok"/>
    <s v="ok"/>
    <x v="1"/>
    <s v=""/>
  </r>
  <r>
    <x v="0"/>
    <n v="2605"/>
    <x v="0"/>
    <x v="2"/>
    <x v="0"/>
    <s v="2nd line support"/>
    <x v="5"/>
    <x v="1268"/>
    <d v="2023-07-15T19:58:41"/>
    <d v="2023-07-14T20:00:41"/>
    <d v="2023-07-14T19:58:50"/>
    <s v="Within SLA"/>
    <d v="2023-07-15T12:07:10"/>
    <x v="0"/>
    <d v="2023-07-17T01:17:42"/>
    <n v="6"/>
    <n v="4"/>
    <x v="1"/>
    <x v="1"/>
    <s v="Poland"/>
    <n v="52.536273000000001"/>
    <n v="19.050639"/>
    <s v="ok"/>
    <s v="ok"/>
    <s v="ok"/>
    <s v="ok"/>
    <s v="ok"/>
    <x v="0"/>
    <n v="16.141381666646339"/>
  </r>
  <r>
    <x v="0"/>
    <n v="2606"/>
    <x v="2"/>
    <x v="2"/>
    <x v="3"/>
    <s v="1st line support"/>
    <x v="4"/>
    <x v="1269"/>
    <d v="2023-07-15T17:35:23"/>
    <d v="2023-07-14T17:37:23"/>
    <d v="2023-07-14T17:36:13"/>
    <s v="Within SLA"/>
    <d v="2023-07-15T17:01:49"/>
    <x v="0"/>
    <d v="2023-07-20T21:37:07"/>
    <n v="2"/>
    <n v="4"/>
    <x v="0"/>
    <x v="0"/>
    <s v="United Kingdom"/>
    <n v="55.378051999999997"/>
    <n v="-3.4359730000000002"/>
    <s v="ok"/>
    <s v="ok"/>
    <s v="ok"/>
    <s v="ok"/>
    <s v="ok"/>
    <x v="0"/>
    <n v="23.440678611164913"/>
  </r>
  <r>
    <x v="0"/>
    <n v="2607"/>
    <x v="0"/>
    <x v="2"/>
    <x v="0"/>
    <s v="1st line support"/>
    <x v="0"/>
    <x v="1270"/>
    <d v="2023-07-15T17:14:34"/>
    <d v="2023-07-14T17:16:34"/>
    <d v="2023-07-14T17:16:57"/>
    <s v="SLA Violated"/>
    <d v="2023-07-15T03:26:57"/>
    <x v="0"/>
    <d v="2023-07-21T12:07:51"/>
    <n v="7"/>
    <n v="4"/>
    <x v="2"/>
    <x v="0"/>
    <s v="United Kingdom"/>
    <n v="55.378051999999997"/>
    <n v="-3.4359730000000002"/>
    <s v="ok"/>
    <s v="ok"/>
    <s v="ok"/>
    <s v="ok"/>
    <s v="ok"/>
    <x v="0"/>
    <n v="10.206255277676973"/>
  </r>
  <r>
    <x v="2"/>
    <n v="2608"/>
    <x v="0"/>
    <x v="0"/>
    <x v="1"/>
    <s v="1st line support"/>
    <x v="6"/>
    <x v="1271"/>
    <d v="2023-07-16T13:34:59"/>
    <d v="2023-07-14T14:34:59"/>
    <d v="2023-07-14T14:11:28"/>
    <s v="Within SLA"/>
    <d v="2023-07-18T08:29:56"/>
    <x v="1"/>
    <m/>
    <n v="10"/>
    <m/>
    <x v="0"/>
    <x v="0"/>
    <s v="Slovenia"/>
    <n v="46.149166399999999"/>
    <n v="14.9860106"/>
    <s v="ok"/>
    <s v="ok"/>
    <s v="ok"/>
    <s v="ok"/>
    <s v="ok"/>
    <x v="0"/>
    <n v="90.915744444471784"/>
  </r>
  <r>
    <x v="1"/>
    <n v="2610"/>
    <x v="2"/>
    <x v="0"/>
    <x v="1"/>
    <s v="1st line support"/>
    <x v="3"/>
    <x v="1272"/>
    <d v="2023-07-16T22:52:14"/>
    <d v="2023-07-14T23:52:14"/>
    <d v="2023-07-14T23:10:30"/>
    <s v="Within SLA"/>
    <m/>
    <x v="1"/>
    <m/>
    <n v="10"/>
    <m/>
    <x v="3"/>
    <x v="0"/>
    <s v="United Kingdom"/>
    <n v="55.378051999999997"/>
    <n v="-3.4359730000000002"/>
    <s v="ok"/>
    <s v="ok"/>
    <s v="ok"/>
    <s v="ok"/>
    <s v="ok"/>
    <x v="1"/>
    <s v=""/>
  </r>
  <r>
    <x v="2"/>
    <n v="2611"/>
    <x v="0"/>
    <x v="0"/>
    <x v="3"/>
    <s v="1st line support"/>
    <x v="2"/>
    <x v="1273"/>
    <d v="2023-07-16T11:31:32"/>
    <d v="2023-07-14T12:31:32"/>
    <d v="2023-07-14T15:46:26"/>
    <s v="SLA Violated"/>
    <d v="2023-07-15T10:58:56"/>
    <x v="0"/>
    <m/>
    <n v="2"/>
    <m/>
    <x v="2"/>
    <x v="0"/>
    <s v="Greece"/>
    <n v="39.368279000000001"/>
    <n v="21.863140999999999"/>
    <s v="ok"/>
    <s v="ok"/>
    <s v="ok"/>
    <s v="ok"/>
    <s v="ok"/>
    <x v="0"/>
    <n v="23.456578888872173"/>
  </r>
  <r>
    <x v="0"/>
    <n v="2612"/>
    <x v="0"/>
    <x v="2"/>
    <x v="0"/>
    <s v="1st line support"/>
    <x v="6"/>
    <x v="1274"/>
    <d v="2023-07-15T03:21:31"/>
    <d v="2023-07-14T03:23:31"/>
    <d v="2023-07-14T03:23:00"/>
    <s v="Within SLA"/>
    <d v="2023-07-18T12:04:34"/>
    <x v="1"/>
    <d v="2023-07-20T01:00:09"/>
    <n v="6"/>
    <n v="4"/>
    <x v="2"/>
    <x v="0"/>
    <s v="France"/>
    <n v="48.864716000000001"/>
    <n v="2.3490139999999999"/>
    <s v="ok"/>
    <s v="ok"/>
    <s v="ok"/>
    <s v="ok"/>
    <s v="ok"/>
    <x v="0"/>
    <n v="104.71743055555271"/>
  </r>
  <r>
    <x v="0"/>
    <n v="2613"/>
    <x v="2"/>
    <x v="0"/>
    <x v="2"/>
    <s v="1st line support"/>
    <x v="2"/>
    <x v="1275"/>
    <d v="2023-07-16T08:22:07"/>
    <d v="2023-07-14T09:22:07"/>
    <d v="2023-07-14T08:45:18"/>
    <s v="Within SLA"/>
    <d v="2023-07-14T15:32:52"/>
    <x v="0"/>
    <d v="2023-07-19T22:37:43"/>
    <n v="2"/>
    <n v="3"/>
    <x v="1"/>
    <x v="0"/>
    <s v="United Kingdom"/>
    <n v="55.378051999999997"/>
    <n v="-3.4359730000000002"/>
    <s v="ok"/>
    <s v="ok"/>
    <s v="ok"/>
    <s v="ok"/>
    <s v="ok"/>
    <x v="0"/>
    <n v="7.1791330556734465"/>
  </r>
  <r>
    <x v="2"/>
    <n v="2619"/>
    <x v="0"/>
    <x v="0"/>
    <x v="1"/>
    <s v="1st line support"/>
    <x v="0"/>
    <x v="1276"/>
    <d v="2023-07-17T12:50:12"/>
    <d v="2023-07-15T13:50:12"/>
    <d v="2023-07-15T13:16:26"/>
    <s v="Within SLA"/>
    <d v="2023-07-19T19:58:23"/>
    <x v="1"/>
    <m/>
    <n v="2"/>
    <m/>
    <x v="1"/>
    <x v="0"/>
    <s v="Italy"/>
    <n v="43.036776000000003"/>
    <n v="12.678565000000001"/>
    <s v="ok"/>
    <s v="ok"/>
    <s v="ok"/>
    <s v="ok"/>
    <s v="ok"/>
    <x v="0"/>
    <n v="103.136509166623"/>
  </r>
  <r>
    <x v="1"/>
    <n v="2620"/>
    <x v="0"/>
    <x v="0"/>
    <x v="3"/>
    <s v="1st line support"/>
    <x v="6"/>
    <x v="1277"/>
    <d v="2023-07-17T14:25:25"/>
    <d v="2023-07-15T15:25:25"/>
    <d v="2023-07-15T14:58:47"/>
    <s v="Within SLA"/>
    <m/>
    <x v="1"/>
    <m/>
    <n v="2"/>
    <m/>
    <x v="2"/>
    <x v="0"/>
    <s v="Poland"/>
    <n v="52.536273000000001"/>
    <n v="19.050639"/>
    <s v="ok"/>
    <s v="ok"/>
    <s v="ok"/>
    <s v="ok"/>
    <s v="ok"/>
    <x v="1"/>
    <s v=""/>
  </r>
  <r>
    <x v="0"/>
    <n v="2621"/>
    <x v="0"/>
    <x v="2"/>
    <x v="1"/>
    <s v="2nd line support"/>
    <x v="7"/>
    <x v="1278"/>
    <d v="2023-07-16T23:31:21"/>
    <d v="2023-07-15T23:33:21"/>
    <d v="2023-07-15T23:32:29"/>
    <s v="Within SLA"/>
    <d v="2023-07-16T20:19:54"/>
    <x v="0"/>
    <d v="2023-07-21T12:05:19"/>
    <n v="6"/>
    <n v="3"/>
    <x v="3"/>
    <x v="1"/>
    <s v="Germany"/>
    <n v="51.165691000000002"/>
    <n v="10.451525999999999"/>
    <s v="ok"/>
    <s v="ok"/>
    <s v="ok"/>
    <s v="ok"/>
    <s v="ok"/>
    <x v="0"/>
    <n v="20.809283611073624"/>
  </r>
  <r>
    <x v="0"/>
    <n v="2622"/>
    <x v="2"/>
    <x v="0"/>
    <x v="5"/>
    <s v="1st line support"/>
    <x v="0"/>
    <x v="1279"/>
    <d v="2023-07-18T21:55:32"/>
    <d v="2023-07-16T22:55:32"/>
    <d v="2023-07-16T22:04:17"/>
    <s v="Within SLA"/>
    <d v="2023-07-17T13:43:45"/>
    <x v="0"/>
    <d v="2023-07-18T05:45:02"/>
    <n v="2"/>
    <n v="4"/>
    <x v="2"/>
    <x v="0"/>
    <s v="Italy"/>
    <n v="43.036776000000003"/>
    <n v="12.678565000000001"/>
    <s v="ok"/>
    <s v="ok"/>
    <s v="ok"/>
    <s v="ok"/>
    <s v="ok"/>
    <x v="0"/>
    <n v="15.803476388915442"/>
  </r>
  <r>
    <x v="0"/>
    <n v="2632"/>
    <x v="2"/>
    <x v="2"/>
    <x v="4"/>
    <s v="1st line support"/>
    <x v="3"/>
    <x v="1280"/>
    <d v="2023-07-17T17:54:40"/>
    <d v="2023-07-16T17:56:40"/>
    <d v="2023-07-16T17:55:43"/>
    <s v="Within SLA"/>
    <d v="2023-07-18T07:55:55"/>
    <x v="1"/>
    <d v="2023-07-20T05:55:41"/>
    <n v="3"/>
    <n v="5"/>
    <x v="0"/>
    <x v="0"/>
    <s v="Italy"/>
    <n v="43.036776000000003"/>
    <n v="12.678565000000001"/>
    <s v="ok"/>
    <s v="ok"/>
    <s v="ok"/>
    <s v="ok"/>
    <s v="ok"/>
    <x v="0"/>
    <n v="38.020857499970589"/>
  </r>
  <r>
    <x v="0"/>
    <n v="2633"/>
    <x v="0"/>
    <x v="0"/>
    <x v="2"/>
    <s v="1st line support"/>
    <x v="3"/>
    <x v="1281"/>
    <d v="2023-07-19T12:33:06"/>
    <d v="2023-07-17T13:33:06"/>
    <d v="2023-07-17T13:08:24"/>
    <s v="Within SLA"/>
    <d v="2023-07-17T17:04:48"/>
    <x v="0"/>
    <d v="2023-07-21T10:49:04"/>
    <n v="9"/>
    <n v="3"/>
    <x v="1"/>
    <x v="0"/>
    <s v="Slovenia"/>
    <n v="46.149166399999999"/>
    <n v="14.9860106"/>
    <s v="ok"/>
    <s v="ok"/>
    <s v="ok"/>
    <s v="ok"/>
    <s v="ok"/>
    <x v="0"/>
    <n v="4.5284263888606802"/>
  </r>
  <r>
    <x v="1"/>
    <n v="2634"/>
    <x v="2"/>
    <x v="2"/>
    <x v="2"/>
    <s v="1st line support"/>
    <x v="3"/>
    <x v="1282"/>
    <d v="2023-07-18T13:46:45"/>
    <d v="2023-07-17T13:48:45"/>
    <d v="2023-07-17T13:48:07"/>
    <s v="Within SLA"/>
    <m/>
    <x v="1"/>
    <m/>
    <n v="9"/>
    <m/>
    <x v="2"/>
    <x v="0"/>
    <s v="Poland"/>
    <n v="52.536273000000001"/>
    <n v="19.050639"/>
    <s v="ok"/>
    <s v="ok"/>
    <s v="ok"/>
    <s v="ok"/>
    <s v="ok"/>
    <x v="1"/>
    <s v=""/>
  </r>
  <r>
    <x v="1"/>
    <n v="2635"/>
    <x v="1"/>
    <x v="0"/>
    <x v="1"/>
    <s v="1st line support"/>
    <x v="4"/>
    <x v="1283"/>
    <d v="2023-07-19T09:30:38"/>
    <d v="2023-07-17T10:30:38"/>
    <d v="2023-07-17T09:31:48"/>
    <s v="Within SLA"/>
    <m/>
    <x v="1"/>
    <m/>
    <n v="10"/>
    <m/>
    <x v="1"/>
    <x v="0"/>
    <s v="Greece"/>
    <n v="39.368279000000001"/>
    <n v="21.863140999999999"/>
    <s v="ok"/>
    <s v="ok"/>
    <s v="ok"/>
    <s v="ok"/>
    <s v="ok"/>
    <x v="1"/>
    <s v=""/>
  </r>
  <r>
    <x v="0"/>
    <n v="2636"/>
    <x v="2"/>
    <x v="0"/>
    <x v="1"/>
    <s v="2nd line support"/>
    <x v="1"/>
    <x v="1284"/>
    <d v="2023-07-19T21:54:07"/>
    <d v="2023-07-17T22:54:07"/>
    <d v="2023-07-17T22:08:27"/>
    <s v="Within SLA"/>
    <d v="2023-07-19T15:45:21"/>
    <x v="0"/>
    <d v="2023-07-19T21:17:00"/>
    <n v="7"/>
    <n v="3"/>
    <x v="2"/>
    <x v="1"/>
    <s v="Italy"/>
    <n v="43.036776000000003"/>
    <n v="12.678565000000001"/>
    <s v="ok"/>
    <s v="ok"/>
    <s v="ok"/>
    <s v="ok"/>
    <s v="ok"/>
    <x v="0"/>
    <n v="41.853915277635679"/>
  </r>
  <r>
    <x v="0"/>
    <n v="2637"/>
    <x v="0"/>
    <x v="0"/>
    <x v="3"/>
    <s v="2nd line support"/>
    <x v="1"/>
    <x v="1285"/>
    <d v="2023-07-19T04:29:36"/>
    <d v="2023-07-17T05:29:36"/>
    <d v="2023-07-17T04:52:33"/>
    <s v="Within SLA"/>
    <d v="2023-07-17T09:15:09"/>
    <x v="0"/>
    <d v="2023-07-23T05:05:39"/>
    <n v="2"/>
    <n v="5"/>
    <x v="3"/>
    <x v="1"/>
    <s v="Germany"/>
    <n v="51.165691000000002"/>
    <n v="10.451525999999999"/>
    <s v="ok"/>
    <s v="ok"/>
    <s v="ok"/>
    <s v="ok"/>
    <s v="ok"/>
    <x v="0"/>
    <n v="4.759180833294522"/>
  </r>
  <r>
    <x v="0"/>
    <n v="2638"/>
    <x v="0"/>
    <x v="0"/>
    <x v="1"/>
    <s v="1st line support"/>
    <x v="0"/>
    <x v="1286"/>
    <d v="2023-07-19T16:26:17"/>
    <d v="2023-07-17T17:26:17"/>
    <d v="2023-07-17T17:14:39"/>
    <s v="Within SLA"/>
    <d v="2023-07-23T08:26:17"/>
    <x v="1"/>
    <d v="2023-07-23T09:01:37"/>
    <n v="2"/>
    <n v="2"/>
    <x v="3"/>
    <x v="0"/>
    <s v="United Kingdom"/>
    <n v="55.378051999999997"/>
    <n v="-3.4359730000000002"/>
    <s v="ok"/>
    <s v="ok"/>
    <s v="ok"/>
    <s v="ok"/>
    <s v="ok"/>
    <x v="0"/>
    <n v="136.00011277775047"/>
  </r>
  <r>
    <x v="1"/>
    <n v="2639"/>
    <x v="2"/>
    <x v="0"/>
    <x v="1"/>
    <s v="1st line support"/>
    <x v="0"/>
    <x v="1287"/>
    <d v="2023-07-19T15:47:15"/>
    <d v="2023-07-17T16:47:15"/>
    <d v="2023-07-17T16:37:33"/>
    <s v="Within SLA"/>
    <m/>
    <x v="1"/>
    <m/>
    <n v="1"/>
    <m/>
    <x v="3"/>
    <x v="0"/>
    <s v="United Kingdom"/>
    <n v="55.378051999999997"/>
    <n v="-3.4359730000000002"/>
    <s v="ok"/>
    <s v="ok"/>
    <s v="ok"/>
    <s v="ok"/>
    <s v="ok"/>
    <x v="1"/>
    <s v=""/>
  </r>
  <r>
    <x v="1"/>
    <n v="2640"/>
    <x v="2"/>
    <x v="0"/>
    <x v="4"/>
    <s v="1st line support"/>
    <x v="0"/>
    <x v="1288"/>
    <d v="2023-07-19T14:31:34"/>
    <d v="2023-07-17T15:31:34"/>
    <d v="2023-07-17T15:12:37"/>
    <s v="Within SLA"/>
    <m/>
    <x v="1"/>
    <m/>
    <n v="2"/>
    <m/>
    <x v="2"/>
    <x v="0"/>
    <s v="Republic of Ireland"/>
    <n v="53.094023999999997"/>
    <n v="-8.0196749999999994"/>
    <s v="ok"/>
    <s v="ok"/>
    <s v="ok"/>
    <s v="ok"/>
    <s v="ok"/>
    <x v="1"/>
    <s v=""/>
  </r>
  <r>
    <x v="2"/>
    <n v="2641"/>
    <x v="0"/>
    <x v="0"/>
    <x v="3"/>
    <s v="1st line support"/>
    <x v="0"/>
    <x v="1289"/>
    <d v="2023-07-19T15:53:10"/>
    <d v="2023-07-17T16:53:10"/>
    <d v="2023-07-17T16:35:59"/>
    <s v="Within SLA"/>
    <d v="2023-07-17T18:31:33"/>
    <x v="0"/>
    <m/>
    <n v="7"/>
    <m/>
    <x v="2"/>
    <x v="0"/>
    <s v="Italy"/>
    <n v="43.036776000000003"/>
    <n v="12.678565000000001"/>
    <s v="ok"/>
    <s v="ok"/>
    <s v="ok"/>
    <s v="ok"/>
    <s v="ok"/>
    <x v="0"/>
    <n v="2.6397508332738653"/>
  </r>
  <r>
    <x v="0"/>
    <n v="2642"/>
    <x v="2"/>
    <x v="2"/>
    <x v="4"/>
    <s v="1st line support"/>
    <x v="3"/>
    <x v="1290"/>
    <d v="2023-07-19T02:49:14"/>
    <d v="2023-07-18T02:51:14"/>
    <d v="2023-07-18T02:50:24"/>
    <s v="Within SLA"/>
    <d v="2023-07-18T21:49:50"/>
    <x v="0"/>
    <d v="2023-07-25T04:57:19"/>
    <n v="2"/>
    <n v="4"/>
    <x v="2"/>
    <x v="0"/>
    <s v="Germany"/>
    <n v="51.165691000000002"/>
    <n v="10.451525999999999"/>
    <s v="ok"/>
    <s v="ok"/>
    <s v="ok"/>
    <s v="ok"/>
    <s v="ok"/>
    <x v="0"/>
    <n v="19.009961944422685"/>
  </r>
  <r>
    <x v="2"/>
    <n v="2643"/>
    <x v="0"/>
    <x v="0"/>
    <x v="0"/>
    <s v="1st line support"/>
    <x v="6"/>
    <x v="1291"/>
    <d v="2023-07-20T14:57:27"/>
    <d v="2023-07-18T15:57:27"/>
    <d v="2023-07-18T15:30:41"/>
    <s v="Within SLA"/>
    <d v="2023-07-19T00:00:04"/>
    <x v="0"/>
    <m/>
    <n v="10"/>
    <m/>
    <x v="2"/>
    <x v="0"/>
    <s v="Slovenia"/>
    <n v="46.149166399999999"/>
    <n v="14.9860106"/>
    <s v="ok"/>
    <s v="ok"/>
    <s v="ok"/>
    <s v="ok"/>
    <s v="ok"/>
    <x v="0"/>
    <n v="9.0434738889453001"/>
  </r>
  <r>
    <x v="0"/>
    <n v="2644"/>
    <x v="2"/>
    <x v="2"/>
    <x v="2"/>
    <s v="2nd line support"/>
    <x v="5"/>
    <x v="1292"/>
    <d v="2023-07-19T16:29:27"/>
    <d v="2023-07-18T16:31:27"/>
    <d v="2023-07-18T16:30:24"/>
    <s v="Within SLA"/>
    <d v="2023-07-18T22:15:59"/>
    <x v="0"/>
    <d v="2023-07-22T22:59:10"/>
    <n v="6"/>
    <n v="3"/>
    <x v="0"/>
    <x v="1"/>
    <s v="Germany"/>
    <n v="51.165691000000002"/>
    <n v="10.451525999999999"/>
    <s v="ok"/>
    <s v="ok"/>
    <s v="ok"/>
    <s v="ok"/>
    <s v="ok"/>
    <x v="0"/>
    <n v="5.7755163889378309"/>
  </r>
  <r>
    <x v="0"/>
    <n v="2645"/>
    <x v="0"/>
    <x v="0"/>
    <x v="4"/>
    <s v="1st line support"/>
    <x v="2"/>
    <x v="1293"/>
    <d v="2023-07-20T13:46:00"/>
    <d v="2023-07-18T14:46:00"/>
    <d v="2023-07-18T13:53:41"/>
    <s v="Within SLA"/>
    <d v="2023-07-18T18:31:11"/>
    <x v="0"/>
    <d v="2023-07-25T14:34:13"/>
    <n v="1"/>
    <n v="1"/>
    <x v="1"/>
    <x v="0"/>
    <s v="United Kingdom"/>
    <n v="55.378051999999997"/>
    <n v="-3.4359730000000002"/>
    <s v="ok"/>
    <s v="ok"/>
    <s v="ok"/>
    <s v="ok"/>
    <s v="ok"/>
    <x v="0"/>
    <n v="4.7529980554827489"/>
  </r>
  <r>
    <x v="2"/>
    <n v="2646"/>
    <x v="0"/>
    <x v="0"/>
    <x v="1"/>
    <s v="1st line support"/>
    <x v="3"/>
    <x v="1294"/>
    <d v="2023-07-20T07:16:47"/>
    <d v="2023-07-18T08:16:47"/>
    <d v="2023-07-18T07:51:02"/>
    <s v="Within SLA"/>
    <d v="2023-07-18T22:09:06"/>
    <x v="0"/>
    <m/>
    <n v="4"/>
    <m/>
    <x v="0"/>
    <x v="0"/>
    <s v="Germany"/>
    <n v="51.165691000000002"/>
    <n v="10.451525999999999"/>
    <s v="ok"/>
    <s v="ok"/>
    <s v="ok"/>
    <s v="ok"/>
    <s v="ok"/>
    <x v="0"/>
    <n v="14.872042777715251"/>
  </r>
  <r>
    <x v="0"/>
    <n v="2647"/>
    <x v="0"/>
    <x v="0"/>
    <x v="1"/>
    <s v="1st line support"/>
    <x v="0"/>
    <x v="1295"/>
    <d v="2023-07-20T17:01:00"/>
    <d v="2023-07-18T18:01:00"/>
    <d v="2023-07-18T17:07:22"/>
    <s v="Within SLA"/>
    <d v="2023-07-20T20:34:57"/>
    <x v="1"/>
    <d v="2023-07-22T15:14:44"/>
    <n v="2"/>
    <n v="2"/>
    <x v="2"/>
    <x v="0"/>
    <s v="Austria"/>
    <n v="47.696471899999999"/>
    <n v="13.3457347"/>
    <s v="ok"/>
    <s v="ok"/>
    <s v="ok"/>
    <s v="ok"/>
    <s v="ok"/>
    <x v="0"/>
    <n v="51.565760833444074"/>
  </r>
  <r>
    <x v="1"/>
    <n v="2648"/>
    <x v="1"/>
    <x v="0"/>
    <x v="2"/>
    <s v="1st line support"/>
    <x v="0"/>
    <x v="1296"/>
    <d v="2023-07-20T04:21:06"/>
    <d v="2023-07-18T05:21:06"/>
    <d v="2023-07-18T04:46:42"/>
    <s v="Within SLA"/>
    <m/>
    <x v="1"/>
    <m/>
    <n v="2"/>
    <m/>
    <x v="1"/>
    <x v="0"/>
    <s v="Italy"/>
    <n v="43.036776000000003"/>
    <n v="12.678565000000001"/>
    <s v="ok"/>
    <s v="ok"/>
    <s v="ok"/>
    <s v="ok"/>
    <s v="ok"/>
    <x v="1"/>
    <s v=""/>
  </r>
  <r>
    <x v="1"/>
    <n v="2649"/>
    <x v="0"/>
    <x v="0"/>
    <x v="4"/>
    <s v="2nd line support"/>
    <x v="1"/>
    <x v="1297"/>
    <d v="2023-07-20T05:16:14"/>
    <d v="2023-07-18T06:16:14"/>
    <d v="2023-07-18T05:29:31"/>
    <s v="Within SLA"/>
    <m/>
    <x v="1"/>
    <m/>
    <n v="3"/>
    <m/>
    <x v="0"/>
    <x v="1"/>
    <s v="Italy"/>
    <n v="43.036776000000003"/>
    <n v="12.678565000000001"/>
    <s v="ok"/>
    <s v="ok"/>
    <s v="ok"/>
    <s v="ok"/>
    <s v="ok"/>
    <x v="1"/>
    <s v=""/>
  </r>
  <r>
    <x v="0"/>
    <n v="2650"/>
    <x v="0"/>
    <x v="0"/>
    <x v="3"/>
    <s v="1st line support"/>
    <x v="6"/>
    <x v="1298"/>
    <d v="2023-07-20T07:18:05"/>
    <d v="2023-07-18T08:18:05"/>
    <d v="2023-07-18T07:47:46"/>
    <s v="Within SLA"/>
    <d v="2023-07-19T14:04:06"/>
    <x v="0"/>
    <d v="2023-07-20T06:09:42"/>
    <n v="3"/>
    <n v="5"/>
    <x v="2"/>
    <x v="0"/>
    <s v="Republic of Ireland"/>
    <n v="53.094023999999997"/>
    <n v="-8.0196749999999994"/>
    <s v="ok"/>
    <s v="ok"/>
    <s v="ok"/>
    <s v="ok"/>
    <s v="ok"/>
    <x v="0"/>
    <n v="30.767017222184222"/>
  </r>
  <r>
    <x v="1"/>
    <n v="2651"/>
    <x v="0"/>
    <x v="2"/>
    <x v="1"/>
    <s v="1st line support"/>
    <x v="3"/>
    <x v="1299"/>
    <d v="2023-07-20T20:24:58"/>
    <d v="2023-07-19T20:26:58"/>
    <d v="2023-07-19T20:26:39"/>
    <s v="Within SLA"/>
    <m/>
    <x v="1"/>
    <m/>
    <n v="2"/>
    <m/>
    <x v="0"/>
    <x v="0"/>
    <s v="Spain"/>
    <n v="39.673369999999998"/>
    <n v="-4.7677259999999997"/>
    <s v="ok"/>
    <s v="ok"/>
    <s v="ok"/>
    <s v="ok"/>
    <s v="ok"/>
    <x v="1"/>
    <s v=""/>
  </r>
  <r>
    <x v="0"/>
    <n v="2652"/>
    <x v="0"/>
    <x v="2"/>
    <x v="2"/>
    <s v="1st line support"/>
    <x v="3"/>
    <x v="1300"/>
    <d v="2023-07-20T03:50:42"/>
    <d v="2023-07-19T03:52:42"/>
    <d v="2023-07-19T03:52:35"/>
    <s v="Within SLA"/>
    <d v="2023-07-21T19:59:26"/>
    <x v="1"/>
    <d v="2023-07-22T12:39:31"/>
    <n v="6"/>
    <n v="3"/>
    <x v="1"/>
    <x v="0"/>
    <s v="Germany"/>
    <n v="51.165691000000002"/>
    <n v="10.451525999999999"/>
    <s v="ok"/>
    <s v="ok"/>
    <s v="ok"/>
    <s v="ok"/>
    <s v="ok"/>
    <x v="0"/>
    <n v="64.145557499898132"/>
  </r>
  <r>
    <x v="0"/>
    <n v="2653"/>
    <x v="1"/>
    <x v="2"/>
    <x v="3"/>
    <s v="1st line support"/>
    <x v="2"/>
    <x v="1301"/>
    <d v="2023-07-20T00:38:21"/>
    <d v="2023-07-19T00:40:21"/>
    <d v="2023-07-19T00:42:42"/>
    <s v="SLA Violated"/>
    <d v="2023-07-24T03:49:06"/>
    <x v="1"/>
    <d v="2023-07-25T12:26:57"/>
    <n v="7"/>
    <n v="5"/>
    <x v="1"/>
    <x v="0"/>
    <s v="Austria"/>
    <n v="47.696471899999999"/>
    <n v="13.3457347"/>
    <s v="ok"/>
    <s v="ok"/>
    <s v="ok"/>
    <s v="ok"/>
    <s v="ok"/>
    <x v="0"/>
    <n v="123.17921027785633"/>
  </r>
  <r>
    <x v="0"/>
    <n v="2654"/>
    <x v="2"/>
    <x v="2"/>
    <x v="0"/>
    <s v="2nd line support"/>
    <x v="1"/>
    <x v="1302"/>
    <d v="2023-07-20T04:58:14"/>
    <d v="2023-07-19T05:00:14"/>
    <d v="2023-07-19T05:01:05"/>
    <s v="SLA Violated"/>
    <d v="2023-07-19T09:48:52"/>
    <x v="0"/>
    <d v="2023-07-20T05:53:24"/>
    <n v="3"/>
    <n v="3"/>
    <x v="0"/>
    <x v="1"/>
    <s v="Italy"/>
    <n v="43.036776000000003"/>
    <n v="12.678565000000001"/>
    <s v="ok"/>
    <s v="ok"/>
    <s v="ok"/>
    <s v="ok"/>
    <s v="ok"/>
    <x v="0"/>
    <n v="4.8439591666683555"/>
  </r>
  <r>
    <x v="2"/>
    <n v="2655"/>
    <x v="1"/>
    <x v="0"/>
    <x v="1"/>
    <s v="1st line support"/>
    <x v="0"/>
    <x v="1303"/>
    <d v="2023-07-21T16:27:31"/>
    <d v="2023-07-19T17:27:31"/>
    <d v="2023-07-19T16:44:24"/>
    <s v="Within SLA"/>
    <d v="2023-07-20T10:35:34"/>
    <x v="0"/>
    <m/>
    <n v="10"/>
    <m/>
    <x v="2"/>
    <x v="0"/>
    <s v="Czech Republic"/>
    <n v="49.8037633"/>
    <n v="15.4749126"/>
    <s v="ok"/>
    <s v="ok"/>
    <s v="ok"/>
    <s v="ok"/>
    <s v="ok"/>
    <x v="0"/>
    <n v="18.134184166789055"/>
  </r>
  <r>
    <x v="0"/>
    <n v="2656"/>
    <x v="0"/>
    <x v="0"/>
    <x v="3"/>
    <s v="1st line support"/>
    <x v="4"/>
    <x v="1304"/>
    <d v="2023-07-21T01:55:33"/>
    <d v="2023-07-19T02:55:33"/>
    <d v="2023-07-19T02:54:34"/>
    <s v="Within SLA"/>
    <d v="2023-07-20T22:30:48"/>
    <x v="0"/>
    <d v="2023-07-24T11:08:19"/>
    <n v="6"/>
    <n v="3"/>
    <x v="2"/>
    <x v="0"/>
    <s v="Italy"/>
    <n v="43.036776000000003"/>
    <n v="12.678565000000001"/>
    <s v="ok"/>
    <s v="ok"/>
    <s v="ok"/>
    <s v="ok"/>
    <s v="ok"/>
    <x v="0"/>
    <n v="44.58740444452269"/>
  </r>
  <r>
    <x v="0"/>
    <n v="2657"/>
    <x v="1"/>
    <x v="2"/>
    <x v="1"/>
    <s v="1st line support"/>
    <x v="2"/>
    <x v="1305"/>
    <d v="2023-07-20T11:40:11"/>
    <d v="2023-07-19T11:42:11"/>
    <d v="2023-07-19T11:41:05"/>
    <s v="Within SLA"/>
    <d v="2023-07-21T09:43:28"/>
    <x v="1"/>
    <d v="2023-07-21T14:06:30"/>
    <n v="2"/>
    <n v="5"/>
    <x v="2"/>
    <x v="0"/>
    <s v="Italy"/>
    <n v="43.036776000000003"/>
    <n v="12.678565000000001"/>
    <s v="ok"/>
    <s v="ok"/>
    <s v="ok"/>
    <s v="ok"/>
    <s v="ok"/>
    <x v="0"/>
    <n v="46.054658611072227"/>
  </r>
  <r>
    <x v="2"/>
    <n v="2658"/>
    <x v="2"/>
    <x v="2"/>
    <x v="1"/>
    <s v="1st line support"/>
    <x v="2"/>
    <x v="1306"/>
    <d v="2023-07-20T07:01:23"/>
    <d v="2023-07-19T07:03:23"/>
    <d v="2023-07-19T07:02:11"/>
    <s v="Within SLA"/>
    <d v="2023-07-19T11:02:59"/>
    <x v="0"/>
    <m/>
    <n v="8"/>
    <m/>
    <x v="2"/>
    <x v="0"/>
    <s v="Spain"/>
    <n v="39.673369999999998"/>
    <n v="-4.7677259999999997"/>
    <s v="ok"/>
    <s v="ok"/>
    <s v="ok"/>
    <s v="ok"/>
    <s v="ok"/>
    <x v="0"/>
    <n v="4.0267144444514997"/>
  </r>
  <r>
    <x v="0"/>
    <n v="2659"/>
    <x v="2"/>
    <x v="2"/>
    <x v="0"/>
    <s v="2nd line support"/>
    <x v="7"/>
    <x v="1307"/>
    <d v="2023-07-20T21:29:08"/>
    <d v="2023-07-19T21:31:08"/>
    <d v="2023-07-19T21:30:48"/>
    <s v="Within SLA"/>
    <d v="2023-07-20T03:07:03"/>
    <x v="0"/>
    <d v="2023-07-23T11:52:21"/>
    <n v="9"/>
    <n v="4"/>
    <x v="2"/>
    <x v="1"/>
    <s v="France"/>
    <n v="48.864716000000001"/>
    <n v="2.3490139999999999"/>
    <s v="ok"/>
    <s v="ok"/>
    <s v="ok"/>
    <s v="ok"/>
    <s v="ok"/>
    <x v="0"/>
    <n v="5.6319580554845743"/>
  </r>
  <r>
    <x v="2"/>
    <n v="2660"/>
    <x v="0"/>
    <x v="2"/>
    <x v="1"/>
    <s v="2nd line support"/>
    <x v="5"/>
    <x v="1308"/>
    <d v="2023-07-20T20:35:55"/>
    <d v="2023-07-19T20:37:55"/>
    <d v="2023-07-19T20:37:08"/>
    <s v="Within SLA"/>
    <d v="2023-07-20T03:19:48"/>
    <x v="0"/>
    <m/>
    <n v="9"/>
    <m/>
    <x v="2"/>
    <x v="1"/>
    <s v="Spain"/>
    <n v="39.673369999999998"/>
    <n v="-4.7677259999999997"/>
    <s v="ok"/>
    <s v="ok"/>
    <s v="ok"/>
    <s v="ok"/>
    <s v="ok"/>
    <x v="0"/>
    <n v="6.7313822223222815"/>
  </r>
  <r>
    <x v="0"/>
    <n v="2661"/>
    <x v="0"/>
    <x v="0"/>
    <x v="1"/>
    <s v="2nd line support"/>
    <x v="5"/>
    <x v="1309"/>
    <d v="2023-07-21T10:17:32"/>
    <d v="2023-07-19T11:17:32"/>
    <d v="2023-07-19T10:24:47"/>
    <s v="Within SLA"/>
    <d v="2023-07-20T20:43:40"/>
    <x v="0"/>
    <d v="2023-07-20T23:36:15"/>
    <n v="1"/>
    <n v="1"/>
    <x v="2"/>
    <x v="1"/>
    <s v="Poland"/>
    <n v="52.536273000000001"/>
    <n v="19.050639"/>
    <s v="ok"/>
    <s v="ok"/>
    <s v="ok"/>
    <s v="ok"/>
    <s v="ok"/>
    <x v="0"/>
    <n v="34.435661666735541"/>
  </r>
  <r>
    <x v="2"/>
    <n v="2662"/>
    <x v="0"/>
    <x v="2"/>
    <x v="3"/>
    <s v="2nd line support"/>
    <x v="1"/>
    <x v="1310"/>
    <d v="2023-07-21T05:38:45"/>
    <d v="2023-07-20T05:40:45"/>
    <d v="2023-07-20T05:39:07"/>
    <s v="Within SLA"/>
    <d v="2023-07-21T04:17:46"/>
    <x v="0"/>
    <m/>
    <n v="2"/>
    <m/>
    <x v="2"/>
    <x v="1"/>
    <s v="Poland"/>
    <n v="52.536273000000001"/>
    <n v="19.050639"/>
    <s v="ok"/>
    <s v="ok"/>
    <s v="ok"/>
    <s v="ok"/>
    <s v="ok"/>
    <x v="0"/>
    <n v="22.650209444516804"/>
  </r>
  <r>
    <x v="0"/>
    <n v="2663"/>
    <x v="0"/>
    <x v="0"/>
    <x v="6"/>
    <s v="1st line support"/>
    <x v="2"/>
    <x v="1311"/>
    <d v="2023-07-22T09:57:06"/>
    <d v="2023-07-20T10:57:06"/>
    <d v="2023-07-20T10:01:30"/>
    <s v="Within SLA"/>
    <d v="2023-07-24T08:53:58"/>
    <x v="1"/>
    <d v="2023-07-25T06:09:07"/>
    <n v="1"/>
    <n v="3"/>
    <x v="3"/>
    <x v="0"/>
    <s v="France"/>
    <n v="48.864716000000001"/>
    <n v="2.3490139999999999"/>
    <s v="ok"/>
    <s v="ok"/>
    <s v="ok"/>
    <s v="ok"/>
    <s v="ok"/>
    <x v="0"/>
    <n v="94.947805000003427"/>
  </r>
  <r>
    <x v="2"/>
    <n v="2664"/>
    <x v="0"/>
    <x v="0"/>
    <x v="0"/>
    <s v="1st line support"/>
    <x v="4"/>
    <x v="1312"/>
    <d v="2023-07-22T07:52:58"/>
    <d v="2023-07-20T08:52:58"/>
    <d v="2023-07-20T08:38:34"/>
    <s v="Within SLA"/>
    <d v="2023-07-20T19:28:56"/>
    <x v="0"/>
    <m/>
    <n v="10"/>
    <m/>
    <x v="2"/>
    <x v="0"/>
    <s v="Germany"/>
    <n v="51.165691000000002"/>
    <n v="10.451525999999999"/>
    <s v="ok"/>
    <s v="ok"/>
    <s v="ok"/>
    <s v="ok"/>
    <s v="ok"/>
    <x v="0"/>
    <n v="11.599529999890365"/>
  </r>
  <r>
    <x v="2"/>
    <n v="2665"/>
    <x v="0"/>
    <x v="0"/>
    <x v="0"/>
    <s v="2nd line support"/>
    <x v="5"/>
    <x v="1313"/>
    <d v="2023-07-22T23:02:26"/>
    <d v="2023-07-21T00:02:26"/>
    <d v="2023-07-20T23:37:52"/>
    <s v="Within SLA"/>
    <d v="2023-07-21T18:22:58"/>
    <x v="0"/>
    <m/>
    <n v="6"/>
    <m/>
    <x v="1"/>
    <x v="1"/>
    <s v="Poland"/>
    <n v="52.536273000000001"/>
    <n v="19.050639"/>
    <s v="ok"/>
    <s v="ok"/>
    <s v="ok"/>
    <s v="ok"/>
    <s v="ok"/>
    <x v="0"/>
    <n v="19.342196944460738"/>
  </r>
  <r>
    <x v="0"/>
    <n v="2667"/>
    <x v="2"/>
    <x v="0"/>
    <x v="3"/>
    <s v="2nd line support"/>
    <x v="7"/>
    <x v="1314"/>
    <d v="2023-07-22T00:51:47"/>
    <d v="2023-07-20T01:51:47"/>
    <d v="2023-07-20T01:20:38"/>
    <s v="Within SLA"/>
    <d v="2023-07-20T12:00:50"/>
    <x v="0"/>
    <d v="2023-07-20T18:43:23"/>
    <n v="4"/>
    <n v="5"/>
    <x v="0"/>
    <x v="1"/>
    <s v="France"/>
    <n v="48.864716000000001"/>
    <n v="2.3490139999999999"/>
    <s v="ok"/>
    <s v="ok"/>
    <s v="ok"/>
    <s v="ok"/>
    <s v="ok"/>
    <x v="0"/>
    <n v="11.150749999971595"/>
  </r>
  <r>
    <x v="2"/>
    <n v="2669"/>
    <x v="2"/>
    <x v="0"/>
    <x v="3"/>
    <s v="1st line support"/>
    <x v="3"/>
    <x v="1315"/>
    <d v="2023-07-22T05:31:42"/>
    <d v="2023-07-20T06:31:42"/>
    <d v="2023-07-20T11:05:20"/>
    <s v="SLA Violated"/>
    <d v="2023-07-20T10:37:33"/>
    <x v="0"/>
    <m/>
    <n v="2"/>
    <m/>
    <x v="0"/>
    <x v="0"/>
    <s v="Germany"/>
    <n v="51.165691000000002"/>
    <n v="10.451525999999999"/>
    <s v="ok"/>
    <s v="ok"/>
    <s v="ok"/>
    <s v="ok"/>
    <s v="ok"/>
    <x v="0"/>
    <n v="5.0974116667639464"/>
  </r>
  <r>
    <x v="1"/>
    <n v="2670"/>
    <x v="2"/>
    <x v="0"/>
    <x v="0"/>
    <s v="1st line support"/>
    <x v="0"/>
    <x v="1316"/>
    <d v="2023-07-22T08:29:44"/>
    <d v="2023-07-20T09:29:44"/>
    <d v="2023-07-20T09:24:29"/>
    <s v="Within SLA"/>
    <m/>
    <x v="1"/>
    <m/>
    <n v="6"/>
    <m/>
    <x v="2"/>
    <x v="0"/>
    <s v="Poland"/>
    <n v="52.536273000000001"/>
    <n v="19.050639"/>
    <s v="ok"/>
    <s v="ok"/>
    <s v="ok"/>
    <s v="ok"/>
    <s v="ok"/>
    <x v="1"/>
    <s v=""/>
  </r>
  <r>
    <x v="1"/>
    <n v="2671"/>
    <x v="0"/>
    <x v="2"/>
    <x v="1"/>
    <s v="1st line support"/>
    <x v="0"/>
    <x v="1317"/>
    <d v="2023-07-21T10:48:21"/>
    <d v="2023-07-20T10:50:21"/>
    <d v="2023-07-20T10:49:06"/>
    <s v="Within SLA"/>
    <m/>
    <x v="1"/>
    <m/>
    <n v="4"/>
    <m/>
    <x v="1"/>
    <x v="0"/>
    <s v="Greece"/>
    <n v="39.368279000000001"/>
    <n v="21.863140999999999"/>
    <s v="ok"/>
    <s v="ok"/>
    <s v="ok"/>
    <s v="ok"/>
    <s v="ok"/>
    <x v="1"/>
    <s v=""/>
  </r>
  <r>
    <x v="0"/>
    <n v="2672"/>
    <x v="0"/>
    <x v="2"/>
    <x v="1"/>
    <s v="1st line support"/>
    <x v="0"/>
    <x v="1318"/>
    <d v="2023-07-21T03:48:19"/>
    <d v="2023-07-20T03:50:19"/>
    <d v="2023-07-20T03:50:13"/>
    <s v="Within SLA"/>
    <d v="2023-07-21T07:47:33"/>
    <x v="1"/>
    <d v="2023-07-22T15:09:36"/>
    <n v="5"/>
    <n v="2"/>
    <x v="0"/>
    <x v="0"/>
    <s v="Austria"/>
    <n v="47.696471899999999"/>
    <n v="13.3457347"/>
    <s v="ok"/>
    <s v="ok"/>
    <s v="ok"/>
    <s v="ok"/>
    <s v="ok"/>
    <x v="0"/>
    <n v="27.987134166585747"/>
  </r>
  <r>
    <x v="2"/>
    <n v="2673"/>
    <x v="2"/>
    <x v="0"/>
    <x v="3"/>
    <s v="2nd line support"/>
    <x v="7"/>
    <x v="1319"/>
    <d v="2023-07-22T15:35:25"/>
    <d v="2023-07-20T16:35:25"/>
    <d v="2023-07-20T15:57:36"/>
    <s v="Within SLA"/>
    <d v="2023-07-20T20:15:07"/>
    <x v="0"/>
    <m/>
    <n v="1"/>
    <m/>
    <x v="2"/>
    <x v="1"/>
    <s v="Italy"/>
    <n v="43.036776000000003"/>
    <n v="12.678565000000001"/>
    <s v="ok"/>
    <s v="ok"/>
    <s v="ok"/>
    <s v="ok"/>
    <s v="ok"/>
    <x v="0"/>
    <n v="4.6616844444070011"/>
  </r>
  <r>
    <x v="2"/>
    <n v="2674"/>
    <x v="2"/>
    <x v="0"/>
    <x v="4"/>
    <s v="1st line support"/>
    <x v="6"/>
    <x v="1320"/>
    <d v="2023-07-23T17:17:52"/>
    <d v="2023-07-21T18:17:52"/>
    <d v="2023-07-21T17:55:00"/>
    <s v="Within SLA"/>
    <d v="2023-07-23T07:02:34"/>
    <x v="0"/>
    <m/>
    <n v="4"/>
    <m/>
    <x v="3"/>
    <x v="0"/>
    <s v="Greece"/>
    <n v="39.368279000000001"/>
    <n v="21.863140999999999"/>
    <s v="ok"/>
    <s v="ok"/>
    <s v="ok"/>
    <s v="ok"/>
    <s v="ok"/>
    <x v="0"/>
    <n v="37.745040555484593"/>
  </r>
  <r>
    <x v="0"/>
    <n v="2675"/>
    <x v="2"/>
    <x v="2"/>
    <x v="5"/>
    <s v="1st line support"/>
    <x v="6"/>
    <x v="1321"/>
    <d v="2023-07-22T04:14:58"/>
    <d v="2023-07-21T04:16:58"/>
    <d v="2023-07-21T04:16:01"/>
    <s v="Within SLA"/>
    <d v="2023-07-23T17:12:33"/>
    <x v="1"/>
    <d v="2023-07-25T08:09:48"/>
    <n v="2"/>
    <n v="4"/>
    <x v="2"/>
    <x v="0"/>
    <s v="Poland"/>
    <n v="52.536273000000001"/>
    <n v="19.050639"/>
    <s v="ok"/>
    <s v="ok"/>
    <s v="ok"/>
    <s v="ok"/>
    <s v="ok"/>
    <x v="0"/>
    <n v="60.959735000040382"/>
  </r>
  <r>
    <x v="2"/>
    <n v="2676"/>
    <x v="2"/>
    <x v="0"/>
    <x v="1"/>
    <s v="1st line support"/>
    <x v="0"/>
    <x v="1322"/>
    <d v="2023-07-23T21:58:38"/>
    <d v="2023-07-21T22:58:38"/>
    <d v="2023-07-21T22:25:48"/>
    <s v="Within SLA"/>
    <d v="2023-07-21T23:49:28"/>
    <x v="0"/>
    <m/>
    <n v="3"/>
    <m/>
    <x v="0"/>
    <x v="0"/>
    <s v="Germany"/>
    <n v="51.165691000000002"/>
    <n v="10.451525999999999"/>
    <s v="ok"/>
    <s v="ok"/>
    <s v="ok"/>
    <s v="ok"/>
    <s v="ok"/>
    <x v="0"/>
    <n v="1.8472486110404134"/>
  </r>
  <r>
    <x v="2"/>
    <n v="2677"/>
    <x v="0"/>
    <x v="2"/>
    <x v="0"/>
    <s v="2nd line support"/>
    <x v="1"/>
    <x v="1323"/>
    <d v="2023-07-22T23:58:59"/>
    <d v="2023-07-22T00:00:59"/>
    <d v="2023-07-22T00:04:42"/>
    <s v="SLA Violated"/>
    <d v="2023-07-22T22:48:30"/>
    <x v="0"/>
    <m/>
    <n v="2"/>
    <m/>
    <x v="1"/>
    <x v="1"/>
    <s v="Germany"/>
    <n v="51.165691000000002"/>
    <n v="10.451525999999999"/>
    <s v="ok"/>
    <s v="ok"/>
    <s v="ok"/>
    <s v="ok"/>
    <s v="ok"/>
    <x v="0"/>
    <n v="22.825239722093102"/>
  </r>
  <r>
    <x v="0"/>
    <n v="2678"/>
    <x v="2"/>
    <x v="0"/>
    <x v="3"/>
    <s v="1st line support"/>
    <x v="6"/>
    <x v="1324"/>
    <d v="2023-07-23T01:52:21"/>
    <d v="2023-07-21T02:52:21"/>
    <d v="2023-07-21T02:37:43"/>
    <s v="Within SLA"/>
    <d v="2023-07-22T20:39:50"/>
    <x v="0"/>
    <d v="2023-07-27T18:24:44"/>
    <n v="2"/>
    <n v="5"/>
    <x v="1"/>
    <x v="0"/>
    <s v="United Kingdom"/>
    <n v="55.378051999999997"/>
    <n v="-3.4359730000000002"/>
    <s v="ok"/>
    <s v="ok"/>
    <s v="ok"/>
    <s v="ok"/>
    <s v="ok"/>
    <x v="0"/>
    <n v="42.791500277817249"/>
  </r>
  <r>
    <x v="2"/>
    <n v="2680"/>
    <x v="2"/>
    <x v="2"/>
    <x v="1"/>
    <s v="2nd line support"/>
    <x v="5"/>
    <x v="1325"/>
    <d v="2023-07-22T08:59:53"/>
    <d v="2023-07-21T09:01:53"/>
    <d v="2023-07-21T09:00:17"/>
    <s v="Within SLA"/>
    <d v="2023-07-21T20:40:45"/>
    <x v="0"/>
    <m/>
    <n v="9"/>
    <m/>
    <x v="2"/>
    <x v="1"/>
    <s v="Czech Republic"/>
    <n v="49.8037633"/>
    <n v="15.4749126"/>
    <s v="ok"/>
    <s v="ok"/>
    <s v="ok"/>
    <s v="ok"/>
    <s v="ok"/>
    <x v="0"/>
    <n v="11.681240277655888"/>
  </r>
  <r>
    <x v="0"/>
    <n v="2681"/>
    <x v="1"/>
    <x v="2"/>
    <x v="1"/>
    <s v="1st line support"/>
    <x v="6"/>
    <x v="1326"/>
    <d v="2023-07-23T09:55:59"/>
    <d v="2023-07-22T09:57:59"/>
    <d v="2023-07-22T09:57:44"/>
    <s v="Within SLA"/>
    <d v="2023-07-27T00:14:54"/>
    <x v="1"/>
    <d v="2023-07-28T16:19:00"/>
    <n v="4"/>
    <n v="4"/>
    <x v="0"/>
    <x v="0"/>
    <s v="Germany"/>
    <n v="51.165691000000002"/>
    <n v="10.451525999999999"/>
    <s v="ok"/>
    <s v="ok"/>
    <s v="ok"/>
    <s v="ok"/>
    <s v="ok"/>
    <x v="0"/>
    <n v="110.31536027777474"/>
  </r>
  <r>
    <x v="0"/>
    <n v="2682"/>
    <x v="0"/>
    <x v="0"/>
    <x v="1"/>
    <s v="2nd line support"/>
    <x v="5"/>
    <x v="1327"/>
    <d v="2023-07-24T07:28:38"/>
    <d v="2023-07-22T08:28:38"/>
    <d v="2023-07-22T08:10:23"/>
    <s v="Within SLA"/>
    <d v="2023-07-26T21:54:44"/>
    <x v="1"/>
    <d v="2023-07-27T08:11:42"/>
    <n v="1"/>
    <n v="2"/>
    <x v="2"/>
    <x v="1"/>
    <s v="Greece"/>
    <n v="39.368279000000001"/>
    <n v="21.863140999999999"/>
    <s v="ok"/>
    <s v="ok"/>
    <s v="ok"/>
    <s v="ok"/>
    <s v="ok"/>
    <x v="0"/>
    <n v="110.43504250003025"/>
  </r>
  <r>
    <x v="0"/>
    <n v="2683"/>
    <x v="0"/>
    <x v="2"/>
    <x v="0"/>
    <s v="1st line support"/>
    <x v="4"/>
    <x v="1328"/>
    <d v="2023-07-23T02:02:02"/>
    <d v="2023-07-22T02:04:02"/>
    <d v="2023-07-22T02:02:14"/>
    <s v="Within SLA"/>
    <d v="2023-07-22T16:46:19"/>
    <x v="0"/>
    <d v="2023-07-24T06:55:15"/>
    <n v="9"/>
    <n v="3"/>
    <x v="2"/>
    <x v="0"/>
    <s v="Italy"/>
    <n v="43.036776000000003"/>
    <n v="12.678565000000001"/>
    <s v="ok"/>
    <s v="ok"/>
    <s v="ok"/>
    <s v="ok"/>
    <s v="ok"/>
    <x v="0"/>
    <n v="14.738157777814195"/>
  </r>
  <r>
    <x v="0"/>
    <n v="2694"/>
    <x v="2"/>
    <x v="2"/>
    <x v="1"/>
    <s v="1st line support"/>
    <x v="0"/>
    <x v="1329"/>
    <d v="2023-07-24T08:50:08"/>
    <d v="2023-07-23T08:52:08"/>
    <d v="2023-07-23T08:50:41"/>
    <s v="Within SLA"/>
    <d v="2023-07-23T22:33:02"/>
    <x v="0"/>
    <d v="2023-07-24T18:50:44"/>
    <n v="2"/>
    <n v="5"/>
    <x v="2"/>
    <x v="0"/>
    <s v="Italy"/>
    <n v="43.036776000000003"/>
    <n v="12.678565000000001"/>
    <s v="ok"/>
    <s v="ok"/>
    <s v="ok"/>
    <s v="ok"/>
    <s v="ok"/>
    <x v="0"/>
    <n v="13.714884166605771"/>
  </r>
  <r>
    <x v="1"/>
    <n v="2695"/>
    <x v="2"/>
    <x v="2"/>
    <x v="1"/>
    <s v="1st line support"/>
    <x v="6"/>
    <x v="1330"/>
    <d v="2023-07-24T03:45:32"/>
    <d v="2023-07-23T03:47:32"/>
    <d v="2023-07-23T03:45:40"/>
    <s v="Within SLA"/>
    <m/>
    <x v="1"/>
    <m/>
    <n v="5"/>
    <m/>
    <x v="2"/>
    <x v="0"/>
    <s v="Republic of Ireland"/>
    <n v="53.094023999999997"/>
    <n v="-8.0196749999999994"/>
    <s v="ok"/>
    <s v="ok"/>
    <s v="ok"/>
    <s v="ok"/>
    <s v="ok"/>
    <x v="1"/>
    <s v=""/>
  </r>
  <r>
    <x v="2"/>
    <n v="2696"/>
    <x v="0"/>
    <x v="0"/>
    <x v="5"/>
    <s v="2nd line support"/>
    <x v="7"/>
    <x v="1331"/>
    <d v="2023-07-25T22:55:17"/>
    <d v="2023-07-23T23:55:17"/>
    <d v="2023-07-23T23:21:53"/>
    <s v="Within SLA"/>
    <d v="2023-07-24T09:28:53"/>
    <x v="0"/>
    <m/>
    <n v="10"/>
    <m/>
    <x v="1"/>
    <x v="1"/>
    <s v="Czech Republic"/>
    <n v="49.8037633"/>
    <n v="15.4749126"/>
    <s v="ok"/>
    <s v="ok"/>
    <s v="ok"/>
    <s v="ok"/>
    <s v="ok"/>
    <x v="0"/>
    <n v="10.56008416658733"/>
  </r>
  <r>
    <x v="0"/>
    <n v="2697"/>
    <x v="1"/>
    <x v="0"/>
    <x v="1"/>
    <s v="1st line support"/>
    <x v="4"/>
    <x v="1332"/>
    <d v="2023-07-26T20:47:04"/>
    <d v="2023-07-24T21:47:04"/>
    <d v="2023-07-24T21:23:04"/>
    <s v="Within SLA"/>
    <d v="2023-07-25T15:24:37"/>
    <x v="0"/>
    <d v="2023-07-29T11:21:47"/>
    <n v="1"/>
    <n v="4"/>
    <x v="2"/>
    <x v="0"/>
    <s v="Italy"/>
    <n v="43.036776000000003"/>
    <n v="12.678565000000001"/>
    <s v="ok"/>
    <s v="ok"/>
    <s v="ok"/>
    <s v="ok"/>
    <s v="ok"/>
    <x v="0"/>
    <n v="18.625956111063715"/>
  </r>
  <r>
    <x v="2"/>
    <n v="2698"/>
    <x v="2"/>
    <x v="0"/>
    <x v="4"/>
    <s v="1st line support"/>
    <x v="3"/>
    <x v="1333"/>
    <d v="2023-07-26T23:11:01"/>
    <d v="2023-07-25T00:11:01"/>
    <d v="2023-07-24T23:57:16"/>
    <s v="Within SLA"/>
    <d v="2023-07-26T09:41:59"/>
    <x v="0"/>
    <m/>
    <n v="6"/>
    <m/>
    <x v="0"/>
    <x v="0"/>
    <s v="Bulgaria"/>
    <n v="42.724992499999999"/>
    <n v="25.483303899999999"/>
    <s v="ok"/>
    <s v="ok"/>
    <s v="ok"/>
    <s v="ok"/>
    <s v="ok"/>
    <x v="0"/>
    <n v="34.516125833324622"/>
  </r>
  <r>
    <x v="1"/>
    <n v="2699"/>
    <x v="2"/>
    <x v="1"/>
    <x v="2"/>
    <s v="1st line support"/>
    <x v="6"/>
    <x v="1334"/>
    <d v="2023-07-26T08:12:56"/>
    <d v="2023-07-24T08:14:56"/>
    <d v="2023-07-24T08:13:05"/>
    <s v="Within SLA"/>
    <m/>
    <x v="1"/>
    <m/>
    <n v="3"/>
    <m/>
    <x v="1"/>
    <x v="0"/>
    <s v="Greece"/>
    <n v="39.368279000000001"/>
    <n v="21.863140999999999"/>
    <s v="ok"/>
    <s v="ok"/>
    <s v="ok"/>
    <s v="ok"/>
    <s v="ok"/>
    <x v="1"/>
    <s v=""/>
  </r>
  <r>
    <x v="1"/>
    <n v="2700"/>
    <x v="2"/>
    <x v="2"/>
    <x v="1"/>
    <s v="1st line support"/>
    <x v="0"/>
    <x v="1335"/>
    <d v="2023-07-25T05:12:30"/>
    <d v="2023-07-24T05:14:30"/>
    <d v="2023-07-24T05:14:08"/>
    <s v="Within SLA"/>
    <m/>
    <x v="1"/>
    <m/>
    <n v="6"/>
    <m/>
    <x v="1"/>
    <x v="0"/>
    <s v="Italy"/>
    <n v="43.036776000000003"/>
    <n v="12.678565000000001"/>
    <s v="ok"/>
    <s v="ok"/>
    <s v="ok"/>
    <s v="ok"/>
    <s v="ok"/>
    <x v="1"/>
    <s v=""/>
  </r>
  <r>
    <x v="0"/>
    <n v="2701"/>
    <x v="1"/>
    <x v="0"/>
    <x v="1"/>
    <s v="1st line support"/>
    <x v="4"/>
    <x v="1336"/>
    <d v="2023-07-26T22:56:30"/>
    <d v="2023-07-24T23:56:30"/>
    <d v="2023-07-24T23:42:24"/>
    <s v="Within SLA"/>
    <d v="2023-07-25T10:40:06"/>
    <x v="0"/>
    <d v="2023-07-26T07:24:06"/>
    <n v="4"/>
    <n v="4"/>
    <x v="0"/>
    <x v="0"/>
    <s v="Poland"/>
    <n v="52.536273000000001"/>
    <n v="19.050639"/>
    <s v="ok"/>
    <s v="ok"/>
    <s v="ok"/>
    <s v="ok"/>
    <s v="ok"/>
    <x v="0"/>
    <n v="11.726647777715698"/>
  </r>
  <r>
    <x v="0"/>
    <n v="2702"/>
    <x v="0"/>
    <x v="2"/>
    <x v="2"/>
    <s v="1st line support"/>
    <x v="6"/>
    <x v="1337"/>
    <d v="2023-07-25T06:35:05"/>
    <d v="2023-07-24T06:37:05"/>
    <d v="2023-07-24T06:35:26"/>
    <s v="Within SLA"/>
    <d v="2023-07-29T20:10:33"/>
    <x v="1"/>
    <d v="2023-07-31T12:35:36"/>
    <n v="2"/>
    <n v="4"/>
    <x v="2"/>
    <x v="0"/>
    <s v="Germany"/>
    <n v="51.165691000000002"/>
    <n v="10.451525999999999"/>
    <s v="ok"/>
    <s v="ok"/>
    <s v="ok"/>
    <s v="ok"/>
    <s v="ok"/>
    <x v="0"/>
    <n v="133.59105027787155"/>
  </r>
  <r>
    <x v="0"/>
    <n v="2703"/>
    <x v="2"/>
    <x v="2"/>
    <x v="2"/>
    <s v="2nd line support"/>
    <x v="7"/>
    <x v="1338"/>
    <d v="2023-07-25T05:17:06"/>
    <d v="2023-07-24T05:19:06"/>
    <d v="2023-07-24T05:17:12"/>
    <s v="Within SLA"/>
    <d v="2023-07-28T22:09:28"/>
    <x v="1"/>
    <d v="2023-07-30T09:21:17"/>
    <n v="4"/>
    <n v="1"/>
    <x v="2"/>
    <x v="1"/>
    <s v="Slovenia"/>
    <n v="46.149166399999999"/>
    <n v="14.9860106"/>
    <s v="ok"/>
    <s v="ok"/>
    <s v="ok"/>
    <s v="ok"/>
    <s v="ok"/>
    <x v="0"/>
    <n v="112.87285916676046"/>
  </r>
  <r>
    <x v="0"/>
    <n v="2704"/>
    <x v="0"/>
    <x v="0"/>
    <x v="2"/>
    <s v="1st line support"/>
    <x v="6"/>
    <x v="1339"/>
    <d v="2023-07-26T19:22:39"/>
    <d v="2023-07-24T20:22:39"/>
    <d v="2023-07-24T20:13:09"/>
    <s v="Within SLA"/>
    <d v="2023-07-26T10:18:26"/>
    <x v="0"/>
    <d v="2023-07-30T21:21:00"/>
    <n v="10"/>
    <n v="5"/>
    <x v="1"/>
    <x v="0"/>
    <s v="Czech Republic"/>
    <n v="49.8037633"/>
    <n v="15.4749126"/>
    <s v="ok"/>
    <s v="ok"/>
    <s v="ok"/>
    <s v="ok"/>
    <s v="ok"/>
    <x v="0"/>
    <n v="38.929668888857123"/>
  </r>
  <r>
    <x v="0"/>
    <n v="2705"/>
    <x v="1"/>
    <x v="0"/>
    <x v="0"/>
    <s v="2nd line support"/>
    <x v="7"/>
    <x v="1340"/>
    <d v="2023-07-27T19:01:01"/>
    <d v="2023-07-25T20:01:01"/>
    <d v="2023-07-25T19:52:42"/>
    <s v="Within SLA"/>
    <d v="2023-07-26T02:17:23"/>
    <x v="0"/>
    <d v="2023-07-27T10:50:01"/>
    <n v="1"/>
    <n v="5"/>
    <x v="2"/>
    <x v="1"/>
    <s v="Poland"/>
    <n v="52.536273000000001"/>
    <n v="19.050639"/>
    <s v="ok"/>
    <s v="ok"/>
    <s v="ok"/>
    <s v="ok"/>
    <s v="ok"/>
    <x v="0"/>
    <n v="7.2728597222012468"/>
  </r>
  <r>
    <x v="1"/>
    <n v="2706"/>
    <x v="2"/>
    <x v="1"/>
    <x v="3"/>
    <s v="1st line support"/>
    <x v="2"/>
    <x v="1341"/>
    <d v="2023-07-27T05:19:24"/>
    <d v="2023-07-25T05:21:24"/>
    <d v="2023-07-25T05:20:06"/>
    <s v="Within SLA"/>
    <m/>
    <x v="1"/>
    <m/>
    <n v="5"/>
    <m/>
    <x v="2"/>
    <x v="0"/>
    <s v="Poland"/>
    <n v="52.536273000000001"/>
    <n v="19.050639"/>
    <s v="ok"/>
    <s v="ok"/>
    <s v="ok"/>
    <s v="ok"/>
    <s v="ok"/>
    <x v="1"/>
    <s v=""/>
  </r>
  <r>
    <x v="1"/>
    <n v="2707"/>
    <x v="1"/>
    <x v="2"/>
    <x v="4"/>
    <s v="1st line support"/>
    <x v="6"/>
    <x v="1342"/>
    <d v="2023-07-26T08:24:38"/>
    <d v="2023-07-25T08:26:38"/>
    <d v="2023-07-25T08:24:49"/>
    <s v="Within SLA"/>
    <m/>
    <x v="1"/>
    <m/>
    <n v="5"/>
    <m/>
    <x v="0"/>
    <x v="0"/>
    <s v="Spain"/>
    <n v="39.673369999999998"/>
    <n v="-4.7677259999999997"/>
    <s v="ok"/>
    <s v="ok"/>
    <s v="ok"/>
    <s v="ok"/>
    <s v="ok"/>
    <x v="1"/>
    <s v=""/>
  </r>
  <r>
    <x v="2"/>
    <n v="2708"/>
    <x v="2"/>
    <x v="2"/>
    <x v="0"/>
    <s v="1st line support"/>
    <x v="3"/>
    <x v="1343"/>
    <d v="2023-07-26T10:09:51"/>
    <d v="2023-07-25T10:11:51"/>
    <d v="2023-07-25T10:11:09"/>
    <s v="Within SLA"/>
    <d v="2023-07-31T03:44:39"/>
    <x v="1"/>
    <m/>
    <n v="8"/>
    <m/>
    <x v="2"/>
    <x v="0"/>
    <s v="Republic of Ireland"/>
    <n v="53.094023999999997"/>
    <n v="-8.0196749999999994"/>
    <s v="ok"/>
    <s v="ok"/>
    <s v="ok"/>
    <s v="ok"/>
    <s v="ok"/>
    <x v="0"/>
    <n v="137.57995999994455"/>
  </r>
  <r>
    <x v="2"/>
    <n v="2709"/>
    <x v="2"/>
    <x v="0"/>
    <x v="2"/>
    <s v="1st line support"/>
    <x v="4"/>
    <x v="1344"/>
    <d v="2023-07-27T12:41:56"/>
    <d v="2023-07-25T13:41:56"/>
    <d v="2023-07-25T13:13:23"/>
    <s v="Within SLA"/>
    <d v="2023-07-26T20:54:10"/>
    <x v="0"/>
    <m/>
    <n v="5"/>
    <m/>
    <x v="2"/>
    <x v="0"/>
    <s v="Germany"/>
    <n v="51.165691000000002"/>
    <n v="10.451525999999999"/>
    <s v="ok"/>
    <s v="ok"/>
    <s v="ok"/>
    <s v="ok"/>
    <s v="ok"/>
    <x v="0"/>
    <n v="32.203860833484214"/>
  </r>
  <r>
    <x v="0"/>
    <n v="2710"/>
    <x v="0"/>
    <x v="2"/>
    <x v="5"/>
    <s v="1st line support"/>
    <x v="4"/>
    <x v="1345"/>
    <d v="2023-07-26T16:03:58"/>
    <d v="2023-07-25T16:05:58"/>
    <d v="2023-07-25T16:05:28"/>
    <s v="Within SLA"/>
    <d v="2023-07-25T17:00:32"/>
    <x v="0"/>
    <d v="2023-08-01T03:45:54"/>
    <n v="2"/>
    <n v="3"/>
    <x v="2"/>
    <x v="0"/>
    <s v="Germany"/>
    <n v="51.165691000000002"/>
    <n v="10.451525999999999"/>
    <s v="ok"/>
    <s v="ok"/>
    <s v="ok"/>
    <s v="ok"/>
    <s v="ok"/>
    <x v="0"/>
    <n v="0.9426924999570474"/>
  </r>
  <r>
    <x v="0"/>
    <n v="2711"/>
    <x v="2"/>
    <x v="2"/>
    <x v="6"/>
    <s v="1st line support"/>
    <x v="0"/>
    <x v="1346"/>
    <d v="2023-07-26T22:00:01"/>
    <d v="2023-07-25T22:02:01"/>
    <d v="2023-07-25T22:01:39"/>
    <s v="Within SLA"/>
    <d v="2023-07-26T20:00:16"/>
    <x v="0"/>
    <d v="2023-08-01T00:43:54"/>
    <n v="5"/>
    <n v="1"/>
    <x v="3"/>
    <x v="0"/>
    <s v="United Kingdom"/>
    <n v="55.378051999999997"/>
    <n v="-3.4359730000000002"/>
    <s v="ok"/>
    <s v="ok"/>
    <s v="ok"/>
    <s v="ok"/>
    <s v="ok"/>
    <x v="0"/>
    <n v="22.00411611108575"/>
  </r>
  <r>
    <x v="0"/>
    <n v="2712"/>
    <x v="2"/>
    <x v="1"/>
    <x v="3"/>
    <s v="2nd line support"/>
    <x v="7"/>
    <x v="1347"/>
    <d v="2023-07-28T05:17:19"/>
    <d v="2023-07-26T05:19:19"/>
    <d v="2023-07-26T05:20:39"/>
    <s v="SLA Violated"/>
    <d v="2023-07-29T20:15:45"/>
    <x v="1"/>
    <d v="2023-07-30T16:43:47"/>
    <n v="1"/>
    <n v="5"/>
    <x v="2"/>
    <x v="1"/>
    <s v="Slovenia"/>
    <n v="46.149166399999999"/>
    <n v="14.9860106"/>
    <s v="ok"/>
    <s v="ok"/>
    <s v="ok"/>
    <s v="ok"/>
    <s v="ok"/>
    <x v="0"/>
    <n v="86.973868333327118"/>
  </r>
  <r>
    <x v="2"/>
    <n v="2713"/>
    <x v="0"/>
    <x v="2"/>
    <x v="4"/>
    <s v="1st line support"/>
    <x v="2"/>
    <x v="1348"/>
    <d v="2023-07-27T17:48:10"/>
    <d v="2023-07-26T17:50:10"/>
    <d v="2023-07-26T17:49:01"/>
    <s v="Within SLA"/>
    <d v="2023-07-27T16:00:45"/>
    <x v="0"/>
    <m/>
    <n v="9"/>
    <m/>
    <x v="0"/>
    <x v="0"/>
    <s v="Slovenia"/>
    <n v="46.149166399999999"/>
    <n v="14.9860106"/>
    <s v="ok"/>
    <s v="ok"/>
    <s v="ok"/>
    <s v="ok"/>
    <s v="ok"/>
    <x v="0"/>
    <n v="22.209848611091729"/>
  </r>
  <r>
    <x v="1"/>
    <n v="2714"/>
    <x v="2"/>
    <x v="0"/>
    <x v="3"/>
    <s v="1st line support"/>
    <x v="6"/>
    <x v="1349"/>
    <d v="2023-07-28T17:37:56"/>
    <d v="2023-07-26T18:37:56"/>
    <d v="2023-07-26T18:36:15"/>
    <s v="Within SLA"/>
    <m/>
    <x v="1"/>
    <m/>
    <n v="6"/>
    <m/>
    <x v="3"/>
    <x v="0"/>
    <s v="United Kingdom"/>
    <n v="55.378051999999997"/>
    <n v="-3.4359730000000002"/>
    <s v="ok"/>
    <s v="ok"/>
    <s v="ok"/>
    <s v="ok"/>
    <s v="ok"/>
    <x v="1"/>
    <s v=""/>
  </r>
  <r>
    <x v="0"/>
    <n v="2715"/>
    <x v="0"/>
    <x v="2"/>
    <x v="3"/>
    <s v="1st line support"/>
    <x v="6"/>
    <x v="1350"/>
    <d v="2023-07-27T11:56:52"/>
    <d v="2023-07-26T11:58:52"/>
    <d v="2023-07-26T11:59:03"/>
    <s v="SLA Violated"/>
    <d v="2023-07-27T11:38:30"/>
    <x v="0"/>
    <d v="2023-07-28T15:06:53"/>
    <n v="2"/>
    <n v="5"/>
    <x v="1"/>
    <x v="0"/>
    <s v="Germany"/>
    <n v="51.165691000000002"/>
    <n v="10.451525999999999"/>
    <s v="ok"/>
    <s v="ok"/>
    <s v="ok"/>
    <s v="ok"/>
    <s v="ok"/>
    <x v="0"/>
    <n v="23.693824722140562"/>
  </r>
  <r>
    <x v="1"/>
    <n v="2716"/>
    <x v="0"/>
    <x v="0"/>
    <x v="1"/>
    <s v="1st line support"/>
    <x v="2"/>
    <x v="1351"/>
    <d v="2023-07-28T06:23:09"/>
    <d v="2023-07-26T07:23:09"/>
    <d v="2023-07-26T06:28:24"/>
    <s v="Within SLA"/>
    <m/>
    <x v="1"/>
    <m/>
    <n v="3"/>
    <m/>
    <x v="3"/>
    <x v="0"/>
    <s v="Poland"/>
    <n v="52.536273000000001"/>
    <n v="19.050639"/>
    <s v="ok"/>
    <s v="ok"/>
    <s v="ok"/>
    <s v="ok"/>
    <s v="ok"/>
    <x v="1"/>
    <s v=""/>
  </r>
  <r>
    <x v="0"/>
    <n v="2717"/>
    <x v="0"/>
    <x v="0"/>
    <x v="1"/>
    <s v="2nd line support"/>
    <x v="7"/>
    <x v="1352"/>
    <d v="2023-07-28T10:12:34"/>
    <d v="2023-07-26T11:12:34"/>
    <d v="2023-07-26T10:57:30"/>
    <s v="Within SLA"/>
    <d v="2023-07-26T17:06:48"/>
    <x v="0"/>
    <d v="2023-07-27T21:29:50"/>
    <n v="2"/>
    <n v="3"/>
    <x v="0"/>
    <x v="1"/>
    <s v="United Kingdom"/>
    <n v="55.378051999999997"/>
    <n v="-3.4359730000000002"/>
    <s v="ok"/>
    <s v="ok"/>
    <s v="ok"/>
    <s v="ok"/>
    <s v="ok"/>
    <x v="0"/>
    <n v="6.9037613889668137"/>
  </r>
  <r>
    <x v="2"/>
    <n v="2718"/>
    <x v="2"/>
    <x v="0"/>
    <x v="2"/>
    <s v="1st line support"/>
    <x v="4"/>
    <x v="1353"/>
    <d v="2023-07-28T10:23:04"/>
    <d v="2023-07-26T11:23:04"/>
    <d v="2023-07-26T11:22:52"/>
    <s v="Within SLA"/>
    <d v="2023-07-31T23:26:35"/>
    <x v="1"/>
    <m/>
    <n v="1"/>
    <m/>
    <x v="2"/>
    <x v="0"/>
    <s v="Bulgaria"/>
    <n v="42.724992499999999"/>
    <n v="25.483303899999999"/>
    <s v="ok"/>
    <s v="ok"/>
    <s v="ok"/>
    <s v="ok"/>
    <s v="ok"/>
    <x v="0"/>
    <n v="133.05849833332468"/>
  </r>
  <r>
    <x v="1"/>
    <n v="2719"/>
    <x v="0"/>
    <x v="0"/>
    <x v="2"/>
    <s v="2nd line support"/>
    <x v="7"/>
    <x v="1354"/>
    <d v="2023-07-28T14:24:32"/>
    <d v="2023-07-26T15:24:32"/>
    <d v="2023-07-26T14:48:57"/>
    <s v="Within SLA"/>
    <m/>
    <x v="1"/>
    <m/>
    <n v="1"/>
    <m/>
    <x v="0"/>
    <x v="1"/>
    <s v="Spain"/>
    <n v="39.673369999999998"/>
    <n v="-4.7677259999999997"/>
    <s v="ok"/>
    <s v="ok"/>
    <s v="ok"/>
    <s v="ok"/>
    <s v="ok"/>
    <x v="1"/>
    <s v=""/>
  </r>
  <r>
    <x v="2"/>
    <n v="2720"/>
    <x v="2"/>
    <x v="0"/>
    <x v="1"/>
    <s v="1st line support"/>
    <x v="6"/>
    <x v="1355"/>
    <d v="2023-07-29T12:52:28"/>
    <d v="2023-07-27T13:52:28"/>
    <d v="2023-07-27T13:48:22"/>
    <s v="Within SLA"/>
    <d v="2023-07-27T13:13:20"/>
    <x v="0"/>
    <m/>
    <n v="1"/>
    <m/>
    <x v="2"/>
    <x v="0"/>
    <s v="Greece"/>
    <n v="39.368279000000001"/>
    <n v="21.863140999999999"/>
    <s v="ok"/>
    <s v="ok"/>
    <s v="ok"/>
    <s v="ok"/>
    <s v="ok"/>
    <x v="0"/>
    <n v="0.34770194452721626"/>
  </r>
  <r>
    <x v="0"/>
    <n v="2721"/>
    <x v="0"/>
    <x v="1"/>
    <x v="1"/>
    <s v="1st line support"/>
    <x v="4"/>
    <x v="1356"/>
    <d v="2023-07-29T17:15:18"/>
    <d v="2023-07-27T17:17:18"/>
    <d v="2023-07-27T17:15:21"/>
    <s v="Within SLA"/>
    <d v="2023-07-29T08:12:02"/>
    <x v="0"/>
    <d v="2023-08-01T10:58:29"/>
    <n v="4"/>
    <n v="2"/>
    <x v="0"/>
    <x v="0"/>
    <s v="Bulgaria"/>
    <n v="42.724992499999999"/>
    <n v="25.483303899999999"/>
    <s v="ok"/>
    <s v="ok"/>
    <s v="ok"/>
    <s v="ok"/>
    <s v="ok"/>
    <x v="0"/>
    <n v="38.945532222278416"/>
  </r>
  <r>
    <x v="0"/>
    <n v="2722"/>
    <x v="0"/>
    <x v="2"/>
    <x v="6"/>
    <s v="1st line support"/>
    <x v="3"/>
    <x v="1357"/>
    <d v="2023-07-28T22:45:55"/>
    <d v="2023-07-27T22:47:55"/>
    <d v="2023-07-27T22:50:25"/>
    <s v="SLA Violated"/>
    <d v="2023-07-27T22:49:53"/>
    <x v="0"/>
    <d v="2023-08-01T14:52:59"/>
    <n v="5"/>
    <n v="4"/>
    <x v="3"/>
    <x v="0"/>
    <s v="Poland"/>
    <n v="52.536273000000001"/>
    <n v="19.050639"/>
    <s v="ok"/>
    <s v="ok"/>
    <s v="ok"/>
    <s v="ok"/>
    <s v="ok"/>
    <x v="0"/>
    <n v="6.6171388782095164E-2"/>
  </r>
  <r>
    <x v="2"/>
    <n v="2723"/>
    <x v="2"/>
    <x v="0"/>
    <x v="5"/>
    <s v="1st line support"/>
    <x v="4"/>
    <x v="1358"/>
    <d v="2023-07-29T21:40:02"/>
    <d v="2023-07-27T22:40:02"/>
    <d v="2023-07-27T21:57:36"/>
    <s v="Within SLA"/>
    <d v="2023-07-28T14:02:17"/>
    <x v="0"/>
    <m/>
    <n v="1"/>
    <m/>
    <x v="3"/>
    <x v="0"/>
    <s v="Italy"/>
    <n v="43.036776000000003"/>
    <n v="12.678565000000001"/>
    <s v="ok"/>
    <s v="ok"/>
    <s v="ok"/>
    <s v="ok"/>
    <s v="ok"/>
    <x v="0"/>
    <n v="16.370971944357734"/>
  </r>
  <r>
    <x v="0"/>
    <n v="2724"/>
    <x v="1"/>
    <x v="2"/>
    <x v="3"/>
    <s v="1st line support"/>
    <x v="6"/>
    <x v="1359"/>
    <d v="2023-07-28T01:06:34"/>
    <d v="2023-07-27T01:08:34"/>
    <d v="2023-07-27T01:07:56"/>
    <s v="Within SLA"/>
    <d v="2023-07-27T23:59:00"/>
    <x v="0"/>
    <d v="2023-08-02T11:04:47"/>
    <n v="6"/>
    <n v="3"/>
    <x v="0"/>
    <x v="0"/>
    <s v="Italy"/>
    <n v="43.036776000000003"/>
    <n v="12.678565000000001"/>
    <s v="ok"/>
    <s v="ok"/>
    <s v="ok"/>
    <s v="ok"/>
    <s v="ok"/>
    <x v="0"/>
    <n v="22.87381333328085"/>
  </r>
  <r>
    <x v="2"/>
    <n v="2725"/>
    <x v="0"/>
    <x v="0"/>
    <x v="0"/>
    <s v="1st line support"/>
    <x v="4"/>
    <x v="1360"/>
    <d v="2023-07-30T10:17:18"/>
    <d v="2023-07-28T11:17:18"/>
    <d v="2023-07-28T10:19:23"/>
    <s v="Within SLA"/>
    <d v="2023-08-01T23:24:17"/>
    <x v="1"/>
    <m/>
    <n v="3"/>
    <m/>
    <x v="0"/>
    <x v="0"/>
    <s v="United Kingdom"/>
    <n v="55.378051999999997"/>
    <n v="-3.4359730000000002"/>
    <s v="ok"/>
    <s v="ok"/>
    <s v="ok"/>
    <s v="ok"/>
    <s v="ok"/>
    <x v="0"/>
    <n v="109.11640972236637"/>
  </r>
  <r>
    <x v="0"/>
    <n v="2726"/>
    <x v="1"/>
    <x v="0"/>
    <x v="1"/>
    <s v="1st line support"/>
    <x v="4"/>
    <x v="1361"/>
    <d v="2023-07-30T16:21:54"/>
    <d v="2023-07-28T17:21:54"/>
    <d v="2023-07-28T16:34:34"/>
    <s v="Within SLA"/>
    <d v="2023-07-29T16:38:43"/>
    <x v="0"/>
    <d v="2023-08-04T04:24:02"/>
    <n v="8"/>
    <n v="5"/>
    <x v="0"/>
    <x v="0"/>
    <s v="Germany"/>
    <n v="51.165691000000002"/>
    <n v="10.451525999999999"/>
    <s v="ok"/>
    <s v="ok"/>
    <s v="ok"/>
    <s v="ok"/>
    <s v="ok"/>
    <x v="0"/>
    <n v="24.28031472209841"/>
  </r>
  <r>
    <x v="2"/>
    <n v="2728"/>
    <x v="0"/>
    <x v="0"/>
    <x v="1"/>
    <s v="1st line support"/>
    <x v="6"/>
    <x v="1362"/>
    <d v="2023-07-30T04:55:49"/>
    <d v="2023-07-28T05:55:49"/>
    <d v="2023-07-28T09:10:05"/>
    <s v="SLA Violated"/>
    <d v="2023-07-29T18:39:11"/>
    <x v="0"/>
    <m/>
    <n v="8"/>
    <m/>
    <x v="0"/>
    <x v="0"/>
    <s v="France"/>
    <n v="48.864716000000001"/>
    <n v="2.3490139999999999"/>
    <s v="ok"/>
    <s v="ok"/>
    <s v="ok"/>
    <s v="ok"/>
    <s v="ok"/>
    <x v="0"/>
    <n v="37.722654722223524"/>
  </r>
  <r>
    <x v="0"/>
    <n v="2729"/>
    <x v="2"/>
    <x v="2"/>
    <x v="0"/>
    <s v="1st line support"/>
    <x v="3"/>
    <x v="1363"/>
    <d v="2023-07-29T05:07:43"/>
    <d v="2023-07-28T05:09:43"/>
    <d v="2023-07-28T05:08:56"/>
    <s v="Within SLA"/>
    <d v="2023-08-02T19:57:03"/>
    <x v="1"/>
    <d v="2023-08-03T10:05:51"/>
    <n v="5"/>
    <n v="3"/>
    <x v="2"/>
    <x v="0"/>
    <s v="Slovenia"/>
    <n v="46.149166399999999"/>
    <n v="14.9860106"/>
    <s v="ok"/>
    <s v="ok"/>
    <s v="ok"/>
    <s v="ok"/>
    <s v="ok"/>
    <x v="0"/>
    <n v="134.82227277784841"/>
  </r>
  <r>
    <x v="2"/>
    <n v="2730"/>
    <x v="0"/>
    <x v="2"/>
    <x v="2"/>
    <s v="1st line support"/>
    <x v="0"/>
    <x v="1364"/>
    <d v="2023-07-29T03:03:13"/>
    <d v="2023-07-28T03:05:13"/>
    <d v="2023-07-28T03:05:09"/>
    <s v="Within SLA"/>
    <d v="2023-07-28T16:24:57"/>
    <x v="0"/>
    <m/>
    <n v="6"/>
    <m/>
    <x v="1"/>
    <x v="0"/>
    <s v="France"/>
    <n v="48.864716000000001"/>
    <n v="2.3490139999999999"/>
    <s v="ok"/>
    <s v="ok"/>
    <s v="ok"/>
    <s v="ok"/>
    <s v="ok"/>
    <x v="0"/>
    <n v="13.36222583334893"/>
  </r>
  <r>
    <x v="2"/>
    <n v="2731"/>
    <x v="1"/>
    <x v="0"/>
    <x v="2"/>
    <s v="1st line support"/>
    <x v="0"/>
    <x v="1365"/>
    <d v="2023-07-31T16:35:02"/>
    <d v="2023-07-29T17:35:02"/>
    <d v="2023-07-29T16:48:56"/>
    <s v="Within SLA"/>
    <d v="2023-07-30T17:23:46"/>
    <x v="0"/>
    <m/>
    <n v="3"/>
    <m/>
    <x v="2"/>
    <x v="0"/>
    <s v="Italy"/>
    <n v="43.036776000000003"/>
    <n v="12.678565000000001"/>
    <s v="ok"/>
    <s v="ok"/>
    <s v="ok"/>
    <s v="ok"/>
    <s v="ok"/>
    <x v="0"/>
    <n v="24.812180277658626"/>
  </r>
  <r>
    <x v="0"/>
    <n v="2732"/>
    <x v="2"/>
    <x v="0"/>
    <x v="3"/>
    <s v="1st line support"/>
    <x v="6"/>
    <x v="1366"/>
    <d v="2023-07-31T16:26:33"/>
    <d v="2023-07-29T17:26:33"/>
    <d v="2023-07-29T16:39:43"/>
    <s v="Within SLA"/>
    <d v="2023-07-31T10:53:59"/>
    <x v="0"/>
    <d v="2023-08-05T00:10:26"/>
    <n v="5"/>
    <n v="5"/>
    <x v="0"/>
    <x v="0"/>
    <s v="Republic of Ireland"/>
    <n v="53.094023999999997"/>
    <n v="-8.0196749999999994"/>
    <s v="ok"/>
    <s v="ok"/>
    <s v="ok"/>
    <s v="ok"/>
    <s v="ok"/>
    <x v="0"/>
    <n v="42.457356666738633"/>
  </r>
  <r>
    <x v="0"/>
    <n v="2734"/>
    <x v="0"/>
    <x v="2"/>
    <x v="4"/>
    <s v="1st line support"/>
    <x v="2"/>
    <x v="1367"/>
    <d v="2023-07-30T12:07:53"/>
    <d v="2023-07-29T12:09:53"/>
    <d v="2023-07-29T12:08:16"/>
    <s v="Within SLA"/>
    <d v="2023-07-29T19:34:42"/>
    <x v="0"/>
    <d v="2023-07-31T09:08:28"/>
    <n v="6"/>
    <n v="4"/>
    <x v="1"/>
    <x v="0"/>
    <s v="Slovenia"/>
    <n v="46.149166399999999"/>
    <n v="14.9860106"/>
    <s v="ok"/>
    <s v="ok"/>
    <s v="ok"/>
    <s v="ok"/>
    <s v="ok"/>
    <x v="0"/>
    <n v="7.4469308332772925"/>
  </r>
  <r>
    <x v="2"/>
    <n v="2746"/>
    <x v="1"/>
    <x v="2"/>
    <x v="4"/>
    <s v="1st line support"/>
    <x v="2"/>
    <x v="1368"/>
    <d v="2023-07-31T00:43:24"/>
    <d v="2023-07-30T00:45:24"/>
    <d v="2023-07-30T00:44:18"/>
    <s v="Within SLA"/>
    <d v="2023-07-30T07:47:27"/>
    <x v="0"/>
    <m/>
    <n v="5"/>
    <m/>
    <x v="1"/>
    <x v="0"/>
    <s v="France"/>
    <n v="48.864716000000001"/>
    <n v="2.3490139999999999"/>
    <s v="ok"/>
    <s v="ok"/>
    <s v="ok"/>
    <s v="ok"/>
    <s v="ok"/>
    <x v="0"/>
    <n v="7.0674291666364297"/>
  </r>
  <r>
    <x v="0"/>
    <n v="2748"/>
    <x v="0"/>
    <x v="0"/>
    <x v="4"/>
    <s v="1st line support"/>
    <x v="4"/>
    <x v="1369"/>
    <d v="2023-08-01T21:40:00"/>
    <d v="2023-07-30T22:40:00"/>
    <d v="2023-07-30T21:51:19"/>
    <s v="Within SLA"/>
    <d v="2023-07-30T23:00:35"/>
    <x v="0"/>
    <d v="2023-08-02T09:24:02"/>
    <n v="3"/>
    <n v="1"/>
    <x v="2"/>
    <x v="0"/>
    <s v="Slovenia"/>
    <n v="46.149166399999999"/>
    <n v="14.9860106"/>
    <s v="ok"/>
    <s v="ok"/>
    <s v="ok"/>
    <s v="ok"/>
    <s v="ok"/>
    <x v="0"/>
    <n v="1.3430688888765872"/>
  </r>
  <r>
    <x v="0"/>
    <n v="2749"/>
    <x v="0"/>
    <x v="0"/>
    <x v="5"/>
    <s v="1st line support"/>
    <x v="0"/>
    <x v="1370"/>
    <d v="2023-08-01T11:52:27"/>
    <d v="2023-07-30T12:52:27"/>
    <d v="2023-07-30T12:10:05"/>
    <s v="Within SLA"/>
    <d v="2023-07-31T04:41:34"/>
    <x v="0"/>
    <d v="2023-08-01T09:58:16"/>
    <n v="1"/>
    <n v="4"/>
    <x v="0"/>
    <x v="0"/>
    <s v="Slovenia"/>
    <n v="46.149166399999999"/>
    <n v="14.9860106"/>
    <s v="ok"/>
    <s v="ok"/>
    <s v="ok"/>
    <s v="ok"/>
    <s v="ok"/>
    <x v="0"/>
    <n v="16.818472777842544"/>
  </r>
  <r>
    <x v="1"/>
    <n v="2750"/>
    <x v="2"/>
    <x v="0"/>
    <x v="1"/>
    <s v="2nd line support"/>
    <x v="5"/>
    <x v="1371"/>
    <d v="2023-08-02T21:21:00"/>
    <d v="2023-07-31T22:21:00"/>
    <d v="2023-08-01T03:51:42"/>
    <s v="SLA Violated"/>
    <m/>
    <x v="1"/>
    <m/>
    <n v="7"/>
    <m/>
    <x v="1"/>
    <x v="1"/>
    <s v="Slovenia"/>
    <n v="46.149166399999999"/>
    <n v="14.9860106"/>
    <s v="ok"/>
    <s v="ok"/>
    <s v="ok"/>
    <s v="ok"/>
    <s v="ok"/>
    <x v="1"/>
    <s v=""/>
  </r>
  <r>
    <x v="2"/>
    <n v="2751"/>
    <x v="2"/>
    <x v="2"/>
    <x v="3"/>
    <s v="1st line support"/>
    <x v="6"/>
    <x v="1372"/>
    <d v="2023-08-01T00:14:49"/>
    <d v="2023-07-31T00:16:49"/>
    <d v="2023-07-31T00:14:55"/>
    <s v="Within SLA"/>
    <d v="2023-08-01T11:36:12"/>
    <x v="1"/>
    <m/>
    <n v="6"/>
    <m/>
    <x v="0"/>
    <x v="0"/>
    <s v="Czech Republic"/>
    <n v="49.8037633"/>
    <n v="15.4749126"/>
    <s v="ok"/>
    <s v="ok"/>
    <s v="ok"/>
    <s v="ok"/>
    <s v="ok"/>
    <x v="0"/>
    <n v="35.356315277866088"/>
  </r>
  <r>
    <x v="0"/>
    <n v="2752"/>
    <x v="1"/>
    <x v="2"/>
    <x v="6"/>
    <s v="1st line support"/>
    <x v="3"/>
    <x v="1373"/>
    <d v="2023-08-01T09:46:25"/>
    <d v="2023-07-31T09:48:25"/>
    <d v="2023-07-31T09:47:54"/>
    <s v="Within SLA"/>
    <d v="2023-08-01T05:09:43"/>
    <x v="0"/>
    <d v="2023-08-01T21:43:01"/>
    <n v="6"/>
    <n v="4"/>
    <x v="3"/>
    <x v="0"/>
    <s v="Slovenia"/>
    <n v="46.149166399999999"/>
    <n v="14.9860106"/>
    <s v="ok"/>
    <s v="ok"/>
    <s v="ok"/>
    <s v="ok"/>
    <s v="ok"/>
    <x v="0"/>
    <n v="19.388346388936043"/>
  </r>
  <r>
    <x v="2"/>
    <n v="2753"/>
    <x v="0"/>
    <x v="2"/>
    <x v="1"/>
    <s v="1st line support"/>
    <x v="3"/>
    <x v="1374"/>
    <d v="2023-08-01T19:50:06"/>
    <d v="2023-07-31T19:52:06"/>
    <d v="2023-07-31T19:53:51"/>
    <s v="SLA Violated"/>
    <d v="2023-08-01T11:07:05"/>
    <x v="0"/>
    <m/>
    <n v="9"/>
    <m/>
    <x v="2"/>
    <x v="0"/>
    <s v="Czech Republic"/>
    <n v="49.8037633"/>
    <n v="15.4749126"/>
    <s v="ok"/>
    <s v="ok"/>
    <s v="ok"/>
    <s v="ok"/>
    <s v="ok"/>
    <x v="0"/>
    <n v="15.283007222169545"/>
  </r>
  <r>
    <x v="0"/>
    <n v="2754"/>
    <x v="2"/>
    <x v="0"/>
    <x v="1"/>
    <s v="2nd line support"/>
    <x v="7"/>
    <x v="1375"/>
    <d v="2023-08-02T04:29:20"/>
    <d v="2023-07-31T05:29:20"/>
    <d v="2023-07-31T04:39:50"/>
    <s v="Within SLA"/>
    <d v="2023-07-31T07:46:09"/>
    <x v="0"/>
    <d v="2023-07-31T20:57:23"/>
    <n v="6"/>
    <n v="4"/>
    <x v="0"/>
    <x v="1"/>
    <s v="Spain"/>
    <n v="39.673369999999998"/>
    <n v="-4.7677259999999997"/>
    <s v="ok"/>
    <s v="ok"/>
    <s v="ok"/>
    <s v="ok"/>
    <s v="ok"/>
    <x v="0"/>
    <n v="3.2801994443871081"/>
  </r>
  <r>
    <x v="0"/>
    <n v="2755"/>
    <x v="0"/>
    <x v="0"/>
    <x v="2"/>
    <s v="1st line support"/>
    <x v="4"/>
    <x v="1376"/>
    <d v="2023-08-02T19:38:58"/>
    <d v="2023-07-31T20:38:58"/>
    <d v="2023-07-31T20:21:20"/>
    <s v="Within SLA"/>
    <d v="2023-08-01T18:05:11"/>
    <x v="0"/>
    <d v="2023-08-07T08:46:50"/>
    <n v="1"/>
    <n v="4"/>
    <x v="2"/>
    <x v="0"/>
    <s v="Austria"/>
    <n v="47.696471899999999"/>
    <n v="13.3457347"/>
    <s v="ok"/>
    <s v="ok"/>
    <s v="ok"/>
    <s v="ok"/>
    <s v="ok"/>
    <x v="0"/>
    <n v="22.436878611159045"/>
  </r>
  <r>
    <x v="0"/>
    <n v="2756"/>
    <x v="1"/>
    <x v="0"/>
    <x v="1"/>
    <s v="1st line support"/>
    <x v="6"/>
    <x v="1377"/>
    <d v="2023-08-02T15:54:19"/>
    <d v="2023-07-31T16:54:19"/>
    <d v="2023-07-31T16:49:59"/>
    <s v="Within SLA"/>
    <d v="2023-08-02T05:37:52"/>
    <x v="0"/>
    <d v="2023-08-06T09:21:19"/>
    <n v="3"/>
    <n v="3"/>
    <x v="3"/>
    <x v="0"/>
    <s v="Greece"/>
    <n v="39.368279000000001"/>
    <n v="21.863140999999999"/>
    <s v="ok"/>
    <s v="ok"/>
    <s v="ok"/>
    <s v="ok"/>
    <s v="ok"/>
    <x v="0"/>
    <n v="37.72585583338514"/>
  </r>
  <r>
    <x v="0"/>
    <n v="2757"/>
    <x v="2"/>
    <x v="2"/>
    <x v="4"/>
    <s v="1st line support"/>
    <x v="2"/>
    <x v="1378"/>
    <d v="2023-08-01T15:07:17"/>
    <d v="2023-07-31T15:09:17"/>
    <d v="2023-07-31T15:07:33"/>
    <s v="Within SLA"/>
    <d v="2023-08-01T00:32:00"/>
    <x v="0"/>
    <d v="2023-08-04T06:55:43"/>
    <n v="2"/>
    <n v="2"/>
    <x v="0"/>
    <x v="0"/>
    <s v="Germany"/>
    <n v="51.165691000000002"/>
    <n v="10.451525999999999"/>
    <s v="ok"/>
    <s v="ok"/>
    <s v="ok"/>
    <s v="ok"/>
    <s v="ok"/>
    <x v="0"/>
    <n v="9.4119852776639163"/>
  </r>
  <r>
    <x v="0"/>
    <n v="2758"/>
    <x v="0"/>
    <x v="2"/>
    <x v="3"/>
    <s v="1st line support"/>
    <x v="0"/>
    <x v="1379"/>
    <d v="2023-08-01T19:18:02"/>
    <d v="2023-07-31T19:20:02"/>
    <d v="2023-07-31T19:19:36"/>
    <s v="Within SLA"/>
    <d v="2023-08-01T18:03:28"/>
    <x v="0"/>
    <d v="2023-08-02T02:48:04"/>
    <n v="2"/>
    <n v="2"/>
    <x v="2"/>
    <x v="0"/>
    <s v="Poland"/>
    <n v="52.536273000000001"/>
    <n v="19.050639"/>
    <s v="ok"/>
    <s v="ok"/>
    <s v="ok"/>
    <s v="ok"/>
    <s v="ok"/>
    <x v="0"/>
    <n v="22.757099166687112"/>
  </r>
  <r>
    <x v="2"/>
    <n v="2759"/>
    <x v="0"/>
    <x v="0"/>
    <x v="5"/>
    <s v="1st line support"/>
    <x v="6"/>
    <x v="1380"/>
    <d v="2023-08-02T18:58:53"/>
    <d v="2023-07-31T19:58:53"/>
    <d v="2023-07-31T19:18:25"/>
    <s v="Within SLA"/>
    <d v="2023-08-01T13:01:46"/>
    <x v="0"/>
    <m/>
    <n v="8"/>
    <m/>
    <x v="2"/>
    <x v="0"/>
    <s v="United Kingdom"/>
    <n v="55.378051999999997"/>
    <n v="-3.4359730000000002"/>
    <s v="ok"/>
    <s v="ok"/>
    <s v="ok"/>
    <s v="ok"/>
    <s v="ok"/>
    <x v="0"/>
    <n v="18.047950277861673"/>
  </r>
  <r>
    <x v="0"/>
    <n v="2760"/>
    <x v="2"/>
    <x v="2"/>
    <x v="3"/>
    <s v="1st line support"/>
    <x v="4"/>
    <x v="1381"/>
    <d v="2023-08-01T08:56:35"/>
    <d v="2023-07-31T08:58:35"/>
    <d v="2023-07-31T08:57:35"/>
    <s v="Within SLA"/>
    <d v="2023-08-02T03:55:12"/>
    <x v="1"/>
    <d v="2023-08-02T14:00:28"/>
    <n v="6"/>
    <n v="5"/>
    <x v="2"/>
    <x v="0"/>
    <s v="Poland"/>
    <n v="52.536273000000001"/>
    <n v="19.050639"/>
    <s v="ok"/>
    <s v="ok"/>
    <s v="ok"/>
    <s v="ok"/>
    <s v="ok"/>
    <x v="0"/>
    <n v="42.977069166779984"/>
  </r>
  <r>
    <x v="0"/>
    <n v="2761"/>
    <x v="0"/>
    <x v="0"/>
    <x v="2"/>
    <s v="1st line support"/>
    <x v="3"/>
    <x v="1382"/>
    <d v="2023-08-02T09:43:34"/>
    <d v="2023-07-31T10:43:34"/>
    <d v="2023-07-31T09:47:05"/>
    <s v="Within SLA"/>
    <d v="2023-08-01T11:59:09"/>
    <x v="0"/>
    <d v="2023-08-02T10:35:33"/>
    <n v="8"/>
    <n v="4"/>
    <x v="1"/>
    <x v="0"/>
    <s v="Bulgaria"/>
    <n v="42.724992499999999"/>
    <n v="25.483303899999999"/>
    <s v="ok"/>
    <s v="ok"/>
    <s v="ok"/>
    <s v="ok"/>
    <s v="ok"/>
    <x v="0"/>
    <n v="26.259784166584723"/>
  </r>
  <r>
    <x v="0"/>
    <n v="2762"/>
    <x v="0"/>
    <x v="2"/>
    <x v="0"/>
    <s v="1st line support"/>
    <x v="6"/>
    <x v="1383"/>
    <d v="2023-08-02T04:34:57"/>
    <d v="2023-08-01T04:36:57"/>
    <d v="2023-08-01T04:36:13"/>
    <s v="Within SLA"/>
    <d v="2023-08-02T01:36:45"/>
    <x v="0"/>
    <d v="2023-08-07T05:34:59"/>
    <n v="2"/>
    <n v="5"/>
    <x v="2"/>
    <x v="0"/>
    <s v="United Kingdom"/>
    <n v="55.378051999999997"/>
    <n v="-3.4359730000000002"/>
    <s v="ok"/>
    <s v="ok"/>
    <s v="ok"/>
    <s v="ok"/>
    <s v="ok"/>
    <x v="0"/>
    <n v="21.03006111108698"/>
  </r>
  <r>
    <x v="2"/>
    <n v="2763"/>
    <x v="2"/>
    <x v="2"/>
    <x v="0"/>
    <s v="2nd line support"/>
    <x v="7"/>
    <x v="1384"/>
    <d v="2023-08-02T15:29:12"/>
    <d v="2023-08-01T15:31:12"/>
    <d v="2023-08-01T15:30:56"/>
    <s v="Within SLA"/>
    <d v="2023-08-01T21:25:57"/>
    <x v="0"/>
    <m/>
    <n v="7"/>
    <m/>
    <x v="1"/>
    <x v="1"/>
    <s v="Poland"/>
    <n v="52.536273000000001"/>
    <n v="19.050639"/>
    <s v="ok"/>
    <s v="ok"/>
    <s v="ok"/>
    <s v="ok"/>
    <s v="ok"/>
    <x v="0"/>
    <n v="5.9459669442730956"/>
  </r>
  <r>
    <x v="2"/>
    <n v="2764"/>
    <x v="0"/>
    <x v="0"/>
    <x v="1"/>
    <s v="1st line support"/>
    <x v="6"/>
    <x v="1385"/>
    <d v="2023-08-03T20:01:50"/>
    <d v="2023-08-01T21:01:50"/>
    <d v="2023-08-01T20:45:24"/>
    <s v="Within SLA"/>
    <d v="2023-08-02T00:09:19"/>
    <x v="0"/>
    <m/>
    <n v="1"/>
    <m/>
    <x v="1"/>
    <x v="0"/>
    <s v="France"/>
    <n v="48.864716000000001"/>
    <n v="2.3490139999999999"/>
    <s v="ok"/>
    <s v="ok"/>
    <s v="ok"/>
    <s v="ok"/>
    <s v="ok"/>
    <x v="0"/>
    <n v="4.1245891666039824"/>
  </r>
  <r>
    <x v="1"/>
    <n v="2765"/>
    <x v="1"/>
    <x v="0"/>
    <x v="1"/>
    <s v="1st line support"/>
    <x v="6"/>
    <x v="1386"/>
    <d v="2023-08-03T11:55:41"/>
    <d v="2023-08-01T12:55:41"/>
    <d v="2023-08-01T11:59:11"/>
    <s v="Within SLA"/>
    <m/>
    <x v="1"/>
    <m/>
    <n v="1"/>
    <m/>
    <x v="1"/>
    <x v="0"/>
    <s v="Italy"/>
    <n v="43.036776000000003"/>
    <n v="12.678565000000001"/>
    <s v="ok"/>
    <s v="ok"/>
    <s v="ok"/>
    <s v="ok"/>
    <s v="ok"/>
    <x v="1"/>
    <s v=""/>
  </r>
  <r>
    <x v="2"/>
    <n v="2766"/>
    <x v="0"/>
    <x v="0"/>
    <x v="3"/>
    <s v="1st line support"/>
    <x v="2"/>
    <x v="1387"/>
    <d v="2023-08-03T03:21:52"/>
    <d v="2023-08-01T04:21:52"/>
    <d v="2023-08-01T04:08:43"/>
    <s v="Within SLA"/>
    <d v="2023-08-01T04:27:43"/>
    <x v="0"/>
    <m/>
    <n v="4"/>
    <m/>
    <x v="0"/>
    <x v="0"/>
    <s v="Greece"/>
    <n v="39.368279000000001"/>
    <n v="21.863140999999999"/>
    <s v="ok"/>
    <s v="ok"/>
    <s v="ok"/>
    <s v="ok"/>
    <s v="ok"/>
    <x v="0"/>
    <n v="1.0973766666138545"/>
  </r>
  <r>
    <x v="0"/>
    <n v="2768"/>
    <x v="2"/>
    <x v="0"/>
    <x v="0"/>
    <s v="2nd line support"/>
    <x v="1"/>
    <x v="1388"/>
    <d v="2023-08-03T04:44:54"/>
    <d v="2023-08-01T05:44:54"/>
    <d v="2023-08-01T05:34:43"/>
    <s v="Within SLA"/>
    <d v="2023-08-06T19:45:17"/>
    <x v="1"/>
    <d v="2023-08-08T18:10:31"/>
    <n v="8"/>
    <n v="3"/>
    <x v="0"/>
    <x v="1"/>
    <s v="Austria"/>
    <n v="47.696471899999999"/>
    <n v="13.3457347"/>
    <s v="ok"/>
    <s v="ok"/>
    <s v="ok"/>
    <s v="ok"/>
    <s v="ok"/>
    <x v="0"/>
    <n v="135.00642861099914"/>
  </r>
  <r>
    <x v="0"/>
    <n v="2769"/>
    <x v="2"/>
    <x v="0"/>
    <x v="5"/>
    <s v="2nd line support"/>
    <x v="1"/>
    <x v="1389"/>
    <d v="2023-08-04T07:41:06"/>
    <d v="2023-08-02T08:41:06"/>
    <d v="2023-08-02T07:46:46"/>
    <s v="Within SLA"/>
    <d v="2023-08-02T12:25:12"/>
    <x v="0"/>
    <d v="2023-08-05T15:42:21"/>
    <n v="2"/>
    <n v="3"/>
    <x v="0"/>
    <x v="1"/>
    <s v="Poland"/>
    <n v="52.536273000000001"/>
    <n v="19.050639"/>
    <s v="ok"/>
    <s v="ok"/>
    <s v="ok"/>
    <s v="ok"/>
    <s v="ok"/>
    <x v="0"/>
    <n v="4.7349058334366418"/>
  </r>
  <r>
    <x v="2"/>
    <n v="2771"/>
    <x v="2"/>
    <x v="0"/>
    <x v="3"/>
    <s v="2nd line support"/>
    <x v="5"/>
    <x v="1390"/>
    <d v="2023-08-04T11:18:10"/>
    <d v="2023-08-02T12:18:10"/>
    <d v="2023-08-02T11:32:09"/>
    <s v="Within SLA"/>
    <d v="2023-08-04T09:37:48"/>
    <x v="0"/>
    <m/>
    <n v="3"/>
    <m/>
    <x v="2"/>
    <x v="1"/>
    <s v="Republic of Ireland"/>
    <n v="53.094023999999997"/>
    <n v="-8.0196749999999994"/>
    <s v="ok"/>
    <s v="ok"/>
    <s v="ok"/>
    <s v="ok"/>
    <s v="ok"/>
    <x v="0"/>
    <n v="46.327201944426633"/>
  </r>
  <r>
    <x v="0"/>
    <n v="2772"/>
    <x v="0"/>
    <x v="0"/>
    <x v="3"/>
    <s v="1st line support"/>
    <x v="0"/>
    <x v="1391"/>
    <d v="2023-08-04T07:31:31"/>
    <d v="2023-08-02T08:31:31"/>
    <d v="2023-08-02T08:28:03"/>
    <s v="Within SLA"/>
    <d v="2023-08-04T05:46:21"/>
    <x v="0"/>
    <d v="2023-08-05T14:31:39"/>
    <n v="5"/>
    <n v="4"/>
    <x v="2"/>
    <x v="0"/>
    <s v="Spain"/>
    <n v="39.673369999999998"/>
    <n v="-4.7677259999999997"/>
    <s v="ok"/>
    <s v="ok"/>
    <s v="ok"/>
    <s v="ok"/>
    <s v="ok"/>
    <x v="0"/>
    <n v="46.247260000091046"/>
  </r>
  <r>
    <x v="0"/>
    <n v="2774"/>
    <x v="0"/>
    <x v="0"/>
    <x v="1"/>
    <s v="2nd line support"/>
    <x v="5"/>
    <x v="1392"/>
    <d v="2023-08-04T18:06:52"/>
    <d v="2023-08-02T19:06:52"/>
    <d v="2023-08-03T01:15:18"/>
    <s v="SLA Violated"/>
    <d v="2023-08-07T07:01:14"/>
    <x v="1"/>
    <d v="2023-08-08T10:25:49"/>
    <n v="1"/>
    <n v="4"/>
    <x v="0"/>
    <x v="1"/>
    <s v="Spain"/>
    <n v="39.673369999999998"/>
    <n v="-4.7677259999999997"/>
    <s v="ok"/>
    <s v="ok"/>
    <s v="ok"/>
    <s v="ok"/>
    <s v="ok"/>
    <x v="0"/>
    <n v="108.90607027779333"/>
  </r>
  <r>
    <x v="0"/>
    <n v="2775"/>
    <x v="0"/>
    <x v="1"/>
    <x v="3"/>
    <s v="1st line support"/>
    <x v="2"/>
    <x v="1393"/>
    <d v="2023-08-04T21:53:43"/>
    <d v="2023-08-02T21:55:43"/>
    <d v="2023-08-02T21:54:43"/>
    <s v="Within SLA"/>
    <d v="2023-08-07T03:50:14"/>
    <x v="1"/>
    <d v="2023-08-09T00:16:32"/>
    <n v="6"/>
    <n v="4"/>
    <x v="2"/>
    <x v="0"/>
    <s v="Slovenia"/>
    <n v="46.149166399999999"/>
    <n v="14.9860106"/>
    <s v="ok"/>
    <s v="ok"/>
    <s v="ok"/>
    <s v="ok"/>
    <s v="ok"/>
    <x v="0"/>
    <n v="101.94198055547895"/>
  </r>
  <r>
    <x v="0"/>
    <n v="2776"/>
    <x v="2"/>
    <x v="2"/>
    <x v="5"/>
    <s v="1st line support"/>
    <x v="4"/>
    <x v="1394"/>
    <d v="2023-08-03T02:37:15"/>
    <d v="2023-08-02T02:39:15"/>
    <d v="2023-08-02T02:42:09"/>
    <s v="SLA Violated"/>
    <d v="2023-08-02T08:31:38"/>
    <x v="0"/>
    <d v="2023-08-02T14:27:32"/>
    <n v="4"/>
    <n v="4"/>
    <x v="3"/>
    <x v="0"/>
    <s v="United Kingdom"/>
    <n v="55.378051999999997"/>
    <n v="-3.4359730000000002"/>
    <s v="ok"/>
    <s v="ok"/>
    <s v="ok"/>
    <s v="ok"/>
    <s v="ok"/>
    <x v="0"/>
    <n v="5.9064719444140792"/>
  </r>
  <r>
    <x v="2"/>
    <n v="2777"/>
    <x v="2"/>
    <x v="0"/>
    <x v="3"/>
    <s v="1st line support"/>
    <x v="6"/>
    <x v="1395"/>
    <d v="2023-08-04T16:20:43"/>
    <d v="2023-08-02T17:20:43"/>
    <d v="2023-08-02T17:00:50"/>
    <s v="Within SLA"/>
    <d v="2023-08-04T08:57:41"/>
    <x v="0"/>
    <m/>
    <n v="1"/>
    <m/>
    <x v="2"/>
    <x v="0"/>
    <s v="Italy"/>
    <n v="43.036776000000003"/>
    <n v="12.678565000000001"/>
    <s v="ok"/>
    <s v="ok"/>
    <s v="ok"/>
    <s v="ok"/>
    <s v="ok"/>
    <x v="0"/>
    <n v="40.616084999986924"/>
  </r>
  <r>
    <x v="2"/>
    <n v="2778"/>
    <x v="1"/>
    <x v="0"/>
    <x v="2"/>
    <s v="1st line support"/>
    <x v="2"/>
    <x v="1396"/>
    <d v="2023-08-04T15:53:02"/>
    <d v="2023-08-02T16:53:02"/>
    <d v="2023-08-02T16:32:43"/>
    <s v="Within SLA"/>
    <d v="2023-08-08T10:26:16"/>
    <x v="1"/>
    <m/>
    <n v="7"/>
    <m/>
    <x v="1"/>
    <x v="0"/>
    <s v="Italy"/>
    <n v="43.036776000000003"/>
    <n v="12.678565000000001"/>
    <s v="ok"/>
    <s v="ok"/>
    <s v="ok"/>
    <s v="ok"/>
    <s v="ok"/>
    <x v="0"/>
    <n v="138.55380472226534"/>
  </r>
  <r>
    <x v="1"/>
    <n v="2779"/>
    <x v="2"/>
    <x v="1"/>
    <x v="1"/>
    <s v="1st line support"/>
    <x v="3"/>
    <x v="1397"/>
    <d v="2023-08-05T22:39:29"/>
    <d v="2023-08-03T22:41:29"/>
    <d v="2023-08-03T22:42:31"/>
    <s v="SLA Violated"/>
    <m/>
    <x v="1"/>
    <m/>
    <n v="1"/>
    <m/>
    <x v="2"/>
    <x v="0"/>
    <s v="Austria"/>
    <n v="47.696471899999999"/>
    <n v="13.3457347"/>
    <s v="ok"/>
    <s v="ok"/>
    <s v="ok"/>
    <s v="ok"/>
    <s v="ok"/>
    <x v="1"/>
    <s v=""/>
  </r>
  <r>
    <x v="0"/>
    <n v="2780"/>
    <x v="1"/>
    <x v="0"/>
    <x v="0"/>
    <s v="2nd line support"/>
    <x v="1"/>
    <x v="1398"/>
    <d v="2023-08-05T18:46:36"/>
    <d v="2023-08-03T19:46:36"/>
    <d v="2023-08-03T19:01:53"/>
    <s v="Within SLA"/>
    <d v="2023-08-05T11:59:41"/>
    <x v="0"/>
    <d v="2023-08-09T20:52:20"/>
    <n v="7"/>
    <n v="2"/>
    <x v="2"/>
    <x v="1"/>
    <s v="Poland"/>
    <n v="52.536273000000001"/>
    <n v="19.050639"/>
    <s v="ok"/>
    <s v="ok"/>
    <s v="ok"/>
    <s v="ok"/>
    <s v="ok"/>
    <x v="0"/>
    <n v="41.218090555630624"/>
  </r>
  <r>
    <x v="2"/>
    <n v="2781"/>
    <x v="1"/>
    <x v="2"/>
    <x v="5"/>
    <s v="2nd line support"/>
    <x v="5"/>
    <x v="1399"/>
    <d v="2023-08-04T00:14:42"/>
    <d v="2023-08-03T00:16:42"/>
    <d v="2023-08-03T00:15:22"/>
    <s v="Within SLA"/>
    <d v="2023-08-07T19:15:29"/>
    <x v="1"/>
    <m/>
    <n v="6"/>
    <m/>
    <x v="0"/>
    <x v="1"/>
    <s v="Germany"/>
    <n v="51.165691000000002"/>
    <n v="10.451525999999999"/>
    <s v="ok"/>
    <s v="ok"/>
    <s v="ok"/>
    <s v="ok"/>
    <s v="ok"/>
    <x v="0"/>
    <n v="115.01310444442788"/>
  </r>
  <r>
    <x v="2"/>
    <n v="2782"/>
    <x v="1"/>
    <x v="1"/>
    <x v="1"/>
    <s v="2nd line support"/>
    <x v="1"/>
    <x v="1400"/>
    <d v="2023-08-05T15:31:59"/>
    <d v="2023-08-03T15:33:59"/>
    <d v="2023-08-03T15:32:08"/>
    <s v="Within SLA"/>
    <d v="2023-08-04T22:51:02"/>
    <x v="0"/>
    <m/>
    <n v="1"/>
    <m/>
    <x v="0"/>
    <x v="1"/>
    <s v="France"/>
    <n v="48.864716000000001"/>
    <n v="2.3490139999999999"/>
    <s v="ok"/>
    <s v="ok"/>
    <s v="ok"/>
    <s v="ok"/>
    <s v="ok"/>
    <x v="0"/>
    <n v="31.317580555623863"/>
  </r>
  <r>
    <x v="2"/>
    <n v="2783"/>
    <x v="0"/>
    <x v="0"/>
    <x v="2"/>
    <s v="1st line support"/>
    <x v="6"/>
    <x v="1401"/>
    <d v="2023-08-05T14:52:35"/>
    <d v="2023-08-03T15:52:35"/>
    <d v="2023-08-03T15:34:41"/>
    <s v="Within SLA"/>
    <d v="2023-08-04T04:16:18"/>
    <x v="0"/>
    <m/>
    <n v="1"/>
    <m/>
    <x v="0"/>
    <x v="0"/>
    <s v="France"/>
    <n v="48.864716000000001"/>
    <n v="2.3490139999999999"/>
    <s v="ok"/>
    <s v="ok"/>
    <s v="ok"/>
    <s v="ok"/>
    <s v="ok"/>
    <x v="0"/>
    <n v="13.395240277808625"/>
  </r>
  <r>
    <x v="0"/>
    <n v="2784"/>
    <x v="2"/>
    <x v="2"/>
    <x v="0"/>
    <s v="2nd line support"/>
    <x v="5"/>
    <x v="1402"/>
    <d v="2023-08-04T12:37:19"/>
    <d v="2023-08-03T12:39:19"/>
    <d v="2023-08-03T12:38:53"/>
    <s v="Within SLA"/>
    <d v="2023-08-04T04:47:47"/>
    <x v="0"/>
    <d v="2023-08-07T12:16:38"/>
    <n v="6"/>
    <n v="4"/>
    <x v="2"/>
    <x v="1"/>
    <s v="Italy"/>
    <n v="43.036776000000003"/>
    <n v="12.678565000000001"/>
    <s v="ok"/>
    <s v="ok"/>
    <s v="ok"/>
    <s v="ok"/>
    <s v="ok"/>
    <x v="0"/>
    <n v="16.174337500124238"/>
  </r>
  <r>
    <x v="0"/>
    <n v="2785"/>
    <x v="2"/>
    <x v="1"/>
    <x v="1"/>
    <s v="2nd line support"/>
    <x v="5"/>
    <x v="1403"/>
    <d v="2023-08-05T21:38:26"/>
    <d v="2023-08-03T21:40:26"/>
    <d v="2023-08-03T21:39:50"/>
    <s v="Within SLA"/>
    <d v="2023-08-05T14:52:32"/>
    <x v="0"/>
    <d v="2023-08-05T23:11:46"/>
    <n v="1"/>
    <n v="4"/>
    <x v="0"/>
    <x v="1"/>
    <s v="United Kingdom"/>
    <n v="55.378051999999997"/>
    <n v="-3.4359730000000002"/>
    <s v="ok"/>
    <s v="ok"/>
    <s v="ok"/>
    <s v="ok"/>
    <s v="ok"/>
    <x v="0"/>
    <n v="41.235011944372673"/>
  </r>
  <r>
    <x v="1"/>
    <n v="2786"/>
    <x v="2"/>
    <x v="2"/>
    <x v="3"/>
    <s v="1st line support"/>
    <x v="4"/>
    <x v="1404"/>
    <d v="2023-08-04T21:33:45"/>
    <d v="2023-08-03T21:35:45"/>
    <d v="2023-08-03T21:35:05"/>
    <s v="Within SLA"/>
    <m/>
    <x v="1"/>
    <m/>
    <n v="60"/>
    <m/>
    <x v="2"/>
    <x v="0"/>
    <s v="Germany"/>
    <n v="51.165691000000002"/>
    <n v="10.451525999999999"/>
    <s v="ok"/>
    <s v="ok"/>
    <s v="ok"/>
    <s v="ok"/>
    <s v="ok"/>
    <x v="1"/>
    <s v=""/>
  </r>
  <r>
    <x v="2"/>
    <n v="2787"/>
    <x v="0"/>
    <x v="1"/>
    <x v="0"/>
    <s v="1st line support"/>
    <x v="6"/>
    <x v="1405"/>
    <d v="2023-08-06T12:43:41"/>
    <d v="2023-08-04T12:45:41"/>
    <d v="2023-08-04T12:44:01"/>
    <s v="Within SLA"/>
    <d v="2023-08-07T02:10:39"/>
    <x v="1"/>
    <m/>
    <n v="1"/>
    <m/>
    <x v="2"/>
    <x v="0"/>
    <s v="France"/>
    <n v="48.864716000000001"/>
    <n v="2.3490139999999999"/>
    <s v="ok"/>
    <s v="ok"/>
    <s v="ok"/>
    <s v="ok"/>
    <s v="ok"/>
    <x v="0"/>
    <n v="61.449525833479129"/>
  </r>
  <r>
    <x v="0"/>
    <n v="2788"/>
    <x v="0"/>
    <x v="2"/>
    <x v="0"/>
    <s v="2nd line support"/>
    <x v="5"/>
    <x v="1406"/>
    <d v="2023-08-05T04:37:32"/>
    <d v="2023-08-04T04:39:32"/>
    <d v="2023-08-04T04:38:22"/>
    <s v="Within SLA"/>
    <d v="2023-08-04T14:07:43"/>
    <x v="0"/>
    <d v="2023-08-06T05:11:39"/>
    <n v="4"/>
    <n v="1"/>
    <x v="2"/>
    <x v="1"/>
    <s v="Italy"/>
    <n v="43.036776000000003"/>
    <n v="12.678565000000001"/>
    <s v="ok"/>
    <s v="ok"/>
    <s v="ok"/>
    <s v="ok"/>
    <s v="ok"/>
    <x v="0"/>
    <n v="9.5030694444430992"/>
  </r>
  <r>
    <x v="1"/>
    <n v="2789"/>
    <x v="1"/>
    <x v="0"/>
    <x v="1"/>
    <s v="1st line support"/>
    <x v="4"/>
    <x v="1407"/>
    <d v="2023-08-06T18:15:36"/>
    <d v="2023-08-04T19:15:36"/>
    <d v="2023-08-04T18:50:58"/>
    <s v="Within SLA"/>
    <m/>
    <x v="1"/>
    <m/>
    <n v="6"/>
    <m/>
    <x v="1"/>
    <x v="0"/>
    <s v="Greece"/>
    <n v="39.368279000000001"/>
    <n v="21.863140999999999"/>
    <s v="ok"/>
    <s v="ok"/>
    <s v="ok"/>
    <s v="ok"/>
    <s v="ok"/>
    <x v="1"/>
    <s v=""/>
  </r>
  <r>
    <x v="0"/>
    <n v="2790"/>
    <x v="2"/>
    <x v="0"/>
    <x v="1"/>
    <s v="1st line support"/>
    <x v="2"/>
    <x v="1408"/>
    <d v="2023-08-06T03:20:18"/>
    <d v="2023-08-04T04:20:18"/>
    <d v="2023-08-04T04:17:25"/>
    <s v="Within SLA"/>
    <d v="2023-08-05T21:34:54"/>
    <x v="0"/>
    <d v="2023-08-06T06:58:58"/>
    <n v="8"/>
    <n v="1"/>
    <x v="2"/>
    <x v="0"/>
    <s v="Italy"/>
    <n v="43.036776000000003"/>
    <n v="12.678565000000001"/>
    <s v="ok"/>
    <s v="ok"/>
    <s v="ok"/>
    <s v="ok"/>
    <s v="ok"/>
    <x v="0"/>
    <n v="42.243453333328944"/>
  </r>
  <r>
    <x v="2"/>
    <n v="2791"/>
    <x v="1"/>
    <x v="0"/>
    <x v="3"/>
    <s v="1st line support"/>
    <x v="2"/>
    <x v="1409"/>
    <d v="2023-08-06T01:50:35"/>
    <d v="2023-08-04T02:50:35"/>
    <d v="2023-08-04T01:55:06"/>
    <s v="Within SLA"/>
    <d v="2023-08-05T20:31:50"/>
    <x v="0"/>
    <m/>
    <n v="4"/>
    <m/>
    <x v="3"/>
    <x v="0"/>
    <s v="France"/>
    <n v="48.864716000000001"/>
    <n v="2.3490139999999999"/>
    <s v="ok"/>
    <s v="ok"/>
    <s v="ok"/>
    <s v="ok"/>
    <s v="ok"/>
    <x v="0"/>
    <n v="42.687498333281837"/>
  </r>
  <r>
    <x v="0"/>
    <n v="2792"/>
    <x v="0"/>
    <x v="1"/>
    <x v="5"/>
    <s v="1st line support"/>
    <x v="0"/>
    <x v="1410"/>
    <d v="2023-08-07T00:41:24"/>
    <d v="2023-08-05T00:43:24"/>
    <d v="2023-08-05T00:42:23"/>
    <s v="Within SLA"/>
    <d v="2023-08-07T05:00:06"/>
    <x v="1"/>
    <d v="2023-08-08T10:15:07"/>
    <n v="3"/>
    <n v="1"/>
    <x v="2"/>
    <x v="0"/>
    <s v="Italy"/>
    <n v="43.036776000000003"/>
    <n v="12.678565000000001"/>
    <s v="ok"/>
    <s v="ok"/>
    <s v="ok"/>
    <s v="ok"/>
    <s v="ok"/>
    <x v="0"/>
    <n v="52.311733333335724"/>
  </r>
  <r>
    <x v="0"/>
    <n v="2793"/>
    <x v="2"/>
    <x v="0"/>
    <x v="4"/>
    <s v="1st line support"/>
    <x v="6"/>
    <x v="1411"/>
    <d v="2023-08-07T02:24:07"/>
    <d v="2023-08-05T03:24:07"/>
    <d v="2023-08-05T08:21:21"/>
    <s v="SLA Violated"/>
    <d v="2023-08-05T09:54:42"/>
    <x v="0"/>
    <d v="2023-08-09T03:05:35"/>
    <n v="9"/>
    <n v="4"/>
    <x v="0"/>
    <x v="0"/>
    <s v="United Kingdom"/>
    <n v="55.378051999999997"/>
    <n v="-3.4359730000000002"/>
    <s v="ok"/>
    <s v="ok"/>
    <s v="ok"/>
    <s v="ok"/>
    <s v="ok"/>
    <x v="0"/>
    <n v="7.5096477776532993"/>
  </r>
  <r>
    <x v="0"/>
    <n v="2794"/>
    <x v="2"/>
    <x v="2"/>
    <x v="1"/>
    <s v="1st line support"/>
    <x v="6"/>
    <x v="1412"/>
    <d v="2023-08-06T01:58:57"/>
    <d v="2023-08-05T02:00:57"/>
    <d v="2023-08-05T01:59:43"/>
    <s v="Within SLA"/>
    <d v="2023-08-05T10:23:44"/>
    <x v="0"/>
    <d v="2023-08-07T00:33:13"/>
    <n v="5"/>
    <n v="5"/>
    <x v="3"/>
    <x v="0"/>
    <s v="Poland"/>
    <n v="52.536273000000001"/>
    <n v="19.050639"/>
    <s v="ok"/>
    <s v="ok"/>
    <s v="ok"/>
    <s v="ok"/>
    <s v="ok"/>
    <x v="0"/>
    <n v="8.4131352778058499"/>
  </r>
  <r>
    <x v="0"/>
    <n v="2806"/>
    <x v="0"/>
    <x v="0"/>
    <x v="0"/>
    <s v="1st line support"/>
    <x v="6"/>
    <x v="1413"/>
    <d v="2023-08-08T11:09:06"/>
    <d v="2023-08-06T12:09:06"/>
    <d v="2023-08-06T11:43:40"/>
    <s v="Within SLA"/>
    <d v="2023-08-06T15:34:42"/>
    <x v="0"/>
    <d v="2023-08-11T08:07:36"/>
    <n v="8"/>
    <n v="5"/>
    <x v="2"/>
    <x v="0"/>
    <s v="Italy"/>
    <n v="43.036776000000003"/>
    <n v="12.678565000000001"/>
    <s v="ok"/>
    <s v="ok"/>
    <s v="ok"/>
    <s v="ok"/>
    <s v="ok"/>
    <x v="0"/>
    <n v="4.4265288887545466"/>
  </r>
  <r>
    <x v="2"/>
    <n v="2807"/>
    <x v="1"/>
    <x v="0"/>
    <x v="4"/>
    <s v="1st line support"/>
    <x v="3"/>
    <x v="1414"/>
    <d v="2023-08-08T12:50:33"/>
    <d v="2023-08-06T13:50:33"/>
    <d v="2023-08-06T13:17:36"/>
    <s v="Within SLA"/>
    <d v="2023-08-07T15:01:37"/>
    <x v="0"/>
    <m/>
    <n v="1"/>
    <m/>
    <x v="0"/>
    <x v="0"/>
    <s v="Slovenia"/>
    <n v="46.149166399999999"/>
    <n v="14.9860106"/>
    <s v="ok"/>
    <s v="ok"/>
    <s v="ok"/>
    <s v="ok"/>
    <s v="ok"/>
    <x v="0"/>
    <n v="26.184515833330806"/>
  </r>
  <r>
    <x v="2"/>
    <n v="2808"/>
    <x v="1"/>
    <x v="0"/>
    <x v="5"/>
    <s v="1st line support"/>
    <x v="3"/>
    <x v="1415"/>
    <d v="2023-08-08T10:37:40"/>
    <d v="2023-08-06T11:37:40"/>
    <d v="2023-08-06T11:23:39"/>
    <s v="Within SLA"/>
    <d v="2023-08-11T17:38:25"/>
    <x v="1"/>
    <m/>
    <n v="10"/>
    <m/>
    <x v="0"/>
    <x v="0"/>
    <s v="United Kingdom"/>
    <n v="55.378051999999997"/>
    <n v="-3.4359730000000002"/>
    <s v="ok"/>
    <s v="ok"/>
    <s v="ok"/>
    <s v="ok"/>
    <s v="ok"/>
    <x v="0"/>
    <n v="127.01254388893722"/>
  </r>
  <r>
    <x v="0"/>
    <n v="2809"/>
    <x v="0"/>
    <x v="0"/>
    <x v="2"/>
    <s v="1st line support"/>
    <x v="6"/>
    <x v="1416"/>
    <d v="2023-08-08T13:52:11"/>
    <d v="2023-08-06T14:52:11"/>
    <d v="2023-08-06T14:21:28"/>
    <s v="Within SLA"/>
    <d v="2023-08-08T07:57:43"/>
    <x v="0"/>
    <d v="2023-08-08T23:06:21"/>
    <n v="3"/>
    <n v="5"/>
    <x v="2"/>
    <x v="0"/>
    <s v="Czech Republic"/>
    <n v="49.8037633"/>
    <n v="15.4749126"/>
    <s v="ok"/>
    <s v="ok"/>
    <s v="ok"/>
    <s v="ok"/>
    <s v="ok"/>
    <x v="0"/>
    <n v="42.092270555498544"/>
  </r>
  <r>
    <x v="0"/>
    <n v="2810"/>
    <x v="0"/>
    <x v="0"/>
    <x v="1"/>
    <s v="1st line support"/>
    <x v="6"/>
    <x v="1417"/>
    <d v="2023-08-08T17:58:30"/>
    <d v="2023-08-06T18:58:30"/>
    <d v="2023-08-06T18:37:11"/>
    <s v="Within SLA"/>
    <d v="2023-08-06T21:30:36"/>
    <x v="0"/>
    <d v="2023-08-12T06:43:09"/>
    <n v="2"/>
    <n v="5"/>
    <x v="1"/>
    <x v="0"/>
    <s v="Czech Republic"/>
    <n v="49.8037633"/>
    <n v="15.4749126"/>
    <s v="ok"/>
    <s v="ok"/>
    <s v="ok"/>
    <s v="ok"/>
    <s v="ok"/>
    <x v="0"/>
    <n v="3.5349630555720069"/>
  </r>
  <r>
    <x v="0"/>
    <n v="2811"/>
    <x v="0"/>
    <x v="0"/>
    <x v="3"/>
    <s v="1st line support"/>
    <x v="2"/>
    <x v="1418"/>
    <d v="2023-08-08T13:38:15"/>
    <d v="2023-08-06T14:38:15"/>
    <d v="2023-08-06T13:45:10"/>
    <s v="Within SLA"/>
    <d v="2023-08-11T13:43:29"/>
    <x v="1"/>
    <d v="2023-08-12T00:10:52"/>
    <n v="2"/>
    <n v="5"/>
    <x v="2"/>
    <x v="0"/>
    <s v="France"/>
    <n v="48.864716000000001"/>
    <n v="2.3490139999999999"/>
    <s v="ok"/>
    <s v="ok"/>
    <s v="ok"/>
    <s v="ok"/>
    <s v="ok"/>
    <x v="0"/>
    <n v="120.08714333327953"/>
  </r>
  <r>
    <x v="2"/>
    <n v="2812"/>
    <x v="1"/>
    <x v="0"/>
    <x v="2"/>
    <s v="1st line support"/>
    <x v="3"/>
    <x v="1419"/>
    <d v="2023-08-09T12:46:44"/>
    <d v="2023-08-07T13:46:44"/>
    <d v="2023-08-07T19:12:47"/>
    <s v="SLA Violated"/>
    <d v="2023-08-07T20:36:58"/>
    <x v="0"/>
    <m/>
    <n v="1"/>
    <m/>
    <x v="1"/>
    <x v="0"/>
    <s v="Bulgaria"/>
    <n v="42.724992499999999"/>
    <n v="25.483303899999999"/>
    <s v="ok"/>
    <s v="ok"/>
    <s v="ok"/>
    <s v="ok"/>
    <s v="ok"/>
    <x v="0"/>
    <n v="7.8373058333527297"/>
  </r>
  <r>
    <x v="1"/>
    <n v="2813"/>
    <x v="0"/>
    <x v="0"/>
    <x v="5"/>
    <s v="2nd line support"/>
    <x v="5"/>
    <x v="1420"/>
    <d v="2023-08-09T11:15:32"/>
    <d v="2023-08-07T12:15:32"/>
    <d v="2023-08-07T11:23:32"/>
    <s v="Within SLA"/>
    <m/>
    <x v="1"/>
    <m/>
    <n v="10"/>
    <m/>
    <x v="1"/>
    <x v="1"/>
    <s v="Germany"/>
    <n v="51.165691000000002"/>
    <n v="10.451525999999999"/>
    <s v="ok"/>
    <s v="ok"/>
    <s v="ok"/>
    <s v="ok"/>
    <s v="ok"/>
    <x v="1"/>
    <s v=""/>
  </r>
  <r>
    <x v="2"/>
    <n v="2814"/>
    <x v="0"/>
    <x v="0"/>
    <x v="6"/>
    <s v="1st line support"/>
    <x v="0"/>
    <x v="1421"/>
    <d v="2023-08-09T19:44:12"/>
    <d v="2023-08-07T20:44:12"/>
    <d v="2023-08-07T20:37:18"/>
    <s v="Within SLA"/>
    <d v="2023-08-09T03:49:21"/>
    <x v="0"/>
    <m/>
    <n v="2"/>
    <m/>
    <x v="3"/>
    <x v="0"/>
    <s v="Germany"/>
    <n v="51.165691000000002"/>
    <n v="10.451525999999999"/>
    <s v="ok"/>
    <s v="ok"/>
    <s v="ok"/>
    <s v="ok"/>
    <s v="ok"/>
    <x v="0"/>
    <n v="32.085751111095306"/>
  </r>
  <r>
    <x v="0"/>
    <n v="2815"/>
    <x v="0"/>
    <x v="0"/>
    <x v="0"/>
    <s v="1st line support"/>
    <x v="6"/>
    <x v="1422"/>
    <d v="2023-08-09T23:34:02"/>
    <d v="2023-08-08T00:34:02"/>
    <d v="2023-08-07T23:38:24"/>
    <s v="Within SLA"/>
    <d v="2023-08-08T07:04:35"/>
    <x v="0"/>
    <d v="2023-08-14T00:06:38"/>
    <n v="1"/>
    <n v="3"/>
    <x v="2"/>
    <x v="0"/>
    <s v="Poland"/>
    <n v="52.536273000000001"/>
    <n v="19.050639"/>
    <s v="ok"/>
    <s v="ok"/>
    <s v="ok"/>
    <s v="ok"/>
    <s v="ok"/>
    <x v="0"/>
    <n v="7.5091155556146987"/>
  </r>
  <r>
    <x v="1"/>
    <n v="2816"/>
    <x v="2"/>
    <x v="2"/>
    <x v="5"/>
    <s v="1st line support"/>
    <x v="4"/>
    <x v="1423"/>
    <d v="2023-08-08T15:10:55"/>
    <d v="2023-08-07T15:12:55"/>
    <d v="2023-08-07T15:13:08"/>
    <s v="SLA Violated"/>
    <m/>
    <x v="1"/>
    <m/>
    <n v="6"/>
    <m/>
    <x v="0"/>
    <x v="0"/>
    <s v="Slovenia"/>
    <n v="46.149166399999999"/>
    <n v="14.9860106"/>
    <s v="ok"/>
    <s v="ok"/>
    <s v="ok"/>
    <s v="ok"/>
    <s v="ok"/>
    <x v="1"/>
    <s v=""/>
  </r>
  <r>
    <x v="0"/>
    <n v="2817"/>
    <x v="2"/>
    <x v="0"/>
    <x v="2"/>
    <s v="1st line support"/>
    <x v="4"/>
    <x v="1424"/>
    <d v="2023-08-09T22:29:00"/>
    <d v="2023-08-07T23:29:00"/>
    <d v="2023-08-07T23:12:19"/>
    <s v="Within SLA"/>
    <d v="2023-08-11T16:11:22"/>
    <x v="1"/>
    <d v="2023-08-12T22:53:13"/>
    <n v="4"/>
    <n v="5"/>
    <x v="2"/>
    <x v="0"/>
    <s v="France"/>
    <n v="48.864716000000001"/>
    <n v="2.3490139999999999"/>
    <s v="ok"/>
    <s v="ok"/>
    <s v="ok"/>
    <s v="ok"/>
    <s v="ok"/>
    <x v="0"/>
    <n v="89.706238333310466"/>
  </r>
  <r>
    <x v="0"/>
    <n v="2818"/>
    <x v="0"/>
    <x v="0"/>
    <x v="2"/>
    <s v="1st line support"/>
    <x v="4"/>
    <x v="1425"/>
    <d v="2023-08-10T09:40:50"/>
    <d v="2023-08-08T10:40:50"/>
    <d v="2023-08-08T10:16:35"/>
    <s v="Within SLA"/>
    <d v="2023-08-10T00:51:58"/>
    <x v="0"/>
    <d v="2023-08-11T20:48:55"/>
    <n v="3"/>
    <n v="5"/>
    <x v="3"/>
    <x v="0"/>
    <s v="Poland"/>
    <n v="52.536273000000001"/>
    <n v="19.050639"/>
    <s v="ok"/>
    <s v="ok"/>
    <s v="ok"/>
    <s v="ok"/>
    <s v="ok"/>
    <x v="0"/>
    <n v="39.185594999988098"/>
  </r>
  <r>
    <x v="2"/>
    <n v="2819"/>
    <x v="0"/>
    <x v="1"/>
    <x v="2"/>
    <s v="1st line support"/>
    <x v="3"/>
    <x v="1426"/>
    <d v="2023-08-10T21:09:26"/>
    <d v="2023-08-08T21:11:26"/>
    <d v="2023-08-08T21:11:16"/>
    <s v="Within SLA"/>
    <d v="2023-08-10T18:00:32"/>
    <x v="0"/>
    <m/>
    <n v="1"/>
    <m/>
    <x v="2"/>
    <x v="0"/>
    <s v="Bulgaria"/>
    <n v="42.724992499999999"/>
    <n v="25.483303899999999"/>
    <s v="ok"/>
    <s v="ok"/>
    <s v="ok"/>
    <s v="ok"/>
    <s v="ok"/>
    <x v="0"/>
    <n v="44.851699999999255"/>
  </r>
  <r>
    <x v="2"/>
    <n v="2820"/>
    <x v="2"/>
    <x v="2"/>
    <x v="4"/>
    <s v="1st line support"/>
    <x v="2"/>
    <x v="1427"/>
    <d v="2023-08-09T22:35:28"/>
    <d v="2023-08-08T22:37:28"/>
    <d v="2023-08-08T22:37:02"/>
    <s v="Within SLA"/>
    <d v="2023-08-09T16:47:07"/>
    <x v="0"/>
    <m/>
    <n v="6"/>
    <m/>
    <x v="0"/>
    <x v="0"/>
    <s v="Bulgaria"/>
    <n v="42.724992499999999"/>
    <n v="25.483303899999999"/>
    <s v="ok"/>
    <s v="ok"/>
    <s v="ok"/>
    <s v="ok"/>
    <s v="ok"/>
    <x v="0"/>
    <n v="18.19429388892604"/>
  </r>
  <r>
    <x v="0"/>
    <n v="2821"/>
    <x v="2"/>
    <x v="2"/>
    <x v="6"/>
    <s v="1st line support"/>
    <x v="0"/>
    <x v="1428"/>
    <d v="2023-08-09T00:50:57"/>
    <d v="2023-08-08T00:52:57"/>
    <d v="2023-08-08T00:52:28"/>
    <s v="Within SLA"/>
    <d v="2023-08-08T18:27:15"/>
    <x v="0"/>
    <d v="2023-08-12T06:47:21"/>
    <n v="6"/>
    <n v="4"/>
    <x v="3"/>
    <x v="0"/>
    <s v="Poland"/>
    <n v="52.536273000000001"/>
    <n v="19.050639"/>
    <s v="ok"/>
    <s v="ok"/>
    <s v="ok"/>
    <s v="ok"/>
    <s v="ok"/>
    <x v="0"/>
    <n v="17.604996944486629"/>
  </r>
  <r>
    <x v="0"/>
    <n v="2822"/>
    <x v="0"/>
    <x v="1"/>
    <x v="1"/>
    <s v="1st line support"/>
    <x v="6"/>
    <x v="1429"/>
    <d v="2023-08-10T07:51:46"/>
    <d v="2023-08-08T07:53:46"/>
    <d v="2023-08-08T07:53:28"/>
    <s v="Within SLA"/>
    <d v="2023-08-11T20:40:54"/>
    <x v="1"/>
    <d v="2023-08-12T01:19:19"/>
    <n v="4"/>
    <n v="1"/>
    <x v="3"/>
    <x v="0"/>
    <s v="Italy"/>
    <n v="43.036776000000003"/>
    <n v="12.678565000000001"/>
    <s v="ok"/>
    <s v="ok"/>
    <s v="ok"/>
    <s v="ok"/>
    <s v="ok"/>
    <x v="0"/>
    <n v="84.818788611155469"/>
  </r>
  <r>
    <x v="0"/>
    <n v="2823"/>
    <x v="1"/>
    <x v="0"/>
    <x v="0"/>
    <s v="2nd line support"/>
    <x v="1"/>
    <x v="1430"/>
    <d v="2023-08-10T01:22:34"/>
    <d v="2023-08-08T02:22:34"/>
    <d v="2023-08-08T01:45:22"/>
    <s v="Within SLA"/>
    <d v="2023-08-09T00:36:45"/>
    <x v="0"/>
    <d v="2023-08-09T10:29:59"/>
    <n v="1"/>
    <n v="3"/>
    <x v="2"/>
    <x v="1"/>
    <s v="Germany"/>
    <n v="51.165691000000002"/>
    <n v="10.451525999999999"/>
    <s v="ok"/>
    <s v="ok"/>
    <s v="ok"/>
    <s v="ok"/>
    <s v="ok"/>
    <x v="0"/>
    <n v="23.236269444460049"/>
  </r>
  <r>
    <x v="0"/>
    <n v="2824"/>
    <x v="0"/>
    <x v="0"/>
    <x v="2"/>
    <s v="1st line support"/>
    <x v="2"/>
    <x v="1431"/>
    <d v="2023-08-10T05:42:37"/>
    <d v="2023-08-08T06:42:37"/>
    <d v="2023-08-08T05:49:22"/>
    <s v="Within SLA"/>
    <d v="2023-08-09T06:53:10"/>
    <x v="0"/>
    <d v="2023-08-10T12:25:26"/>
    <n v="2"/>
    <n v="5"/>
    <x v="2"/>
    <x v="0"/>
    <s v="Slovenia"/>
    <n v="46.149166399999999"/>
    <n v="14.9860106"/>
    <s v="ok"/>
    <s v="ok"/>
    <s v="ok"/>
    <s v="ok"/>
    <s v="ok"/>
    <x v="0"/>
    <n v="25.175928611133713"/>
  </r>
  <r>
    <x v="2"/>
    <n v="2825"/>
    <x v="2"/>
    <x v="2"/>
    <x v="1"/>
    <s v="1st line support"/>
    <x v="3"/>
    <x v="1432"/>
    <d v="2023-08-10T20:32:09"/>
    <d v="2023-08-09T20:34:09"/>
    <d v="2023-08-09T20:32:35"/>
    <s v="Within SLA"/>
    <d v="2023-08-09T23:05:15"/>
    <x v="0"/>
    <m/>
    <n v="8"/>
    <m/>
    <x v="2"/>
    <x v="0"/>
    <s v="Italy"/>
    <n v="43.036776000000003"/>
    <n v="12.678565000000001"/>
    <s v="ok"/>
    <s v="ok"/>
    <s v="ok"/>
    <s v="ok"/>
    <s v="ok"/>
    <x v="0"/>
    <n v="2.5516755556454882"/>
  </r>
  <r>
    <x v="1"/>
    <n v="2826"/>
    <x v="2"/>
    <x v="0"/>
    <x v="3"/>
    <s v="1st line support"/>
    <x v="3"/>
    <x v="1433"/>
    <d v="2023-08-11T08:55:35"/>
    <d v="2023-08-09T09:55:35"/>
    <d v="2023-08-09T09:13:26"/>
    <s v="Within SLA"/>
    <m/>
    <x v="1"/>
    <m/>
    <n v="3"/>
    <m/>
    <x v="0"/>
    <x v="0"/>
    <s v="Slovenia"/>
    <n v="46.149166399999999"/>
    <n v="14.9860106"/>
    <s v="ok"/>
    <s v="ok"/>
    <s v="ok"/>
    <s v="ok"/>
    <s v="ok"/>
    <x v="1"/>
    <s v=""/>
  </r>
  <r>
    <x v="2"/>
    <n v="2827"/>
    <x v="1"/>
    <x v="0"/>
    <x v="5"/>
    <s v="1st line support"/>
    <x v="2"/>
    <x v="1434"/>
    <d v="2023-08-11T11:05:57"/>
    <d v="2023-08-09T12:05:57"/>
    <d v="2023-08-09T12:04:39"/>
    <s v="Within SLA"/>
    <d v="2023-08-13T11:52:58"/>
    <x v="1"/>
    <m/>
    <n v="2"/>
    <m/>
    <x v="0"/>
    <x v="0"/>
    <s v="Spain"/>
    <n v="39.673369999999998"/>
    <n v="-4.7677259999999997"/>
    <s v="ok"/>
    <s v="ok"/>
    <s v="ok"/>
    <s v="ok"/>
    <s v="ok"/>
    <x v="0"/>
    <n v="96.783600000024308"/>
  </r>
  <r>
    <x v="0"/>
    <n v="2828"/>
    <x v="0"/>
    <x v="0"/>
    <x v="0"/>
    <s v="2nd line support"/>
    <x v="5"/>
    <x v="1435"/>
    <d v="2023-08-11T17:25:41"/>
    <d v="2023-08-09T18:25:41"/>
    <d v="2023-08-09T17:36:41"/>
    <s v="Within SLA"/>
    <d v="2023-08-14T15:55:02"/>
    <x v="1"/>
    <d v="2023-08-16T15:31:27"/>
    <n v="4"/>
    <n v="3"/>
    <x v="1"/>
    <x v="1"/>
    <s v="Italy"/>
    <n v="43.036776000000003"/>
    <n v="12.678565000000001"/>
    <s v="ok"/>
    <s v="ok"/>
    <s v="ok"/>
    <s v="ok"/>
    <s v="ok"/>
    <x v="0"/>
    <n v="118.48911888885777"/>
  </r>
  <r>
    <x v="2"/>
    <n v="2829"/>
    <x v="1"/>
    <x v="2"/>
    <x v="3"/>
    <s v="1st line support"/>
    <x v="6"/>
    <x v="1436"/>
    <d v="2023-08-10T06:58:57"/>
    <d v="2023-08-09T07:00:57"/>
    <d v="2023-08-09T06:59:11"/>
    <s v="Within SLA"/>
    <d v="2023-08-09T19:11:32"/>
    <x v="0"/>
    <m/>
    <n v="6"/>
    <m/>
    <x v="2"/>
    <x v="0"/>
    <s v="Republic of Ireland"/>
    <n v="53.094023999999997"/>
    <n v="-8.0196749999999994"/>
    <s v="ok"/>
    <s v="ok"/>
    <s v="ok"/>
    <s v="ok"/>
    <s v="ok"/>
    <x v="0"/>
    <n v="12.209793333371636"/>
  </r>
  <r>
    <x v="0"/>
    <n v="2830"/>
    <x v="0"/>
    <x v="2"/>
    <x v="0"/>
    <s v="1st line support"/>
    <x v="4"/>
    <x v="1437"/>
    <d v="2023-08-10T09:11:08"/>
    <d v="2023-08-09T09:13:08"/>
    <d v="2023-08-09T09:15:02"/>
    <s v="SLA Violated"/>
    <d v="2023-08-09T14:03:15"/>
    <x v="0"/>
    <d v="2023-08-11T18:56:18"/>
    <n v="6"/>
    <n v="3"/>
    <x v="0"/>
    <x v="0"/>
    <s v="France"/>
    <n v="48.864716000000001"/>
    <n v="2.3490139999999999"/>
    <s v="ok"/>
    <s v="ok"/>
    <s v="ok"/>
    <s v="ok"/>
    <s v="ok"/>
    <x v="0"/>
    <n v="4.8685616665170528"/>
  </r>
  <r>
    <x v="2"/>
    <n v="2831"/>
    <x v="1"/>
    <x v="2"/>
    <x v="5"/>
    <s v="2nd line support"/>
    <x v="1"/>
    <x v="1438"/>
    <d v="2023-08-10T17:11:17"/>
    <d v="2023-08-09T17:13:17"/>
    <d v="2023-08-09T17:11:58"/>
    <s v="Within SLA"/>
    <d v="2023-08-10T08:53:20"/>
    <x v="0"/>
    <m/>
    <n v="6"/>
    <m/>
    <x v="0"/>
    <x v="1"/>
    <s v="Bulgaria"/>
    <n v="42.724992499999999"/>
    <n v="25.483303899999999"/>
    <s v="ok"/>
    <s v="ok"/>
    <s v="ok"/>
    <s v="ok"/>
    <s v="ok"/>
    <x v="0"/>
    <n v="15.700781111139804"/>
  </r>
  <r>
    <x v="1"/>
    <n v="2832"/>
    <x v="0"/>
    <x v="0"/>
    <x v="5"/>
    <s v="2nd line support"/>
    <x v="7"/>
    <x v="1439"/>
    <d v="2023-08-11T03:50:28"/>
    <d v="2023-08-09T04:50:28"/>
    <d v="2023-08-09T04:21:26"/>
    <s v="Within SLA"/>
    <m/>
    <x v="1"/>
    <m/>
    <n v="10"/>
    <m/>
    <x v="0"/>
    <x v="1"/>
    <s v="United Kingdom"/>
    <n v="55.378051999999997"/>
    <n v="-3.4359730000000002"/>
    <s v="ok"/>
    <s v="ok"/>
    <s v="ok"/>
    <s v="ok"/>
    <s v="ok"/>
    <x v="1"/>
    <s v=""/>
  </r>
  <r>
    <x v="0"/>
    <n v="2833"/>
    <x v="0"/>
    <x v="0"/>
    <x v="1"/>
    <s v="2nd line support"/>
    <x v="5"/>
    <x v="1440"/>
    <d v="2023-08-11T00:29:00"/>
    <d v="2023-08-09T01:29:00"/>
    <d v="2023-08-09T01:03:47"/>
    <s v="Within SLA"/>
    <d v="2023-08-09T21:58:23"/>
    <x v="0"/>
    <d v="2023-08-15T08:47:52"/>
    <n v="5"/>
    <n v="4"/>
    <x v="2"/>
    <x v="1"/>
    <s v="Czech Republic"/>
    <n v="49.8037633"/>
    <n v="15.4749126"/>
    <s v="ok"/>
    <s v="ok"/>
    <s v="ok"/>
    <s v="ok"/>
    <s v="ok"/>
    <x v="0"/>
    <n v="21.489721666672267"/>
  </r>
  <r>
    <x v="0"/>
    <n v="2834"/>
    <x v="0"/>
    <x v="1"/>
    <x v="4"/>
    <s v="2nd line support"/>
    <x v="7"/>
    <x v="1441"/>
    <d v="2023-08-12T18:52:16"/>
    <d v="2023-08-10T18:54:16"/>
    <d v="2023-08-10T18:53:30"/>
    <s v="Within SLA"/>
    <d v="2023-08-14T17:33:54"/>
    <x v="1"/>
    <d v="2023-08-15T21:53:01"/>
    <n v="2"/>
    <n v="4"/>
    <x v="2"/>
    <x v="1"/>
    <s v="Spain"/>
    <n v="39.673369999999998"/>
    <n v="-4.7677259999999997"/>
    <s v="ok"/>
    <s v="ok"/>
    <s v="ok"/>
    <s v="ok"/>
    <s v="ok"/>
    <x v="0"/>
    <n v="94.693800277775154"/>
  </r>
  <r>
    <x v="1"/>
    <n v="2835"/>
    <x v="1"/>
    <x v="0"/>
    <x v="4"/>
    <s v="2nd line support"/>
    <x v="1"/>
    <x v="1442"/>
    <d v="2023-08-12T20:17:52"/>
    <d v="2023-08-10T21:17:52"/>
    <d v="2023-08-10T20:19:33"/>
    <s v="Within SLA"/>
    <m/>
    <x v="1"/>
    <m/>
    <n v="6"/>
    <m/>
    <x v="2"/>
    <x v="1"/>
    <s v="Bulgaria"/>
    <n v="42.724992499999999"/>
    <n v="25.483303899999999"/>
    <s v="ok"/>
    <s v="ok"/>
    <s v="ok"/>
    <s v="ok"/>
    <s v="ok"/>
    <x v="1"/>
    <s v=""/>
  </r>
  <r>
    <x v="0"/>
    <n v="2836"/>
    <x v="0"/>
    <x v="0"/>
    <x v="2"/>
    <s v="1st line support"/>
    <x v="0"/>
    <x v="1443"/>
    <d v="2023-08-12T22:15:02"/>
    <d v="2023-08-10T23:15:02"/>
    <d v="2023-08-10T23:05:08"/>
    <s v="Within SLA"/>
    <d v="2023-08-11T14:48:45"/>
    <x v="0"/>
    <d v="2023-08-15T20:10:38"/>
    <n v="2"/>
    <n v="4"/>
    <x v="0"/>
    <x v="0"/>
    <s v="Germany"/>
    <n v="51.165691000000002"/>
    <n v="10.451525999999999"/>
    <s v="ok"/>
    <s v="ok"/>
    <s v="ok"/>
    <s v="ok"/>
    <s v="ok"/>
    <x v="0"/>
    <n v="16.561973055533599"/>
  </r>
  <r>
    <x v="2"/>
    <n v="2837"/>
    <x v="2"/>
    <x v="0"/>
    <x v="3"/>
    <s v="1st line support"/>
    <x v="0"/>
    <x v="1444"/>
    <d v="2023-08-13T16:51:17"/>
    <d v="2023-08-11T17:51:17"/>
    <d v="2023-08-11T17:49:37"/>
    <s v="Within SLA"/>
    <d v="2023-08-12T17:03:52"/>
    <x v="0"/>
    <m/>
    <n v="5"/>
    <m/>
    <x v="0"/>
    <x v="0"/>
    <s v="Republic of Ireland"/>
    <n v="53.094023999999997"/>
    <n v="-8.0196749999999994"/>
    <s v="ok"/>
    <s v="ok"/>
    <s v="ok"/>
    <s v="ok"/>
    <s v="ok"/>
    <x v="0"/>
    <n v="24.209765833395068"/>
  </r>
  <r>
    <x v="0"/>
    <n v="2838"/>
    <x v="2"/>
    <x v="1"/>
    <x v="2"/>
    <s v="1st line support"/>
    <x v="0"/>
    <x v="1445"/>
    <d v="2023-08-13T04:48:56"/>
    <d v="2023-08-11T04:50:56"/>
    <d v="2023-08-11T04:50:25"/>
    <s v="Within SLA"/>
    <d v="2023-08-14T01:33:01"/>
    <x v="1"/>
    <d v="2023-08-15T08:39:57"/>
    <n v="6"/>
    <n v="2"/>
    <x v="3"/>
    <x v="0"/>
    <s v="Greece"/>
    <n v="39.368279000000001"/>
    <n v="21.863140999999999"/>
    <s v="ok"/>
    <s v="ok"/>
    <s v="ok"/>
    <s v="ok"/>
    <s v="ok"/>
    <x v="0"/>
    <n v="68.73463861097116"/>
  </r>
  <r>
    <x v="0"/>
    <n v="2839"/>
    <x v="2"/>
    <x v="0"/>
    <x v="0"/>
    <s v="1st line support"/>
    <x v="4"/>
    <x v="1446"/>
    <d v="2023-08-13T23:20:44"/>
    <d v="2023-08-12T00:20:44"/>
    <d v="2023-08-11T23:24:20"/>
    <s v="Within SLA"/>
    <d v="2023-08-13T11:02:02"/>
    <x v="0"/>
    <d v="2023-08-18T12:42:54"/>
    <n v="6"/>
    <n v="4"/>
    <x v="2"/>
    <x v="0"/>
    <s v="Czech Republic"/>
    <n v="49.8037633"/>
    <n v="15.4749126"/>
    <s v="ok"/>
    <s v="ok"/>
    <s v="ok"/>
    <s v="ok"/>
    <s v="ok"/>
    <x v="0"/>
    <n v="35.688369722280186"/>
  </r>
  <r>
    <x v="0"/>
    <n v="2840"/>
    <x v="0"/>
    <x v="2"/>
    <x v="1"/>
    <s v="1st line support"/>
    <x v="4"/>
    <x v="1447"/>
    <d v="2023-08-12T23:26:09"/>
    <d v="2023-08-11T23:28:09"/>
    <d v="2023-08-11T23:27:40"/>
    <s v="Within SLA"/>
    <d v="2023-08-12T21:43:34"/>
    <x v="0"/>
    <d v="2023-08-12T06:28:14"/>
    <n v="5"/>
    <n v="5"/>
    <x v="1"/>
    <x v="0"/>
    <s v="Germany"/>
    <n v="51.165691000000002"/>
    <n v="10.451525999999999"/>
    <s v="ok"/>
    <s v="ok"/>
    <s v="check"/>
    <s v="ok"/>
    <s v="ok"/>
    <x v="0"/>
    <n v="22.290295277838595"/>
  </r>
  <r>
    <x v="0"/>
    <n v="2841"/>
    <x v="1"/>
    <x v="2"/>
    <x v="2"/>
    <s v="1st line support"/>
    <x v="6"/>
    <x v="1448"/>
    <d v="2023-08-12T15:00:10"/>
    <d v="2023-08-11T15:02:10"/>
    <d v="2023-08-11T15:00:45"/>
    <s v="Within SLA"/>
    <d v="2023-08-12T09:56:29"/>
    <x v="0"/>
    <d v="2023-08-13T10:00:56"/>
    <n v="5"/>
    <n v="4"/>
    <x v="2"/>
    <x v="0"/>
    <s v="Poland"/>
    <n v="52.536273000000001"/>
    <n v="19.050639"/>
    <s v="ok"/>
    <s v="ok"/>
    <s v="ok"/>
    <s v="ok"/>
    <s v="ok"/>
    <x v="0"/>
    <n v="18.938593889004551"/>
  </r>
  <r>
    <x v="0"/>
    <n v="2842"/>
    <x v="1"/>
    <x v="0"/>
    <x v="2"/>
    <s v="1st line support"/>
    <x v="3"/>
    <x v="1449"/>
    <d v="2023-08-14T08:58:38"/>
    <d v="2023-08-12T09:58:38"/>
    <d v="2023-08-12T09:58:36"/>
    <s v="Within SLA"/>
    <d v="2023-08-17T20:19:13"/>
    <x v="1"/>
    <d v="2023-08-18T05:54:20"/>
    <n v="7"/>
    <n v="3"/>
    <x v="0"/>
    <x v="0"/>
    <s v="Greece"/>
    <n v="39.368279000000001"/>
    <n v="21.863140999999999"/>
    <s v="ok"/>
    <s v="ok"/>
    <s v="ok"/>
    <s v="ok"/>
    <s v="ok"/>
    <x v="0"/>
    <n v="131.3431077778805"/>
  </r>
  <r>
    <x v="1"/>
    <n v="2843"/>
    <x v="2"/>
    <x v="0"/>
    <x v="0"/>
    <s v="2nd line support"/>
    <x v="1"/>
    <x v="1450"/>
    <d v="2023-08-14T04:28:51"/>
    <d v="2023-08-12T05:28:51"/>
    <d v="2023-08-12T05:20:19"/>
    <s v="Within SLA"/>
    <m/>
    <x v="1"/>
    <m/>
    <n v="10"/>
    <m/>
    <x v="1"/>
    <x v="1"/>
    <s v="Republic of Ireland"/>
    <n v="53.094023999999997"/>
    <n v="-8.0196749999999994"/>
    <s v="ok"/>
    <s v="ok"/>
    <s v="ok"/>
    <s v="ok"/>
    <s v="ok"/>
    <x v="1"/>
    <s v=""/>
  </r>
  <r>
    <x v="0"/>
    <n v="2844"/>
    <x v="2"/>
    <x v="2"/>
    <x v="2"/>
    <s v="2nd line support"/>
    <x v="5"/>
    <x v="1451"/>
    <d v="2023-08-13T14:25:33"/>
    <d v="2023-08-12T14:27:33"/>
    <d v="2023-08-12T14:26:08"/>
    <s v="Within SLA"/>
    <d v="2023-08-12T20:44:27"/>
    <x v="0"/>
    <d v="2023-08-15T02:22:48"/>
    <n v="5"/>
    <n v="5"/>
    <x v="2"/>
    <x v="1"/>
    <s v="France"/>
    <n v="48.864716000000001"/>
    <n v="2.3490139999999999"/>
    <s v="ok"/>
    <s v="ok"/>
    <s v="ok"/>
    <s v="ok"/>
    <s v="ok"/>
    <x v="0"/>
    <n v="6.3149502777960151"/>
  </r>
  <r>
    <x v="1"/>
    <n v="2845"/>
    <x v="0"/>
    <x v="1"/>
    <x v="0"/>
    <s v="1st line support"/>
    <x v="4"/>
    <x v="1452"/>
    <d v="2023-08-14T01:08:42"/>
    <d v="2023-08-12T01:10:42"/>
    <d v="2023-08-12T01:13:15"/>
    <s v="SLA Violated"/>
    <m/>
    <x v="1"/>
    <m/>
    <n v="3"/>
    <m/>
    <x v="2"/>
    <x v="0"/>
    <s v="Germany"/>
    <n v="51.165691000000002"/>
    <n v="10.451525999999999"/>
    <s v="ok"/>
    <s v="ok"/>
    <s v="ok"/>
    <s v="ok"/>
    <s v="ok"/>
    <x v="1"/>
    <s v=""/>
  </r>
  <r>
    <x v="0"/>
    <n v="2855"/>
    <x v="1"/>
    <x v="2"/>
    <x v="0"/>
    <s v="1st line support"/>
    <x v="2"/>
    <x v="1453"/>
    <d v="2023-08-14T04:29:18"/>
    <d v="2023-08-13T04:31:18"/>
    <d v="2023-08-13T04:29:57"/>
    <s v="Within SLA"/>
    <d v="2023-08-13T08:30:03"/>
    <x v="0"/>
    <d v="2023-08-16T02:55:33"/>
    <n v="6"/>
    <n v="4"/>
    <x v="2"/>
    <x v="0"/>
    <s v="Greece"/>
    <n v="39.368279000000001"/>
    <n v="21.863140999999999"/>
    <s v="ok"/>
    <s v="ok"/>
    <s v="ok"/>
    <s v="ok"/>
    <s v="ok"/>
    <x v="0"/>
    <n v="4.012486111081671"/>
  </r>
  <r>
    <x v="0"/>
    <n v="2856"/>
    <x v="0"/>
    <x v="0"/>
    <x v="3"/>
    <s v="2nd line support"/>
    <x v="7"/>
    <x v="1454"/>
    <d v="2023-08-16T13:58:32"/>
    <d v="2023-08-14T14:58:32"/>
    <d v="2023-08-14T14:21:50"/>
    <s v="Within SLA"/>
    <d v="2023-08-15T05:15:34"/>
    <x v="0"/>
    <d v="2023-08-16T17:00:03"/>
    <n v="3"/>
    <n v="3"/>
    <x v="2"/>
    <x v="1"/>
    <s v="Bulgaria"/>
    <n v="42.724992499999999"/>
    <n v="25.483303899999999"/>
    <s v="ok"/>
    <s v="ok"/>
    <s v="ok"/>
    <s v="ok"/>
    <s v="ok"/>
    <x v="0"/>
    <n v="15.284015833341982"/>
  </r>
  <r>
    <x v="0"/>
    <n v="2857"/>
    <x v="2"/>
    <x v="0"/>
    <x v="0"/>
    <s v="2nd line support"/>
    <x v="5"/>
    <x v="1455"/>
    <d v="2023-08-16T19:11:08"/>
    <d v="2023-08-14T20:11:08"/>
    <d v="2023-08-14T19:40:00"/>
    <s v="Within SLA"/>
    <d v="2023-08-16T15:22:09"/>
    <x v="0"/>
    <d v="2023-08-19T13:00:57"/>
    <n v="5"/>
    <n v="5"/>
    <x v="1"/>
    <x v="1"/>
    <s v="Italy"/>
    <n v="43.036776000000003"/>
    <n v="12.678565000000001"/>
    <s v="ok"/>
    <s v="ok"/>
    <s v="ok"/>
    <s v="ok"/>
    <s v="ok"/>
    <x v="0"/>
    <n v="44.183747500064783"/>
  </r>
  <r>
    <x v="0"/>
    <n v="2858"/>
    <x v="1"/>
    <x v="0"/>
    <x v="1"/>
    <s v="2nd line support"/>
    <x v="1"/>
    <x v="1456"/>
    <d v="2023-08-16T07:57:39"/>
    <d v="2023-08-14T08:57:39"/>
    <d v="2023-08-14T08:27:11"/>
    <s v="Within SLA"/>
    <d v="2023-08-16T02:51:09"/>
    <x v="0"/>
    <d v="2023-08-17T11:55:36"/>
    <n v="2"/>
    <n v="1"/>
    <x v="2"/>
    <x v="1"/>
    <s v="Italy"/>
    <n v="43.036776000000003"/>
    <n v="12.678565000000001"/>
    <s v="ok"/>
    <s v="ok"/>
    <s v="ok"/>
    <s v="ok"/>
    <s v="ok"/>
    <x v="0"/>
    <n v="42.891783611092251"/>
  </r>
  <r>
    <x v="0"/>
    <n v="2859"/>
    <x v="0"/>
    <x v="2"/>
    <x v="5"/>
    <s v="1st line support"/>
    <x v="2"/>
    <x v="1457"/>
    <d v="2023-08-15T16:56:36"/>
    <d v="2023-08-14T16:58:36"/>
    <d v="2023-08-14T16:58:10"/>
    <s v="Within SLA"/>
    <d v="2023-08-16T00:14:42"/>
    <x v="1"/>
    <d v="2023-08-16T10:56:41"/>
    <n v="5"/>
    <n v="5"/>
    <x v="3"/>
    <x v="0"/>
    <s v="Germany"/>
    <n v="51.165691000000002"/>
    <n v="10.451525999999999"/>
    <s v="ok"/>
    <s v="ok"/>
    <s v="ok"/>
    <s v="ok"/>
    <s v="ok"/>
    <x v="0"/>
    <n v="31.301746944431216"/>
  </r>
  <r>
    <x v="2"/>
    <n v="2860"/>
    <x v="2"/>
    <x v="2"/>
    <x v="4"/>
    <s v="1st line support"/>
    <x v="6"/>
    <x v="1458"/>
    <d v="2023-08-15T16:34:25"/>
    <d v="2023-08-14T16:36:25"/>
    <d v="2023-08-14T16:36:07"/>
    <s v="Within SLA"/>
    <d v="2023-08-18T10:45:01"/>
    <x v="1"/>
    <m/>
    <n v="6"/>
    <m/>
    <x v="1"/>
    <x v="0"/>
    <s v="Austria"/>
    <n v="47.696471899999999"/>
    <n v="13.3457347"/>
    <s v="ok"/>
    <s v="ok"/>
    <s v="ok"/>
    <s v="ok"/>
    <s v="ok"/>
    <x v="0"/>
    <n v="90.176729166763835"/>
  </r>
  <r>
    <x v="2"/>
    <n v="2861"/>
    <x v="0"/>
    <x v="0"/>
    <x v="4"/>
    <s v="1st line support"/>
    <x v="4"/>
    <x v="1459"/>
    <d v="2023-08-16T12:56:01"/>
    <d v="2023-08-14T13:56:01"/>
    <d v="2023-08-14T16:01:14"/>
    <s v="SLA Violated"/>
    <d v="2023-08-14T16:32:04"/>
    <x v="0"/>
    <m/>
    <n v="1"/>
    <m/>
    <x v="1"/>
    <x v="0"/>
    <s v="Slovenia"/>
    <n v="46.149166399999999"/>
    <n v="14.9860106"/>
    <s v="ok"/>
    <s v="ok"/>
    <s v="ok"/>
    <s v="ok"/>
    <s v="ok"/>
    <x v="0"/>
    <n v="3.6008313889615238"/>
  </r>
  <r>
    <x v="1"/>
    <n v="2862"/>
    <x v="2"/>
    <x v="0"/>
    <x v="0"/>
    <s v="1st line support"/>
    <x v="3"/>
    <x v="1460"/>
    <d v="2023-08-16T02:02:34"/>
    <d v="2023-08-14T03:02:34"/>
    <d v="2023-08-14T02:26:40"/>
    <s v="Within SLA"/>
    <m/>
    <x v="1"/>
    <m/>
    <n v="5"/>
    <m/>
    <x v="2"/>
    <x v="0"/>
    <s v="Germany"/>
    <n v="51.165691000000002"/>
    <n v="10.451525999999999"/>
    <s v="ok"/>
    <s v="ok"/>
    <s v="ok"/>
    <s v="ok"/>
    <s v="ok"/>
    <x v="1"/>
    <s v=""/>
  </r>
  <r>
    <x v="0"/>
    <n v="2863"/>
    <x v="2"/>
    <x v="1"/>
    <x v="3"/>
    <s v="1st line support"/>
    <x v="6"/>
    <x v="1461"/>
    <d v="2023-08-16T21:53:06"/>
    <d v="2023-08-14T21:55:06"/>
    <d v="2023-08-14T21:54:22"/>
    <s v="Within SLA"/>
    <d v="2023-08-16T05:24:50"/>
    <x v="0"/>
    <d v="2023-08-17T19:43:57"/>
    <n v="1"/>
    <n v="1"/>
    <x v="0"/>
    <x v="0"/>
    <s v="Poland"/>
    <n v="52.536273000000001"/>
    <n v="19.050639"/>
    <s v="ok"/>
    <s v="ok"/>
    <s v="ok"/>
    <s v="ok"/>
    <s v="ok"/>
    <x v="0"/>
    <n v="31.528773611120414"/>
  </r>
  <r>
    <x v="2"/>
    <n v="2864"/>
    <x v="1"/>
    <x v="1"/>
    <x v="3"/>
    <s v="1st line support"/>
    <x v="3"/>
    <x v="1462"/>
    <d v="2023-08-16T16:03:00"/>
    <d v="2023-08-14T16:05:00"/>
    <d v="2023-08-14T16:04:58"/>
    <s v="Within SLA"/>
    <d v="2023-08-19T22:24:47"/>
    <x v="1"/>
    <m/>
    <n v="6"/>
    <m/>
    <x v="2"/>
    <x v="0"/>
    <s v="Greece"/>
    <n v="39.368279000000001"/>
    <n v="21.863140999999999"/>
    <s v="ok"/>
    <s v="ok"/>
    <s v="ok"/>
    <s v="ok"/>
    <s v="ok"/>
    <x v="0"/>
    <n v="126.36299500014866"/>
  </r>
  <r>
    <x v="0"/>
    <n v="2865"/>
    <x v="0"/>
    <x v="0"/>
    <x v="1"/>
    <s v="1st line support"/>
    <x v="6"/>
    <x v="1463"/>
    <d v="2023-08-17T06:38:25"/>
    <d v="2023-08-15T07:38:25"/>
    <d v="2023-08-15T06:40:28"/>
    <s v="Within SLA"/>
    <d v="2023-08-16T15:02:32"/>
    <x v="0"/>
    <d v="2023-08-18T17:42:15"/>
    <n v="5"/>
    <n v="4"/>
    <x v="2"/>
    <x v="0"/>
    <s v="Spain"/>
    <n v="39.673369999999998"/>
    <n v="-4.7677259999999997"/>
    <s v="ok"/>
    <s v="ok"/>
    <s v="ok"/>
    <s v="ok"/>
    <s v="ok"/>
    <x v="0"/>
    <n v="32.401956944377162"/>
  </r>
  <r>
    <x v="0"/>
    <n v="2866"/>
    <x v="0"/>
    <x v="0"/>
    <x v="0"/>
    <s v="2nd line support"/>
    <x v="1"/>
    <x v="1464"/>
    <d v="2023-08-17T20:32:14"/>
    <d v="2023-08-15T21:32:14"/>
    <d v="2023-08-15T21:23:19"/>
    <s v="Within SLA"/>
    <d v="2023-08-16T20:00:45"/>
    <x v="0"/>
    <d v="2023-08-20T21:06:33"/>
    <n v="1"/>
    <n v="1"/>
    <x v="2"/>
    <x v="1"/>
    <s v="Italy"/>
    <n v="43.036776000000003"/>
    <n v="12.678565000000001"/>
    <s v="ok"/>
    <s v="ok"/>
    <s v="ok"/>
    <s v="ok"/>
    <s v="ok"/>
    <x v="0"/>
    <n v="23.475259444385301"/>
  </r>
  <r>
    <x v="1"/>
    <n v="2867"/>
    <x v="0"/>
    <x v="1"/>
    <x v="3"/>
    <s v="1st line support"/>
    <x v="2"/>
    <x v="1465"/>
    <d v="2023-08-17T19:42:47"/>
    <d v="2023-08-15T19:44:47"/>
    <d v="2023-08-15T19:43:27"/>
    <s v="Within SLA"/>
    <m/>
    <x v="1"/>
    <m/>
    <n v="3"/>
    <m/>
    <x v="0"/>
    <x v="0"/>
    <s v="Austria"/>
    <n v="47.696471899999999"/>
    <n v="13.3457347"/>
    <s v="ok"/>
    <s v="ok"/>
    <s v="ok"/>
    <s v="ok"/>
    <s v="ok"/>
    <x v="1"/>
    <s v=""/>
  </r>
  <r>
    <x v="2"/>
    <n v="2868"/>
    <x v="0"/>
    <x v="0"/>
    <x v="6"/>
    <s v="1st line support"/>
    <x v="0"/>
    <x v="1466"/>
    <d v="2023-08-17T22:59:05"/>
    <d v="2023-08-15T23:59:05"/>
    <d v="2023-08-15T23:01:17"/>
    <s v="Within SLA"/>
    <d v="2023-08-17T15:56:15"/>
    <x v="0"/>
    <m/>
    <n v="10"/>
    <m/>
    <x v="3"/>
    <x v="0"/>
    <s v="Poland"/>
    <n v="52.536273000000001"/>
    <n v="19.050639"/>
    <s v="ok"/>
    <s v="ok"/>
    <s v="ok"/>
    <s v="ok"/>
    <s v="ok"/>
    <x v="0"/>
    <n v="40.952765555586666"/>
  </r>
  <r>
    <x v="2"/>
    <n v="2869"/>
    <x v="0"/>
    <x v="0"/>
    <x v="4"/>
    <s v="1st line support"/>
    <x v="0"/>
    <x v="1467"/>
    <d v="2023-08-17T06:18:13"/>
    <d v="2023-08-15T07:18:13"/>
    <d v="2023-08-15T06:57:30"/>
    <s v="Within SLA"/>
    <d v="2023-08-16T01:18:45"/>
    <x v="0"/>
    <m/>
    <n v="3"/>
    <m/>
    <x v="1"/>
    <x v="0"/>
    <s v="Italy"/>
    <n v="43.036776000000003"/>
    <n v="12.678565000000001"/>
    <s v="ok"/>
    <s v="ok"/>
    <s v="ok"/>
    <s v="ok"/>
    <s v="ok"/>
    <x v="0"/>
    <n v="19.008814722066745"/>
  </r>
  <r>
    <x v="0"/>
    <n v="2870"/>
    <x v="1"/>
    <x v="1"/>
    <x v="3"/>
    <s v="1st line support"/>
    <x v="3"/>
    <x v="1468"/>
    <d v="2023-08-17T21:06:22"/>
    <d v="2023-08-15T21:08:22"/>
    <d v="2023-08-15T21:08:07"/>
    <s v="Within SLA"/>
    <d v="2023-08-16T02:11:56"/>
    <x v="0"/>
    <d v="2023-08-20T13:14:14"/>
    <n v="2"/>
    <n v="5"/>
    <x v="0"/>
    <x v="0"/>
    <s v="Germany"/>
    <n v="51.165691000000002"/>
    <n v="10.451525999999999"/>
    <s v="ok"/>
    <s v="ok"/>
    <s v="ok"/>
    <s v="ok"/>
    <s v="ok"/>
    <x v="0"/>
    <n v="5.0927591667277738"/>
  </r>
  <r>
    <x v="0"/>
    <n v="2871"/>
    <x v="1"/>
    <x v="0"/>
    <x v="0"/>
    <s v="1st line support"/>
    <x v="4"/>
    <x v="1469"/>
    <d v="2023-08-17T07:04:55"/>
    <d v="2023-08-15T08:04:55"/>
    <d v="2023-08-15T07:20:22"/>
    <s v="Within SLA"/>
    <d v="2023-08-17T04:51:21"/>
    <x v="0"/>
    <d v="2023-08-20T11:29:59"/>
    <n v="5"/>
    <n v="3"/>
    <x v="2"/>
    <x v="0"/>
    <s v="Greece"/>
    <n v="39.368279000000001"/>
    <n v="21.863140999999999"/>
    <s v="ok"/>
    <s v="ok"/>
    <s v="ok"/>
    <s v="ok"/>
    <s v="ok"/>
    <x v="0"/>
    <n v="45.773783888784237"/>
  </r>
  <r>
    <x v="1"/>
    <n v="2872"/>
    <x v="2"/>
    <x v="0"/>
    <x v="3"/>
    <s v="1st line support"/>
    <x v="4"/>
    <x v="1470"/>
    <d v="2023-08-17T21:39:32"/>
    <d v="2023-08-15T22:39:32"/>
    <d v="2023-08-16T03:00:34"/>
    <s v="SLA Violated"/>
    <m/>
    <x v="1"/>
    <m/>
    <n v="6"/>
    <m/>
    <x v="2"/>
    <x v="0"/>
    <s v="Greece"/>
    <n v="39.368279000000001"/>
    <n v="21.863140999999999"/>
    <s v="ok"/>
    <s v="ok"/>
    <s v="ok"/>
    <s v="ok"/>
    <s v="ok"/>
    <x v="1"/>
    <s v=""/>
  </r>
  <r>
    <x v="0"/>
    <n v="2873"/>
    <x v="0"/>
    <x v="0"/>
    <x v="1"/>
    <s v="1st line support"/>
    <x v="6"/>
    <x v="1471"/>
    <d v="2023-08-17T02:44:06"/>
    <d v="2023-08-15T03:44:06"/>
    <d v="2023-08-15T03:05:19"/>
    <s v="Within SLA"/>
    <d v="2023-08-15T22:23:14"/>
    <x v="0"/>
    <d v="2023-08-17T01:40:41"/>
    <n v="4"/>
    <n v="2"/>
    <x v="2"/>
    <x v="0"/>
    <s v="Poland"/>
    <n v="52.536273000000001"/>
    <n v="19.050639"/>
    <s v="ok"/>
    <s v="ok"/>
    <s v="ok"/>
    <s v="ok"/>
    <s v="ok"/>
    <x v="0"/>
    <n v="19.652127222216222"/>
  </r>
  <r>
    <x v="1"/>
    <n v="2874"/>
    <x v="2"/>
    <x v="1"/>
    <x v="1"/>
    <s v="2nd line support"/>
    <x v="5"/>
    <x v="1472"/>
    <d v="2023-08-17T02:20:17"/>
    <d v="2023-08-15T02:22:17"/>
    <d v="2023-08-15T02:21:50"/>
    <s v="Within SLA"/>
    <m/>
    <x v="1"/>
    <m/>
    <n v="7"/>
    <m/>
    <x v="3"/>
    <x v="1"/>
    <s v="Poland"/>
    <n v="52.536273000000001"/>
    <n v="19.050639"/>
    <s v="ok"/>
    <s v="ok"/>
    <s v="ok"/>
    <s v="ok"/>
    <s v="ok"/>
    <x v="1"/>
    <s v=""/>
  </r>
  <r>
    <x v="2"/>
    <n v="2875"/>
    <x v="0"/>
    <x v="2"/>
    <x v="2"/>
    <s v="1st line support"/>
    <x v="4"/>
    <x v="1473"/>
    <d v="2023-08-16T06:57:33"/>
    <d v="2023-08-15T06:59:33"/>
    <d v="2023-08-15T06:58:38"/>
    <s v="Within SLA"/>
    <d v="2023-08-15T10:55:01"/>
    <x v="0"/>
    <m/>
    <n v="5"/>
    <m/>
    <x v="2"/>
    <x v="0"/>
    <s v="Slovenia"/>
    <n v="46.149166399999999"/>
    <n v="14.9860106"/>
    <s v="ok"/>
    <s v="ok"/>
    <s v="ok"/>
    <s v="ok"/>
    <s v="ok"/>
    <x v="0"/>
    <n v="3.9578288889024407"/>
  </r>
  <r>
    <x v="0"/>
    <n v="2876"/>
    <x v="2"/>
    <x v="0"/>
    <x v="2"/>
    <s v="1st line support"/>
    <x v="2"/>
    <x v="1474"/>
    <d v="2023-08-17T22:36:53"/>
    <d v="2023-08-15T23:36:53"/>
    <d v="2023-08-15T23:16:03"/>
    <s v="Within SLA"/>
    <d v="2023-08-16T21:50:35"/>
    <x v="0"/>
    <d v="2023-08-23T12:02:43"/>
    <n v="4"/>
    <n v="4"/>
    <x v="2"/>
    <x v="0"/>
    <s v="Germany"/>
    <n v="51.165691000000002"/>
    <n v="10.451525999999999"/>
    <s v="ok"/>
    <s v="ok"/>
    <s v="ok"/>
    <s v="ok"/>
    <s v="ok"/>
    <x v="0"/>
    <n v="23.228283611184452"/>
  </r>
  <r>
    <x v="2"/>
    <n v="2877"/>
    <x v="0"/>
    <x v="0"/>
    <x v="3"/>
    <s v="1st line support"/>
    <x v="3"/>
    <x v="1475"/>
    <d v="2023-08-17T22:21:29"/>
    <d v="2023-08-15T23:21:29"/>
    <d v="2023-08-15T23:08:49"/>
    <s v="Within SLA"/>
    <d v="2023-08-21T15:04:31"/>
    <x v="1"/>
    <m/>
    <n v="1"/>
    <m/>
    <x v="0"/>
    <x v="0"/>
    <s v="Poland"/>
    <n v="52.536273000000001"/>
    <n v="19.050639"/>
    <s v="ok"/>
    <s v="ok"/>
    <s v="ok"/>
    <s v="ok"/>
    <s v="ok"/>
    <x v="0"/>
    <n v="136.71735916659236"/>
  </r>
  <r>
    <x v="0"/>
    <n v="2878"/>
    <x v="0"/>
    <x v="2"/>
    <x v="0"/>
    <s v="2nd line support"/>
    <x v="1"/>
    <x v="1476"/>
    <d v="2023-08-16T02:33:23"/>
    <d v="2023-08-15T02:35:23"/>
    <d v="2023-08-15T02:35:15"/>
    <s v="Within SLA"/>
    <d v="2023-08-20T08:28:01"/>
    <x v="1"/>
    <d v="2023-08-21T22:41:29"/>
    <n v="9"/>
    <n v="1"/>
    <x v="1"/>
    <x v="1"/>
    <s v="Bulgaria"/>
    <n v="42.724992499999999"/>
    <n v="25.483303899999999"/>
    <s v="ok"/>
    <s v="ok"/>
    <s v="ok"/>
    <s v="ok"/>
    <s v="ok"/>
    <x v="0"/>
    <n v="125.91063361102715"/>
  </r>
  <r>
    <x v="0"/>
    <n v="2879"/>
    <x v="0"/>
    <x v="1"/>
    <x v="3"/>
    <s v="1st line support"/>
    <x v="3"/>
    <x v="1477"/>
    <d v="2023-08-17T22:12:35"/>
    <d v="2023-08-15T22:14:35"/>
    <d v="2023-08-15T22:16:50"/>
    <s v="SLA Violated"/>
    <d v="2023-08-17T05:31:26"/>
    <x v="0"/>
    <d v="2023-08-19T15:40:32"/>
    <n v="2"/>
    <n v="3"/>
    <x v="0"/>
    <x v="0"/>
    <s v="Republic of Ireland"/>
    <n v="53.094023999999997"/>
    <n v="-8.0196749999999994"/>
    <s v="ok"/>
    <s v="ok"/>
    <s v="ok"/>
    <s v="ok"/>
    <s v="ok"/>
    <x v="0"/>
    <n v="31.314283055544365"/>
  </r>
  <r>
    <x v="0"/>
    <n v="2881"/>
    <x v="1"/>
    <x v="0"/>
    <x v="2"/>
    <s v="1st line support"/>
    <x v="6"/>
    <x v="1478"/>
    <d v="2023-08-18T18:24:27"/>
    <d v="2023-08-16T19:24:27"/>
    <d v="2023-08-16T18:31:12"/>
    <s v="Within SLA"/>
    <d v="2023-08-17T05:56:15"/>
    <x v="0"/>
    <d v="2023-08-22T17:51:14"/>
    <n v="2"/>
    <n v="5"/>
    <x v="0"/>
    <x v="0"/>
    <s v="Republic of Ireland"/>
    <n v="53.094023999999997"/>
    <n v="-8.0196749999999994"/>
    <s v="ok"/>
    <s v="ok"/>
    <s v="ok"/>
    <s v="ok"/>
    <s v="ok"/>
    <x v="0"/>
    <n v="11.530093333334662"/>
  </r>
  <r>
    <x v="1"/>
    <n v="2883"/>
    <x v="2"/>
    <x v="0"/>
    <x v="3"/>
    <s v="1st line support"/>
    <x v="2"/>
    <x v="1479"/>
    <d v="2023-08-18T02:17:56"/>
    <d v="2023-08-16T03:17:56"/>
    <d v="2023-08-16T02:39:57"/>
    <s v="Within SLA"/>
    <m/>
    <x v="1"/>
    <m/>
    <n v="2"/>
    <m/>
    <x v="2"/>
    <x v="0"/>
    <s v="Republic of Ireland"/>
    <n v="53.094023999999997"/>
    <n v="-8.0196749999999994"/>
    <s v="ok"/>
    <s v="ok"/>
    <s v="ok"/>
    <s v="ok"/>
    <s v="ok"/>
    <x v="1"/>
    <s v=""/>
  </r>
  <r>
    <x v="1"/>
    <n v="2885"/>
    <x v="2"/>
    <x v="0"/>
    <x v="5"/>
    <s v="2nd line support"/>
    <x v="5"/>
    <x v="1480"/>
    <d v="2023-08-18T03:47:10"/>
    <d v="2023-08-16T04:47:10"/>
    <d v="2023-08-16T04:30:31"/>
    <s v="Within SLA"/>
    <m/>
    <x v="1"/>
    <m/>
    <n v="2"/>
    <m/>
    <x v="3"/>
    <x v="1"/>
    <s v="Slovenia"/>
    <n v="46.149166399999999"/>
    <n v="14.9860106"/>
    <s v="ok"/>
    <s v="ok"/>
    <s v="ok"/>
    <s v="ok"/>
    <s v="ok"/>
    <x v="1"/>
    <s v=""/>
  </r>
  <r>
    <x v="2"/>
    <n v="2886"/>
    <x v="0"/>
    <x v="2"/>
    <x v="5"/>
    <s v="2nd line support"/>
    <x v="7"/>
    <x v="1481"/>
    <d v="2023-08-17T16:29:03"/>
    <d v="2023-08-16T16:31:03"/>
    <d v="2023-08-16T16:30:12"/>
    <s v="Within SLA"/>
    <d v="2023-08-16T18:16:42"/>
    <x v="0"/>
    <m/>
    <n v="5"/>
    <m/>
    <x v="2"/>
    <x v="1"/>
    <s v="Italy"/>
    <n v="43.036776000000003"/>
    <n v="12.678565000000001"/>
    <s v="ok"/>
    <s v="ok"/>
    <s v="ok"/>
    <s v="ok"/>
    <s v="ok"/>
    <x v="0"/>
    <n v="1.7942419445025735"/>
  </r>
  <r>
    <x v="0"/>
    <n v="2887"/>
    <x v="1"/>
    <x v="0"/>
    <x v="0"/>
    <s v="2nd line support"/>
    <x v="7"/>
    <x v="1482"/>
    <d v="2023-08-19T05:41:13"/>
    <d v="2023-08-17T06:41:13"/>
    <d v="2023-08-17T06:37:31"/>
    <s v="Within SLA"/>
    <d v="2023-08-18T18:18:39"/>
    <x v="0"/>
    <d v="2023-08-20T04:31:23"/>
    <n v="9"/>
    <n v="5"/>
    <x v="1"/>
    <x v="1"/>
    <s v="Poland"/>
    <n v="52.536273000000001"/>
    <n v="19.050639"/>
    <s v="ok"/>
    <s v="ok"/>
    <s v="ok"/>
    <s v="ok"/>
    <s v="ok"/>
    <x v="0"/>
    <n v="36.623961111065"/>
  </r>
  <r>
    <x v="1"/>
    <n v="2888"/>
    <x v="2"/>
    <x v="2"/>
    <x v="2"/>
    <s v="1st line support"/>
    <x v="6"/>
    <x v="1483"/>
    <d v="2023-08-18T10:40:47"/>
    <d v="2023-08-17T10:42:47"/>
    <d v="2023-08-17T10:41:38"/>
    <s v="Within SLA"/>
    <m/>
    <x v="1"/>
    <m/>
    <n v="6"/>
    <m/>
    <x v="0"/>
    <x v="0"/>
    <s v="Poland"/>
    <n v="52.536273000000001"/>
    <n v="19.050639"/>
    <s v="ok"/>
    <s v="ok"/>
    <s v="ok"/>
    <s v="ok"/>
    <s v="ok"/>
    <x v="1"/>
    <s v=""/>
  </r>
  <r>
    <x v="1"/>
    <n v="2889"/>
    <x v="0"/>
    <x v="2"/>
    <x v="0"/>
    <s v="1st line support"/>
    <x v="6"/>
    <x v="1484"/>
    <d v="2023-08-18T15:50:32"/>
    <d v="2023-08-17T15:52:32"/>
    <d v="2023-08-17T15:51:00"/>
    <s v="Within SLA"/>
    <m/>
    <x v="1"/>
    <m/>
    <n v="4"/>
    <m/>
    <x v="0"/>
    <x v="0"/>
    <s v="United Kingdom"/>
    <n v="55.378051999999997"/>
    <n v="-3.4359730000000002"/>
    <s v="ok"/>
    <s v="ok"/>
    <s v="ok"/>
    <s v="ok"/>
    <s v="ok"/>
    <x v="1"/>
    <s v=""/>
  </r>
  <r>
    <x v="1"/>
    <n v="2890"/>
    <x v="0"/>
    <x v="2"/>
    <x v="3"/>
    <s v="1st line support"/>
    <x v="0"/>
    <x v="1485"/>
    <d v="2023-08-18T07:17:22"/>
    <d v="2023-08-17T07:19:22"/>
    <d v="2023-08-17T07:18:26"/>
    <s v="Within SLA"/>
    <m/>
    <x v="1"/>
    <m/>
    <n v="9"/>
    <m/>
    <x v="0"/>
    <x v="0"/>
    <s v="Italy"/>
    <n v="43.036776000000003"/>
    <n v="12.678565000000001"/>
    <s v="ok"/>
    <s v="ok"/>
    <s v="ok"/>
    <s v="ok"/>
    <s v="ok"/>
    <x v="1"/>
    <s v=""/>
  </r>
  <r>
    <x v="0"/>
    <n v="2891"/>
    <x v="2"/>
    <x v="2"/>
    <x v="3"/>
    <s v="1st line support"/>
    <x v="3"/>
    <x v="1486"/>
    <d v="2023-08-18T14:57:40"/>
    <d v="2023-08-17T14:59:40"/>
    <d v="2023-08-17T14:57:57"/>
    <s v="Within SLA"/>
    <d v="2023-08-18T10:18:11"/>
    <x v="0"/>
    <d v="2023-08-23T23:05:41"/>
    <n v="6"/>
    <n v="4"/>
    <x v="3"/>
    <x v="0"/>
    <s v="France"/>
    <n v="48.864716000000001"/>
    <n v="2.3490139999999999"/>
    <s v="ok"/>
    <s v="ok"/>
    <s v="ok"/>
    <s v="ok"/>
    <s v="ok"/>
    <x v="0"/>
    <n v="19.341983055579476"/>
  </r>
  <r>
    <x v="0"/>
    <n v="2892"/>
    <x v="2"/>
    <x v="0"/>
    <x v="1"/>
    <s v="1st line support"/>
    <x v="4"/>
    <x v="1487"/>
    <d v="2023-08-20T20:56:43"/>
    <d v="2023-08-18T21:56:43"/>
    <d v="2023-08-18T21:22:50"/>
    <s v="Within SLA"/>
    <d v="2023-08-23T06:58:47"/>
    <x v="1"/>
    <d v="2023-08-24T01:49:51"/>
    <n v="1"/>
    <n v="3"/>
    <x v="2"/>
    <x v="0"/>
    <s v="France"/>
    <n v="48.864716000000001"/>
    <n v="2.3490139999999999"/>
    <s v="ok"/>
    <s v="ok"/>
    <s v="ok"/>
    <s v="ok"/>
    <s v="ok"/>
    <x v="0"/>
    <n v="106.03450583346421"/>
  </r>
  <r>
    <x v="2"/>
    <n v="2893"/>
    <x v="0"/>
    <x v="0"/>
    <x v="3"/>
    <s v="1st line support"/>
    <x v="2"/>
    <x v="1488"/>
    <d v="2023-08-20T02:50:04"/>
    <d v="2023-08-18T03:50:04"/>
    <d v="2023-08-18T05:36:33"/>
    <s v="SLA Violated"/>
    <d v="2023-08-18T14:29:53"/>
    <x v="0"/>
    <m/>
    <n v="6"/>
    <m/>
    <x v="0"/>
    <x v="0"/>
    <s v="Greece"/>
    <n v="39.368279000000001"/>
    <n v="21.863140999999999"/>
    <s v="ok"/>
    <s v="ok"/>
    <s v="ok"/>
    <s v="ok"/>
    <s v="ok"/>
    <x v="0"/>
    <n v="11.663599444320425"/>
  </r>
  <r>
    <x v="2"/>
    <n v="2894"/>
    <x v="0"/>
    <x v="0"/>
    <x v="3"/>
    <s v="1st line support"/>
    <x v="6"/>
    <x v="1489"/>
    <d v="2023-08-20T22:39:00"/>
    <d v="2023-08-18T23:39:00"/>
    <d v="2023-08-18T23:08:04"/>
    <s v="Within SLA"/>
    <d v="2023-08-19T00:54:55"/>
    <x v="0"/>
    <m/>
    <n v="1"/>
    <m/>
    <x v="0"/>
    <x v="0"/>
    <s v="Italy"/>
    <n v="43.036776000000003"/>
    <n v="12.678565000000001"/>
    <s v="ok"/>
    <s v="ok"/>
    <s v="ok"/>
    <s v="ok"/>
    <s v="ok"/>
    <x v="0"/>
    <n v="2.2652813888853416"/>
  </r>
  <r>
    <x v="2"/>
    <n v="2896"/>
    <x v="2"/>
    <x v="0"/>
    <x v="3"/>
    <s v="1st line support"/>
    <x v="3"/>
    <x v="1490"/>
    <d v="2023-08-20T20:57:09"/>
    <d v="2023-08-18T21:57:09"/>
    <d v="2023-08-18T21:06:06"/>
    <s v="Within SLA"/>
    <d v="2023-08-19T16:28:04"/>
    <x v="0"/>
    <m/>
    <n v="1"/>
    <m/>
    <x v="0"/>
    <x v="0"/>
    <s v="Czech Republic"/>
    <n v="49.8037633"/>
    <n v="15.4749126"/>
    <s v="ok"/>
    <s v="ok"/>
    <s v="ok"/>
    <s v="ok"/>
    <s v="ok"/>
    <x v="0"/>
    <n v="19.515150555409491"/>
  </r>
  <r>
    <x v="2"/>
    <n v="2897"/>
    <x v="1"/>
    <x v="2"/>
    <x v="2"/>
    <s v="1st line support"/>
    <x v="2"/>
    <x v="1491"/>
    <d v="2023-08-19T23:15:59"/>
    <d v="2023-08-18T23:17:59"/>
    <d v="2023-08-18T23:16:04"/>
    <s v="Within SLA"/>
    <d v="2023-08-19T14:45:31"/>
    <x v="0"/>
    <m/>
    <n v="5"/>
    <m/>
    <x v="2"/>
    <x v="0"/>
    <s v="Bulgaria"/>
    <n v="42.724992499999999"/>
    <n v="25.483303899999999"/>
    <s v="ok"/>
    <s v="ok"/>
    <s v="ok"/>
    <s v="ok"/>
    <s v="ok"/>
    <x v="0"/>
    <n v="15.492220277781598"/>
  </r>
  <r>
    <x v="0"/>
    <n v="2899"/>
    <x v="0"/>
    <x v="0"/>
    <x v="1"/>
    <s v="1st line support"/>
    <x v="4"/>
    <x v="1492"/>
    <d v="2023-08-20T18:46:47"/>
    <d v="2023-08-18T19:46:47"/>
    <d v="2023-08-18T18:51:31"/>
    <s v="Within SLA"/>
    <d v="2023-08-19T01:51:24"/>
    <x v="0"/>
    <d v="2023-08-24T19:39:51"/>
    <n v="5"/>
    <n v="4"/>
    <x v="2"/>
    <x v="0"/>
    <s v="United Kingdom"/>
    <n v="55.378051999999997"/>
    <n v="-3.4359730000000002"/>
    <s v="ok"/>
    <s v="ok"/>
    <s v="ok"/>
    <s v="ok"/>
    <s v="ok"/>
    <x v="0"/>
    <n v="7.076959166675806"/>
  </r>
  <r>
    <x v="2"/>
    <n v="2900"/>
    <x v="0"/>
    <x v="0"/>
    <x v="3"/>
    <s v="1st line support"/>
    <x v="2"/>
    <x v="1493"/>
    <d v="2023-08-21T15:51:41"/>
    <d v="2023-08-19T16:51:41"/>
    <d v="2023-08-19T16:21:55"/>
    <s v="Within SLA"/>
    <d v="2023-08-21T13:15:51"/>
    <x v="0"/>
    <m/>
    <n v="10"/>
    <m/>
    <x v="2"/>
    <x v="0"/>
    <s v="United Kingdom"/>
    <n v="55.378051999999997"/>
    <n v="-3.4359730000000002"/>
    <s v="ok"/>
    <s v="ok"/>
    <s v="ok"/>
    <s v="ok"/>
    <s v="ok"/>
    <x v="0"/>
    <n v="45.402741944475565"/>
  </r>
  <r>
    <x v="0"/>
    <n v="2901"/>
    <x v="0"/>
    <x v="0"/>
    <x v="3"/>
    <s v="1st line support"/>
    <x v="0"/>
    <x v="1494"/>
    <d v="2023-08-21T10:37:55"/>
    <d v="2023-08-19T11:37:55"/>
    <d v="2023-08-19T11:25:50"/>
    <s v="Within SLA"/>
    <d v="2023-08-19T15:35:03"/>
    <x v="0"/>
    <d v="2023-08-22T08:21:59"/>
    <n v="6"/>
    <n v="2"/>
    <x v="2"/>
    <x v="0"/>
    <s v="Germany"/>
    <n v="51.165691000000002"/>
    <n v="10.451525999999999"/>
    <s v="ok"/>
    <s v="ok"/>
    <s v="ok"/>
    <s v="ok"/>
    <s v="ok"/>
    <x v="0"/>
    <n v="4.9522008334170096"/>
  </r>
  <r>
    <x v="1"/>
    <n v="2912"/>
    <x v="2"/>
    <x v="0"/>
    <x v="4"/>
    <s v="1st line support"/>
    <x v="6"/>
    <x v="1495"/>
    <d v="2023-08-22T00:54:54"/>
    <d v="2023-08-20T01:54:54"/>
    <d v="2023-08-20T01:42:09"/>
    <s v="Within SLA"/>
    <m/>
    <x v="1"/>
    <m/>
    <n v="1"/>
    <m/>
    <x v="2"/>
    <x v="0"/>
    <s v="Poland"/>
    <n v="52.536273000000001"/>
    <n v="19.050639"/>
    <s v="ok"/>
    <s v="ok"/>
    <s v="ok"/>
    <s v="ok"/>
    <s v="ok"/>
    <x v="1"/>
    <s v=""/>
  </r>
  <r>
    <x v="0"/>
    <n v="2913"/>
    <x v="2"/>
    <x v="0"/>
    <x v="2"/>
    <s v="1st line support"/>
    <x v="4"/>
    <x v="1496"/>
    <d v="2023-08-23T02:02:11"/>
    <d v="2023-08-21T03:02:11"/>
    <d v="2023-08-21T02:20:56"/>
    <s v="Within SLA"/>
    <d v="2023-08-25T09:02:53"/>
    <x v="1"/>
    <d v="2023-08-25T19:52:15"/>
    <n v="2"/>
    <n v="2"/>
    <x v="1"/>
    <x v="0"/>
    <s v="Poland"/>
    <n v="52.536273000000001"/>
    <n v="19.050639"/>
    <s v="ok"/>
    <s v="ok"/>
    <s v="ok"/>
    <s v="ok"/>
    <s v="ok"/>
    <x v="0"/>
    <n v="103.01153277768753"/>
  </r>
  <r>
    <x v="0"/>
    <n v="2914"/>
    <x v="0"/>
    <x v="2"/>
    <x v="1"/>
    <s v="1st line support"/>
    <x v="4"/>
    <x v="1497"/>
    <d v="2023-08-22T05:14:23"/>
    <d v="2023-08-21T05:16:23"/>
    <d v="2023-08-21T05:14:31"/>
    <s v="Within SLA"/>
    <d v="2023-08-22T06:49:08"/>
    <x v="1"/>
    <d v="2023-08-22T07:42:02"/>
    <n v="4"/>
    <n v="4"/>
    <x v="3"/>
    <x v="0"/>
    <s v="Greece"/>
    <n v="39.368279000000001"/>
    <n v="21.863140999999999"/>
    <s v="ok"/>
    <s v="ok"/>
    <s v="ok"/>
    <s v="ok"/>
    <s v="ok"/>
    <x v="0"/>
    <n v="25.579073333297856"/>
  </r>
  <r>
    <x v="2"/>
    <n v="2915"/>
    <x v="2"/>
    <x v="0"/>
    <x v="1"/>
    <s v="1st line support"/>
    <x v="0"/>
    <x v="1498"/>
    <d v="2023-08-23T10:03:05"/>
    <d v="2023-08-21T11:03:05"/>
    <d v="2023-08-21T10:29:22"/>
    <s v="Within SLA"/>
    <d v="2023-08-22T06:06:50"/>
    <x v="0"/>
    <m/>
    <n v="6"/>
    <m/>
    <x v="3"/>
    <x v="0"/>
    <s v="Czech Republic"/>
    <n v="49.8037633"/>
    <n v="15.4749126"/>
    <s v="ok"/>
    <s v="ok"/>
    <s v="ok"/>
    <s v="ok"/>
    <s v="ok"/>
    <x v="0"/>
    <n v="20.062375555455219"/>
  </r>
  <r>
    <x v="0"/>
    <n v="2916"/>
    <x v="0"/>
    <x v="2"/>
    <x v="3"/>
    <s v="1st line support"/>
    <x v="4"/>
    <x v="1499"/>
    <d v="2023-08-22T03:51:19"/>
    <d v="2023-08-21T03:53:19"/>
    <d v="2023-08-21T03:52:25"/>
    <s v="Within SLA"/>
    <d v="2023-08-21T09:38:24"/>
    <x v="0"/>
    <d v="2023-08-26T06:07:16"/>
    <n v="5"/>
    <n v="3"/>
    <x v="0"/>
    <x v="0"/>
    <s v="Spain"/>
    <n v="39.673369999999998"/>
    <n v="-4.7677259999999997"/>
    <s v="ok"/>
    <s v="ok"/>
    <s v="ok"/>
    <s v="ok"/>
    <s v="ok"/>
    <x v="0"/>
    <n v="5.7847505556419492"/>
  </r>
  <r>
    <x v="3"/>
    <n v="2917"/>
    <x v="2"/>
    <x v="0"/>
    <x v="1"/>
    <s v="1st line support"/>
    <x v="0"/>
    <x v="1500"/>
    <d v="2023-08-23T03:01:38"/>
    <d v="2023-08-21T04:01:38"/>
    <m/>
    <s v="SLA Violated"/>
    <m/>
    <x v="1"/>
    <m/>
    <m/>
    <m/>
    <x v="2"/>
    <x v="0"/>
    <s v="Germany"/>
    <n v="51.165691000000002"/>
    <n v="10.451525999999999"/>
    <s v="check"/>
    <s v="ok"/>
    <s v="ok"/>
    <s v="ok"/>
    <s v="no response"/>
    <x v="1"/>
    <s v=""/>
  </r>
  <r>
    <x v="0"/>
    <n v="2920"/>
    <x v="1"/>
    <x v="0"/>
    <x v="3"/>
    <s v="1st line support"/>
    <x v="2"/>
    <x v="1501"/>
    <d v="2023-08-23T02:49:00"/>
    <d v="2023-08-21T03:49:00"/>
    <d v="2023-08-21T03:09:57"/>
    <s v="Within SLA"/>
    <d v="2023-08-21T05:07:33"/>
    <x v="0"/>
    <d v="2023-08-25T18:19:34"/>
    <n v="6"/>
    <n v="4"/>
    <x v="0"/>
    <x v="0"/>
    <s v="Spain"/>
    <n v="39.673369999999998"/>
    <n v="-4.7677259999999997"/>
    <s v="ok"/>
    <s v="ok"/>
    <s v="ok"/>
    <s v="ok"/>
    <s v="ok"/>
    <x v="0"/>
    <n v="2.3091066667693667"/>
  </r>
  <r>
    <x v="1"/>
    <n v="2921"/>
    <x v="1"/>
    <x v="0"/>
    <x v="0"/>
    <s v="1st line support"/>
    <x v="3"/>
    <x v="1502"/>
    <d v="2023-08-23T07:26:33"/>
    <d v="2023-08-21T08:26:33"/>
    <d v="2023-08-21T07:55:48"/>
    <s v="Within SLA"/>
    <m/>
    <x v="1"/>
    <m/>
    <n v="4"/>
    <m/>
    <x v="2"/>
    <x v="0"/>
    <s v="Italy"/>
    <n v="43.036776000000003"/>
    <n v="12.678565000000001"/>
    <s v="ok"/>
    <s v="ok"/>
    <s v="ok"/>
    <s v="ok"/>
    <s v="ok"/>
    <x v="1"/>
    <s v=""/>
  </r>
  <r>
    <x v="1"/>
    <n v="2922"/>
    <x v="2"/>
    <x v="2"/>
    <x v="6"/>
    <s v="1st line support"/>
    <x v="2"/>
    <x v="1503"/>
    <d v="2023-08-22T07:51:18"/>
    <d v="2023-08-21T07:53:18"/>
    <d v="2023-08-21T07:53:13"/>
    <s v="Within SLA"/>
    <m/>
    <x v="1"/>
    <m/>
    <n v="2"/>
    <m/>
    <x v="3"/>
    <x v="0"/>
    <s v="Germany"/>
    <n v="51.165691000000002"/>
    <n v="10.451525999999999"/>
    <s v="ok"/>
    <s v="ok"/>
    <s v="ok"/>
    <s v="ok"/>
    <s v="ok"/>
    <x v="1"/>
    <s v=""/>
  </r>
  <r>
    <x v="2"/>
    <n v="2923"/>
    <x v="1"/>
    <x v="0"/>
    <x v="4"/>
    <s v="1st line support"/>
    <x v="0"/>
    <x v="1504"/>
    <d v="2023-08-24T04:27:03"/>
    <d v="2023-08-22T05:27:03"/>
    <d v="2023-08-22T05:06:17"/>
    <s v="Within SLA"/>
    <d v="2023-08-23T06:39:22"/>
    <x v="0"/>
    <m/>
    <n v="9"/>
    <m/>
    <x v="3"/>
    <x v="0"/>
    <s v="United Kingdom"/>
    <n v="55.378051999999997"/>
    <n v="-3.4359730000000002"/>
    <s v="ok"/>
    <s v="ok"/>
    <s v="ok"/>
    <s v="ok"/>
    <s v="ok"/>
    <x v="0"/>
    <n v="26.20529000001261"/>
  </r>
  <r>
    <x v="2"/>
    <n v="2924"/>
    <x v="1"/>
    <x v="0"/>
    <x v="1"/>
    <s v="2nd line support"/>
    <x v="5"/>
    <x v="1505"/>
    <d v="2023-08-24T19:29:31"/>
    <d v="2023-08-22T20:29:31"/>
    <d v="2023-08-22T19:56:24"/>
    <s v="Within SLA"/>
    <d v="2023-08-24T06:07:35"/>
    <x v="0"/>
    <m/>
    <n v="7"/>
    <m/>
    <x v="1"/>
    <x v="1"/>
    <s v="Germany"/>
    <n v="51.165691000000002"/>
    <n v="10.451525999999999"/>
    <s v="ok"/>
    <s v="ok"/>
    <s v="ok"/>
    <s v="ok"/>
    <s v="ok"/>
    <x v="0"/>
    <n v="34.634528333321214"/>
  </r>
  <r>
    <x v="2"/>
    <n v="2926"/>
    <x v="0"/>
    <x v="0"/>
    <x v="5"/>
    <s v="2nd line support"/>
    <x v="1"/>
    <x v="1506"/>
    <d v="2023-08-24T13:47:01"/>
    <d v="2023-08-22T14:47:01"/>
    <d v="2023-08-22T14:33:22"/>
    <s v="Within SLA"/>
    <d v="2023-08-23T00:31:16"/>
    <x v="0"/>
    <m/>
    <n v="1"/>
    <m/>
    <x v="2"/>
    <x v="1"/>
    <s v="Germany"/>
    <n v="51.165691000000002"/>
    <n v="10.451525999999999"/>
    <s v="ok"/>
    <s v="ok"/>
    <s v="ok"/>
    <s v="ok"/>
    <s v="ok"/>
    <x v="0"/>
    <n v="10.737408333399799"/>
  </r>
  <r>
    <x v="0"/>
    <n v="2927"/>
    <x v="0"/>
    <x v="0"/>
    <x v="5"/>
    <s v="1st line support"/>
    <x v="3"/>
    <x v="1507"/>
    <d v="2023-08-24T15:20:45"/>
    <d v="2023-08-22T16:20:45"/>
    <d v="2023-08-22T15:30:23"/>
    <s v="Within SLA"/>
    <d v="2023-08-27T01:55:44"/>
    <x v="1"/>
    <d v="2023-08-27T05:01:12"/>
    <n v="1"/>
    <n v="5"/>
    <x v="0"/>
    <x v="0"/>
    <s v="United Kingdom"/>
    <n v="55.378051999999997"/>
    <n v="-3.4359730000000002"/>
    <s v="ok"/>
    <s v="ok"/>
    <s v="ok"/>
    <s v="ok"/>
    <s v="ok"/>
    <x v="0"/>
    <n v="106.58300444448832"/>
  </r>
  <r>
    <x v="2"/>
    <n v="2928"/>
    <x v="0"/>
    <x v="0"/>
    <x v="0"/>
    <s v="1st line support"/>
    <x v="6"/>
    <x v="1508"/>
    <d v="2023-08-24T07:32:33"/>
    <d v="2023-08-22T08:32:33"/>
    <d v="2023-08-22T08:04:05"/>
    <s v="Within SLA"/>
    <d v="2023-08-24T00:56:04"/>
    <x v="0"/>
    <m/>
    <n v="8"/>
    <m/>
    <x v="1"/>
    <x v="0"/>
    <s v="Czech Republic"/>
    <n v="49.8037633"/>
    <n v="15.4749126"/>
    <s v="ok"/>
    <s v="ok"/>
    <s v="ok"/>
    <s v="ok"/>
    <s v="ok"/>
    <x v="0"/>
    <n v="41.391856944537722"/>
  </r>
  <r>
    <x v="0"/>
    <n v="2929"/>
    <x v="2"/>
    <x v="2"/>
    <x v="2"/>
    <s v="1st line support"/>
    <x v="0"/>
    <x v="1509"/>
    <d v="2023-08-23T02:24:14"/>
    <d v="2023-08-22T02:26:14"/>
    <d v="2023-08-22T02:26:10"/>
    <s v="Within SLA"/>
    <d v="2023-08-22T22:18:07"/>
    <x v="0"/>
    <d v="2023-08-26T23:16:32"/>
    <n v="5"/>
    <n v="5"/>
    <x v="3"/>
    <x v="0"/>
    <s v="Spain"/>
    <n v="39.673369999999998"/>
    <n v="-4.7677259999999997"/>
    <s v="ok"/>
    <s v="ok"/>
    <s v="ok"/>
    <s v="ok"/>
    <s v="ok"/>
    <x v="0"/>
    <n v="19.89809916674858"/>
  </r>
  <r>
    <x v="0"/>
    <n v="2930"/>
    <x v="0"/>
    <x v="2"/>
    <x v="5"/>
    <s v="1st line support"/>
    <x v="4"/>
    <x v="1510"/>
    <d v="2023-08-23T23:11:45"/>
    <d v="2023-08-22T23:13:45"/>
    <d v="2023-08-22T23:11:46"/>
    <s v="Within SLA"/>
    <d v="2023-08-25T03:55:24"/>
    <x v="1"/>
    <d v="2023-08-26T02:38:46"/>
    <n v="60"/>
    <n v="3"/>
    <x v="0"/>
    <x v="0"/>
    <s v="Poland"/>
    <n v="52.536273000000001"/>
    <n v="19.050639"/>
    <s v="ok"/>
    <s v="ok"/>
    <s v="ok"/>
    <s v="ok"/>
    <s v="ok"/>
    <x v="0"/>
    <n v="52.727509999880567"/>
  </r>
  <r>
    <x v="0"/>
    <n v="2931"/>
    <x v="2"/>
    <x v="2"/>
    <x v="6"/>
    <s v="1st line support"/>
    <x v="0"/>
    <x v="1511"/>
    <d v="2023-08-23T03:00:56"/>
    <d v="2023-08-22T03:02:56"/>
    <d v="2023-08-22T03:02:12"/>
    <s v="Within SLA"/>
    <d v="2023-08-22T11:26:29"/>
    <x v="0"/>
    <d v="2023-08-25T04:56:56"/>
    <n v="2"/>
    <n v="5"/>
    <x v="3"/>
    <x v="0"/>
    <s v="Republic of Ireland"/>
    <n v="53.094023999999997"/>
    <n v="-8.0196749999999994"/>
    <s v="ok"/>
    <s v="ok"/>
    <s v="ok"/>
    <s v="ok"/>
    <s v="ok"/>
    <x v="0"/>
    <n v="8.4258788888691925"/>
  </r>
  <r>
    <x v="0"/>
    <n v="2932"/>
    <x v="0"/>
    <x v="0"/>
    <x v="3"/>
    <s v="1st line support"/>
    <x v="2"/>
    <x v="1512"/>
    <d v="2023-08-24T18:07:13"/>
    <d v="2023-08-22T19:07:13"/>
    <d v="2023-08-22T18:10:59"/>
    <s v="Within SLA"/>
    <d v="2023-08-23T19:04:48"/>
    <x v="0"/>
    <d v="2023-08-29T07:49:32"/>
    <n v="1"/>
    <n v="4"/>
    <x v="0"/>
    <x v="0"/>
    <s v="Italy"/>
    <n v="43.036776000000003"/>
    <n v="12.678565000000001"/>
    <s v="ok"/>
    <s v="ok"/>
    <s v="ok"/>
    <s v="ok"/>
    <s v="ok"/>
    <x v="0"/>
    <n v="24.959666666749399"/>
  </r>
  <r>
    <x v="0"/>
    <n v="2933"/>
    <x v="1"/>
    <x v="0"/>
    <x v="2"/>
    <s v="1st line support"/>
    <x v="4"/>
    <x v="1513"/>
    <d v="2023-08-24T18:04:49"/>
    <d v="2023-08-22T19:04:49"/>
    <d v="2023-08-22T18:10:15"/>
    <s v="Within SLA"/>
    <d v="2023-08-24T06:31:46"/>
    <x v="0"/>
    <d v="2023-08-27T02:57:26"/>
    <n v="4"/>
    <n v="3"/>
    <x v="1"/>
    <x v="0"/>
    <s v="Slovenia"/>
    <n v="46.149166399999999"/>
    <n v="14.9860106"/>
    <s v="ok"/>
    <s v="ok"/>
    <s v="ok"/>
    <s v="ok"/>
    <s v="ok"/>
    <x v="0"/>
    <n v="36.449224722222425"/>
  </r>
  <r>
    <x v="0"/>
    <n v="2934"/>
    <x v="1"/>
    <x v="1"/>
    <x v="5"/>
    <s v="1st line support"/>
    <x v="2"/>
    <x v="1514"/>
    <d v="2023-08-24T04:28:36"/>
    <d v="2023-08-22T04:30:36"/>
    <d v="2023-08-22T04:31:49"/>
    <s v="SLA Violated"/>
    <d v="2023-08-22T19:31:06"/>
    <x v="0"/>
    <d v="2023-08-24T19:39:40"/>
    <n v="2"/>
    <n v="3"/>
    <x v="2"/>
    <x v="0"/>
    <s v="Germany"/>
    <n v="51.165691000000002"/>
    <n v="10.451525999999999"/>
    <s v="ok"/>
    <s v="ok"/>
    <s v="ok"/>
    <s v="ok"/>
    <s v="ok"/>
    <x v="0"/>
    <n v="15.041618333430961"/>
  </r>
  <r>
    <x v="2"/>
    <n v="2935"/>
    <x v="2"/>
    <x v="2"/>
    <x v="3"/>
    <s v="1st line support"/>
    <x v="6"/>
    <x v="1515"/>
    <d v="2023-08-24T14:28:02"/>
    <d v="2023-08-23T14:30:02"/>
    <d v="2023-08-23T14:28:32"/>
    <s v="Within SLA"/>
    <d v="2023-08-28T04:44:55"/>
    <x v="1"/>
    <m/>
    <n v="8"/>
    <m/>
    <x v="0"/>
    <x v="0"/>
    <s v="Republic of Ireland"/>
    <n v="53.094023999999997"/>
    <n v="-8.0196749999999994"/>
    <s v="ok"/>
    <s v="ok"/>
    <s v="ok"/>
    <s v="ok"/>
    <s v="ok"/>
    <x v="0"/>
    <n v="110.28150166670093"/>
  </r>
  <r>
    <x v="0"/>
    <n v="2936"/>
    <x v="0"/>
    <x v="0"/>
    <x v="1"/>
    <s v="2nd line support"/>
    <x v="1"/>
    <x v="1516"/>
    <d v="2023-08-25T17:19:57"/>
    <d v="2023-08-23T18:19:57"/>
    <d v="2023-08-23T18:17:06"/>
    <s v="Within SLA"/>
    <d v="2023-08-25T13:45:47"/>
    <x v="0"/>
    <d v="2023-08-24T21:03:58"/>
    <n v="2"/>
    <n v="3"/>
    <x v="1"/>
    <x v="1"/>
    <s v="Greece"/>
    <n v="39.368279000000001"/>
    <n v="21.863140999999999"/>
    <s v="ok"/>
    <s v="ok"/>
    <s v="check"/>
    <s v="ok"/>
    <s v="ok"/>
    <x v="0"/>
    <n v="44.430481111106928"/>
  </r>
  <r>
    <x v="2"/>
    <n v="2937"/>
    <x v="0"/>
    <x v="0"/>
    <x v="3"/>
    <s v="1st line support"/>
    <x v="3"/>
    <x v="1517"/>
    <d v="2023-08-25T12:29:57"/>
    <d v="2023-08-23T13:29:57"/>
    <d v="2023-08-23T13:29:42"/>
    <s v="Within SLA"/>
    <d v="2023-08-24T00:34:10"/>
    <x v="0"/>
    <m/>
    <n v="9"/>
    <m/>
    <x v="0"/>
    <x v="0"/>
    <s v="Austria"/>
    <n v="47.696471899999999"/>
    <n v="13.3457347"/>
    <s v="ok"/>
    <s v="ok"/>
    <s v="ok"/>
    <s v="ok"/>
    <s v="ok"/>
    <x v="0"/>
    <n v="12.070173610991333"/>
  </r>
  <r>
    <x v="2"/>
    <n v="2938"/>
    <x v="0"/>
    <x v="2"/>
    <x v="2"/>
    <s v="2nd line support"/>
    <x v="1"/>
    <x v="1518"/>
    <d v="2023-08-24T09:04:37"/>
    <d v="2023-08-23T09:06:37"/>
    <d v="2023-08-23T09:06:32"/>
    <s v="Within SLA"/>
    <d v="2023-08-24T04:20:45"/>
    <x v="0"/>
    <m/>
    <n v="5"/>
    <m/>
    <x v="0"/>
    <x v="1"/>
    <s v="Italy"/>
    <n v="43.036776000000003"/>
    <n v="12.678565000000001"/>
    <s v="ok"/>
    <s v="ok"/>
    <s v="ok"/>
    <s v="ok"/>
    <s v="ok"/>
    <x v="0"/>
    <n v="19.268889166647568"/>
  </r>
  <r>
    <x v="2"/>
    <n v="2939"/>
    <x v="0"/>
    <x v="0"/>
    <x v="0"/>
    <s v="1st line support"/>
    <x v="0"/>
    <x v="1519"/>
    <d v="2023-08-25T10:00:28"/>
    <d v="2023-08-23T11:00:28"/>
    <d v="2023-08-23T10:31:49"/>
    <s v="Within SLA"/>
    <d v="2023-08-23T20:05:52"/>
    <x v="0"/>
    <m/>
    <n v="4"/>
    <m/>
    <x v="2"/>
    <x v="0"/>
    <s v="Czech Republic"/>
    <n v="49.8037633"/>
    <n v="15.4749126"/>
    <s v="ok"/>
    <s v="ok"/>
    <s v="ok"/>
    <s v="ok"/>
    <s v="ok"/>
    <x v="0"/>
    <n v="10.090023333323188"/>
  </r>
  <r>
    <x v="1"/>
    <n v="2940"/>
    <x v="2"/>
    <x v="2"/>
    <x v="1"/>
    <s v="1st line support"/>
    <x v="2"/>
    <x v="1520"/>
    <d v="2023-08-24T06:34:06"/>
    <d v="2023-08-23T06:36:06"/>
    <d v="2023-08-23T06:34:34"/>
    <s v="Within SLA"/>
    <m/>
    <x v="1"/>
    <m/>
    <n v="5"/>
    <m/>
    <x v="2"/>
    <x v="0"/>
    <s v="France"/>
    <n v="48.864716000000001"/>
    <n v="2.3490139999999999"/>
    <s v="ok"/>
    <s v="ok"/>
    <s v="ok"/>
    <s v="ok"/>
    <s v="ok"/>
    <x v="1"/>
    <s v=""/>
  </r>
  <r>
    <x v="1"/>
    <n v="2941"/>
    <x v="0"/>
    <x v="0"/>
    <x v="1"/>
    <s v="1st line support"/>
    <x v="0"/>
    <x v="1521"/>
    <d v="2023-08-25T02:51:32"/>
    <d v="2023-08-23T03:51:32"/>
    <d v="2023-08-23T04:03:56"/>
    <s v="SLA Violated"/>
    <m/>
    <x v="1"/>
    <m/>
    <n v="8"/>
    <m/>
    <x v="3"/>
    <x v="0"/>
    <s v="Greece"/>
    <n v="39.368279000000001"/>
    <n v="21.863140999999999"/>
    <s v="ok"/>
    <s v="ok"/>
    <s v="ok"/>
    <s v="ok"/>
    <s v="ok"/>
    <x v="1"/>
    <s v=""/>
  </r>
  <r>
    <x v="2"/>
    <n v="2942"/>
    <x v="2"/>
    <x v="0"/>
    <x v="3"/>
    <s v="1st line support"/>
    <x v="0"/>
    <x v="1522"/>
    <d v="2023-08-25T09:34:18"/>
    <d v="2023-08-23T10:34:18"/>
    <d v="2023-08-23T09:35:53"/>
    <s v="Within SLA"/>
    <d v="2023-08-28T10:56:14"/>
    <x v="1"/>
    <m/>
    <n v="1"/>
    <m/>
    <x v="2"/>
    <x v="0"/>
    <s v="France"/>
    <n v="48.864716000000001"/>
    <n v="2.3490139999999999"/>
    <s v="ok"/>
    <s v="ok"/>
    <s v="ok"/>
    <s v="ok"/>
    <s v="ok"/>
    <x v="0"/>
    <n v="121.3654899999965"/>
  </r>
  <r>
    <x v="0"/>
    <n v="2943"/>
    <x v="2"/>
    <x v="0"/>
    <x v="6"/>
    <s v="1st line support"/>
    <x v="0"/>
    <x v="1523"/>
    <d v="2023-08-25T00:12:56"/>
    <d v="2023-08-23T01:12:56"/>
    <d v="2023-08-23T00:34:26"/>
    <s v="Within SLA"/>
    <d v="2023-08-26T18:56:39"/>
    <x v="1"/>
    <d v="2023-08-28T13:58:40"/>
    <n v="5"/>
    <n v="1"/>
    <x v="3"/>
    <x v="0"/>
    <s v="Republic of Ireland"/>
    <n v="53.094023999999997"/>
    <n v="-8.0196749999999994"/>
    <s v="ok"/>
    <s v="ok"/>
    <s v="ok"/>
    <s v="ok"/>
    <s v="ok"/>
    <x v="0"/>
    <n v="90.72868166671833"/>
  </r>
  <r>
    <x v="0"/>
    <n v="2944"/>
    <x v="0"/>
    <x v="2"/>
    <x v="3"/>
    <s v="1st line support"/>
    <x v="2"/>
    <x v="1524"/>
    <d v="2023-08-24T19:12:17"/>
    <d v="2023-08-23T19:14:17"/>
    <d v="2023-08-23T19:14:11"/>
    <s v="Within SLA"/>
    <d v="2023-08-24T07:12:15"/>
    <x v="0"/>
    <d v="2023-08-30T03:26:30"/>
    <n v="9"/>
    <n v="1"/>
    <x v="0"/>
    <x v="0"/>
    <s v="Italy"/>
    <n v="43.036776000000003"/>
    <n v="12.678565000000001"/>
    <s v="ok"/>
    <s v="ok"/>
    <s v="ok"/>
    <s v="ok"/>
    <s v="ok"/>
    <x v="0"/>
    <n v="11.999359166657086"/>
  </r>
  <r>
    <x v="2"/>
    <n v="2945"/>
    <x v="1"/>
    <x v="2"/>
    <x v="5"/>
    <s v="1st line support"/>
    <x v="3"/>
    <x v="1525"/>
    <d v="2023-08-24T18:56:26"/>
    <d v="2023-08-23T18:58:26"/>
    <d v="2023-08-23T18:57:39"/>
    <s v="Within SLA"/>
    <d v="2023-08-23T23:23:29"/>
    <x v="0"/>
    <m/>
    <n v="7"/>
    <m/>
    <x v="2"/>
    <x v="0"/>
    <s v="France"/>
    <n v="48.864716000000001"/>
    <n v="2.3490139999999999"/>
    <s v="ok"/>
    <s v="ok"/>
    <s v="ok"/>
    <s v="ok"/>
    <s v="ok"/>
    <x v="0"/>
    <n v="4.4507827777415514"/>
  </r>
  <r>
    <x v="0"/>
    <n v="2946"/>
    <x v="0"/>
    <x v="1"/>
    <x v="1"/>
    <s v="2nd line support"/>
    <x v="5"/>
    <x v="1526"/>
    <d v="2023-08-26T01:23:22"/>
    <d v="2023-08-24T01:25:22"/>
    <d v="2023-08-24T01:23:47"/>
    <s v="Within SLA"/>
    <d v="2023-08-25T14:20:48"/>
    <x v="0"/>
    <d v="2023-08-27T13:53:40"/>
    <n v="7"/>
    <n v="4"/>
    <x v="2"/>
    <x v="1"/>
    <s v="Greece"/>
    <n v="39.368279000000001"/>
    <n v="21.863140999999999"/>
    <s v="ok"/>
    <s v="ok"/>
    <s v="ok"/>
    <s v="ok"/>
    <s v="ok"/>
    <x v="0"/>
    <n v="36.957195833267178"/>
  </r>
  <r>
    <x v="0"/>
    <n v="2947"/>
    <x v="2"/>
    <x v="0"/>
    <x v="3"/>
    <s v="1st line support"/>
    <x v="0"/>
    <x v="1527"/>
    <d v="2023-08-26T17:27:43"/>
    <d v="2023-08-24T18:27:43"/>
    <d v="2023-08-24T17:51:53"/>
    <s v="Within SLA"/>
    <d v="2023-08-26T03:40:22"/>
    <x v="0"/>
    <d v="2023-08-27T17:41:53"/>
    <n v="3"/>
    <n v="1"/>
    <x v="0"/>
    <x v="0"/>
    <s v="Germany"/>
    <n v="51.165691000000002"/>
    <n v="10.451525999999999"/>
    <s v="ok"/>
    <s v="ok"/>
    <s v="ok"/>
    <s v="ok"/>
    <s v="ok"/>
    <x v="0"/>
    <n v="34.210706388868857"/>
  </r>
  <r>
    <x v="0"/>
    <n v="2948"/>
    <x v="2"/>
    <x v="2"/>
    <x v="1"/>
    <s v="2nd line support"/>
    <x v="5"/>
    <x v="1528"/>
    <d v="2023-08-25T16:51:43"/>
    <d v="2023-08-24T16:53:43"/>
    <d v="2023-08-24T16:52:03"/>
    <s v="Within SLA"/>
    <d v="2023-08-25T08:09:05"/>
    <x v="0"/>
    <d v="2023-08-28T00:35:05"/>
    <n v="6"/>
    <n v="1"/>
    <x v="3"/>
    <x v="1"/>
    <s v="Republic of Ireland"/>
    <n v="53.094023999999997"/>
    <n v="-8.0196749999999994"/>
    <s v="ok"/>
    <s v="ok"/>
    <s v="ok"/>
    <s v="ok"/>
    <s v="ok"/>
    <x v="0"/>
    <n v="15.289335000095889"/>
  </r>
  <r>
    <x v="2"/>
    <n v="2949"/>
    <x v="0"/>
    <x v="2"/>
    <x v="5"/>
    <s v="2nd line support"/>
    <x v="1"/>
    <x v="1529"/>
    <d v="2023-08-25T09:50:49"/>
    <d v="2023-08-24T09:52:49"/>
    <d v="2023-08-24T09:53:13"/>
    <s v="SLA Violated"/>
    <d v="2023-08-25T17:01:38"/>
    <x v="1"/>
    <m/>
    <n v="9"/>
    <m/>
    <x v="0"/>
    <x v="1"/>
    <s v="Slovenia"/>
    <n v="46.149166399999999"/>
    <n v="14.9860106"/>
    <s v="ok"/>
    <s v="ok"/>
    <s v="ok"/>
    <s v="ok"/>
    <s v="ok"/>
    <x v="0"/>
    <n v="31.180390000110492"/>
  </r>
  <r>
    <x v="0"/>
    <n v="2950"/>
    <x v="0"/>
    <x v="2"/>
    <x v="1"/>
    <s v="1st line support"/>
    <x v="0"/>
    <x v="1530"/>
    <d v="2023-08-25T08:02:10"/>
    <d v="2023-08-24T08:04:10"/>
    <d v="2023-08-24T08:03:47"/>
    <s v="Within SLA"/>
    <d v="2023-08-24T18:43:58"/>
    <x v="0"/>
    <d v="2023-08-29T06:08:38"/>
    <n v="8"/>
    <n v="2"/>
    <x v="2"/>
    <x v="0"/>
    <s v="Spain"/>
    <n v="39.673369999999998"/>
    <n v="-4.7677259999999997"/>
    <s v="ok"/>
    <s v="ok"/>
    <s v="ok"/>
    <s v="ok"/>
    <s v="ok"/>
    <x v="0"/>
    <n v="10.696562500088476"/>
  </r>
  <r>
    <x v="2"/>
    <n v="2951"/>
    <x v="1"/>
    <x v="0"/>
    <x v="1"/>
    <s v="1st line support"/>
    <x v="6"/>
    <x v="1531"/>
    <d v="2023-08-26T18:11:52"/>
    <d v="2023-08-24T19:11:52"/>
    <d v="2023-08-24T18:39:54"/>
    <s v="Within SLA"/>
    <d v="2023-08-28T03:52:45"/>
    <x v="1"/>
    <m/>
    <n v="8"/>
    <m/>
    <x v="3"/>
    <x v="0"/>
    <s v="Germany"/>
    <n v="51.165691000000002"/>
    <n v="10.451525999999999"/>
    <s v="ok"/>
    <s v="ok"/>
    <s v="ok"/>
    <s v="ok"/>
    <s v="ok"/>
    <x v="0"/>
    <n v="81.681276944407728"/>
  </r>
  <r>
    <x v="0"/>
    <n v="2952"/>
    <x v="2"/>
    <x v="0"/>
    <x v="1"/>
    <s v="1st line support"/>
    <x v="3"/>
    <x v="1532"/>
    <d v="2023-08-26T07:11:36"/>
    <d v="2023-08-24T08:11:36"/>
    <d v="2023-08-24T07:58:25"/>
    <s v="Within SLA"/>
    <d v="2023-08-26T03:09:55"/>
    <x v="0"/>
    <d v="2023-08-26T01:04:11"/>
    <n v="3"/>
    <n v="4"/>
    <x v="1"/>
    <x v="0"/>
    <s v="Slovenia"/>
    <n v="46.149166399999999"/>
    <n v="14.9860106"/>
    <s v="ok"/>
    <s v="ok"/>
    <s v="check"/>
    <s v="ok"/>
    <s v="ok"/>
    <x v="0"/>
    <n v="43.972059722116683"/>
  </r>
  <r>
    <x v="1"/>
    <n v="2953"/>
    <x v="0"/>
    <x v="1"/>
    <x v="1"/>
    <s v="1st line support"/>
    <x v="2"/>
    <x v="1533"/>
    <d v="2023-08-26T06:44:24"/>
    <d v="2023-08-24T06:46:24"/>
    <d v="2023-08-24T06:46:05"/>
    <s v="Within SLA"/>
    <m/>
    <x v="1"/>
    <m/>
    <n v="3"/>
    <m/>
    <x v="2"/>
    <x v="0"/>
    <s v="Czech Republic"/>
    <n v="49.8037633"/>
    <n v="15.4749126"/>
    <s v="ok"/>
    <s v="ok"/>
    <s v="ok"/>
    <s v="ok"/>
    <s v="ok"/>
    <x v="1"/>
    <s v=""/>
  </r>
  <r>
    <x v="0"/>
    <n v="2954"/>
    <x v="1"/>
    <x v="0"/>
    <x v="5"/>
    <s v="1st line support"/>
    <x v="0"/>
    <x v="1534"/>
    <d v="2023-08-26T00:09:49"/>
    <d v="2023-08-24T01:09:49"/>
    <d v="2023-08-24T05:49:01"/>
    <s v="SLA Violated"/>
    <d v="2023-08-24T01:16:24"/>
    <x v="0"/>
    <d v="2023-08-27T18:06:02"/>
    <n v="9"/>
    <n v="2"/>
    <x v="2"/>
    <x v="0"/>
    <s v="Germany"/>
    <n v="51.165691000000002"/>
    <n v="10.451525999999999"/>
    <s v="ok"/>
    <s v="ok"/>
    <s v="ok"/>
    <s v="ok"/>
    <s v="ok"/>
    <x v="0"/>
    <n v="1.1096519444254227"/>
  </r>
  <r>
    <x v="2"/>
    <n v="2955"/>
    <x v="1"/>
    <x v="0"/>
    <x v="2"/>
    <s v="1st line support"/>
    <x v="2"/>
    <x v="1535"/>
    <d v="2023-08-26T04:59:59"/>
    <d v="2023-08-24T05:59:59"/>
    <d v="2023-08-24T05:10:38"/>
    <s v="Within SLA"/>
    <d v="2023-08-25T10:26:24"/>
    <x v="0"/>
    <m/>
    <n v="9"/>
    <m/>
    <x v="1"/>
    <x v="0"/>
    <s v="Czech Republic"/>
    <n v="49.8037633"/>
    <n v="15.4749126"/>
    <s v="ok"/>
    <s v="ok"/>
    <s v="ok"/>
    <s v="ok"/>
    <s v="ok"/>
    <x v="0"/>
    <n v="29.440172222151887"/>
  </r>
  <r>
    <x v="0"/>
    <n v="2956"/>
    <x v="2"/>
    <x v="2"/>
    <x v="1"/>
    <s v="1st line support"/>
    <x v="3"/>
    <x v="1536"/>
    <d v="2023-08-25T03:29:42"/>
    <d v="2023-08-24T03:31:42"/>
    <d v="2023-08-24T08:07:33"/>
    <s v="SLA Violated"/>
    <d v="2023-08-24T20:36:37"/>
    <x v="0"/>
    <d v="2023-08-28T00:01:25"/>
    <n v="2"/>
    <n v="4"/>
    <x v="3"/>
    <x v="0"/>
    <s v="Bulgaria"/>
    <n v="42.724992499999999"/>
    <n v="25.483303899999999"/>
    <s v="ok"/>
    <s v="ok"/>
    <s v="ok"/>
    <s v="ok"/>
    <s v="ok"/>
    <x v="0"/>
    <n v="17.115216111182235"/>
  </r>
  <r>
    <x v="0"/>
    <n v="2957"/>
    <x v="0"/>
    <x v="0"/>
    <x v="3"/>
    <s v="1st line support"/>
    <x v="4"/>
    <x v="1537"/>
    <d v="2023-08-27T18:54:17"/>
    <d v="2023-08-25T19:54:17"/>
    <d v="2023-08-25T19:10:38"/>
    <s v="Within SLA"/>
    <d v="2023-08-27T00:36:23"/>
    <x v="0"/>
    <d v="2023-08-31T03:54:16"/>
    <n v="1"/>
    <n v="3"/>
    <x v="3"/>
    <x v="0"/>
    <s v="Czech Republic"/>
    <n v="49.8037633"/>
    <n v="15.4749126"/>
    <s v="ok"/>
    <s v="ok"/>
    <s v="ok"/>
    <s v="ok"/>
    <s v="ok"/>
    <x v="0"/>
    <n v="29.70156083337497"/>
  </r>
  <r>
    <x v="0"/>
    <n v="2958"/>
    <x v="0"/>
    <x v="2"/>
    <x v="3"/>
    <s v="1st line support"/>
    <x v="0"/>
    <x v="1538"/>
    <d v="2023-08-26T19:31:27"/>
    <d v="2023-08-25T19:33:27"/>
    <d v="2023-08-25T19:32:56"/>
    <s v="Within SLA"/>
    <d v="2023-08-31T12:37:19"/>
    <x v="1"/>
    <d v="2023-09-02T00:45:22"/>
    <n v="6"/>
    <n v="4"/>
    <x v="2"/>
    <x v="0"/>
    <s v="Slovenia"/>
    <n v="46.149166399999999"/>
    <n v="14.9860106"/>
    <s v="ok"/>
    <s v="ok"/>
    <s v="ok"/>
    <s v="ok"/>
    <s v="ok"/>
    <x v="0"/>
    <n v="137.09768916660687"/>
  </r>
  <r>
    <x v="2"/>
    <n v="2959"/>
    <x v="0"/>
    <x v="0"/>
    <x v="3"/>
    <s v="1st line support"/>
    <x v="6"/>
    <x v="1539"/>
    <d v="2023-08-27T21:09:36"/>
    <d v="2023-08-25T22:09:36"/>
    <d v="2023-08-25T21:50:24"/>
    <s v="Within SLA"/>
    <d v="2023-08-26T10:21:37"/>
    <x v="0"/>
    <m/>
    <n v="2"/>
    <m/>
    <x v="0"/>
    <x v="0"/>
    <s v="United Kingdom"/>
    <n v="55.378051999999997"/>
    <n v="-3.4359730000000002"/>
    <s v="ok"/>
    <s v="ok"/>
    <s v="ok"/>
    <s v="ok"/>
    <s v="ok"/>
    <x v="0"/>
    <n v="13.200203055515885"/>
  </r>
  <r>
    <x v="2"/>
    <n v="2960"/>
    <x v="0"/>
    <x v="0"/>
    <x v="0"/>
    <s v="2nd line support"/>
    <x v="1"/>
    <x v="1540"/>
    <d v="2023-08-27T20:56:12"/>
    <d v="2023-08-25T21:56:12"/>
    <d v="2023-08-25T21:21:58"/>
    <s v="Within SLA"/>
    <d v="2023-08-25T22:37:28"/>
    <x v="0"/>
    <m/>
    <n v="9"/>
    <m/>
    <x v="1"/>
    <x v="1"/>
    <s v="Germany"/>
    <n v="51.165691000000002"/>
    <n v="10.451525999999999"/>
    <s v="ok"/>
    <s v="ok"/>
    <s v="ok"/>
    <s v="ok"/>
    <s v="ok"/>
    <x v="0"/>
    <n v="1.6878766666632146"/>
  </r>
  <r>
    <x v="2"/>
    <n v="2961"/>
    <x v="0"/>
    <x v="0"/>
    <x v="1"/>
    <s v="1st line support"/>
    <x v="2"/>
    <x v="1541"/>
    <d v="2023-08-27T22:55:35"/>
    <d v="2023-08-25T23:55:35"/>
    <d v="2023-08-25T23:18:33"/>
    <s v="Within SLA"/>
    <d v="2023-08-26T20:02:32"/>
    <x v="0"/>
    <m/>
    <n v="3"/>
    <m/>
    <x v="3"/>
    <x v="0"/>
    <s v="Italy"/>
    <n v="43.036776000000003"/>
    <n v="12.678565000000001"/>
    <s v="ok"/>
    <s v="ok"/>
    <s v="ok"/>
    <s v="ok"/>
    <s v="ok"/>
    <x v="0"/>
    <n v="21.115811388997827"/>
  </r>
  <r>
    <x v="2"/>
    <n v="2962"/>
    <x v="0"/>
    <x v="2"/>
    <x v="5"/>
    <s v="1st line support"/>
    <x v="3"/>
    <x v="1542"/>
    <d v="2023-08-27T01:17:34"/>
    <d v="2023-08-26T01:19:34"/>
    <d v="2023-08-26T01:18:44"/>
    <s v="Within SLA"/>
    <d v="2023-08-26T15:47:49"/>
    <x v="0"/>
    <m/>
    <n v="9"/>
    <m/>
    <x v="0"/>
    <x v="0"/>
    <s v="Germany"/>
    <n v="51.165691000000002"/>
    <n v="10.451525999999999"/>
    <s v="ok"/>
    <s v="ok"/>
    <s v="ok"/>
    <s v="ok"/>
    <s v="ok"/>
    <x v="0"/>
    <n v="14.504048888920806"/>
  </r>
  <r>
    <x v="0"/>
    <n v="2974"/>
    <x v="2"/>
    <x v="2"/>
    <x v="1"/>
    <s v="1st line support"/>
    <x v="2"/>
    <x v="1543"/>
    <d v="2023-08-28T12:53:28"/>
    <d v="2023-08-27T12:55:28"/>
    <d v="2023-08-27T12:54:21"/>
    <s v="Within SLA"/>
    <d v="2023-08-27T16:18:23"/>
    <x v="0"/>
    <d v="2023-09-02T02:57:24"/>
    <n v="60"/>
    <n v="3"/>
    <x v="2"/>
    <x v="0"/>
    <s v="United Kingdom"/>
    <n v="55.378051999999997"/>
    <n v="-3.4359730000000002"/>
    <s v="ok"/>
    <s v="ok"/>
    <s v="ok"/>
    <s v="ok"/>
    <s v="ok"/>
    <x v="0"/>
    <n v="3.4151619444019161"/>
  </r>
  <r>
    <x v="0"/>
    <n v="2975"/>
    <x v="1"/>
    <x v="0"/>
    <x v="2"/>
    <s v="1st line support"/>
    <x v="3"/>
    <x v="1544"/>
    <d v="2023-08-29T12:42:24"/>
    <d v="2023-08-27T13:42:24"/>
    <d v="2023-08-27T13:08:21"/>
    <s v="Within SLA"/>
    <d v="2023-08-28T22:19:13"/>
    <x v="0"/>
    <d v="2023-08-29T17:00:52"/>
    <n v="6"/>
    <n v="5"/>
    <x v="0"/>
    <x v="0"/>
    <s v="Germany"/>
    <n v="51.165691000000002"/>
    <n v="10.451525999999999"/>
    <s v="ok"/>
    <s v="ok"/>
    <s v="ok"/>
    <s v="ok"/>
    <s v="ok"/>
    <x v="0"/>
    <n v="33.613598611147609"/>
  </r>
  <r>
    <x v="1"/>
    <n v="2976"/>
    <x v="2"/>
    <x v="2"/>
    <x v="5"/>
    <s v="2nd line support"/>
    <x v="7"/>
    <x v="1545"/>
    <d v="2023-08-29T12:32:47"/>
    <d v="2023-08-28T12:34:47"/>
    <d v="2023-08-28T12:34:29"/>
    <s v="Within SLA"/>
    <m/>
    <x v="1"/>
    <m/>
    <n v="8"/>
    <m/>
    <x v="2"/>
    <x v="1"/>
    <s v="Bulgaria"/>
    <n v="42.724992499999999"/>
    <n v="25.483303899999999"/>
    <s v="ok"/>
    <s v="ok"/>
    <s v="ok"/>
    <s v="ok"/>
    <s v="ok"/>
    <x v="1"/>
    <s v=""/>
  </r>
  <r>
    <x v="2"/>
    <n v="2977"/>
    <x v="0"/>
    <x v="1"/>
    <x v="2"/>
    <s v="1st line support"/>
    <x v="6"/>
    <x v="1546"/>
    <d v="2023-08-30T21:46:09"/>
    <d v="2023-08-28T21:48:09"/>
    <d v="2023-08-28T21:47:20"/>
    <s v="Within SLA"/>
    <d v="2023-08-29T20:48:50"/>
    <x v="0"/>
    <m/>
    <n v="1"/>
    <m/>
    <x v="0"/>
    <x v="0"/>
    <s v="France"/>
    <n v="48.864716000000001"/>
    <n v="2.3490139999999999"/>
    <s v="ok"/>
    <s v="ok"/>
    <s v="ok"/>
    <s v="ok"/>
    <s v="ok"/>
    <x v="0"/>
    <n v="23.044680555642117"/>
  </r>
  <r>
    <x v="1"/>
    <n v="2978"/>
    <x v="0"/>
    <x v="0"/>
    <x v="0"/>
    <s v="1st line support"/>
    <x v="3"/>
    <x v="1547"/>
    <d v="2023-08-30T12:12:43"/>
    <d v="2023-08-28T13:12:43"/>
    <d v="2023-08-28T12:19:40"/>
    <s v="Within SLA"/>
    <m/>
    <x v="1"/>
    <m/>
    <n v="3"/>
    <m/>
    <x v="0"/>
    <x v="0"/>
    <s v="Spain"/>
    <n v="39.673369999999998"/>
    <n v="-4.7677259999999997"/>
    <s v="ok"/>
    <s v="ok"/>
    <s v="ok"/>
    <s v="ok"/>
    <s v="ok"/>
    <x v="1"/>
    <s v=""/>
  </r>
  <r>
    <x v="2"/>
    <n v="2979"/>
    <x v="0"/>
    <x v="2"/>
    <x v="1"/>
    <s v="1st line support"/>
    <x v="6"/>
    <x v="1548"/>
    <d v="2023-08-29T05:34:03"/>
    <d v="2023-08-28T05:36:03"/>
    <d v="2023-08-28T05:34:24"/>
    <s v="Within SLA"/>
    <d v="2023-08-29T12:19:38"/>
    <x v="1"/>
    <m/>
    <n v="7"/>
    <m/>
    <x v="1"/>
    <x v="0"/>
    <s v="Italy"/>
    <n v="43.036776000000003"/>
    <n v="12.678565000000001"/>
    <s v="ok"/>
    <s v="ok"/>
    <s v="ok"/>
    <s v="ok"/>
    <s v="ok"/>
    <x v="0"/>
    <n v="30.759586944419425"/>
  </r>
  <r>
    <x v="0"/>
    <n v="2980"/>
    <x v="2"/>
    <x v="0"/>
    <x v="6"/>
    <s v="1st line support"/>
    <x v="2"/>
    <x v="1549"/>
    <d v="2023-08-30T01:24:31"/>
    <d v="2023-08-28T02:24:31"/>
    <d v="2023-08-28T02:03:11"/>
    <s v="Within SLA"/>
    <d v="2023-08-29T08:50:13"/>
    <x v="0"/>
    <d v="2023-09-01T23:11:11"/>
    <n v="9"/>
    <n v="4"/>
    <x v="3"/>
    <x v="0"/>
    <s v="Republic of Ireland"/>
    <n v="53.094023999999997"/>
    <n v="-8.0196749999999994"/>
    <s v="ok"/>
    <s v="ok"/>
    <s v="ok"/>
    <s v="ok"/>
    <s v="ok"/>
    <x v="0"/>
    <n v="31.428299444436561"/>
  </r>
  <r>
    <x v="2"/>
    <n v="2981"/>
    <x v="1"/>
    <x v="2"/>
    <x v="3"/>
    <s v="1st line support"/>
    <x v="0"/>
    <x v="1550"/>
    <d v="2023-08-29T09:07:20"/>
    <d v="2023-08-28T09:09:20"/>
    <d v="2023-08-28T09:12:47"/>
    <s v="SLA Violated"/>
    <d v="2023-08-29T07:38:16"/>
    <x v="0"/>
    <m/>
    <n v="2"/>
    <m/>
    <x v="2"/>
    <x v="0"/>
    <s v="Bulgaria"/>
    <n v="42.724992499999999"/>
    <n v="25.483303899999999"/>
    <s v="ok"/>
    <s v="ok"/>
    <s v="ok"/>
    <s v="ok"/>
    <s v="ok"/>
    <x v="0"/>
    <n v="22.515642222308088"/>
  </r>
  <r>
    <x v="1"/>
    <n v="2982"/>
    <x v="2"/>
    <x v="0"/>
    <x v="1"/>
    <s v="1st line support"/>
    <x v="3"/>
    <x v="1551"/>
    <d v="2023-08-30T10:05:38"/>
    <d v="2023-08-28T11:05:38"/>
    <d v="2023-08-28T10:21:38"/>
    <s v="Within SLA"/>
    <m/>
    <x v="1"/>
    <m/>
    <n v="10"/>
    <m/>
    <x v="2"/>
    <x v="0"/>
    <s v="Spain"/>
    <n v="39.673369999999998"/>
    <n v="-4.7677259999999997"/>
    <s v="ok"/>
    <s v="ok"/>
    <s v="ok"/>
    <s v="ok"/>
    <s v="ok"/>
    <x v="1"/>
    <s v=""/>
  </r>
  <r>
    <x v="1"/>
    <n v="2983"/>
    <x v="0"/>
    <x v="1"/>
    <x v="4"/>
    <s v="1st line support"/>
    <x v="2"/>
    <x v="1552"/>
    <d v="2023-08-30T19:45:35"/>
    <d v="2023-08-28T19:47:35"/>
    <d v="2023-08-28T19:50:55"/>
    <s v="SLA Violated"/>
    <m/>
    <x v="1"/>
    <m/>
    <n v="5"/>
    <m/>
    <x v="3"/>
    <x v="0"/>
    <s v="Germany"/>
    <n v="51.165691000000002"/>
    <n v="10.451525999999999"/>
    <s v="ok"/>
    <s v="ok"/>
    <s v="ok"/>
    <s v="ok"/>
    <s v="ok"/>
    <x v="1"/>
    <s v=""/>
  </r>
  <r>
    <x v="0"/>
    <n v="2984"/>
    <x v="0"/>
    <x v="0"/>
    <x v="1"/>
    <s v="1st line support"/>
    <x v="2"/>
    <x v="1553"/>
    <d v="2023-08-31T08:29:05"/>
    <d v="2023-08-29T09:29:05"/>
    <d v="2023-08-29T08:55:18"/>
    <s v="Within SLA"/>
    <d v="2023-08-31T00:22:22"/>
    <x v="0"/>
    <d v="2023-08-30T18:43:35"/>
    <n v="6"/>
    <n v="4"/>
    <x v="2"/>
    <x v="0"/>
    <s v="Slovenia"/>
    <n v="46.149166399999999"/>
    <n v="14.9860106"/>
    <s v="ok"/>
    <s v="ok"/>
    <s v="check"/>
    <s v="ok"/>
    <s v="ok"/>
    <x v="0"/>
    <n v="39.887938888859935"/>
  </r>
  <r>
    <x v="1"/>
    <n v="2985"/>
    <x v="0"/>
    <x v="0"/>
    <x v="3"/>
    <s v="2nd line support"/>
    <x v="1"/>
    <x v="1554"/>
    <d v="2023-08-31T06:58:39"/>
    <d v="2023-08-29T07:58:39"/>
    <d v="2023-08-29T07:15:24"/>
    <s v="Within SLA"/>
    <m/>
    <x v="1"/>
    <m/>
    <n v="1"/>
    <m/>
    <x v="2"/>
    <x v="1"/>
    <s v="Bulgaria"/>
    <n v="42.724992499999999"/>
    <n v="25.483303899999999"/>
    <s v="ok"/>
    <s v="ok"/>
    <s v="ok"/>
    <s v="ok"/>
    <s v="ok"/>
    <x v="1"/>
    <s v=""/>
  </r>
  <r>
    <x v="0"/>
    <n v="2986"/>
    <x v="0"/>
    <x v="0"/>
    <x v="3"/>
    <s v="1st line support"/>
    <x v="3"/>
    <x v="1555"/>
    <d v="2023-08-31T11:45:15"/>
    <d v="2023-08-29T12:45:15"/>
    <d v="2023-08-29T11:59:05"/>
    <s v="Within SLA"/>
    <d v="2023-08-31T07:00:13"/>
    <x v="0"/>
    <d v="2023-09-03T01:36:51"/>
    <n v="2"/>
    <n v="3"/>
    <x v="2"/>
    <x v="0"/>
    <s v="Poland"/>
    <n v="52.536273000000001"/>
    <n v="19.050639"/>
    <s v="ok"/>
    <s v="ok"/>
    <s v="ok"/>
    <s v="ok"/>
    <s v="ok"/>
    <x v="0"/>
    <n v="43.249370277801063"/>
  </r>
  <r>
    <x v="2"/>
    <n v="2987"/>
    <x v="2"/>
    <x v="2"/>
    <x v="5"/>
    <s v="1st line support"/>
    <x v="6"/>
    <x v="1556"/>
    <d v="2023-08-30T05:25:56"/>
    <d v="2023-08-29T05:27:56"/>
    <d v="2023-08-29T05:26:50"/>
    <s v="Within SLA"/>
    <d v="2023-08-31T05:38:12"/>
    <x v="1"/>
    <m/>
    <n v="8"/>
    <m/>
    <x v="0"/>
    <x v="0"/>
    <s v="Poland"/>
    <n v="52.536273000000001"/>
    <n v="19.050639"/>
    <s v="ok"/>
    <s v="ok"/>
    <s v="ok"/>
    <s v="ok"/>
    <s v="ok"/>
    <x v="0"/>
    <n v="48.204532499948982"/>
  </r>
  <r>
    <x v="2"/>
    <n v="2988"/>
    <x v="2"/>
    <x v="2"/>
    <x v="6"/>
    <s v="1st line support"/>
    <x v="3"/>
    <x v="1557"/>
    <d v="2023-08-30T08:19:53"/>
    <d v="2023-08-29T08:21:53"/>
    <d v="2023-08-29T08:25:33"/>
    <s v="SLA Violated"/>
    <d v="2023-08-29T20:58:18"/>
    <x v="0"/>
    <m/>
    <n v="2"/>
    <m/>
    <x v="3"/>
    <x v="0"/>
    <s v="Italy"/>
    <n v="43.036776000000003"/>
    <n v="12.678565000000001"/>
    <s v="ok"/>
    <s v="ok"/>
    <s v="ok"/>
    <s v="ok"/>
    <s v="ok"/>
    <x v="0"/>
    <n v="12.640409166750032"/>
  </r>
  <r>
    <x v="2"/>
    <n v="2989"/>
    <x v="1"/>
    <x v="0"/>
    <x v="1"/>
    <s v="2nd line support"/>
    <x v="1"/>
    <x v="1558"/>
    <d v="2023-08-31T05:38:56"/>
    <d v="2023-08-29T06:38:56"/>
    <d v="2023-08-29T05:58:09"/>
    <s v="Within SLA"/>
    <d v="2023-08-29T12:09:42"/>
    <x v="0"/>
    <m/>
    <n v="6"/>
    <m/>
    <x v="2"/>
    <x v="1"/>
    <s v="Italy"/>
    <n v="43.036776000000003"/>
    <n v="12.678565000000001"/>
    <s v="ok"/>
    <s v="ok"/>
    <s v="ok"/>
    <s v="ok"/>
    <s v="ok"/>
    <x v="0"/>
    <n v="6.5126449999515899"/>
  </r>
  <r>
    <x v="0"/>
    <n v="2990"/>
    <x v="2"/>
    <x v="0"/>
    <x v="4"/>
    <s v="1st line support"/>
    <x v="6"/>
    <x v="1559"/>
    <d v="2023-08-31T22:00:38"/>
    <d v="2023-08-29T23:00:38"/>
    <d v="2023-08-29T22:48:25"/>
    <s v="Within SLA"/>
    <d v="2023-08-30T06:38:55"/>
    <x v="0"/>
    <d v="2023-09-01T20:07:10"/>
    <n v="9"/>
    <n v="2"/>
    <x v="2"/>
    <x v="0"/>
    <s v="Austria"/>
    <n v="47.696471899999999"/>
    <n v="13.3457347"/>
    <s v="ok"/>
    <s v="ok"/>
    <s v="ok"/>
    <s v="ok"/>
    <s v="ok"/>
    <x v="0"/>
    <n v="8.6380383334471844"/>
  </r>
  <r>
    <x v="0"/>
    <n v="2991"/>
    <x v="2"/>
    <x v="0"/>
    <x v="0"/>
    <s v="2nd line support"/>
    <x v="7"/>
    <x v="1560"/>
    <d v="2023-09-01T21:41:11"/>
    <d v="2023-08-30T22:41:11"/>
    <d v="2023-08-30T22:33:12"/>
    <s v="Within SLA"/>
    <d v="2023-09-01T06:32:20"/>
    <x v="0"/>
    <d v="2023-09-01T09:04:37"/>
    <n v="3"/>
    <n v="5"/>
    <x v="2"/>
    <x v="1"/>
    <s v="United Kingdom"/>
    <n v="55.378051999999997"/>
    <n v="-3.4359730000000002"/>
    <s v="ok"/>
    <s v="ok"/>
    <s v="ok"/>
    <s v="ok"/>
    <s v="ok"/>
    <x v="0"/>
    <n v="32.852399999974295"/>
  </r>
  <r>
    <x v="0"/>
    <n v="2992"/>
    <x v="0"/>
    <x v="1"/>
    <x v="2"/>
    <s v="1st line support"/>
    <x v="4"/>
    <x v="1561"/>
    <d v="2023-09-01T17:06:02"/>
    <d v="2023-08-30T17:08:02"/>
    <d v="2023-08-30T17:07:11"/>
    <s v="Within SLA"/>
    <d v="2023-08-31T18:10:36"/>
    <x v="0"/>
    <d v="2023-09-03T12:53:45"/>
    <n v="3"/>
    <n v="3"/>
    <x v="2"/>
    <x v="0"/>
    <s v="United Kingdom"/>
    <n v="55.378051999999997"/>
    <n v="-3.4359730000000002"/>
    <s v="ok"/>
    <s v="ok"/>
    <s v="ok"/>
    <s v="ok"/>
    <s v="ok"/>
    <x v="0"/>
    <n v="25.076170277839992"/>
  </r>
  <r>
    <x v="0"/>
    <n v="2993"/>
    <x v="2"/>
    <x v="0"/>
    <x v="3"/>
    <s v="1st line support"/>
    <x v="2"/>
    <x v="1562"/>
    <d v="2023-09-01T10:31:49"/>
    <d v="2023-08-30T11:31:49"/>
    <d v="2023-08-30T11:27:57"/>
    <s v="Within SLA"/>
    <d v="2023-09-02T00:27:52"/>
    <x v="1"/>
    <d v="2023-09-03T16:41:32"/>
    <n v="1"/>
    <n v="3"/>
    <x v="2"/>
    <x v="0"/>
    <s v="Austria"/>
    <n v="47.696471899999999"/>
    <n v="13.3457347"/>
    <s v="ok"/>
    <s v="ok"/>
    <s v="ok"/>
    <s v="ok"/>
    <s v="ok"/>
    <x v="0"/>
    <n v="61.934068333357573"/>
  </r>
  <r>
    <x v="0"/>
    <n v="2994"/>
    <x v="0"/>
    <x v="2"/>
    <x v="1"/>
    <s v="2nd line support"/>
    <x v="1"/>
    <x v="1563"/>
    <d v="2023-08-31T23:45:05"/>
    <d v="2023-08-30T23:47:05"/>
    <d v="2023-08-30T23:46:52"/>
    <s v="Within SLA"/>
    <d v="2023-09-04T04:57:09"/>
    <x v="1"/>
    <d v="2023-09-05T19:55:50"/>
    <n v="6"/>
    <n v="5"/>
    <x v="2"/>
    <x v="1"/>
    <s v="Republic of Ireland"/>
    <n v="53.094023999999997"/>
    <n v="-8.0196749999999994"/>
    <s v="ok"/>
    <s v="ok"/>
    <s v="ok"/>
    <s v="ok"/>
    <s v="ok"/>
    <x v="0"/>
    <n v="101.20120805560146"/>
  </r>
  <r>
    <x v="0"/>
    <n v="2995"/>
    <x v="1"/>
    <x v="0"/>
    <x v="0"/>
    <s v="2nd line support"/>
    <x v="1"/>
    <x v="1564"/>
    <d v="2023-09-01T12:44:26"/>
    <d v="2023-08-30T13:44:26"/>
    <d v="2023-08-30T13:13:59"/>
    <s v="Within SLA"/>
    <d v="2023-08-30T21:25:57"/>
    <x v="0"/>
    <d v="2023-09-04T23:16:56"/>
    <n v="2"/>
    <n v="4"/>
    <x v="1"/>
    <x v="1"/>
    <s v="Bulgaria"/>
    <n v="42.724992499999999"/>
    <n v="25.483303899999999"/>
    <s v="ok"/>
    <s v="ok"/>
    <s v="ok"/>
    <s v="ok"/>
    <s v="ok"/>
    <x v="0"/>
    <n v="8.6918322222190909"/>
  </r>
  <r>
    <x v="0"/>
    <n v="2996"/>
    <x v="0"/>
    <x v="2"/>
    <x v="5"/>
    <s v="2nd line support"/>
    <x v="7"/>
    <x v="1565"/>
    <d v="2023-08-31T09:09:49"/>
    <d v="2023-08-30T09:11:49"/>
    <d v="2023-08-30T09:10:43"/>
    <s v="Within SLA"/>
    <d v="2023-08-30T09:48:24"/>
    <x v="0"/>
    <d v="2023-09-03T12:25:15"/>
    <n v="6"/>
    <n v="1"/>
    <x v="3"/>
    <x v="1"/>
    <s v="Poland"/>
    <n v="52.536273000000001"/>
    <n v="19.050639"/>
    <s v="ok"/>
    <s v="ok"/>
    <s v="ok"/>
    <s v="ok"/>
    <s v="ok"/>
    <x v="0"/>
    <n v="0.64303527778247371"/>
  </r>
  <r>
    <x v="1"/>
    <n v="2997"/>
    <x v="0"/>
    <x v="2"/>
    <x v="2"/>
    <s v="1st line support"/>
    <x v="0"/>
    <x v="1566"/>
    <d v="2023-08-31T19:32:54"/>
    <d v="2023-08-30T19:34:54"/>
    <d v="2023-08-30T19:33:09"/>
    <s v="Within SLA"/>
    <m/>
    <x v="1"/>
    <m/>
    <n v="6"/>
    <m/>
    <x v="1"/>
    <x v="0"/>
    <s v="Austria"/>
    <n v="47.696471899999999"/>
    <n v="13.3457347"/>
    <s v="ok"/>
    <s v="ok"/>
    <s v="ok"/>
    <s v="ok"/>
    <s v="ok"/>
    <x v="1"/>
    <s v=""/>
  </r>
  <r>
    <x v="2"/>
    <n v="2998"/>
    <x v="0"/>
    <x v="2"/>
    <x v="3"/>
    <s v="1st line support"/>
    <x v="0"/>
    <x v="1567"/>
    <d v="2023-08-31T04:21:13"/>
    <d v="2023-08-30T04:23:13"/>
    <d v="2023-08-30T04:21:44"/>
    <s v="Within SLA"/>
    <d v="2023-08-31T02:01:37"/>
    <x v="0"/>
    <m/>
    <n v="7"/>
    <m/>
    <x v="2"/>
    <x v="0"/>
    <s v="Republic of Ireland"/>
    <n v="53.094023999999997"/>
    <n v="-8.0196749999999994"/>
    <s v="ok"/>
    <s v="ok"/>
    <s v="ok"/>
    <s v="ok"/>
    <s v="ok"/>
    <x v="0"/>
    <n v="21.673424444510601"/>
  </r>
  <r>
    <x v="2"/>
    <n v="2999"/>
    <x v="0"/>
    <x v="0"/>
    <x v="0"/>
    <s v="1st line support"/>
    <x v="6"/>
    <x v="1568"/>
    <d v="2023-09-01T05:34:14"/>
    <d v="2023-08-30T06:34:14"/>
    <d v="2023-08-30T05:52:40"/>
    <s v="Within SLA"/>
    <d v="2023-09-02T04:34:12"/>
    <x v="1"/>
    <m/>
    <n v="1"/>
    <m/>
    <x v="2"/>
    <x v="0"/>
    <s v="Italy"/>
    <n v="43.036776000000003"/>
    <n v="12.678565000000001"/>
    <s v="ok"/>
    <s v="ok"/>
    <s v="ok"/>
    <s v="ok"/>
    <s v="ok"/>
    <x v="0"/>
    <n v="70.999544166668784"/>
  </r>
  <r>
    <x v="1"/>
    <n v="3000"/>
    <x v="0"/>
    <x v="1"/>
    <x v="1"/>
    <s v="1st line support"/>
    <x v="6"/>
    <x v="1569"/>
    <d v="2023-09-02T02:16:21"/>
    <d v="2023-08-31T02:18:21"/>
    <d v="2023-08-31T02:18:19"/>
    <s v="Within SLA"/>
    <m/>
    <x v="1"/>
    <m/>
    <n v="1"/>
    <m/>
    <x v="1"/>
    <x v="0"/>
    <s v="Slovenia"/>
    <n v="46.149166399999999"/>
    <n v="14.9860106"/>
    <s v="ok"/>
    <s v="ok"/>
    <s v="ok"/>
    <s v="ok"/>
    <s v="ok"/>
    <x v="1"/>
    <s v=""/>
  </r>
  <r>
    <x v="0"/>
    <n v="3001"/>
    <x v="0"/>
    <x v="0"/>
    <x v="0"/>
    <s v="2nd line support"/>
    <x v="5"/>
    <x v="1570"/>
    <d v="2023-09-02T17:03:27"/>
    <d v="2023-08-31T18:03:27"/>
    <d v="2023-08-31T22:45:14"/>
    <s v="SLA Violated"/>
    <d v="2023-09-01T20:34:28"/>
    <x v="0"/>
    <d v="2023-09-02T11:51:55"/>
    <n v="5"/>
    <n v="4"/>
    <x v="2"/>
    <x v="1"/>
    <s v="Poland"/>
    <n v="52.536273000000001"/>
    <n v="19.050639"/>
    <s v="ok"/>
    <s v="ok"/>
    <s v="ok"/>
    <s v="ok"/>
    <s v="ok"/>
    <x v="0"/>
    <n v="27.516878611058928"/>
  </r>
  <r>
    <x v="2"/>
    <n v="3002"/>
    <x v="2"/>
    <x v="0"/>
    <x v="1"/>
    <s v="1st line support"/>
    <x v="3"/>
    <x v="1571"/>
    <d v="2023-09-02T22:11:35"/>
    <d v="2023-08-31T23:11:35"/>
    <d v="2023-08-31T22:32:56"/>
    <s v="Within SLA"/>
    <d v="2023-09-02T22:06:58"/>
    <x v="0"/>
    <m/>
    <n v="1"/>
    <m/>
    <x v="2"/>
    <x v="0"/>
    <s v="Czech Republic"/>
    <n v="49.8037633"/>
    <n v="15.4749126"/>
    <s v="ok"/>
    <s v="ok"/>
    <s v="ok"/>
    <s v="ok"/>
    <s v="ok"/>
    <x v="0"/>
    <n v="47.923056388855912"/>
  </r>
  <r>
    <x v="2"/>
    <n v="3003"/>
    <x v="0"/>
    <x v="1"/>
    <x v="1"/>
    <s v="1st line support"/>
    <x v="2"/>
    <x v="1572"/>
    <d v="2023-09-02T16:32:43"/>
    <d v="2023-08-31T16:34:43"/>
    <d v="2023-08-31T16:34:37"/>
    <s v="Within SLA"/>
    <d v="2023-09-01T05:33:45"/>
    <x v="0"/>
    <m/>
    <n v="1"/>
    <m/>
    <x v="2"/>
    <x v="0"/>
    <s v="Germany"/>
    <n v="51.165691000000002"/>
    <n v="10.451525999999999"/>
    <s v="ok"/>
    <s v="ok"/>
    <s v="ok"/>
    <s v="ok"/>
    <s v="ok"/>
    <x v="0"/>
    <n v="13.017325833323412"/>
  </r>
  <r>
    <x v="1"/>
    <n v="3004"/>
    <x v="1"/>
    <x v="2"/>
    <x v="3"/>
    <s v="1st line support"/>
    <x v="4"/>
    <x v="1573"/>
    <d v="2023-09-01T17:52:50"/>
    <d v="2023-08-31T17:54:50"/>
    <d v="2023-08-31T17:54:36"/>
    <s v="Within SLA"/>
    <m/>
    <x v="1"/>
    <m/>
    <n v="2"/>
    <m/>
    <x v="0"/>
    <x v="0"/>
    <s v="Austria"/>
    <n v="47.696471899999999"/>
    <n v="13.3457347"/>
    <s v="ok"/>
    <s v="ok"/>
    <s v="ok"/>
    <s v="ok"/>
    <s v="ok"/>
    <x v="1"/>
    <s v=""/>
  </r>
  <r>
    <x v="0"/>
    <n v="3005"/>
    <x v="2"/>
    <x v="2"/>
    <x v="4"/>
    <s v="1st line support"/>
    <x v="3"/>
    <x v="1574"/>
    <d v="2023-09-01T06:04:03"/>
    <d v="2023-08-31T06:06:03"/>
    <d v="2023-08-31T06:05:49"/>
    <s v="Within SLA"/>
    <d v="2023-09-01T03:26:40"/>
    <x v="0"/>
    <d v="2023-09-03T20:05:01"/>
    <n v="6"/>
    <n v="3"/>
    <x v="2"/>
    <x v="0"/>
    <s v="United Kingdom"/>
    <n v="55.378051999999997"/>
    <n v="-3.4359730000000002"/>
    <s v="ok"/>
    <s v="ok"/>
    <s v="ok"/>
    <s v="ok"/>
    <s v="ok"/>
    <x v="0"/>
    <n v="21.376868333201855"/>
  </r>
  <r>
    <x v="0"/>
    <n v="3006"/>
    <x v="2"/>
    <x v="0"/>
    <x v="0"/>
    <s v="1st line support"/>
    <x v="6"/>
    <x v="1575"/>
    <d v="2023-09-02T08:10:53"/>
    <d v="2023-08-31T09:10:53"/>
    <d v="2023-08-31T08:48:28"/>
    <s v="Within SLA"/>
    <d v="2023-09-05T03:26:59"/>
    <x v="1"/>
    <d v="2023-09-05T20:34:57"/>
    <n v="4"/>
    <n v="5"/>
    <x v="2"/>
    <x v="0"/>
    <s v="Republic of Ireland"/>
    <n v="53.094023999999997"/>
    <n v="-8.0196749999999994"/>
    <s v="ok"/>
    <s v="ok"/>
    <s v="ok"/>
    <s v="ok"/>
    <s v="ok"/>
    <x v="0"/>
    <n v="115.26825416658539"/>
  </r>
  <r>
    <x v="0"/>
    <n v="3007"/>
    <x v="1"/>
    <x v="0"/>
    <x v="0"/>
    <s v="2nd line support"/>
    <x v="5"/>
    <x v="1576"/>
    <d v="2023-09-02T18:47:17"/>
    <d v="2023-08-31T19:47:17"/>
    <d v="2023-08-31T19:02:07"/>
    <s v="Within SLA"/>
    <d v="2023-09-01T15:09:03"/>
    <x v="0"/>
    <d v="2023-09-05T04:22:20"/>
    <n v="2"/>
    <n v="4"/>
    <x v="2"/>
    <x v="1"/>
    <s v="Poland"/>
    <n v="52.536273000000001"/>
    <n v="19.050639"/>
    <s v="ok"/>
    <s v="ok"/>
    <s v="ok"/>
    <s v="ok"/>
    <s v="ok"/>
    <x v="0"/>
    <n v="20.362864166731015"/>
  </r>
  <r>
    <x v="0"/>
    <n v="3008"/>
    <x v="1"/>
    <x v="0"/>
    <x v="3"/>
    <s v="1st line support"/>
    <x v="2"/>
    <x v="1577"/>
    <d v="2023-09-03T21:09:41"/>
    <d v="2023-09-01T22:09:41"/>
    <d v="2023-09-01T21:28:35"/>
    <s v="Within SLA"/>
    <d v="2023-09-02T13:06:10"/>
    <x v="0"/>
    <d v="2023-09-04T20:25:48"/>
    <n v="2"/>
    <n v="5"/>
    <x v="0"/>
    <x v="0"/>
    <s v="United Kingdom"/>
    <n v="55.378051999999997"/>
    <n v="-3.4359730000000002"/>
    <s v="ok"/>
    <s v="ok"/>
    <s v="ok"/>
    <s v="ok"/>
    <s v="ok"/>
    <x v="0"/>
    <n v="15.941352222289424"/>
  </r>
  <r>
    <x v="0"/>
    <n v="3009"/>
    <x v="2"/>
    <x v="0"/>
    <x v="5"/>
    <s v="1st line support"/>
    <x v="2"/>
    <x v="1578"/>
    <d v="2023-09-03T23:33:18"/>
    <d v="2023-09-02T00:33:18"/>
    <d v="2023-09-02T00:10:51"/>
    <s v="Within SLA"/>
    <d v="2023-09-06T10:42:38"/>
    <x v="1"/>
    <d v="2023-09-06T22:24:41"/>
    <n v="4"/>
    <n v="3"/>
    <x v="0"/>
    <x v="0"/>
    <s v="Spain"/>
    <n v="39.673369999999998"/>
    <n v="-4.7677259999999997"/>
    <s v="ok"/>
    <s v="ok"/>
    <s v="ok"/>
    <s v="ok"/>
    <s v="ok"/>
    <x v="0"/>
    <n v="107.15561611106386"/>
  </r>
  <r>
    <x v="2"/>
    <n v="3010"/>
    <x v="0"/>
    <x v="0"/>
    <x v="3"/>
    <s v="1st line support"/>
    <x v="2"/>
    <x v="1579"/>
    <d v="2023-09-03T20:08:06"/>
    <d v="2023-09-01T21:08:06"/>
    <d v="2023-09-01T20:28:44"/>
    <s v="Within SLA"/>
    <d v="2023-09-02T21:15:19"/>
    <x v="0"/>
    <m/>
    <n v="2"/>
    <m/>
    <x v="0"/>
    <x v="0"/>
    <s v="Austria"/>
    <n v="47.696471899999999"/>
    <n v="13.3457347"/>
    <s v="ok"/>
    <s v="ok"/>
    <s v="ok"/>
    <s v="ok"/>
    <s v="ok"/>
    <x v="0"/>
    <n v="25.120171666669194"/>
  </r>
  <r>
    <x v="2"/>
    <n v="3011"/>
    <x v="2"/>
    <x v="1"/>
    <x v="1"/>
    <s v="1st line support"/>
    <x v="3"/>
    <x v="1580"/>
    <d v="2023-09-03T11:39:17"/>
    <d v="2023-09-01T11:41:17"/>
    <d v="2023-09-01T11:40:57"/>
    <s v="Within SLA"/>
    <d v="2023-09-01T17:16:53"/>
    <x v="0"/>
    <m/>
    <n v="1"/>
    <m/>
    <x v="1"/>
    <x v="0"/>
    <s v="Italy"/>
    <n v="43.036776000000003"/>
    <n v="12.678565000000001"/>
    <s v="ok"/>
    <s v="ok"/>
    <s v="ok"/>
    <s v="ok"/>
    <s v="ok"/>
    <x v="0"/>
    <n v="5.6265605556545779"/>
  </r>
  <r>
    <x v="2"/>
    <n v="3012"/>
    <x v="0"/>
    <x v="0"/>
    <x v="1"/>
    <s v="1st line support"/>
    <x v="0"/>
    <x v="1581"/>
    <d v="2023-09-03T11:16:05"/>
    <d v="2023-09-01T12:16:05"/>
    <d v="2023-09-01T11:51:10"/>
    <s v="Within SLA"/>
    <d v="2023-09-01T23:46:04"/>
    <x v="0"/>
    <m/>
    <n v="1"/>
    <m/>
    <x v="3"/>
    <x v="0"/>
    <s v="France"/>
    <n v="48.864716000000001"/>
    <n v="2.3490139999999999"/>
    <s v="ok"/>
    <s v="ok"/>
    <s v="ok"/>
    <s v="ok"/>
    <s v="ok"/>
    <x v="0"/>
    <n v="12.499741666659247"/>
  </r>
  <r>
    <x v="2"/>
    <n v="3013"/>
    <x v="0"/>
    <x v="0"/>
    <x v="3"/>
    <s v="1st line support"/>
    <x v="3"/>
    <x v="1582"/>
    <d v="2023-09-03T04:42:18"/>
    <d v="2023-09-01T05:42:18"/>
    <d v="2023-09-01T05:03:29"/>
    <s v="Within SLA"/>
    <d v="2023-09-02T06:13:10"/>
    <x v="0"/>
    <m/>
    <n v="1"/>
    <m/>
    <x v="2"/>
    <x v="0"/>
    <s v="United Kingdom"/>
    <n v="55.378051999999997"/>
    <n v="-3.4359730000000002"/>
    <s v="ok"/>
    <s v="ok"/>
    <s v="ok"/>
    <s v="ok"/>
    <s v="ok"/>
    <x v="0"/>
    <n v="25.514505277737044"/>
  </r>
  <r>
    <x v="0"/>
    <n v="3014"/>
    <x v="1"/>
    <x v="0"/>
    <x v="1"/>
    <s v="1st line support"/>
    <x v="6"/>
    <x v="1583"/>
    <d v="2023-09-03T14:27:41"/>
    <d v="2023-09-01T15:27:41"/>
    <d v="2023-09-01T15:21:21"/>
    <s v="Within SLA"/>
    <d v="2023-09-01T17:35:30"/>
    <x v="0"/>
    <d v="2023-09-04T20:43:31"/>
    <n v="2"/>
    <n v="1"/>
    <x v="1"/>
    <x v="0"/>
    <s v="United Kingdom"/>
    <n v="55.378051999999997"/>
    <n v="-3.4359730000000002"/>
    <s v="ok"/>
    <s v="ok"/>
    <s v="ok"/>
    <s v="ok"/>
    <s v="ok"/>
    <x v="0"/>
    <n v="3.1303372223046608"/>
  </r>
  <r>
    <x v="0"/>
    <n v="3015"/>
    <x v="2"/>
    <x v="0"/>
    <x v="3"/>
    <s v="1st line support"/>
    <x v="4"/>
    <x v="1584"/>
    <d v="2023-09-03T15:08:51"/>
    <d v="2023-09-01T16:08:51"/>
    <d v="2023-09-01T15:51:55"/>
    <s v="Within SLA"/>
    <d v="2023-09-04T10:33:14"/>
    <x v="1"/>
    <d v="2023-09-04T12:03:10"/>
    <n v="2"/>
    <n v="3"/>
    <x v="2"/>
    <x v="0"/>
    <s v="Poland"/>
    <n v="52.536273000000001"/>
    <n v="19.050639"/>
    <s v="ok"/>
    <s v="ok"/>
    <s v="ok"/>
    <s v="ok"/>
    <s v="ok"/>
    <x v="0"/>
    <n v="67.406461944279727"/>
  </r>
  <r>
    <x v="2"/>
    <n v="3020"/>
    <x v="2"/>
    <x v="0"/>
    <x v="3"/>
    <s v="1st line support"/>
    <x v="3"/>
    <x v="1585"/>
    <d v="2023-09-04T17:49:22"/>
    <d v="2023-09-02T18:49:22"/>
    <d v="2023-09-02T18:28:42"/>
    <s v="Within SLA"/>
    <d v="2023-09-07T13:37:28"/>
    <x v="1"/>
    <m/>
    <n v="5"/>
    <m/>
    <x v="2"/>
    <x v="0"/>
    <s v="Austria"/>
    <n v="47.696471899999999"/>
    <n v="13.3457347"/>
    <s v="ok"/>
    <s v="ok"/>
    <s v="ok"/>
    <s v="ok"/>
    <s v="ok"/>
    <x v="0"/>
    <n v="115.80155500012916"/>
  </r>
  <r>
    <x v="0"/>
    <n v="3021"/>
    <x v="2"/>
    <x v="2"/>
    <x v="3"/>
    <s v="1st line support"/>
    <x v="4"/>
    <x v="1586"/>
    <d v="2023-09-03T02:22:49"/>
    <d v="2023-09-02T02:24:49"/>
    <d v="2023-09-02T02:23:51"/>
    <s v="Within SLA"/>
    <d v="2023-09-04T20:20:28"/>
    <x v="1"/>
    <d v="2023-09-06T02:12:52"/>
    <n v="7"/>
    <n v="5"/>
    <x v="0"/>
    <x v="0"/>
    <s v="Poland"/>
    <n v="52.536273000000001"/>
    <n v="19.050639"/>
    <s v="ok"/>
    <s v="ok"/>
    <s v="ok"/>
    <s v="ok"/>
    <s v="ok"/>
    <x v="0"/>
    <n v="65.96091194433393"/>
  </r>
  <r>
    <x v="0"/>
    <n v="3022"/>
    <x v="1"/>
    <x v="2"/>
    <x v="3"/>
    <s v="1st line support"/>
    <x v="3"/>
    <x v="1587"/>
    <d v="2023-09-04T16:18:23"/>
    <d v="2023-09-03T16:20:23"/>
    <d v="2023-09-03T16:18:48"/>
    <s v="Within SLA"/>
    <d v="2023-09-04T07:07:23"/>
    <x v="0"/>
    <d v="2023-09-06T12:45:04"/>
    <n v="2"/>
    <n v="4"/>
    <x v="0"/>
    <x v="0"/>
    <s v="Slovenia"/>
    <n v="46.149166399999999"/>
    <n v="14.9860106"/>
    <s v="ok"/>
    <s v="ok"/>
    <s v="ok"/>
    <s v="ok"/>
    <s v="ok"/>
    <x v="0"/>
    <n v="14.81675472232746"/>
  </r>
  <r>
    <x v="2"/>
    <n v="3023"/>
    <x v="2"/>
    <x v="2"/>
    <x v="0"/>
    <s v="1st line support"/>
    <x v="4"/>
    <x v="1588"/>
    <d v="2023-09-04T08:27:59"/>
    <d v="2023-09-03T08:29:59"/>
    <d v="2023-09-03T08:29:36"/>
    <s v="Within SLA"/>
    <d v="2023-09-03T16:02:16"/>
    <x v="0"/>
    <m/>
    <n v="9"/>
    <m/>
    <x v="0"/>
    <x v="0"/>
    <s v="Poland"/>
    <n v="52.536273000000001"/>
    <n v="19.050639"/>
    <s v="ok"/>
    <s v="ok"/>
    <s v="ok"/>
    <s v="ok"/>
    <s v="ok"/>
    <x v="0"/>
    <n v="7.5713941667927429"/>
  </r>
  <r>
    <x v="2"/>
    <n v="3024"/>
    <x v="2"/>
    <x v="2"/>
    <x v="1"/>
    <s v="2nd line support"/>
    <x v="1"/>
    <x v="1589"/>
    <d v="2023-09-04T14:17:38"/>
    <d v="2023-09-03T14:19:38"/>
    <d v="2023-09-03T14:19:03"/>
    <s v="Within SLA"/>
    <d v="2023-09-08T08:46:18"/>
    <x v="1"/>
    <m/>
    <n v="6"/>
    <m/>
    <x v="0"/>
    <x v="1"/>
    <s v="France"/>
    <n v="48.864716000000001"/>
    <n v="2.3490139999999999"/>
    <s v="ok"/>
    <s v="ok"/>
    <s v="ok"/>
    <s v="ok"/>
    <s v="ok"/>
    <x v="0"/>
    <n v="114.47787194454577"/>
  </r>
  <r>
    <x v="0"/>
    <n v="3025"/>
    <x v="0"/>
    <x v="0"/>
    <x v="5"/>
    <s v="1st line support"/>
    <x v="0"/>
    <x v="1590"/>
    <d v="2023-09-05T11:23:01"/>
    <d v="2023-09-03T12:23:01"/>
    <d v="2023-09-03T11:48:06"/>
    <s v="Within SLA"/>
    <d v="2023-09-04T17:15:40"/>
    <x v="0"/>
    <d v="2023-09-04T01:43:38"/>
    <n v="6"/>
    <n v="1"/>
    <x v="0"/>
    <x v="0"/>
    <s v="Republic of Ireland"/>
    <n v="53.094023999999997"/>
    <n v="-8.0196749999999994"/>
    <s v="ok"/>
    <s v="ok"/>
    <s v="check"/>
    <s v="ok"/>
    <s v="ok"/>
    <x v="0"/>
    <n v="29.877532222308218"/>
  </r>
  <r>
    <x v="0"/>
    <n v="3026"/>
    <x v="0"/>
    <x v="2"/>
    <x v="0"/>
    <s v="1st line support"/>
    <x v="4"/>
    <x v="1591"/>
    <d v="2023-09-05T20:05:09"/>
    <d v="2023-09-04T20:07:09"/>
    <d v="2023-09-04T20:05:40"/>
    <s v="Within SLA"/>
    <d v="2023-09-04T22:39:17"/>
    <x v="0"/>
    <d v="2023-09-09T06:04:55"/>
    <n v="4"/>
    <n v="5"/>
    <x v="1"/>
    <x v="0"/>
    <s v="Germany"/>
    <n v="51.165691000000002"/>
    <n v="10.451525999999999"/>
    <s v="ok"/>
    <s v="ok"/>
    <s v="ok"/>
    <s v="ok"/>
    <s v="ok"/>
    <x v="0"/>
    <n v="2.5688136109965853"/>
  </r>
  <r>
    <x v="2"/>
    <n v="3027"/>
    <x v="0"/>
    <x v="2"/>
    <x v="1"/>
    <s v="1st line support"/>
    <x v="3"/>
    <x v="1592"/>
    <d v="2023-09-05T22:18:03"/>
    <d v="2023-09-04T22:20:03"/>
    <d v="2023-09-04T22:19:18"/>
    <s v="Within SLA"/>
    <d v="2023-09-05T12:33:37"/>
    <x v="0"/>
    <m/>
    <n v="2"/>
    <m/>
    <x v="2"/>
    <x v="0"/>
    <s v="Germany"/>
    <n v="51.165691000000002"/>
    <n v="10.451525999999999"/>
    <s v="ok"/>
    <s v="ok"/>
    <s v="ok"/>
    <s v="ok"/>
    <s v="ok"/>
    <x v="0"/>
    <n v="14.259563055471517"/>
  </r>
  <r>
    <x v="0"/>
    <n v="3028"/>
    <x v="0"/>
    <x v="1"/>
    <x v="1"/>
    <s v="1st line support"/>
    <x v="0"/>
    <x v="1593"/>
    <d v="2023-09-06T01:34:53"/>
    <d v="2023-09-04T01:36:53"/>
    <d v="2023-09-04T01:40:51"/>
    <s v="SLA Violated"/>
    <d v="2023-09-06T13:01:41"/>
    <x v="1"/>
    <d v="2023-09-06T21:29:24"/>
    <n v="3"/>
    <n v="5"/>
    <x v="2"/>
    <x v="0"/>
    <s v="Italy"/>
    <n v="43.036776000000003"/>
    <n v="12.678565000000001"/>
    <s v="ok"/>
    <s v="ok"/>
    <s v="ok"/>
    <s v="ok"/>
    <s v="ok"/>
    <x v="0"/>
    <n v="59.446633611107245"/>
  </r>
  <r>
    <x v="0"/>
    <n v="3029"/>
    <x v="0"/>
    <x v="0"/>
    <x v="0"/>
    <s v="2nd line support"/>
    <x v="5"/>
    <x v="1594"/>
    <d v="2023-09-06T23:39:26"/>
    <d v="2023-09-05T00:39:26"/>
    <d v="2023-09-04T23:48:28"/>
    <s v="Within SLA"/>
    <d v="2023-09-06T16:11:46"/>
    <x v="0"/>
    <d v="2023-09-09T10:26:49"/>
    <n v="7"/>
    <n v="1"/>
    <x v="1"/>
    <x v="1"/>
    <s v="Italy"/>
    <n v="43.036776000000003"/>
    <n v="12.678565000000001"/>
    <s v="ok"/>
    <s v="ok"/>
    <s v="ok"/>
    <s v="ok"/>
    <s v="ok"/>
    <x v="0"/>
    <n v="40.539011666667648"/>
  </r>
  <r>
    <x v="2"/>
    <n v="3030"/>
    <x v="0"/>
    <x v="2"/>
    <x v="0"/>
    <s v="1st line support"/>
    <x v="0"/>
    <x v="1595"/>
    <d v="2023-09-05T10:55:40"/>
    <d v="2023-09-04T10:57:40"/>
    <d v="2023-09-04T10:56:32"/>
    <s v="Within SLA"/>
    <d v="2023-09-05T03:16:41"/>
    <x v="0"/>
    <m/>
    <n v="5"/>
    <m/>
    <x v="0"/>
    <x v="0"/>
    <s v="United Kingdom"/>
    <n v="55.378051999999997"/>
    <n v="-3.4359730000000002"/>
    <s v="ok"/>
    <s v="ok"/>
    <s v="ok"/>
    <s v="ok"/>
    <s v="ok"/>
    <x v="0"/>
    <n v="16.350345277867746"/>
  </r>
  <r>
    <x v="1"/>
    <n v="3031"/>
    <x v="0"/>
    <x v="2"/>
    <x v="2"/>
    <s v="2nd line support"/>
    <x v="7"/>
    <x v="1596"/>
    <d v="2023-09-05T10:51:23"/>
    <d v="2023-09-04T10:53:23"/>
    <d v="2023-09-04T10:52:24"/>
    <s v="Within SLA"/>
    <m/>
    <x v="1"/>
    <m/>
    <n v="5"/>
    <m/>
    <x v="2"/>
    <x v="1"/>
    <s v="Czech Republic"/>
    <n v="49.8037633"/>
    <n v="15.4749126"/>
    <s v="ok"/>
    <s v="ok"/>
    <s v="ok"/>
    <s v="ok"/>
    <s v="ok"/>
    <x v="1"/>
    <s v=""/>
  </r>
  <r>
    <x v="2"/>
    <n v="3032"/>
    <x v="0"/>
    <x v="0"/>
    <x v="0"/>
    <s v="1st line support"/>
    <x v="2"/>
    <x v="1597"/>
    <d v="2023-09-06T15:27:00"/>
    <d v="2023-09-04T16:27:00"/>
    <d v="2023-09-04T15:45:33"/>
    <s v="Within SLA"/>
    <d v="2023-09-05T20:58:54"/>
    <x v="0"/>
    <m/>
    <n v="7"/>
    <m/>
    <x v="2"/>
    <x v="0"/>
    <s v="Czech Republic"/>
    <n v="49.8037633"/>
    <n v="15.4749126"/>
    <s v="ok"/>
    <s v="ok"/>
    <s v="ok"/>
    <s v="ok"/>
    <s v="ok"/>
    <x v="0"/>
    <n v="29.531624999886844"/>
  </r>
  <r>
    <x v="0"/>
    <n v="3033"/>
    <x v="1"/>
    <x v="2"/>
    <x v="2"/>
    <s v="1st line support"/>
    <x v="3"/>
    <x v="1598"/>
    <d v="2023-09-06T06:07:30"/>
    <d v="2023-09-05T06:09:30"/>
    <d v="2023-09-05T06:09:10"/>
    <s v="Within SLA"/>
    <d v="2023-09-06T02:35:53"/>
    <x v="0"/>
    <d v="2023-09-11T22:03:01"/>
    <n v="5"/>
    <n v="5"/>
    <x v="1"/>
    <x v="0"/>
    <s v="United Kingdom"/>
    <n v="55.378051999999997"/>
    <n v="-3.4359730000000002"/>
    <s v="ok"/>
    <s v="ok"/>
    <s v="ok"/>
    <s v="ok"/>
    <s v="ok"/>
    <x v="0"/>
    <n v="20.473108611011412"/>
  </r>
  <r>
    <x v="0"/>
    <n v="3034"/>
    <x v="0"/>
    <x v="2"/>
    <x v="1"/>
    <s v="1st line support"/>
    <x v="0"/>
    <x v="1599"/>
    <d v="2023-09-06T03:58:35"/>
    <d v="2023-09-05T04:00:35"/>
    <d v="2023-09-05T03:59:03"/>
    <s v="Within SLA"/>
    <d v="2023-09-09T07:52:41"/>
    <x v="1"/>
    <d v="2023-09-09T18:09:26"/>
    <n v="6"/>
    <n v="1"/>
    <x v="2"/>
    <x v="0"/>
    <s v="Spain"/>
    <n v="39.673369999999998"/>
    <n v="-4.7677259999999997"/>
    <s v="ok"/>
    <s v="ok"/>
    <s v="ok"/>
    <s v="ok"/>
    <s v="ok"/>
    <x v="0"/>
    <n v="99.90174361114623"/>
  </r>
  <r>
    <x v="0"/>
    <n v="3035"/>
    <x v="2"/>
    <x v="2"/>
    <x v="3"/>
    <s v="1st line support"/>
    <x v="3"/>
    <x v="1600"/>
    <d v="2023-09-06T14:43:52"/>
    <d v="2023-09-05T14:45:52"/>
    <d v="2023-09-05T14:44:37"/>
    <s v="Within SLA"/>
    <d v="2023-09-06T02:18:09"/>
    <x v="0"/>
    <d v="2023-09-07T13:10:16"/>
    <n v="6"/>
    <n v="4"/>
    <x v="0"/>
    <x v="0"/>
    <s v="Bulgaria"/>
    <n v="42.724992499999999"/>
    <n v="25.483303899999999"/>
    <s v="ok"/>
    <s v="ok"/>
    <s v="ok"/>
    <s v="ok"/>
    <s v="ok"/>
    <x v="0"/>
    <n v="11.57143333327258"/>
  </r>
  <r>
    <x v="0"/>
    <n v="3036"/>
    <x v="0"/>
    <x v="0"/>
    <x v="0"/>
    <s v="1st line support"/>
    <x v="3"/>
    <x v="1601"/>
    <d v="2023-09-08T16:42:58"/>
    <d v="2023-09-06T17:42:58"/>
    <d v="2023-09-06T17:23:58"/>
    <s v="Within SLA"/>
    <d v="2023-09-09T17:34:18"/>
    <x v="1"/>
    <d v="2023-09-09T20:18:45"/>
    <n v="6"/>
    <n v="3"/>
    <x v="0"/>
    <x v="0"/>
    <s v="Germany"/>
    <n v="51.165691000000002"/>
    <n v="10.451525999999999"/>
    <s v="ok"/>
    <s v="ok"/>
    <s v="ok"/>
    <s v="ok"/>
    <s v="ok"/>
    <x v="0"/>
    <n v="72.855610833212268"/>
  </r>
  <r>
    <x v="0"/>
    <n v="3037"/>
    <x v="2"/>
    <x v="0"/>
    <x v="0"/>
    <s v="2nd line support"/>
    <x v="5"/>
    <x v="1602"/>
    <d v="2023-09-08T17:04:33"/>
    <d v="2023-09-06T18:04:33"/>
    <d v="2023-09-06T17:42:34"/>
    <s v="Within SLA"/>
    <d v="2023-09-08T11:12:20"/>
    <x v="0"/>
    <d v="2023-09-08T17:38:13"/>
    <n v="1"/>
    <n v="5"/>
    <x v="2"/>
    <x v="1"/>
    <s v="France"/>
    <n v="48.864716000000001"/>
    <n v="2.3490139999999999"/>
    <s v="ok"/>
    <s v="ok"/>
    <s v="ok"/>
    <s v="ok"/>
    <s v="ok"/>
    <x v="0"/>
    <n v="42.129647777765058"/>
  </r>
  <r>
    <x v="2"/>
    <n v="3038"/>
    <x v="0"/>
    <x v="2"/>
    <x v="5"/>
    <s v="1st line support"/>
    <x v="2"/>
    <x v="1603"/>
    <d v="2023-09-07T02:29:17"/>
    <d v="2023-09-06T02:31:17"/>
    <d v="2023-09-06T02:30:36"/>
    <s v="Within SLA"/>
    <d v="2023-09-06T12:41:40"/>
    <x v="0"/>
    <m/>
    <n v="5"/>
    <m/>
    <x v="2"/>
    <x v="0"/>
    <s v="Italy"/>
    <n v="43.036776000000003"/>
    <n v="12.678565000000001"/>
    <s v="ok"/>
    <s v="ok"/>
    <s v="ok"/>
    <s v="ok"/>
    <s v="ok"/>
    <x v="0"/>
    <n v="10.206271666742396"/>
  </r>
  <r>
    <x v="0"/>
    <n v="3039"/>
    <x v="0"/>
    <x v="2"/>
    <x v="3"/>
    <s v="1st line support"/>
    <x v="3"/>
    <x v="1604"/>
    <d v="2023-09-07T15:30:44"/>
    <d v="2023-09-06T15:32:44"/>
    <d v="2023-09-06T15:31:51"/>
    <s v="Within SLA"/>
    <d v="2023-09-07T02:04:08"/>
    <x v="0"/>
    <d v="2023-09-11T08:07:04"/>
    <n v="8"/>
    <n v="4"/>
    <x v="0"/>
    <x v="0"/>
    <s v="Germany"/>
    <n v="51.165691000000002"/>
    <n v="10.451525999999999"/>
    <s v="ok"/>
    <s v="ok"/>
    <s v="ok"/>
    <s v="ok"/>
    <s v="ok"/>
    <x v="0"/>
    <n v="10.556538611243013"/>
  </r>
  <r>
    <x v="0"/>
    <n v="3040"/>
    <x v="2"/>
    <x v="0"/>
    <x v="1"/>
    <s v="2nd line support"/>
    <x v="5"/>
    <x v="1605"/>
    <d v="2023-09-08T23:22:01"/>
    <d v="2023-09-07T00:22:01"/>
    <d v="2023-09-06T23:45:20"/>
    <s v="Within SLA"/>
    <d v="2023-09-09T23:58:03"/>
    <x v="1"/>
    <d v="2023-09-10T07:02:40"/>
    <n v="3"/>
    <n v="4"/>
    <x v="0"/>
    <x v="1"/>
    <s v="Germany"/>
    <n v="51.165691000000002"/>
    <n v="10.451525999999999"/>
    <s v="ok"/>
    <s v="ok"/>
    <s v="ok"/>
    <s v="ok"/>
    <s v="ok"/>
    <x v="0"/>
    <n v="72.600635555572808"/>
  </r>
  <r>
    <x v="1"/>
    <n v="3041"/>
    <x v="2"/>
    <x v="0"/>
    <x v="2"/>
    <s v="2nd line support"/>
    <x v="7"/>
    <x v="1606"/>
    <d v="2023-09-08T02:31:53"/>
    <d v="2023-09-06T03:31:53"/>
    <d v="2023-09-07T06:24:37"/>
    <s v="SLA Violated"/>
    <m/>
    <x v="1"/>
    <m/>
    <n v="5"/>
    <m/>
    <x v="2"/>
    <x v="1"/>
    <s v="Slovenia"/>
    <n v="46.149166399999999"/>
    <n v="14.9860106"/>
    <s v="ok"/>
    <s v="ok"/>
    <s v="ok"/>
    <s v="ok"/>
    <s v="ok"/>
    <x v="1"/>
    <s v=""/>
  </r>
  <r>
    <x v="2"/>
    <n v="3042"/>
    <x v="2"/>
    <x v="0"/>
    <x v="4"/>
    <s v="1st line support"/>
    <x v="0"/>
    <x v="1607"/>
    <d v="2023-09-08T06:16:22"/>
    <d v="2023-09-06T07:16:22"/>
    <d v="2023-09-06T06:46:59"/>
    <s v="Within SLA"/>
    <d v="2023-09-10T23:23:00"/>
    <x v="1"/>
    <m/>
    <n v="5"/>
    <m/>
    <x v="2"/>
    <x v="0"/>
    <s v="Poland"/>
    <n v="52.536273000000001"/>
    <n v="19.050639"/>
    <s v="ok"/>
    <s v="ok"/>
    <s v="ok"/>
    <s v="ok"/>
    <s v="ok"/>
    <x v="0"/>
    <n v="113.11042583326343"/>
  </r>
  <r>
    <x v="0"/>
    <n v="3043"/>
    <x v="2"/>
    <x v="2"/>
    <x v="3"/>
    <s v="1st line support"/>
    <x v="0"/>
    <x v="1608"/>
    <d v="2023-09-08T10:11:05"/>
    <d v="2023-09-07T10:13:05"/>
    <d v="2023-09-07T10:12:23"/>
    <s v="Within SLA"/>
    <d v="2023-09-07T18:21:56"/>
    <x v="0"/>
    <d v="2023-09-09T10:01:02"/>
    <n v="6"/>
    <n v="2"/>
    <x v="0"/>
    <x v="0"/>
    <s v="United Kingdom"/>
    <n v="55.378051999999997"/>
    <n v="-3.4359730000000002"/>
    <s v="ok"/>
    <s v="ok"/>
    <s v="ok"/>
    <s v="ok"/>
    <s v="ok"/>
    <x v="0"/>
    <n v="8.1807222221978009"/>
  </r>
  <r>
    <x v="0"/>
    <n v="3044"/>
    <x v="2"/>
    <x v="2"/>
    <x v="4"/>
    <s v="1st line support"/>
    <x v="2"/>
    <x v="1609"/>
    <d v="2023-09-08T00:48:48"/>
    <d v="2023-09-07T00:50:48"/>
    <d v="2023-09-07T00:50:00"/>
    <s v="Within SLA"/>
    <d v="2023-09-07T20:48:25"/>
    <x v="0"/>
    <d v="2023-09-12T23:10:34"/>
    <n v="6"/>
    <n v="5"/>
    <x v="2"/>
    <x v="0"/>
    <s v="France"/>
    <n v="48.864716000000001"/>
    <n v="2.3490139999999999"/>
    <s v="ok"/>
    <s v="ok"/>
    <s v="ok"/>
    <s v="ok"/>
    <s v="ok"/>
    <x v="0"/>
    <n v="19.993580277892761"/>
  </r>
  <r>
    <x v="0"/>
    <n v="3045"/>
    <x v="0"/>
    <x v="1"/>
    <x v="2"/>
    <s v="1st line support"/>
    <x v="6"/>
    <x v="1610"/>
    <d v="2023-09-09T10:33:10"/>
    <d v="2023-09-07T10:35:10"/>
    <d v="2023-09-07T10:34:03"/>
    <s v="Within SLA"/>
    <d v="2023-09-08T02:19:44"/>
    <x v="0"/>
    <d v="2023-09-12T08:41:33"/>
    <n v="1"/>
    <n v="5"/>
    <x v="3"/>
    <x v="0"/>
    <s v="Italy"/>
    <n v="43.036776000000003"/>
    <n v="12.678565000000001"/>
    <s v="ok"/>
    <s v="ok"/>
    <s v="ok"/>
    <s v="ok"/>
    <s v="ok"/>
    <x v="0"/>
    <n v="15.776079722272698"/>
  </r>
  <r>
    <x v="0"/>
    <n v="3046"/>
    <x v="0"/>
    <x v="0"/>
    <x v="3"/>
    <s v="1st line support"/>
    <x v="3"/>
    <x v="1611"/>
    <d v="2023-09-09T14:17:03"/>
    <d v="2023-09-07T15:17:03"/>
    <d v="2023-09-07T14:40:32"/>
    <s v="Within SLA"/>
    <d v="2023-09-07T14:56:00"/>
    <x v="0"/>
    <d v="2023-09-11T09:50:55"/>
    <n v="2"/>
    <n v="4"/>
    <x v="0"/>
    <x v="0"/>
    <s v="United Kingdom"/>
    <n v="55.378051999999997"/>
    <n v="-3.4359730000000002"/>
    <s v="ok"/>
    <s v="ok"/>
    <s v="ok"/>
    <s v="ok"/>
    <s v="ok"/>
    <x v="0"/>
    <n v="0.64921638899249956"/>
  </r>
  <r>
    <x v="0"/>
    <n v="3047"/>
    <x v="0"/>
    <x v="1"/>
    <x v="3"/>
    <s v="2nd line support"/>
    <x v="5"/>
    <x v="1612"/>
    <d v="2023-09-09T02:32:34"/>
    <d v="2023-09-07T02:34:34"/>
    <d v="2023-09-07T02:32:35"/>
    <s v="Within SLA"/>
    <d v="2023-09-08T04:10:45"/>
    <x v="0"/>
    <d v="2023-09-09T11:32:59"/>
    <n v="1"/>
    <n v="3"/>
    <x v="2"/>
    <x v="1"/>
    <s v="Czech Republic"/>
    <n v="49.8037633"/>
    <n v="15.4749126"/>
    <s v="ok"/>
    <s v="ok"/>
    <s v="ok"/>
    <s v="ok"/>
    <s v="ok"/>
    <x v="0"/>
    <n v="25.636497222294565"/>
  </r>
  <r>
    <x v="0"/>
    <n v="3048"/>
    <x v="0"/>
    <x v="2"/>
    <x v="4"/>
    <s v="1st line support"/>
    <x v="3"/>
    <x v="1613"/>
    <d v="2023-09-08T08:39:28"/>
    <d v="2023-09-07T08:41:28"/>
    <d v="2023-09-07T08:41:13"/>
    <s v="Within SLA"/>
    <d v="2023-09-08T07:24:14"/>
    <x v="0"/>
    <d v="2023-09-10T20:35:52"/>
    <n v="9"/>
    <n v="5"/>
    <x v="0"/>
    <x v="0"/>
    <s v="Slovenia"/>
    <n v="46.149166399999999"/>
    <n v="14.9860106"/>
    <s v="ok"/>
    <s v="ok"/>
    <s v="ok"/>
    <s v="ok"/>
    <s v="ok"/>
    <x v="0"/>
    <n v="22.74599277775269"/>
  </r>
  <r>
    <x v="2"/>
    <n v="3049"/>
    <x v="2"/>
    <x v="2"/>
    <x v="5"/>
    <s v="2nd line support"/>
    <x v="5"/>
    <x v="1614"/>
    <d v="2023-09-08T11:21:45"/>
    <d v="2023-09-07T11:23:45"/>
    <d v="2023-09-07T11:22:48"/>
    <s v="Within SLA"/>
    <d v="2023-09-12T20:35:51"/>
    <x v="1"/>
    <m/>
    <n v="5"/>
    <m/>
    <x v="2"/>
    <x v="1"/>
    <s v="Slovenia"/>
    <n v="46.149166399999999"/>
    <n v="14.9860106"/>
    <s v="ok"/>
    <s v="ok"/>
    <s v="ok"/>
    <s v="ok"/>
    <s v="ok"/>
    <x v="0"/>
    <n v="129.23508666671114"/>
  </r>
  <r>
    <x v="1"/>
    <n v="3050"/>
    <x v="2"/>
    <x v="2"/>
    <x v="1"/>
    <s v="1st line support"/>
    <x v="3"/>
    <x v="1615"/>
    <d v="2023-09-09T06:40:11"/>
    <d v="2023-09-08T06:42:11"/>
    <d v="2023-09-08T06:41:05"/>
    <s v="Within SLA"/>
    <m/>
    <x v="1"/>
    <m/>
    <n v="6"/>
    <m/>
    <x v="1"/>
    <x v="0"/>
    <s v="Poland"/>
    <n v="52.536273000000001"/>
    <n v="19.050639"/>
    <s v="ok"/>
    <s v="ok"/>
    <s v="ok"/>
    <s v="ok"/>
    <s v="ok"/>
    <x v="1"/>
    <s v=""/>
  </r>
  <r>
    <x v="0"/>
    <n v="3051"/>
    <x v="0"/>
    <x v="2"/>
    <x v="0"/>
    <s v="2nd line support"/>
    <x v="1"/>
    <x v="1616"/>
    <d v="2023-09-09T09:52:38"/>
    <d v="2023-09-08T09:54:38"/>
    <d v="2023-09-08T09:54:37"/>
    <s v="Within SLA"/>
    <d v="2023-09-09T04:34:42"/>
    <x v="0"/>
    <d v="2023-09-11T05:37:10"/>
    <n v="5"/>
    <n v="4"/>
    <x v="2"/>
    <x v="1"/>
    <s v="Poland"/>
    <n v="52.536273000000001"/>
    <n v="19.050639"/>
    <s v="ok"/>
    <s v="ok"/>
    <s v="ok"/>
    <s v="ok"/>
    <s v="ok"/>
    <x v="0"/>
    <n v="18.701224999967963"/>
  </r>
  <r>
    <x v="2"/>
    <n v="3052"/>
    <x v="2"/>
    <x v="0"/>
    <x v="4"/>
    <s v="2nd line support"/>
    <x v="7"/>
    <x v="1617"/>
    <d v="2023-09-10T08:22:08"/>
    <d v="2023-09-08T09:22:08"/>
    <d v="2023-09-08T09:08:48"/>
    <s v="Within SLA"/>
    <d v="2023-09-13T10:23:22"/>
    <x v="1"/>
    <m/>
    <n v="5"/>
    <m/>
    <x v="2"/>
    <x v="1"/>
    <s v="United Kingdom"/>
    <n v="55.378051999999997"/>
    <n v="-3.4359730000000002"/>
    <s v="ok"/>
    <s v="ok"/>
    <s v="ok"/>
    <s v="ok"/>
    <s v="ok"/>
    <x v="0"/>
    <n v="122.02064333326416"/>
  </r>
  <r>
    <x v="0"/>
    <n v="3053"/>
    <x v="1"/>
    <x v="0"/>
    <x v="4"/>
    <s v="2nd line support"/>
    <x v="5"/>
    <x v="1618"/>
    <d v="2023-09-10T22:51:17"/>
    <d v="2023-09-08T23:51:17"/>
    <d v="2023-09-08T23:27:09"/>
    <s v="Within SLA"/>
    <d v="2023-09-10T16:49:02"/>
    <x v="0"/>
    <d v="2023-09-10T00:31:55"/>
    <n v="7"/>
    <n v="4"/>
    <x v="2"/>
    <x v="1"/>
    <s v="Poland"/>
    <n v="52.536273000000001"/>
    <n v="19.050639"/>
    <s v="ok"/>
    <s v="ok"/>
    <s v="check"/>
    <s v="ok"/>
    <s v="ok"/>
    <x v="0"/>
    <n v="41.962551666714717"/>
  </r>
  <r>
    <x v="1"/>
    <n v="3054"/>
    <x v="0"/>
    <x v="2"/>
    <x v="3"/>
    <s v="1st line support"/>
    <x v="3"/>
    <x v="1619"/>
    <d v="2023-09-09T20:21:49"/>
    <d v="2023-09-08T20:23:49"/>
    <d v="2023-09-08T20:21:56"/>
    <s v="Within SLA"/>
    <m/>
    <x v="1"/>
    <m/>
    <n v="6"/>
    <m/>
    <x v="1"/>
    <x v="0"/>
    <s v="United Kingdom"/>
    <n v="55.378051999999997"/>
    <n v="-3.4359730000000002"/>
    <s v="ok"/>
    <s v="ok"/>
    <s v="ok"/>
    <s v="ok"/>
    <s v="ok"/>
    <x v="1"/>
    <s v=""/>
  </r>
  <r>
    <x v="1"/>
    <n v="3055"/>
    <x v="0"/>
    <x v="1"/>
    <x v="4"/>
    <s v="2nd line support"/>
    <x v="5"/>
    <x v="1620"/>
    <d v="2023-09-11T13:21:44"/>
    <d v="2023-09-09T13:23:44"/>
    <d v="2023-09-09T13:22:12"/>
    <s v="Within SLA"/>
    <m/>
    <x v="1"/>
    <m/>
    <n v="2"/>
    <m/>
    <x v="2"/>
    <x v="1"/>
    <s v="United Kingdom"/>
    <n v="55.378051999999997"/>
    <n v="-3.4359730000000002"/>
    <s v="ok"/>
    <s v="ok"/>
    <s v="ok"/>
    <s v="ok"/>
    <s v="ok"/>
    <x v="1"/>
    <s v=""/>
  </r>
  <r>
    <x v="1"/>
    <n v="3056"/>
    <x v="0"/>
    <x v="0"/>
    <x v="1"/>
    <s v="1st line support"/>
    <x v="6"/>
    <x v="1621"/>
    <d v="2023-09-11T15:22:52"/>
    <d v="2023-09-09T16:22:52"/>
    <d v="2023-09-09T15:32:09"/>
    <s v="Within SLA"/>
    <m/>
    <x v="1"/>
    <m/>
    <n v="3"/>
    <m/>
    <x v="2"/>
    <x v="0"/>
    <s v="Spain"/>
    <n v="39.673369999999998"/>
    <n v="-4.7677259999999997"/>
    <s v="ok"/>
    <s v="ok"/>
    <s v="ok"/>
    <s v="ok"/>
    <s v="ok"/>
    <x v="1"/>
    <s v=""/>
  </r>
  <r>
    <x v="2"/>
    <n v="3057"/>
    <x v="0"/>
    <x v="2"/>
    <x v="0"/>
    <s v="1st line support"/>
    <x v="6"/>
    <x v="1622"/>
    <d v="2023-09-10T07:08:07"/>
    <d v="2023-09-09T07:10:07"/>
    <d v="2023-09-09T07:08:28"/>
    <s v="Within SLA"/>
    <d v="2023-09-09T14:46:44"/>
    <x v="0"/>
    <m/>
    <n v="2"/>
    <m/>
    <x v="2"/>
    <x v="0"/>
    <s v="Slovenia"/>
    <n v="46.149166399999999"/>
    <n v="14.9860106"/>
    <s v="ok"/>
    <s v="ok"/>
    <s v="ok"/>
    <s v="ok"/>
    <s v="ok"/>
    <x v="0"/>
    <n v="7.6437350000487641"/>
  </r>
  <r>
    <x v="0"/>
    <n v="3058"/>
    <x v="1"/>
    <x v="1"/>
    <x v="0"/>
    <s v="1st line support"/>
    <x v="6"/>
    <x v="1623"/>
    <d v="2023-09-11T06:14:30"/>
    <d v="2023-09-09T06:16:30"/>
    <d v="2023-09-09T06:15:53"/>
    <s v="Within SLA"/>
    <d v="2023-09-10T19:59:49"/>
    <x v="0"/>
    <d v="2023-09-16T19:56:31"/>
    <n v="3"/>
    <n v="2"/>
    <x v="0"/>
    <x v="0"/>
    <s v="Greece"/>
    <n v="39.368279000000001"/>
    <n v="21.863140999999999"/>
    <s v="ok"/>
    <s v="ok"/>
    <s v="ok"/>
    <s v="ok"/>
    <s v="ok"/>
    <x v="0"/>
    <n v="37.755153333360795"/>
  </r>
  <r>
    <x v="1"/>
    <n v="3068"/>
    <x v="1"/>
    <x v="2"/>
    <x v="1"/>
    <s v="2nd line support"/>
    <x v="1"/>
    <x v="1624"/>
    <d v="2023-09-11T09:12:48"/>
    <d v="2023-09-10T09:14:48"/>
    <d v="2023-09-10T09:14:34"/>
    <s v="Within SLA"/>
    <m/>
    <x v="1"/>
    <m/>
    <n v="6"/>
    <m/>
    <x v="0"/>
    <x v="1"/>
    <s v="Poland"/>
    <n v="52.536273000000001"/>
    <n v="19.050639"/>
    <s v="ok"/>
    <s v="ok"/>
    <s v="ok"/>
    <s v="ok"/>
    <s v="ok"/>
    <x v="1"/>
    <s v=""/>
  </r>
  <r>
    <x v="0"/>
    <n v="3069"/>
    <x v="2"/>
    <x v="2"/>
    <x v="5"/>
    <s v="1st line support"/>
    <x v="4"/>
    <x v="1625"/>
    <d v="2023-09-11T03:13:55"/>
    <d v="2023-09-10T03:15:55"/>
    <d v="2023-09-10T03:19:46"/>
    <s v="SLA Violated"/>
    <d v="2023-09-10T05:16:13"/>
    <x v="0"/>
    <d v="2023-09-12T01:45:49"/>
    <n v="9"/>
    <n v="5"/>
    <x v="0"/>
    <x v="0"/>
    <s v="Germany"/>
    <n v="51.165691000000002"/>
    <n v="10.451525999999999"/>
    <s v="ok"/>
    <s v="ok"/>
    <s v="ok"/>
    <s v="ok"/>
    <s v="ok"/>
    <x v="0"/>
    <n v="2.0384383331984282"/>
  </r>
  <r>
    <x v="2"/>
    <n v="3070"/>
    <x v="2"/>
    <x v="2"/>
    <x v="1"/>
    <s v="1st line support"/>
    <x v="2"/>
    <x v="1626"/>
    <d v="2023-09-11T20:22:38"/>
    <d v="2023-09-10T20:24:38"/>
    <d v="2023-09-10T20:24:13"/>
    <s v="Within SLA"/>
    <d v="2023-09-11T13:21:40"/>
    <x v="0"/>
    <m/>
    <n v="60"/>
    <m/>
    <x v="2"/>
    <x v="0"/>
    <s v="Bulgaria"/>
    <n v="42.724992499999999"/>
    <n v="25.483303899999999"/>
    <s v="ok"/>
    <s v="ok"/>
    <s v="ok"/>
    <s v="ok"/>
    <s v="ok"/>
    <x v="0"/>
    <n v="16.98378416657215"/>
  </r>
  <r>
    <x v="2"/>
    <n v="3071"/>
    <x v="0"/>
    <x v="2"/>
    <x v="2"/>
    <s v="1st line support"/>
    <x v="3"/>
    <x v="1627"/>
    <d v="2023-09-11T06:36:03"/>
    <d v="2023-09-10T06:38:03"/>
    <d v="2023-09-10T06:36:14"/>
    <s v="Within SLA"/>
    <d v="2023-09-11T01:00:26"/>
    <x v="0"/>
    <m/>
    <n v="5"/>
    <m/>
    <x v="2"/>
    <x v="0"/>
    <s v="Spain"/>
    <n v="39.673369999999998"/>
    <n v="-4.7677259999999997"/>
    <s v="ok"/>
    <s v="ok"/>
    <s v="ok"/>
    <s v="ok"/>
    <s v="ok"/>
    <x v="0"/>
    <n v="18.406332777638454"/>
  </r>
  <r>
    <x v="1"/>
    <n v="3072"/>
    <x v="2"/>
    <x v="2"/>
    <x v="1"/>
    <s v="1st line support"/>
    <x v="6"/>
    <x v="1628"/>
    <d v="2023-09-12T12:01:46"/>
    <d v="2023-09-11T12:03:46"/>
    <d v="2023-09-11T12:02:31"/>
    <s v="Within SLA"/>
    <m/>
    <x v="1"/>
    <m/>
    <n v="6"/>
    <m/>
    <x v="2"/>
    <x v="0"/>
    <s v="Greece"/>
    <n v="39.368279000000001"/>
    <n v="21.863140999999999"/>
    <s v="ok"/>
    <s v="ok"/>
    <s v="ok"/>
    <s v="ok"/>
    <s v="ok"/>
    <x v="1"/>
    <s v=""/>
  </r>
  <r>
    <x v="0"/>
    <n v="3073"/>
    <x v="0"/>
    <x v="0"/>
    <x v="3"/>
    <s v="1st line support"/>
    <x v="6"/>
    <x v="1629"/>
    <d v="2023-09-13T06:29:45"/>
    <d v="2023-09-11T07:29:45"/>
    <d v="2023-09-11T07:09:56"/>
    <s v="Within SLA"/>
    <d v="2023-09-16T18:25:51"/>
    <x v="1"/>
    <d v="2023-09-16T19:40:12"/>
    <n v="2"/>
    <n v="5"/>
    <x v="2"/>
    <x v="0"/>
    <s v="Czech Republic"/>
    <n v="49.8037633"/>
    <n v="15.4749126"/>
    <s v="ok"/>
    <s v="ok"/>
    <s v="ok"/>
    <s v="ok"/>
    <s v="ok"/>
    <x v="0"/>
    <n v="131.93490694445791"/>
  </r>
  <r>
    <x v="0"/>
    <n v="3074"/>
    <x v="0"/>
    <x v="2"/>
    <x v="2"/>
    <s v="1st line support"/>
    <x v="3"/>
    <x v="1630"/>
    <d v="2023-09-12T05:40:59"/>
    <d v="2023-09-11T05:42:59"/>
    <d v="2023-09-11T05:41:12"/>
    <s v="Within SLA"/>
    <d v="2023-09-11T21:48:05"/>
    <x v="0"/>
    <d v="2023-09-16T22:34:17"/>
    <n v="9"/>
    <n v="5"/>
    <x v="3"/>
    <x v="0"/>
    <s v="Greece"/>
    <n v="39.368279000000001"/>
    <n v="21.863140999999999"/>
    <s v="ok"/>
    <s v="ok"/>
    <s v="ok"/>
    <s v="ok"/>
    <s v="ok"/>
    <x v="0"/>
    <n v="16.118239999981597"/>
  </r>
  <r>
    <x v="2"/>
    <n v="3075"/>
    <x v="2"/>
    <x v="0"/>
    <x v="4"/>
    <s v="1st line support"/>
    <x v="0"/>
    <x v="1631"/>
    <d v="2023-09-13T23:52:07"/>
    <d v="2023-09-12T00:52:07"/>
    <d v="2023-09-12T00:29:59"/>
    <s v="Within SLA"/>
    <d v="2023-09-17T03:02:18"/>
    <x v="1"/>
    <m/>
    <n v="1"/>
    <m/>
    <x v="2"/>
    <x v="0"/>
    <s v="Austria"/>
    <n v="47.696471899999999"/>
    <n v="13.3457347"/>
    <s v="ok"/>
    <s v="ok"/>
    <s v="ok"/>
    <s v="ok"/>
    <s v="ok"/>
    <x v="0"/>
    <n v="123.16974083340028"/>
  </r>
  <r>
    <x v="2"/>
    <n v="3076"/>
    <x v="1"/>
    <x v="2"/>
    <x v="3"/>
    <s v="1st line support"/>
    <x v="4"/>
    <x v="1632"/>
    <d v="2023-09-12T07:01:21"/>
    <d v="2023-09-11T07:03:21"/>
    <d v="2023-09-11T07:02:06"/>
    <s v="Within SLA"/>
    <d v="2023-09-11T14:15:28"/>
    <x v="0"/>
    <m/>
    <n v="4"/>
    <m/>
    <x v="0"/>
    <x v="0"/>
    <s v="Italy"/>
    <n v="43.036776000000003"/>
    <n v="12.678565000000001"/>
    <s v="ok"/>
    <s v="ok"/>
    <s v="ok"/>
    <s v="ok"/>
    <s v="ok"/>
    <x v="0"/>
    <n v="7.2353363888687454"/>
  </r>
  <r>
    <x v="2"/>
    <n v="3077"/>
    <x v="0"/>
    <x v="0"/>
    <x v="5"/>
    <s v="2nd line support"/>
    <x v="7"/>
    <x v="1633"/>
    <d v="2023-09-13T00:39:37"/>
    <d v="2023-09-11T01:39:37"/>
    <d v="2023-09-11T01:36:09"/>
    <s v="Within SLA"/>
    <d v="2023-09-11T21:09:09"/>
    <x v="0"/>
    <m/>
    <n v="5"/>
    <m/>
    <x v="0"/>
    <x v="1"/>
    <s v="France"/>
    <n v="48.864716000000001"/>
    <n v="2.3490139999999999"/>
    <s v="ok"/>
    <s v="ok"/>
    <s v="ok"/>
    <s v="ok"/>
    <s v="ok"/>
    <x v="0"/>
    <n v="20.492355277820025"/>
  </r>
  <r>
    <x v="0"/>
    <n v="3078"/>
    <x v="0"/>
    <x v="0"/>
    <x v="0"/>
    <s v="2nd line support"/>
    <x v="1"/>
    <x v="1634"/>
    <d v="2023-09-13T01:52:30"/>
    <d v="2023-09-11T02:52:30"/>
    <d v="2023-09-11T02:47:23"/>
    <s v="Within SLA"/>
    <d v="2023-09-11T18:22:18"/>
    <x v="0"/>
    <d v="2023-09-17T19:04:07"/>
    <n v="3"/>
    <n v="5"/>
    <x v="2"/>
    <x v="1"/>
    <s v="France"/>
    <n v="48.864716000000001"/>
    <n v="2.3490139999999999"/>
    <s v="ok"/>
    <s v="ok"/>
    <s v="ok"/>
    <s v="ok"/>
    <s v="ok"/>
    <x v="0"/>
    <n v="16.496736111177597"/>
  </r>
  <r>
    <x v="0"/>
    <n v="3079"/>
    <x v="0"/>
    <x v="0"/>
    <x v="0"/>
    <s v="1st line support"/>
    <x v="2"/>
    <x v="1635"/>
    <d v="2023-09-13T16:12:48"/>
    <d v="2023-09-11T17:12:48"/>
    <d v="2023-09-11T17:22:54"/>
    <s v="SLA Violated"/>
    <d v="2023-09-15T04:22:40"/>
    <x v="1"/>
    <d v="2023-09-15T16:12:51"/>
    <n v="2"/>
    <n v="4"/>
    <x v="2"/>
    <x v="0"/>
    <s v="United Kingdom"/>
    <n v="55.378051999999997"/>
    <n v="-3.4359730000000002"/>
    <s v="ok"/>
    <s v="ok"/>
    <s v="ok"/>
    <s v="ok"/>
    <s v="ok"/>
    <x v="0"/>
    <n v="84.16449055558769"/>
  </r>
  <r>
    <x v="0"/>
    <n v="3080"/>
    <x v="0"/>
    <x v="2"/>
    <x v="6"/>
    <s v="1st line support"/>
    <x v="3"/>
    <x v="1636"/>
    <d v="2023-09-13T15:14:55"/>
    <d v="2023-09-12T15:16:55"/>
    <d v="2023-09-12T15:16:10"/>
    <s v="Within SLA"/>
    <d v="2023-09-12T17:40:37"/>
    <x v="0"/>
    <d v="2023-09-17T15:26:44"/>
    <n v="7"/>
    <n v="5"/>
    <x v="3"/>
    <x v="0"/>
    <s v="Germany"/>
    <n v="51.165691000000002"/>
    <n v="10.451525999999999"/>
    <s v="ok"/>
    <s v="ok"/>
    <s v="ok"/>
    <s v="ok"/>
    <s v="ok"/>
    <x v="0"/>
    <n v="2.4282855555647984"/>
  </r>
  <r>
    <x v="2"/>
    <n v="3081"/>
    <x v="1"/>
    <x v="2"/>
    <x v="0"/>
    <s v="1st line support"/>
    <x v="2"/>
    <x v="1637"/>
    <d v="2023-09-13T23:05:55"/>
    <d v="2023-09-12T23:07:55"/>
    <d v="2023-09-12T23:10:40"/>
    <s v="SLA Violated"/>
    <d v="2023-09-13T09:25:52"/>
    <x v="0"/>
    <m/>
    <n v="2"/>
    <m/>
    <x v="2"/>
    <x v="0"/>
    <s v="Germany"/>
    <n v="51.165691000000002"/>
    <n v="10.451525999999999"/>
    <s v="ok"/>
    <s v="ok"/>
    <s v="ok"/>
    <s v="ok"/>
    <s v="ok"/>
    <x v="0"/>
    <n v="10.332546666555572"/>
  </r>
  <r>
    <x v="2"/>
    <n v="3082"/>
    <x v="0"/>
    <x v="2"/>
    <x v="0"/>
    <s v="2nd line support"/>
    <x v="1"/>
    <x v="1638"/>
    <d v="2023-09-13T13:30:51"/>
    <d v="2023-09-12T13:32:51"/>
    <d v="2023-09-12T13:30:54"/>
    <s v="Within SLA"/>
    <d v="2023-09-14T06:04:13"/>
    <x v="1"/>
    <m/>
    <n v="6"/>
    <m/>
    <x v="1"/>
    <x v="1"/>
    <s v="France"/>
    <n v="48.864716000000001"/>
    <n v="2.3490139999999999"/>
    <s v="ok"/>
    <s v="ok"/>
    <s v="ok"/>
    <s v="ok"/>
    <s v="ok"/>
    <x v="0"/>
    <n v="40.556076111097354"/>
  </r>
  <r>
    <x v="0"/>
    <n v="3083"/>
    <x v="2"/>
    <x v="2"/>
    <x v="3"/>
    <s v="1st line support"/>
    <x v="4"/>
    <x v="1639"/>
    <d v="2023-09-13T01:42:27"/>
    <d v="2023-09-12T01:44:27"/>
    <d v="2023-09-12T01:43:06"/>
    <s v="Within SLA"/>
    <d v="2023-09-12T10:53:40"/>
    <x v="0"/>
    <d v="2023-09-14T02:53:39"/>
    <n v="4"/>
    <n v="4"/>
    <x v="0"/>
    <x v="0"/>
    <s v="Poland"/>
    <n v="52.536273000000001"/>
    <n v="19.050639"/>
    <s v="ok"/>
    <s v="ok"/>
    <s v="ok"/>
    <s v="ok"/>
    <s v="ok"/>
    <x v="0"/>
    <n v="9.1870777778676711"/>
  </r>
  <r>
    <x v="0"/>
    <n v="3084"/>
    <x v="0"/>
    <x v="0"/>
    <x v="5"/>
    <s v="2nd line support"/>
    <x v="1"/>
    <x v="1640"/>
    <d v="2023-09-14T21:51:21"/>
    <d v="2023-09-12T22:51:21"/>
    <d v="2023-09-12T22:12:14"/>
    <s v="Within SLA"/>
    <d v="2023-09-14T17:06:18"/>
    <x v="0"/>
    <d v="2023-09-18T22:32:48"/>
    <n v="10"/>
    <n v="4"/>
    <x v="3"/>
    <x v="1"/>
    <s v="France"/>
    <n v="48.864716000000001"/>
    <n v="2.3490139999999999"/>
    <s v="ok"/>
    <s v="ok"/>
    <s v="ok"/>
    <s v="ok"/>
    <s v="ok"/>
    <x v="0"/>
    <n v="43.249260833370499"/>
  </r>
  <r>
    <x v="0"/>
    <n v="3085"/>
    <x v="1"/>
    <x v="2"/>
    <x v="2"/>
    <s v="1st line support"/>
    <x v="3"/>
    <x v="1641"/>
    <d v="2023-09-13T05:30:01"/>
    <d v="2023-09-12T05:32:01"/>
    <d v="2023-09-12T05:30:20"/>
    <s v="Within SLA"/>
    <d v="2023-09-12T14:05:41"/>
    <x v="0"/>
    <d v="2023-09-18T03:27:39"/>
    <n v="6"/>
    <n v="5"/>
    <x v="3"/>
    <x v="0"/>
    <s v="Greece"/>
    <n v="39.368279000000001"/>
    <n v="21.863140999999999"/>
    <s v="ok"/>
    <s v="ok"/>
    <s v="ok"/>
    <s v="ok"/>
    <s v="ok"/>
    <x v="0"/>
    <n v="8.594497499987483"/>
  </r>
  <r>
    <x v="1"/>
    <n v="3086"/>
    <x v="0"/>
    <x v="2"/>
    <x v="0"/>
    <s v="1st line support"/>
    <x v="0"/>
    <x v="1642"/>
    <d v="2023-09-13T07:10:41"/>
    <d v="2023-09-12T07:12:41"/>
    <d v="2023-09-12T07:10:51"/>
    <s v="Within SLA"/>
    <m/>
    <x v="1"/>
    <m/>
    <n v="5"/>
    <m/>
    <x v="0"/>
    <x v="0"/>
    <s v="Spain"/>
    <n v="39.673369999999998"/>
    <n v="-4.7677259999999997"/>
    <s v="ok"/>
    <s v="ok"/>
    <s v="ok"/>
    <s v="ok"/>
    <s v="ok"/>
    <x v="1"/>
    <s v=""/>
  </r>
  <r>
    <x v="2"/>
    <n v="3087"/>
    <x v="0"/>
    <x v="0"/>
    <x v="3"/>
    <s v="1st line support"/>
    <x v="6"/>
    <x v="1643"/>
    <d v="2023-09-15T08:10:13"/>
    <d v="2023-09-13T09:10:13"/>
    <d v="2023-09-13T08:17:35"/>
    <s v="Within SLA"/>
    <d v="2023-09-14T20:28:32"/>
    <x v="0"/>
    <m/>
    <n v="6"/>
    <m/>
    <x v="2"/>
    <x v="0"/>
    <s v="Czech Republic"/>
    <n v="49.8037633"/>
    <n v="15.4749126"/>
    <s v="ok"/>
    <s v="ok"/>
    <s v="ok"/>
    <s v="ok"/>
    <s v="ok"/>
    <x v="0"/>
    <n v="36.305327499867417"/>
  </r>
  <r>
    <x v="2"/>
    <n v="3088"/>
    <x v="0"/>
    <x v="0"/>
    <x v="1"/>
    <s v="1st line support"/>
    <x v="2"/>
    <x v="1644"/>
    <d v="2023-09-15T07:27:37"/>
    <d v="2023-09-13T08:27:37"/>
    <d v="2023-09-13T07:52:04"/>
    <s v="Within SLA"/>
    <d v="2023-09-15T04:46:52"/>
    <x v="0"/>
    <m/>
    <n v="2"/>
    <m/>
    <x v="2"/>
    <x v="0"/>
    <s v="Poland"/>
    <n v="52.536273000000001"/>
    <n v="19.050639"/>
    <s v="ok"/>
    <s v="ok"/>
    <s v="ok"/>
    <s v="ok"/>
    <s v="ok"/>
    <x v="0"/>
    <n v="45.320884999993723"/>
  </r>
  <r>
    <x v="2"/>
    <n v="3089"/>
    <x v="1"/>
    <x v="0"/>
    <x v="3"/>
    <s v="1st line support"/>
    <x v="3"/>
    <x v="1645"/>
    <d v="2023-09-15T22:49:49"/>
    <d v="2023-09-13T23:49:49"/>
    <d v="2023-09-13T23:39:44"/>
    <s v="Within SLA"/>
    <d v="2023-09-15T12:53:26"/>
    <x v="0"/>
    <m/>
    <n v="1"/>
    <m/>
    <x v="2"/>
    <x v="0"/>
    <s v="Spain"/>
    <n v="39.673369999999998"/>
    <n v="-4.7677259999999997"/>
    <s v="ok"/>
    <s v="ok"/>
    <s v="ok"/>
    <s v="ok"/>
    <s v="ok"/>
    <x v="0"/>
    <n v="38.060400555550586"/>
  </r>
  <r>
    <x v="0"/>
    <n v="3090"/>
    <x v="2"/>
    <x v="0"/>
    <x v="3"/>
    <s v="1st line support"/>
    <x v="6"/>
    <x v="1646"/>
    <d v="2023-09-15T18:38:56"/>
    <d v="2023-09-13T19:38:56"/>
    <d v="2023-09-13T19:31:26"/>
    <s v="Within SLA"/>
    <d v="2023-09-18T02:53:51"/>
    <x v="1"/>
    <d v="2023-09-20T01:05:41"/>
    <n v="3"/>
    <n v="2"/>
    <x v="2"/>
    <x v="0"/>
    <s v="Czech Republic"/>
    <n v="49.8037633"/>
    <n v="15.4749126"/>
    <s v="ok"/>
    <s v="ok"/>
    <s v="ok"/>
    <s v="ok"/>
    <s v="ok"/>
    <x v="0"/>
    <n v="104.24869777791901"/>
  </r>
  <r>
    <x v="0"/>
    <n v="3091"/>
    <x v="2"/>
    <x v="0"/>
    <x v="5"/>
    <s v="1st line support"/>
    <x v="6"/>
    <x v="1647"/>
    <d v="2023-09-15T05:38:34"/>
    <d v="2023-09-13T06:38:34"/>
    <d v="2023-09-13T05:48:28"/>
    <s v="Within SLA"/>
    <d v="2023-09-14T07:09:31"/>
    <x v="0"/>
    <d v="2023-09-16T09:12:41"/>
    <n v="2"/>
    <n v="1"/>
    <x v="0"/>
    <x v="0"/>
    <s v="France"/>
    <n v="48.864716000000001"/>
    <n v="2.3490139999999999"/>
    <s v="ok"/>
    <s v="ok"/>
    <s v="ok"/>
    <s v="ok"/>
    <s v="ok"/>
    <x v="0"/>
    <n v="25.515887500019744"/>
  </r>
  <r>
    <x v="0"/>
    <n v="3092"/>
    <x v="2"/>
    <x v="2"/>
    <x v="4"/>
    <s v="1st line support"/>
    <x v="6"/>
    <x v="1648"/>
    <d v="2023-09-15T02:24:22"/>
    <d v="2023-09-14T02:26:22"/>
    <d v="2023-09-14T02:30:21"/>
    <s v="SLA Violated"/>
    <d v="2023-09-15T00:20:31"/>
    <x v="0"/>
    <d v="2023-09-15T17:00:48"/>
    <n v="9"/>
    <n v="4"/>
    <x v="2"/>
    <x v="0"/>
    <s v="Austria"/>
    <n v="47.696471899999999"/>
    <n v="13.3457347"/>
    <s v="ok"/>
    <s v="ok"/>
    <s v="ok"/>
    <s v="ok"/>
    <s v="ok"/>
    <x v="0"/>
    <n v="21.935714444378391"/>
  </r>
  <r>
    <x v="0"/>
    <n v="3093"/>
    <x v="0"/>
    <x v="0"/>
    <x v="0"/>
    <s v="2nd line support"/>
    <x v="1"/>
    <x v="1649"/>
    <d v="2023-09-16T16:22:03"/>
    <d v="2023-09-14T17:22:03"/>
    <d v="2023-09-14T17:18:30"/>
    <s v="Within SLA"/>
    <d v="2023-09-16T12:27:22"/>
    <x v="0"/>
    <d v="2023-09-17T05:52:41"/>
    <n v="9"/>
    <n v="2"/>
    <x v="2"/>
    <x v="1"/>
    <s v="Poland"/>
    <n v="52.536273000000001"/>
    <n v="19.050639"/>
    <s v="ok"/>
    <s v="ok"/>
    <s v="ok"/>
    <s v="ok"/>
    <s v="ok"/>
    <x v="0"/>
    <n v="44.088667222356889"/>
  </r>
  <r>
    <x v="2"/>
    <n v="3094"/>
    <x v="0"/>
    <x v="0"/>
    <x v="3"/>
    <s v="1st line support"/>
    <x v="3"/>
    <x v="1650"/>
    <d v="2023-09-16T01:53:12"/>
    <d v="2023-09-14T02:53:12"/>
    <d v="2023-09-14T02:04:37"/>
    <s v="Within SLA"/>
    <d v="2023-09-14T21:40:06"/>
    <x v="0"/>
    <m/>
    <n v="1"/>
    <m/>
    <x v="0"/>
    <x v="0"/>
    <s v="United Kingdom"/>
    <n v="55.378051999999997"/>
    <n v="-3.4359730000000002"/>
    <s v="ok"/>
    <s v="ok"/>
    <s v="ok"/>
    <s v="ok"/>
    <s v="ok"/>
    <x v="0"/>
    <n v="19.781738055695314"/>
  </r>
  <r>
    <x v="1"/>
    <n v="3095"/>
    <x v="0"/>
    <x v="0"/>
    <x v="2"/>
    <s v="1st line support"/>
    <x v="2"/>
    <x v="1651"/>
    <d v="2023-09-16T12:58:10"/>
    <d v="2023-09-14T13:58:10"/>
    <d v="2023-09-14T13:27:52"/>
    <s v="Within SLA"/>
    <m/>
    <x v="1"/>
    <m/>
    <n v="2"/>
    <m/>
    <x v="1"/>
    <x v="0"/>
    <s v="Poland"/>
    <n v="52.536273000000001"/>
    <n v="19.050639"/>
    <s v="ok"/>
    <s v="ok"/>
    <s v="ok"/>
    <s v="ok"/>
    <s v="ok"/>
    <x v="1"/>
    <s v=""/>
  </r>
  <r>
    <x v="0"/>
    <n v="3096"/>
    <x v="0"/>
    <x v="0"/>
    <x v="2"/>
    <s v="1st line support"/>
    <x v="3"/>
    <x v="1652"/>
    <d v="2023-09-17T02:21:22"/>
    <d v="2023-09-15T03:21:22"/>
    <d v="2023-09-15T02:33:22"/>
    <s v="Within SLA"/>
    <d v="2023-09-15T14:11:00"/>
    <x v="0"/>
    <d v="2023-09-17T08:59:50"/>
    <n v="2"/>
    <n v="5"/>
    <x v="0"/>
    <x v="0"/>
    <s v="Poland"/>
    <n v="52.536273000000001"/>
    <n v="19.050639"/>
    <s v="ok"/>
    <s v="ok"/>
    <s v="ok"/>
    <s v="ok"/>
    <s v="ok"/>
    <x v="0"/>
    <n v="11.827229444403201"/>
  </r>
  <r>
    <x v="1"/>
    <n v="3097"/>
    <x v="0"/>
    <x v="2"/>
    <x v="0"/>
    <s v="1st line support"/>
    <x v="6"/>
    <x v="1653"/>
    <d v="2023-09-16T23:13:37"/>
    <d v="2023-09-15T23:15:37"/>
    <d v="2023-09-15T23:13:57"/>
    <s v="Within SLA"/>
    <m/>
    <x v="1"/>
    <m/>
    <n v="60"/>
    <m/>
    <x v="2"/>
    <x v="0"/>
    <s v="Poland"/>
    <n v="52.536273000000001"/>
    <n v="19.050639"/>
    <s v="ok"/>
    <s v="ok"/>
    <s v="ok"/>
    <s v="ok"/>
    <s v="ok"/>
    <x v="1"/>
    <s v=""/>
  </r>
  <r>
    <x v="0"/>
    <n v="3098"/>
    <x v="1"/>
    <x v="2"/>
    <x v="3"/>
    <s v="2nd line support"/>
    <x v="1"/>
    <x v="1654"/>
    <d v="2023-09-16T09:52:42"/>
    <d v="2023-09-15T09:54:42"/>
    <d v="2023-09-15T09:52:49"/>
    <s v="Within SLA"/>
    <d v="2023-09-19T06:30:03"/>
    <x v="1"/>
    <d v="2023-09-19T14:39:22"/>
    <n v="6"/>
    <n v="4"/>
    <x v="3"/>
    <x v="1"/>
    <s v="Slovenia"/>
    <n v="46.149166399999999"/>
    <n v="14.9860106"/>
    <s v="ok"/>
    <s v="ok"/>
    <s v="ok"/>
    <s v="ok"/>
    <s v="ok"/>
    <x v="0"/>
    <n v="92.622366944560781"/>
  </r>
  <r>
    <x v="0"/>
    <n v="3099"/>
    <x v="2"/>
    <x v="2"/>
    <x v="2"/>
    <s v="1st line support"/>
    <x v="6"/>
    <x v="1655"/>
    <d v="2023-09-16T02:34:04"/>
    <d v="2023-09-15T02:36:04"/>
    <d v="2023-09-15T02:34:47"/>
    <s v="Within SLA"/>
    <d v="2023-09-15T22:05:19"/>
    <x v="0"/>
    <d v="2023-09-17T12:21:20"/>
    <n v="5"/>
    <n v="2"/>
    <x v="2"/>
    <x v="0"/>
    <s v="Austria"/>
    <n v="47.696471899999999"/>
    <n v="13.3457347"/>
    <s v="ok"/>
    <s v="ok"/>
    <s v="ok"/>
    <s v="ok"/>
    <s v="ok"/>
    <x v="0"/>
    <n v="19.520960555411875"/>
  </r>
  <r>
    <x v="2"/>
    <n v="3100"/>
    <x v="2"/>
    <x v="1"/>
    <x v="3"/>
    <s v="1st line support"/>
    <x v="0"/>
    <x v="1656"/>
    <d v="2023-09-17T12:12:26"/>
    <d v="2023-09-15T12:14:26"/>
    <d v="2023-09-15T12:13:40"/>
    <s v="Within SLA"/>
    <d v="2023-09-15T19:33:44"/>
    <x v="0"/>
    <m/>
    <n v="1"/>
    <m/>
    <x v="1"/>
    <x v="0"/>
    <s v="United Kingdom"/>
    <n v="55.378051999999997"/>
    <n v="-3.4359730000000002"/>
    <s v="ok"/>
    <s v="ok"/>
    <s v="ok"/>
    <s v="ok"/>
    <s v="ok"/>
    <x v="0"/>
    <n v="7.3548680555541068"/>
  </r>
  <r>
    <x v="0"/>
    <n v="3101"/>
    <x v="1"/>
    <x v="2"/>
    <x v="3"/>
    <s v="1st line support"/>
    <x v="4"/>
    <x v="1657"/>
    <d v="2023-09-16T07:31:17"/>
    <d v="2023-09-15T07:33:17"/>
    <d v="2023-09-15T07:31:29"/>
    <s v="Within SLA"/>
    <d v="2023-09-20T16:16:51"/>
    <x v="1"/>
    <d v="2023-09-22T12:47:40"/>
    <n v="6"/>
    <n v="3"/>
    <x v="3"/>
    <x v="0"/>
    <s v="Germany"/>
    <n v="51.165691000000002"/>
    <n v="10.451525999999999"/>
    <s v="ok"/>
    <s v="ok"/>
    <s v="ok"/>
    <s v="ok"/>
    <s v="ok"/>
    <x v="0"/>
    <n v="128.75951416668249"/>
  </r>
  <r>
    <x v="0"/>
    <n v="3102"/>
    <x v="2"/>
    <x v="2"/>
    <x v="1"/>
    <s v="1st line support"/>
    <x v="4"/>
    <x v="1658"/>
    <d v="2023-09-16T09:48:58"/>
    <d v="2023-09-15T09:50:58"/>
    <d v="2023-09-15T09:50:47"/>
    <s v="Within SLA"/>
    <d v="2023-09-15T20:28:44"/>
    <x v="0"/>
    <d v="2023-09-18T19:11:08"/>
    <n v="6"/>
    <n v="4"/>
    <x v="2"/>
    <x v="0"/>
    <s v="Poland"/>
    <n v="52.536273000000001"/>
    <n v="19.050639"/>
    <s v="ok"/>
    <s v="ok"/>
    <s v="ok"/>
    <s v="ok"/>
    <s v="ok"/>
    <x v="0"/>
    <n v="10.66289388894802"/>
  </r>
  <r>
    <x v="0"/>
    <n v="3103"/>
    <x v="0"/>
    <x v="1"/>
    <x v="3"/>
    <s v="2nd line support"/>
    <x v="5"/>
    <x v="1659"/>
    <d v="2023-09-17T13:32:04"/>
    <d v="2023-09-15T13:34:04"/>
    <d v="2023-09-15T13:34:25"/>
    <s v="SLA Violated"/>
    <d v="2023-09-16T11:18:42"/>
    <x v="0"/>
    <d v="2023-09-19T06:27:32"/>
    <n v="6"/>
    <n v="5"/>
    <x v="2"/>
    <x v="1"/>
    <s v="Czech Republic"/>
    <n v="49.8037633"/>
    <n v="15.4749126"/>
    <s v="ok"/>
    <s v="ok"/>
    <s v="ok"/>
    <s v="ok"/>
    <s v="ok"/>
    <x v="0"/>
    <n v="21.777172222151421"/>
  </r>
  <r>
    <x v="2"/>
    <n v="3104"/>
    <x v="0"/>
    <x v="2"/>
    <x v="2"/>
    <s v="1st line support"/>
    <x v="4"/>
    <x v="1660"/>
    <d v="2023-09-17T21:36:50"/>
    <d v="2023-09-16T21:38:50"/>
    <d v="2023-09-16T21:38:37"/>
    <s v="Within SLA"/>
    <d v="2023-09-19T21:43:44"/>
    <x v="1"/>
    <m/>
    <n v="6"/>
    <m/>
    <x v="1"/>
    <x v="0"/>
    <s v="Republic of Ireland"/>
    <n v="53.094023999999997"/>
    <n v="-8.0196749999999994"/>
    <s v="ok"/>
    <s v="ok"/>
    <s v="ok"/>
    <s v="ok"/>
    <s v="ok"/>
    <x v="0"/>
    <n v="72.114974444441032"/>
  </r>
  <r>
    <x v="0"/>
    <n v="3105"/>
    <x v="0"/>
    <x v="0"/>
    <x v="1"/>
    <s v="2nd line support"/>
    <x v="7"/>
    <x v="1661"/>
    <d v="2023-09-18T03:27:45"/>
    <d v="2023-09-16T04:27:45"/>
    <d v="2023-09-16T04:11:40"/>
    <s v="Within SLA"/>
    <d v="2023-09-16T11:23:54"/>
    <x v="0"/>
    <d v="2023-09-20T07:51:05"/>
    <n v="2"/>
    <n v="1"/>
    <x v="2"/>
    <x v="1"/>
    <s v="Spain"/>
    <n v="39.673369999999998"/>
    <n v="-4.7677259999999997"/>
    <s v="ok"/>
    <s v="ok"/>
    <s v="ok"/>
    <s v="ok"/>
    <s v="ok"/>
    <x v="0"/>
    <n v="7.9357294444344006"/>
  </r>
  <r>
    <x v="2"/>
    <n v="3120"/>
    <x v="1"/>
    <x v="2"/>
    <x v="1"/>
    <s v="1st line support"/>
    <x v="0"/>
    <x v="1662"/>
    <d v="2023-09-18T04:00:18"/>
    <d v="2023-09-17T04:02:18"/>
    <d v="2023-09-17T04:01:33"/>
    <s v="Within SLA"/>
    <d v="2023-09-17T19:22:26"/>
    <x v="0"/>
    <m/>
    <n v="5"/>
    <m/>
    <x v="1"/>
    <x v="0"/>
    <s v="United Kingdom"/>
    <n v="55.378051999999997"/>
    <n v="-3.4359730000000002"/>
    <s v="ok"/>
    <s v="ok"/>
    <s v="ok"/>
    <s v="ok"/>
    <s v="ok"/>
    <x v="0"/>
    <n v="15.368970277660992"/>
  </r>
  <r>
    <x v="0"/>
    <n v="3122"/>
    <x v="2"/>
    <x v="0"/>
    <x v="1"/>
    <s v="1st line support"/>
    <x v="0"/>
    <x v="1663"/>
    <d v="2023-09-19T07:39:25"/>
    <d v="2023-09-17T08:39:25"/>
    <d v="2023-09-17T08:29:39"/>
    <s v="Within SLA"/>
    <d v="2023-09-18T19:40:13"/>
    <x v="0"/>
    <d v="2023-09-21T00:31:51"/>
    <n v="9"/>
    <n v="1"/>
    <x v="2"/>
    <x v="0"/>
    <s v="Italy"/>
    <n v="43.036776000000003"/>
    <n v="12.678565000000001"/>
    <s v="ok"/>
    <s v="ok"/>
    <s v="ok"/>
    <s v="ok"/>
    <s v="ok"/>
    <x v="0"/>
    <n v="36.013250277726911"/>
  </r>
  <r>
    <x v="0"/>
    <n v="3124"/>
    <x v="0"/>
    <x v="0"/>
    <x v="5"/>
    <s v="1st line support"/>
    <x v="6"/>
    <x v="1664"/>
    <d v="2023-09-20T21:59:50"/>
    <d v="2023-09-18T22:59:50"/>
    <d v="2023-09-18T22:30:58"/>
    <s v="Within SLA"/>
    <d v="2023-09-19T02:32:02"/>
    <x v="0"/>
    <d v="2023-09-22T03:19:47"/>
    <n v="2"/>
    <n v="5"/>
    <x v="2"/>
    <x v="0"/>
    <s v="Czech Republic"/>
    <n v="49.8037633"/>
    <n v="15.4749126"/>
    <s v="ok"/>
    <s v="ok"/>
    <s v="ok"/>
    <s v="ok"/>
    <s v="ok"/>
    <x v="0"/>
    <n v="4.5367644443758763"/>
  </r>
  <r>
    <x v="0"/>
    <n v="3125"/>
    <x v="1"/>
    <x v="2"/>
    <x v="2"/>
    <s v="2nd line support"/>
    <x v="7"/>
    <x v="1665"/>
    <d v="2023-09-19T18:47:16"/>
    <d v="2023-09-18T18:49:16"/>
    <d v="2023-09-18T18:47:20"/>
    <s v="Within SLA"/>
    <d v="2023-09-18T23:03:29"/>
    <x v="0"/>
    <d v="2023-09-19T21:27:17"/>
    <n v="5"/>
    <n v="3"/>
    <x v="3"/>
    <x v="1"/>
    <s v="Bulgaria"/>
    <n v="42.724992499999999"/>
    <n v="25.483303899999999"/>
    <s v="ok"/>
    <s v="ok"/>
    <s v="ok"/>
    <s v="ok"/>
    <s v="ok"/>
    <x v="0"/>
    <n v="4.2701911112526432"/>
  </r>
  <r>
    <x v="0"/>
    <n v="3126"/>
    <x v="0"/>
    <x v="0"/>
    <x v="4"/>
    <s v="1st line support"/>
    <x v="0"/>
    <x v="1666"/>
    <d v="2023-09-20T02:37:37"/>
    <d v="2023-09-18T03:37:37"/>
    <d v="2023-09-18T02:57:42"/>
    <s v="Within SLA"/>
    <d v="2023-09-19T17:43:58"/>
    <x v="0"/>
    <d v="2023-09-20T11:25:06"/>
    <n v="7"/>
    <n v="1"/>
    <x v="2"/>
    <x v="0"/>
    <s v="Bulgaria"/>
    <n v="42.724992499999999"/>
    <n v="25.483303899999999"/>
    <s v="ok"/>
    <s v="ok"/>
    <s v="ok"/>
    <s v="ok"/>
    <s v="ok"/>
    <x v="0"/>
    <n v="39.105840277858078"/>
  </r>
  <r>
    <x v="0"/>
    <n v="3127"/>
    <x v="2"/>
    <x v="0"/>
    <x v="4"/>
    <s v="1st line support"/>
    <x v="4"/>
    <x v="1667"/>
    <d v="2023-09-20T10:26:53"/>
    <d v="2023-09-18T11:26:53"/>
    <d v="2023-09-18T11:12:26"/>
    <s v="Within SLA"/>
    <d v="2023-09-20T01:50:52"/>
    <x v="0"/>
    <d v="2023-09-22T00:38:41"/>
    <n v="3"/>
    <n v="2"/>
    <x v="0"/>
    <x v="0"/>
    <s v="Austria"/>
    <n v="47.696471899999999"/>
    <n v="13.3457347"/>
    <s v="ok"/>
    <s v="ok"/>
    <s v="ok"/>
    <s v="ok"/>
    <s v="ok"/>
    <x v="0"/>
    <n v="39.399724166665692"/>
  </r>
  <r>
    <x v="0"/>
    <n v="3128"/>
    <x v="2"/>
    <x v="2"/>
    <x v="3"/>
    <s v="1st line support"/>
    <x v="6"/>
    <x v="1668"/>
    <d v="2023-09-19T19:11:54"/>
    <d v="2023-09-18T19:13:54"/>
    <d v="2023-09-18T19:11:57"/>
    <s v="Within SLA"/>
    <d v="2023-09-22T10:01:30"/>
    <x v="1"/>
    <d v="2023-09-22T15:55:27"/>
    <n v="6"/>
    <n v="3"/>
    <x v="0"/>
    <x v="0"/>
    <s v="Germany"/>
    <n v="51.165691000000002"/>
    <n v="10.451525999999999"/>
    <s v="ok"/>
    <s v="ok"/>
    <s v="ok"/>
    <s v="ok"/>
    <s v="ok"/>
    <x v="0"/>
    <n v="86.826676388795022"/>
  </r>
  <r>
    <x v="2"/>
    <n v="3130"/>
    <x v="1"/>
    <x v="0"/>
    <x v="1"/>
    <s v="2nd line support"/>
    <x v="5"/>
    <x v="1669"/>
    <d v="2023-09-20T22:00:02"/>
    <d v="2023-09-18T23:00:02"/>
    <d v="2023-09-18T22:12:46"/>
    <s v="Within SLA"/>
    <d v="2023-09-20T01:54:30"/>
    <x v="0"/>
    <m/>
    <n v="2"/>
    <m/>
    <x v="3"/>
    <x v="1"/>
    <s v="Austria"/>
    <n v="47.696471899999999"/>
    <n v="13.3457347"/>
    <s v="ok"/>
    <s v="ok"/>
    <s v="ok"/>
    <s v="ok"/>
    <s v="ok"/>
    <x v="0"/>
    <n v="27.907647499989253"/>
  </r>
  <r>
    <x v="0"/>
    <n v="3132"/>
    <x v="0"/>
    <x v="2"/>
    <x v="6"/>
    <s v="1st line support"/>
    <x v="6"/>
    <x v="1670"/>
    <d v="2023-09-19T06:51:24"/>
    <d v="2023-09-18T06:53:24"/>
    <d v="2023-09-18T06:54:55"/>
    <s v="SLA Violated"/>
    <d v="2023-09-21T03:38:35"/>
    <x v="1"/>
    <d v="2023-09-22T22:49:54"/>
    <n v="9"/>
    <n v="2"/>
    <x v="3"/>
    <x v="0"/>
    <s v="Germany"/>
    <n v="51.165691000000002"/>
    <n v="10.451525999999999"/>
    <s v="ok"/>
    <s v="ok"/>
    <s v="ok"/>
    <s v="ok"/>
    <s v="ok"/>
    <x v="0"/>
    <n v="68.78625027788803"/>
  </r>
  <r>
    <x v="0"/>
    <n v="3133"/>
    <x v="2"/>
    <x v="0"/>
    <x v="1"/>
    <s v="1st line support"/>
    <x v="4"/>
    <x v="1671"/>
    <d v="2023-09-20T11:31:34"/>
    <d v="2023-09-18T12:31:34"/>
    <d v="2023-09-18T15:25:30"/>
    <s v="SLA Violated"/>
    <d v="2023-09-18T20:58:58"/>
    <x v="0"/>
    <d v="2023-09-23T15:29:33"/>
    <n v="3"/>
    <n v="5"/>
    <x v="2"/>
    <x v="0"/>
    <s v="Slovenia"/>
    <n v="46.149166399999999"/>
    <n v="14.9860106"/>
    <s v="ok"/>
    <s v="ok"/>
    <s v="ok"/>
    <s v="ok"/>
    <s v="ok"/>
    <x v="0"/>
    <n v="9.4566766666830517"/>
  </r>
  <r>
    <x v="0"/>
    <n v="3134"/>
    <x v="1"/>
    <x v="0"/>
    <x v="4"/>
    <s v="1st line support"/>
    <x v="2"/>
    <x v="1672"/>
    <d v="2023-09-20T14:49:08"/>
    <d v="2023-09-18T15:49:08"/>
    <d v="2023-09-18T14:51:21"/>
    <s v="Within SLA"/>
    <d v="2023-09-20T17:39:53"/>
    <x v="1"/>
    <d v="2023-09-22T13:28:31"/>
    <n v="2"/>
    <n v="4"/>
    <x v="3"/>
    <x v="0"/>
    <s v="Bulgaria"/>
    <n v="42.724992499999999"/>
    <n v="25.483303899999999"/>
    <s v="ok"/>
    <s v="ok"/>
    <s v="ok"/>
    <s v="ok"/>
    <s v="ok"/>
    <x v="0"/>
    <n v="50.845851111109369"/>
  </r>
  <r>
    <x v="1"/>
    <n v="3135"/>
    <x v="0"/>
    <x v="0"/>
    <x v="1"/>
    <s v="1st line support"/>
    <x v="4"/>
    <x v="1673"/>
    <d v="2023-09-21T11:41:28"/>
    <d v="2023-09-19T12:41:28"/>
    <d v="2023-09-19T11:59:26"/>
    <s v="Within SLA"/>
    <m/>
    <x v="1"/>
    <m/>
    <n v="10"/>
    <m/>
    <x v="1"/>
    <x v="0"/>
    <s v="Italy"/>
    <n v="43.036776000000003"/>
    <n v="12.678565000000001"/>
    <s v="ok"/>
    <s v="ok"/>
    <s v="ok"/>
    <s v="ok"/>
    <s v="ok"/>
    <x v="1"/>
    <s v=""/>
  </r>
  <r>
    <x v="0"/>
    <n v="3136"/>
    <x v="1"/>
    <x v="0"/>
    <x v="0"/>
    <s v="2nd line support"/>
    <x v="5"/>
    <x v="1674"/>
    <d v="2023-09-21T07:00:57"/>
    <d v="2023-09-19T08:00:57"/>
    <d v="2023-09-19T07:57:24"/>
    <s v="Within SLA"/>
    <d v="2023-09-20T20:49:38"/>
    <x v="0"/>
    <d v="2023-09-23T23:32:38"/>
    <n v="2"/>
    <n v="4"/>
    <x v="2"/>
    <x v="1"/>
    <s v="Spain"/>
    <n v="39.673369999999998"/>
    <n v="-4.7677259999999997"/>
    <s v="ok"/>
    <s v="ok"/>
    <s v="ok"/>
    <s v="ok"/>
    <s v="ok"/>
    <x v="0"/>
    <n v="37.811293055594433"/>
  </r>
  <r>
    <x v="2"/>
    <n v="3137"/>
    <x v="2"/>
    <x v="2"/>
    <x v="3"/>
    <s v="1st line support"/>
    <x v="3"/>
    <x v="1675"/>
    <d v="2023-09-20T05:34:04"/>
    <d v="2023-09-19T05:36:04"/>
    <d v="2023-09-19T05:34:37"/>
    <s v="Within SLA"/>
    <d v="2023-09-20T03:17:58"/>
    <x v="0"/>
    <m/>
    <n v="2"/>
    <m/>
    <x v="2"/>
    <x v="0"/>
    <s v="Poland"/>
    <n v="52.536273000000001"/>
    <n v="19.050639"/>
    <s v="ok"/>
    <s v="ok"/>
    <s v="ok"/>
    <s v="ok"/>
    <s v="ok"/>
    <x v="0"/>
    <n v="21.731579999963287"/>
  </r>
  <r>
    <x v="0"/>
    <n v="3138"/>
    <x v="1"/>
    <x v="0"/>
    <x v="3"/>
    <s v="2nd line support"/>
    <x v="5"/>
    <x v="1676"/>
    <d v="2023-09-22T01:36:50"/>
    <d v="2023-09-20T02:36:50"/>
    <d v="2023-09-20T01:52:16"/>
    <s v="Within SLA"/>
    <d v="2023-09-21T04:46:41"/>
    <x v="0"/>
    <d v="2023-09-21T13:33:14"/>
    <n v="1"/>
    <n v="1"/>
    <x v="0"/>
    <x v="1"/>
    <s v="Republic of Ireland"/>
    <n v="53.094023999999997"/>
    <n v="-8.0196749999999994"/>
    <s v="ok"/>
    <s v="ok"/>
    <s v="ok"/>
    <s v="ok"/>
    <s v="ok"/>
    <x v="0"/>
    <n v="27.164255833311472"/>
  </r>
  <r>
    <x v="0"/>
    <n v="3139"/>
    <x v="0"/>
    <x v="0"/>
    <x v="4"/>
    <s v="2nd line support"/>
    <x v="7"/>
    <x v="1677"/>
    <d v="2023-09-22T05:23:18"/>
    <d v="2023-09-20T06:23:18"/>
    <d v="2023-09-20T06:23:18"/>
    <s v="Within SLA"/>
    <d v="2023-09-22T01:56:51"/>
    <x v="0"/>
    <d v="2023-09-25T09:49:12"/>
    <n v="1"/>
    <n v="1"/>
    <x v="3"/>
    <x v="1"/>
    <s v="Czech Republic"/>
    <n v="49.8037633"/>
    <n v="15.4749126"/>
    <s v="ok"/>
    <s v="ok"/>
    <s v="ok"/>
    <s v="ok"/>
    <s v="ok"/>
    <x v="0"/>
    <n v="44.559099999954924"/>
  </r>
  <r>
    <x v="2"/>
    <n v="3141"/>
    <x v="0"/>
    <x v="1"/>
    <x v="0"/>
    <s v="2nd line support"/>
    <x v="7"/>
    <x v="1678"/>
    <d v="2023-09-22T11:15:58"/>
    <d v="2023-09-20T11:17:58"/>
    <d v="2023-09-20T11:20:18"/>
    <s v="SLA Violated"/>
    <d v="2023-09-20T13:19:07"/>
    <x v="0"/>
    <m/>
    <n v="1"/>
    <m/>
    <x v="1"/>
    <x v="1"/>
    <s v="Republic of Ireland"/>
    <n v="53.094023999999997"/>
    <n v="-8.0196749999999994"/>
    <s v="ok"/>
    <s v="ok"/>
    <s v="ok"/>
    <s v="ok"/>
    <s v="ok"/>
    <x v="0"/>
    <n v="2.0525752778048627"/>
  </r>
  <r>
    <x v="1"/>
    <n v="3142"/>
    <x v="2"/>
    <x v="2"/>
    <x v="1"/>
    <s v="2nd line support"/>
    <x v="7"/>
    <x v="1679"/>
    <d v="2023-09-21T15:41:51"/>
    <d v="2023-09-20T15:43:51"/>
    <d v="2023-09-20T15:42:55"/>
    <s v="Within SLA"/>
    <m/>
    <x v="1"/>
    <m/>
    <n v="5"/>
    <m/>
    <x v="1"/>
    <x v="1"/>
    <s v="Germany"/>
    <n v="51.165691000000002"/>
    <n v="10.451525999999999"/>
    <s v="ok"/>
    <s v="ok"/>
    <s v="ok"/>
    <s v="ok"/>
    <s v="ok"/>
    <x v="1"/>
    <s v=""/>
  </r>
  <r>
    <x v="0"/>
    <n v="3143"/>
    <x v="0"/>
    <x v="2"/>
    <x v="0"/>
    <s v="2nd line support"/>
    <x v="5"/>
    <x v="1680"/>
    <d v="2023-09-21T00:42:32"/>
    <d v="2023-09-20T00:44:32"/>
    <d v="2023-09-20T00:44:02"/>
    <s v="Within SLA"/>
    <d v="2023-09-20T20:25:12"/>
    <x v="0"/>
    <d v="2023-09-23T18:24:23"/>
    <n v="8"/>
    <n v="3"/>
    <x v="1"/>
    <x v="1"/>
    <s v="Bulgaria"/>
    <n v="42.724992499999999"/>
    <n v="25.483303899999999"/>
    <s v="ok"/>
    <s v="ok"/>
    <s v="ok"/>
    <s v="ok"/>
    <s v="ok"/>
    <x v="0"/>
    <n v="19.711072777805384"/>
  </r>
  <r>
    <x v="0"/>
    <n v="3144"/>
    <x v="2"/>
    <x v="0"/>
    <x v="2"/>
    <s v="1st line support"/>
    <x v="6"/>
    <x v="1681"/>
    <d v="2023-09-23T15:52:27"/>
    <d v="2023-09-21T16:52:27"/>
    <d v="2023-09-21T16:50:21"/>
    <s v="Within SLA"/>
    <d v="2023-09-22T00:53:21"/>
    <x v="0"/>
    <d v="2023-09-28T08:43:44"/>
    <n v="2"/>
    <n v="2"/>
    <x v="2"/>
    <x v="0"/>
    <s v="Spain"/>
    <n v="39.673369999999998"/>
    <n v="-4.7677259999999997"/>
    <s v="ok"/>
    <s v="ok"/>
    <s v="ok"/>
    <s v="ok"/>
    <s v="ok"/>
    <x v="0"/>
    <n v="9.0149444444105029"/>
  </r>
  <r>
    <x v="2"/>
    <n v="3145"/>
    <x v="2"/>
    <x v="2"/>
    <x v="1"/>
    <s v="2nd line support"/>
    <x v="7"/>
    <x v="1682"/>
    <d v="2023-09-22T22:13:48"/>
    <d v="2023-09-21T22:15:48"/>
    <d v="2023-09-21T22:15:37"/>
    <s v="Within SLA"/>
    <d v="2023-09-22T04:20:05"/>
    <x v="0"/>
    <m/>
    <n v="60"/>
    <m/>
    <x v="0"/>
    <x v="1"/>
    <s v="Germany"/>
    <n v="51.165691000000002"/>
    <n v="10.451525999999999"/>
    <s v="ok"/>
    <s v="ok"/>
    <s v="ok"/>
    <s v="ok"/>
    <s v="ok"/>
    <x v="0"/>
    <n v="6.104823611152824"/>
  </r>
  <r>
    <x v="0"/>
    <n v="3146"/>
    <x v="1"/>
    <x v="0"/>
    <x v="3"/>
    <s v="1st line support"/>
    <x v="4"/>
    <x v="1683"/>
    <d v="2023-09-23T23:10:40"/>
    <d v="2023-09-22T00:10:40"/>
    <d v="2023-09-22T00:06:17"/>
    <s v="Within SLA"/>
    <d v="2023-09-23T15:42:23"/>
    <x v="0"/>
    <d v="2023-09-25T11:54:10"/>
    <n v="2"/>
    <n v="3"/>
    <x v="3"/>
    <x v="0"/>
    <s v="Greece"/>
    <n v="39.368279000000001"/>
    <n v="21.863140999999999"/>
    <s v="ok"/>
    <s v="ok"/>
    <s v="ok"/>
    <s v="ok"/>
    <s v="ok"/>
    <x v="0"/>
    <n v="40.528708888858091"/>
  </r>
  <r>
    <x v="0"/>
    <n v="3147"/>
    <x v="2"/>
    <x v="1"/>
    <x v="0"/>
    <s v="2nd line support"/>
    <x v="1"/>
    <x v="1684"/>
    <d v="2023-09-23T14:23:24"/>
    <d v="2023-09-21T14:25:24"/>
    <d v="2023-09-21T14:24:50"/>
    <s v="Within SLA"/>
    <d v="2023-09-22T10:27:57"/>
    <x v="0"/>
    <d v="2023-09-21T23:47:09"/>
    <n v="6"/>
    <n v="5"/>
    <x v="1"/>
    <x v="1"/>
    <s v="Austria"/>
    <n v="47.696471899999999"/>
    <n v="13.3457347"/>
    <s v="ok"/>
    <s v="ok"/>
    <s v="check"/>
    <s v="ok"/>
    <s v="ok"/>
    <x v="0"/>
    <n v="20.075823333347216"/>
  </r>
  <r>
    <x v="0"/>
    <n v="3148"/>
    <x v="2"/>
    <x v="0"/>
    <x v="3"/>
    <s v="1st line support"/>
    <x v="3"/>
    <x v="1685"/>
    <d v="2023-09-23T07:49:40"/>
    <d v="2023-09-21T08:49:40"/>
    <d v="2023-09-21T08:20:44"/>
    <s v="Within SLA"/>
    <d v="2023-09-26T01:47:18"/>
    <x v="1"/>
    <d v="2023-09-26T14:22:30"/>
    <n v="1"/>
    <n v="3"/>
    <x v="2"/>
    <x v="0"/>
    <s v="Germany"/>
    <n v="51.165691000000002"/>
    <n v="10.451525999999999"/>
    <s v="ok"/>
    <s v="ok"/>
    <s v="ok"/>
    <s v="ok"/>
    <s v="ok"/>
    <x v="0"/>
    <n v="113.96061000006739"/>
  </r>
  <r>
    <x v="0"/>
    <n v="3149"/>
    <x v="0"/>
    <x v="1"/>
    <x v="0"/>
    <s v="1st line support"/>
    <x v="4"/>
    <x v="1686"/>
    <d v="2023-09-23T19:00:10"/>
    <d v="2023-09-21T19:02:10"/>
    <d v="2023-09-21T19:01:53"/>
    <s v="Within SLA"/>
    <d v="2023-09-22T18:38:30"/>
    <x v="0"/>
    <d v="2023-09-26T04:25:31"/>
    <n v="1"/>
    <n v="2"/>
    <x v="1"/>
    <x v="0"/>
    <s v="United Kingdom"/>
    <n v="55.378051999999997"/>
    <n v="-3.4359730000000002"/>
    <s v="ok"/>
    <s v="ok"/>
    <s v="ok"/>
    <s v="ok"/>
    <s v="ok"/>
    <x v="0"/>
    <n v="23.638913333241362"/>
  </r>
  <r>
    <x v="0"/>
    <n v="3150"/>
    <x v="0"/>
    <x v="1"/>
    <x v="3"/>
    <s v="2nd line support"/>
    <x v="7"/>
    <x v="1687"/>
    <d v="2023-09-23T16:36:25"/>
    <d v="2023-09-21T16:38:25"/>
    <d v="2023-09-21T16:37:34"/>
    <s v="Within SLA"/>
    <d v="2023-09-24T17:45:03"/>
    <x v="1"/>
    <d v="2023-09-24T21:31:15"/>
    <n v="1"/>
    <n v="4"/>
    <x v="3"/>
    <x v="1"/>
    <s v="France"/>
    <n v="48.864716000000001"/>
    <n v="2.3490139999999999"/>
    <s v="ok"/>
    <s v="ok"/>
    <s v="ok"/>
    <s v="ok"/>
    <s v="ok"/>
    <x v="0"/>
    <n v="73.1438902777154"/>
  </r>
  <r>
    <x v="0"/>
    <n v="3151"/>
    <x v="2"/>
    <x v="1"/>
    <x v="0"/>
    <s v="1st line support"/>
    <x v="3"/>
    <x v="1688"/>
    <d v="2023-09-23T10:25:35"/>
    <d v="2023-09-21T10:27:35"/>
    <d v="2023-09-21T10:29:59"/>
    <s v="SLA Violated"/>
    <d v="2023-09-23T08:50:54"/>
    <x v="0"/>
    <d v="2023-09-26T17:41:30"/>
    <n v="1"/>
    <n v="5"/>
    <x v="2"/>
    <x v="0"/>
    <s v="Germany"/>
    <n v="51.165691000000002"/>
    <n v="10.451525999999999"/>
    <s v="ok"/>
    <s v="ok"/>
    <s v="ok"/>
    <s v="ok"/>
    <s v="ok"/>
    <x v="0"/>
    <n v="46.421832499851007"/>
  </r>
  <r>
    <x v="0"/>
    <n v="3152"/>
    <x v="2"/>
    <x v="2"/>
    <x v="3"/>
    <s v="2nd line support"/>
    <x v="5"/>
    <x v="1689"/>
    <d v="2023-09-23T01:23:47"/>
    <d v="2023-09-22T01:25:47"/>
    <d v="2023-09-22T01:29:29"/>
    <s v="SLA Violated"/>
    <d v="2023-09-22T15:35:25"/>
    <x v="0"/>
    <d v="2023-09-28T11:19:43"/>
    <n v="5"/>
    <n v="4"/>
    <x v="0"/>
    <x v="1"/>
    <s v="Italy"/>
    <n v="43.036776000000003"/>
    <n v="12.678565000000001"/>
    <s v="ok"/>
    <s v="ok"/>
    <s v="ok"/>
    <s v="ok"/>
    <s v="ok"/>
    <x v="0"/>
    <n v="14.193865555571392"/>
  </r>
  <r>
    <x v="0"/>
    <n v="3153"/>
    <x v="0"/>
    <x v="2"/>
    <x v="5"/>
    <s v="1st line support"/>
    <x v="3"/>
    <x v="1690"/>
    <d v="2023-09-23T15:53:36"/>
    <d v="2023-09-22T15:55:36"/>
    <d v="2023-09-22T15:53:57"/>
    <s v="Within SLA"/>
    <d v="2023-09-25T16:13:57"/>
    <x v="1"/>
    <d v="2023-09-26T06:07:17"/>
    <n v="8"/>
    <n v="5"/>
    <x v="2"/>
    <x v="0"/>
    <s v="United Kingdom"/>
    <n v="55.378051999999997"/>
    <n v="-3.4359730000000002"/>
    <s v="ok"/>
    <s v="ok"/>
    <s v="ok"/>
    <s v="ok"/>
    <s v="ok"/>
    <x v="0"/>
    <n v="72.33910444448702"/>
  </r>
  <r>
    <x v="0"/>
    <n v="3154"/>
    <x v="0"/>
    <x v="0"/>
    <x v="3"/>
    <s v="1st line support"/>
    <x v="6"/>
    <x v="1691"/>
    <d v="2023-09-24T04:05:12"/>
    <d v="2023-09-22T05:05:12"/>
    <d v="2023-09-22T04:48:27"/>
    <s v="Within SLA"/>
    <d v="2023-09-22T22:10:31"/>
    <x v="0"/>
    <d v="2023-09-25T02:09:58"/>
    <n v="1"/>
    <n v="1"/>
    <x v="0"/>
    <x v="0"/>
    <s v="Germany"/>
    <n v="51.165691000000002"/>
    <n v="10.451525999999999"/>
    <s v="ok"/>
    <s v="ok"/>
    <s v="ok"/>
    <s v="ok"/>
    <s v="ok"/>
    <x v="0"/>
    <n v="18.088653888960835"/>
  </r>
  <r>
    <x v="2"/>
    <n v="3155"/>
    <x v="0"/>
    <x v="1"/>
    <x v="1"/>
    <s v="1st line support"/>
    <x v="6"/>
    <x v="1692"/>
    <d v="2023-09-24T05:52:08"/>
    <d v="2023-09-22T05:54:08"/>
    <d v="2023-09-22T05:53:50"/>
    <s v="Within SLA"/>
    <d v="2023-09-22T20:15:41"/>
    <x v="0"/>
    <m/>
    <n v="3"/>
    <m/>
    <x v="3"/>
    <x v="0"/>
    <s v="France"/>
    <n v="48.864716000000001"/>
    <n v="2.3490139999999999"/>
    <s v="ok"/>
    <s v="ok"/>
    <s v="ok"/>
    <s v="ok"/>
    <s v="ok"/>
    <x v="0"/>
    <n v="14.392402777739335"/>
  </r>
  <r>
    <x v="0"/>
    <n v="3156"/>
    <x v="1"/>
    <x v="1"/>
    <x v="4"/>
    <s v="2nd line support"/>
    <x v="7"/>
    <x v="1693"/>
    <d v="2023-09-24T23:23:44"/>
    <d v="2023-09-22T23:25:44"/>
    <d v="2023-09-22T23:24:16"/>
    <s v="Within SLA"/>
    <d v="2023-09-23T01:05:47"/>
    <x v="0"/>
    <d v="2023-09-25T19:30:16"/>
    <n v="3"/>
    <n v="5"/>
    <x v="2"/>
    <x v="1"/>
    <s v="United Kingdom"/>
    <n v="55.378051999999997"/>
    <n v="-3.4359730000000002"/>
    <s v="ok"/>
    <s v="ok"/>
    <s v="ok"/>
    <s v="ok"/>
    <s v="ok"/>
    <x v="0"/>
    <n v="1.7007438889704645"/>
  </r>
  <r>
    <x v="2"/>
    <n v="3157"/>
    <x v="2"/>
    <x v="2"/>
    <x v="2"/>
    <s v="1st line support"/>
    <x v="2"/>
    <x v="1694"/>
    <d v="2023-09-23T21:49:23"/>
    <d v="2023-09-22T21:51:23"/>
    <d v="2023-09-22T21:50:19"/>
    <s v="Within SLA"/>
    <d v="2023-09-23T06:59:06"/>
    <x v="0"/>
    <m/>
    <n v="8"/>
    <m/>
    <x v="2"/>
    <x v="0"/>
    <s v="Republic of Ireland"/>
    <n v="53.094023999999997"/>
    <n v="-8.0196749999999994"/>
    <s v="ok"/>
    <s v="ok"/>
    <s v="ok"/>
    <s v="ok"/>
    <s v="ok"/>
    <x v="0"/>
    <n v="9.1618777778930962"/>
  </r>
  <r>
    <x v="0"/>
    <n v="3158"/>
    <x v="0"/>
    <x v="2"/>
    <x v="3"/>
    <s v="1st line support"/>
    <x v="0"/>
    <x v="1695"/>
    <d v="2023-09-23T19:56:13"/>
    <d v="2023-09-22T19:58:13"/>
    <d v="2023-09-22T19:56:38"/>
    <s v="Within SLA"/>
    <d v="2023-09-28T15:01:59"/>
    <x v="1"/>
    <d v="2023-09-29T21:33:41"/>
    <n v="2"/>
    <n v="5"/>
    <x v="0"/>
    <x v="0"/>
    <s v="Poland"/>
    <n v="52.536273000000001"/>
    <n v="19.050639"/>
    <s v="ok"/>
    <s v="ok"/>
    <s v="ok"/>
    <s v="ok"/>
    <s v="ok"/>
    <x v="0"/>
    <n v="139.09611527784728"/>
  </r>
  <r>
    <x v="2"/>
    <n v="3159"/>
    <x v="2"/>
    <x v="0"/>
    <x v="1"/>
    <s v="2nd line support"/>
    <x v="1"/>
    <x v="1696"/>
    <d v="2023-09-24T01:37:21"/>
    <d v="2023-09-22T02:37:21"/>
    <d v="2023-09-22T01:50:38"/>
    <s v="Within SLA"/>
    <d v="2023-09-25T10:33:14"/>
    <x v="1"/>
    <m/>
    <n v="6"/>
    <m/>
    <x v="0"/>
    <x v="1"/>
    <s v="France"/>
    <n v="48.864716000000001"/>
    <n v="2.3490139999999999"/>
    <s v="ok"/>
    <s v="ok"/>
    <s v="ok"/>
    <s v="ok"/>
    <s v="ok"/>
    <x v="0"/>
    <n v="80.93150250002509"/>
  </r>
  <r>
    <x v="0"/>
    <n v="3160"/>
    <x v="2"/>
    <x v="1"/>
    <x v="2"/>
    <s v="1st line support"/>
    <x v="2"/>
    <x v="1697"/>
    <d v="2023-09-24T09:32:02"/>
    <d v="2023-09-22T09:34:02"/>
    <d v="2023-09-22T09:32:42"/>
    <s v="Within SLA"/>
    <d v="2023-09-24T05:36:07"/>
    <x v="0"/>
    <d v="2023-09-24T10:15:41"/>
    <n v="1"/>
    <n v="3"/>
    <x v="2"/>
    <x v="0"/>
    <s v="Germany"/>
    <n v="51.165691000000002"/>
    <n v="10.451525999999999"/>
    <s v="ok"/>
    <s v="ok"/>
    <s v="ok"/>
    <s v="ok"/>
    <s v="ok"/>
    <x v="0"/>
    <n v="44.068190000136383"/>
  </r>
  <r>
    <x v="2"/>
    <n v="3161"/>
    <x v="0"/>
    <x v="2"/>
    <x v="1"/>
    <s v="1st line support"/>
    <x v="3"/>
    <x v="1698"/>
    <d v="2023-09-23T00:55:01"/>
    <d v="2023-09-22T00:57:01"/>
    <d v="2023-09-22T00:55:41"/>
    <s v="Within SLA"/>
    <d v="2023-09-22T14:14:26"/>
    <x v="0"/>
    <m/>
    <n v="6"/>
    <m/>
    <x v="3"/>
    <x v="0"/>
    <s v="Spain"/>
    <n v="39.673369999999998"/>
    <n v="-4.7677259999999997"/>
    <s v="ok"/>
    <s v="ok"/>
    <s v="ok"/>
    <s v="ok"/>
    <s v="ok"/>
    <x v="0"/>
    <n v="13.323726944276132"/>
  </r>
  <r>
    <x v="0"/>
    <n v="3162"/>
    <x v="0"/>
    <x v="0"/>
    <x v="3"/>
    <s v="1st line support"/>
    <x v="0"/>
    <x v="1699"/>
    <d v="2023-09-25T16:45:45"/>
    <d v="2023-09-23T17:45:45"/>
    <d v="2023-09-23T16:55:13"/>
    <s v="Within SLA"/>
    <d v="2023-09-27T05:04:33"/>
    <x v="1"/>
    <d v="2023-09-28T01:13:30"/>
    <n v="5"/>
    <n v="1"/>
    <x v="2"/>
    <x v="0"/>
    <s v="Spain"/>
    <n v="39.673369999999998"/>
    <n v="-4.7677259999999997"/>
    <s v="ok"/>
    <s v="ok"/>
    <s v="ok"/>
    <s v="ok"/>
    <s v="ok"/>
    <x v="0"/>
    <n v="84.313308333337773"/>
  </r>
  <r>
    <x v="0"/>
    <n v="3163"/>
    <x v="0"/>
    <x v="0"/>
    <x v="0"/>
    <s v="2nd line support"/>
    <x v="5"/>
    <x v="1700"/>
    <d v="2023-09-25T00:34:40"/>
    <d v="2023-09-23T01:34:40"/>
    <d v="2023-09-23T01:32:33"/>
    <s v="Within SLA"/>
    <d v="2023-09-24T23:12:17"/>
    <x v="0"/>
    <d v="2023-09-26T10:29:32"/>
    <n v="10"/>
    <n v="4"/>
    <x v="1"/>
    <x v="1"/>
    <s v="Greece"/>
    <n v="39.368279000000001"/>
    <n v="21.863140999999999"/>
    <s v="ok"/>
    <s v="ok"/>
    <s v="ok"/>
    <s v="ok"/>
    <s v="ok"/>
    <x v="0"/>
    <n v="46.626925555465277"/>
  </r>
  <r>
    <x v="0"/>
    <n v="3164"/>
    <x v="0"/>
    <x v="0"/>
    <x v="2"/>
    <s v="2nd line support"/>
    <x v="5"/>
    <x v="1701"/>
    <d v="2023-09-25T01:32:55"/>
    <d v="2023-09-23T02:32:55"/>
    <d v="2023-09-23T02:00:10"/>
    <s v="Within SLA"/>
    <d v="2023-09-24T07:19:52"/>
    <x v="0"/>
    <d v="2023-09-27T23:10:02"/>
    <n v="1"/>
    <n v="4"/>
    <x v="2"/>
    <x v="1"/>
    <s v="United Kingdom"/>
    <n v="55.378051999999997"/>
    <n v="-3.4359730000000002"/>
    <s v="ok"/>
    <s v="ok"/>
    <s v="ok"/>
    <s v="ok"/>
    <s v="ok"/>
    <x v="0"/>
    <n v="29.782408888859209"/>
  </r>
  <r>
    <x v="1"/>
    <n v="3178"/>
    <x v="0"/>
    <x v="0"/>
    <x v="1"/>
    <s v="1st line support"/>
    <x v="2"/>
    <x v="1702"/>
    <d v="2023-09-26T19:44:22"/>
    <d v="2023-09-24T20:44:22"/>
    <d v="2023-09-24T20:33:09"/>
    <s v="Within SLA"/>
    <m/>
    <x v="1"/>
    <m/>
    <n v="7"/>
    <m/>
    <x v="1"/>
    <x v="0"/>
    <s v="Germany"/>
    <n v="51.165691000000002"/>
    <n v="10.451525999999999"/>
    <s v="ok"/>
    <s v="ok"/>
    <s v="ok"/>
    <s v="ok"/>
    <s v="ok"/>
    <x v="1"/>
    <s v=""/>
  </r>
  <r>
    <x v="0"/>
    <n v="3179"/>
    <x v="2"/>
    <x v="2"/>
    <x v="3"/>
    <s v="2nd line support"/>
    <x v="5"/>
    <x v="1703"/>
    <d v="2023-09-25T03:25:42"/>
    <d v="2023-09-24T03:27:42"/>
    <d v="2023-09-24T03:27:06"/>
    <s v="Within SLA"/>
    <d v="2023-09-25T01:19:16"/>
    <x v="0"/>
    <d v="2023-09-28T08:53:20"/>
    <n v="60"/>
    <n v="5"/>
    <x v="0"/>
    <x v="1"/>
    <s v="United Kingdom"/>
    <n v="55.378051999999997"/>
    <n v="-3.4359730000000002"/>
    <s v="ok"/>
    <s v="ok"/>
    <s v="ok"/>
    <s v="ok"/>
    <s v="ok"/>
    <x v="0"/>
    <n v="21.892835000006016"/>
  </r>
  <r>
    <x v="1"/>
    <n v="3180"/>
    <x v="0"/>
    <x v="2"/>
    <x v="3"/>
    <s v="1st line support"/>
    <x v="3"/>
    <x v="1704"/>
    <d v="2023-09-25T21:16:42"/>
    <d v="2023-09-24T21:18:42"/>
    <d v="2023-09-24T21:18:30"/>
    <s v="Within SLA"/>
    <m/>
    <x v="1"/>
    <m/>
    <n v="8"/>
    <m/>
    <x v="0"/>
    <x v="0"/>
    <s v="Germany"/>
    <n v="51.165691000000002"/>
    <n v="10.451525999999999"/>
    <s v="ok"/>
    <s v="ok"/>
    <s v="ok"/>
    <s v="ok"/>
    <s v="ok"/>
    <x v="1"/>
    <s v=""/>
  </r>
  <r>
    <x v="0"/>
    <n v="3181"/>
    <x v="0"/>
    <x v="2"/>
    <x v="1"/>
    <s v="2nd line support"/>
    <x v="1"/>
    <x v="1705"/>
    <d v="2023-09-26T10:35:13"/>
    <d v="2023-09-25T10:37:13"/>
    <d v="2023-09-25T10:36:36"/>
    <s v="Within SLA"/>
    <d v="2023-09-26T02:54:58"/>
    <x v="0"/>
    <d v="2023-09-26T20:56:20"/>
    <n v="7"/>
    <n v="4"/>
    <x v="3"/>
    <x v="1"/>
    <s v="Italy"/>
    <n v="43.036776000000003"/>
    <n v="12.678565000000001"/>
    <s v="ok"/>
    <s v="ok"/>
    <s v="ok"/>
    <s v="ok"/>
    <s v="ok"/>
    <x v="0"/>
    <n v="16.329074722132646"/>
  </r>
  <r>
    <x v="0"/>
    <n v="3182"/>
    <x v="1"/>
    <x v="0"/>
    <x v="0"/>
    <s v="1st line support"/>
    <x v="6"/>
    <x v="1706"/>
    <d v="2023-09-27T15:13:39"/>
    <d v="2023-09-25T16:13:39"/>
    <d v="2023-09-25T15:40:03"/>
    <s v="Within SLA"/>
    <d v="2023-09-26T19:59:34"/>
    <x v="0"/>
    <d v="2023-10-02T01:13:15"/>
    <n v="2"/>
    <n v="5"/>
    <x v="0"/>
    <x v="0"/>
    <s v="Austria"/>
    <n v="47.696471899999999"/>
    <n v="13.3457347"/>
    <s v="ok"/>
    <s v="ok"/>
    <s v="ok"/>
    <s v="ok"/>
    <s v="ok"/>
    <x v="0"/>
    <n v="28.765164166688919"/>
  </r>
  <r>
    <x v="1"/>
    <n v="3183"/>
    <x v="1"/>
    <x v="0"/>
    <x v="2"/>
    <s v="1st line support"/>
    <x v="0"/>
    <x v="1707"/>
    <d v="2023-09-27T01:25:06"/>
    <d v="2023-09-25T02:25:06"/>
    <d v="2023-09-25T01:27:56"/>
    <s v="Within SLA"/>
    <m/>
    <x v="1"/>
    <m/>
    <n v="2"/>
    <m/>
    <x v="3"/>
    <x v="0"/>
    <s v="Italy"/>
    <n v="43.036776000000003"/>
    <n v="12.678565000000001"/>
    <s v="ok"/>
    <s v="ok"/>
    <s v="ok"/>
    <s v="ok"/>
    <s v="ok"/>
    <x v="1"/>
    <s v=""/>
  </r>
  <r>
    <x v="2"/>
    <n v="3184"/>
    <x v="2"/>
    <x v="2"/>
    <x v="2"/>
    <s v="2nd line support"/>
    <x v="7"/>
    <x v="1708"/>
    <d v="2023-09-26T03:28:54"/>
    <d v="2023-09-25T03:30:54"/>
    <d v="2023-09-25T03:30:36"/>
    <s v="Within SLA"/>
    <d v="2023-09-25T14:49:07"/>
    <x v="0"/>
    <m/>
    <n v="2"/>
    <m/>
    <x v="1"/>
    <x v="1"/>
    <s v="United Kingdom"/>
    <n v="55.378051999999997"/>
    <n v="-3.4359730000000002"/>
    <s v="ok"/>
    <s v="ok"/>
    <s v="ok"/>
    <s v="ok"/>
    <s v="ok"/>
    <x v="0"/>
    <n v="11.336848611070309"/>
  </r>
  <r>
    <x v="2"/>
    <n v="3185"/>
    <x v="0"/>
    <x v="1"/>
    <x v="2"/>
    <s v="1st line support"/>
    <x v="0"/>
    <x v="1709"/>
    <d v="2023-09-27T03:57:29"/>
    <d v="2023-09-25T03:59:29"/>
    <d v="2023-09-25T04:03:16"/>
    <s v="SLA Violated"/>
    <d v="2023-09-27T19:05:47"/>
    <x v="1"/>
    <m/>
    <n v="1"/>
    <m/>
    <x v="0"/>
    <x v="0"/>
    <s v="Slovenia"/>
    <n v="46.149166399999999"/>
    <n v="14.9860106"/>
    <s v="ok"/>
    <s v="ok"/>
    <s v="ok"/>
    <s v="ok"/>
    <s v="ok"/>
    <x v="0"/>
    <n v="63.138290555623826"/>
  </r>
  <r>
    <x v="2"/>
    <n v="3186"/>
    <x v="0"/>
    <x v="1"/>
    <x v="1"/>
    <s v="1st line support"/>
    <x v="6"/>
    <x v="1710"/>
    <d v="2023-09-27T05:24:37"/>
    <d v="2023-09-25T05:26:37"/>
    <d v="2023-09-25T05:25:35"/>
    <s v="Within SLA"/>
    <d v="2023-09-25T17:23:43"/>
    <x v="0"/>
    <m/>
    <n v="4"/>
    <m/>
    <x v="2"/>
    <x v="0"/>
    <s v="Spain"/>
    <n v="39.673369999999998"/>
    <n v="-4.7677259999999997"/>
    <s v="ok"/>
    <s v="ok"/>
    <s v="ok"/>
    <s v="ok"/>
    <s v="ok"/>
    <x v="0"/>
    <n v="11.984909166698344"/>
  </r>
  <r>
    <x v="0"/>
    <n v="3187"/>
    <x v="2"/>
    <x v="2"/>
    <x v="5"/>
    <s v="1st line support"/>
    <x v="0"/>
    <x v="1711"/>
    <d v="2023-09-26T15:07:49"/>
    <d v="2023-09-25T15:09:49"/>
    <d v="2023-09-25T15:09:37"/>
    <s v="Within SLA"/>
    <d v="2023-09-26T04:31:54"/>
    <x v="0"/>
    <d v="2023-09-28T06:23:50"/>
    <n v="6"/>
    <n v="1"/>
    <x v="0"/>
    <x v="0"/>
    <s v="Poland"/>
    <n v="52.536273000000001"/>
    <n v="19.050639"/>
    <s v="ok"/>
    <s v="ok"/>
    <s v="ok"/>
    <s v="ok"/>
    <s v="ok"/>
    <x v="0"/>
    <n v="13.40127999993274"/>
  </r>
  <r>
    <x v="0"/>
    <n v="3188"/>
    <x v="0"/>
    <x v="1"/>
    <x v="0"/>
    <s v="1st line support"/>
    <x v="4"/>
    <x v="1712"/>
    <d v="2023-09-27T09:47:27"/>
    <d v="2023-09-25T09:49:27"/>
    <d v="2023-09-25T09:47:36"/>
    <s v="Within SLA"/>
    <d v="2023-09-25T18:31:03"/>
    <x v="0"/>
    <d v="2023-09-30T05:53:57"/>
    <n v="1"/>
    <n v="4"/>
    <x v="0"/>
    <x v="0"/>
    <s v="Bulgaria"/>
    <n v="42.724992499999999"/>
    <n v="25.483303899999999"/>
    <s v="ok"/>
    <s v="ok"/>
    <s v="ok"/>
    <s v="ok"/>
    <s v="ok"/>
    <x v="0"/>
    <n v="8.7266200000885874"/>
  </r>
  <r>
    <x v="2"/>
    <n v="3189"/>
    <x v="0"/>
    <x v="2"/>
    <x v="3"/>
    <s v="1st line support"/>
    <x v="2"/>
    <x v="1713"/>
    <d v="2023-09-26T15:40:01"/>
    <d v="2023-09-25T15:42:01"/>
    <d v="2023-09-25T15:41:08"/>
    <s v="Within SLA"/>
    <d v="2023-09-26T06:33:03"/>
    <x v="0"/>
    <m/>
    <n v="4"/>
    <m/>
    <x v="0"/>
    <x v="0"/>
    <s v="Poland"/>
    <n v="52.536273000000001"/>
    <n v="19.050639"/>
    <s v="ok"/>
    <s v="ok"/>
    <s v="ok"/>
    <s v="ok"/>
    <s v="ok"/>
    <x v="0"/>
    <n v="14.884012500056997"/>
  </r>
  <r>
    <x v="0"/>
    <n v="3190"/>
    <x v="0"/>
    <x v="0"/>
    <x v="2"/>
    <s v="1st line support"/>
    <x v="3"/>
    <x v="1714"/>
    <d v="2023-09-28T22:51:15"/>
    <d v="2023-09-26T23:51:15"/>
    <d v="2023-09-26T23:07:18"/>
    <s v="Within SLA"/>
    <d v="2023-09-27T07:56:17"/>
    <x v="0"/>
    <d v="2023-09-28T15:43:21"/>
    <n v="1"/>
    <n v="3"/>
    <x v="0"/>
    <x v="0"/>
    <s v="Republic of Ireland"/>
    <n v="53.094023999999997"/>
    <n v="-8.0196749999999994"/>
    <s v="ok"/>
    <s v="ok"/>
    <s v="ok"/>
    <s v="ok"/>
    <s v="ok"/>
    <x v="0"/>
    <n v="9.0839813888305798"/>
  </r>
  <r>
    <x v="0"/>
    <n v="3191"/>
    <x v="2"/>
    <x v="0"/>
    <x v="3"/>
    <s v="1st line support"/>
    <x v="0"/>
    <x v="1715"/>
    <d v="2023-09-28T15:34:41"/>
    <d v="2023-09-26T16:34:41"/>
    <d v="2023-09-26T16:24:50"/>
    <s v="Within SLA"/>
    <d v="2023-10-01T09:36:11"/>
    <x v="1"/>
    <d v="2023-10-01T23:04:21"/>
    <n v="1"/>
    <n v="5"/>
    <x v="1"/>
    <x v="0"/>
    <s v="Bulgaria"/>
    <n v="42.724992499999999"/>
    <n v="25.483303899999999"/>
    <s v="ok"/>
    <s v="ok"/>
    <s v="ok"/>
    <s v="ok"/>
    <s v="ok"/>
    <x v="0"/>
    <n v="114.02487138885772"/>
  </r>
  <r>
    <x v="0"/>
    <n v="3192"/>
    <x v="2"/>
    <x v="0"/>
    <x v="1"/>
    <s v="1st line support"/>
    <x v="2"/>
    <x v="1716"/>
    <d v="2023-09-28T17:16:49"/>
    <d v="2023-09-26T18:16:49"/>
    <d v="2023-09-26T17:53:49"/>
    <s v="Within SLA"/>
    <d v="2023-09-27T06:30:47"/>
    <x v="0"/>
    <d v="2023-09-28T09:48:56"/>
    <n v="7"/>
    <n v="1"/>
    <x v="2"/>
    <x v="0"/>
    <s v="Bulgaria"/>
    <n v="42.724992499999999"/>
    <n v="25.483303899999999"/>
    <s v="ok"/>
    <s v="ok"/>
    <s v="ok"/>
    <s v="ok"/>
    <s v="ok"/>
    <x v="0"/>
    <n v="13.232776389049832"/>
  </r>
  <r>
    <x v="0"/>
    <n v="3193"/>
    <x v="0"/>
    <x v="1"/>
    <x v="0"/>
    <s v="2nd line support"/>
    <x v="5"/>
    <x v="1717"/>
    <d v="2023-09-28T11:00:11"/>
    <d v="2023-09-26T11:02:11"/>
    <d v="2023-09-26T11:00:21"/>
    <s v="Within SLA"/>
    <d v="2023-09-28T03:55:07"/>
    <x v="0"/>
    <d v="2023-10-01T03:52:51"/>
    <n v="6"/>
    <n v="4"/>
    <x v="1"/>
    <x v="1"/>
    <s v="Bulgaria"/>
    <n v="42.724992499999999"/>
    <n v="25.483303899999999"/>
    <s v="ok"/>
    <s v="ok"/>
    <s v="ok"/>
    <s v="ok"/>
    <s v="ok"/>
    <x v="0"/>
    <n v="40.915504999982659"/>
  </r>
  <r>
    <x v="1"/>
    <n v="3194"/>
    <x v="0"/>
    <x v="0"/>
    <x v="1"/>
    <s v="1st line support"/>
    <x v="3"/>
    <x v="1718"/>
    <d v="2023-09-28T12:56:07"/>
    <d v="2023-09-26T13:56:07"/>
    <d v="2023-09-26T13:15:00"/>
    <s v="Within SLA"/>
    <m/>
    <x v="1"/>
    <m/>
    <n v="2"/>
    <m/>
    <x v="2"/>
    <x v="0"/>
    <s v="Czech Republic"/>
    <n v="49.8037633"/>
    <n v="15.4749126"/>
    <s v="ok"/>
    <s v="ok"/>
    <s v="ok"/>
    <s v="ok"/>
    <s v="ok"/>
    <x v="1"/>
    <s v=""/>
  </r>
  <r>
    <x v="2"/>
    <n v="3196"/>
    <x v="2"/>
    <x v="0"/>
    <x v="4"/>
    <s v="2nd line support"/>
    <x v="5"/>
    <x v="1719"/>
    <d v="2023-09-29T01:56:05"/>
    <d v="2023-09-27T02:56:05"/>
    <d v="2023-09-27T02:42:28"/>
    <s v="Within SLA"/>
    <d v="2023-09-28T04:08:42"/>
    <x v="0"/>
    <m/>
    <n v="2"/>
    <m/>
    <x v="0"/>
    <x v="1"/>
    <s v="Spain"/>
    <n v="39.673369999999998"/>
    <n v="-4.7677259999999997"/>
    <s v="ok"/>
    <s v="ok"/>
    <s v="ok"/>
    <s v="ok"/>
    <s v="ok"/>
    <x v="0"/>
    <n v="26.210360833327286"/>
  </r>
  <r>
    <x v="1"/>
    <n v="3197"/>
    <x v="0"/>
    <x v="0"/>
    <x v="0"/>
    <s v="1st line support"/>
    <x v="6"/>
    <x v="1720"/>
    <d v="2023-09-29T22:45:17"/>
    <d v="2023-09-27T23:45:17"/>
    <d v="2023-09-27T23:26:04"/>
    <s v="Within SLA"/>
    <m/>
    <x v="1"/>
    <m/>
    <n v="5"/>
    <m/>
    <x v="2"/>
    <x v="0"/>
    <s v="United Kingdom"/>
    <n v="55.378051999999997"/>
    <n v="-3.4359730000000002"/>
    <s v="ok"/>
    <s v="ok"/>
    <s v="ok"/>
    <s v="ok"/>
    <s v="ok"/>
    <x v="1"/>
    <s v=""/>
  </r>
  <r>
    <x v="0"/>
    <n v="3198"/>
    <x v="0"/>
    <x v="2"/>
    <x v="5"/>
    <s v="1st line support"/>
    <x v="2"/>
    <x v="1721"/>
    <d v="2023-09-28T05:29:59"/>
    <d v="2023-09-27T05:31:59"/>
    <d v="2023-09-27T05:33:14"/>
    <s v="SLA Violated"/>
    <d v="2023-09-30T12:01:12"/>
    <x v="1"/>
    <d v="2023-10-02T09:08:13"/>
    <n v="7"/>
    <n v="1"/>
    <x v="2"/>
    <x v="0"/>
    <s v="United Kingdom"/>
    <n v="55.378051999999997"/>
    <n v="-3.4359730000000002"/>
    <s v="ok"/>
    <s v="ok"/>
    <s v="ok"/>
    <s v="ok"/>
    <s v="ok"/>
    <x v="0"/>
    <n v="78.520154722093139"/>
  </r>
  <r>
    <x v="0"/>
    <n v="3200"/>
    <x v="1"/>
    <x v="2"/>
    <x v="3"/>
    <s v="2nd line support"/>
    <x v="5"/>
    <x v="1722"/>
    <d v="2023-09-28T06:14:51"/>
    <d v="2023-09-27T06:16:51"/>
    <d v="2023-09-27T06:19:46"/>
    <s v="SLA Violated"/>
    <d v="2023-09-27T21:31:15"/>
    <x v="0"/>
    <d v="2023-10-01T03:32:58"/>
    <n v="2"/>
    <n v="5"/>
    <x v="2"/>
    <x v="1"/>
    <s v="Greece"/>
    <n v="39.368279000000001"/>
    <n v="21.863140999999999"/>
    <s v="ok"/>
    <s v="ok"/>
    <s v="ok"/>
    <s v="ok"/>
    <s v="ok"/>
    <x v="0"/>
    <n v="15.273399444355164"/>
  </r>
  <r>
    <x v="0"/>
    <n v="3201"/>
    <x v="2"/>
    <x v="2"/>
    <x v="3"/>
    <s v="2nd line support"/>
    <x v="1"/>
    <x v="1723"/>
    <d v="2023-09-28T05:52:12"/>
    <d v="2023-09-27T05:54:12"/>
    <d v="2023-09-27T05:54:09"/>
    <s v="Within SLA"/>
    <d v="2023-10-03T04:32:54"/>
    <x v="1"/>
    <d v="2023-10-04T04:42:21"/>
    <n v="2"/>
    <n v="5"/>
    <x v="3"/>
    <x v="1"/>
    <s v="Poland"/>
    <n v="52.536273000000001"/>
    <n v="19.050639"/>
    <s v="ok"/>
    <s v="ok"/>
    <s v="ok"/>
    <s v="ok"/>
    <s v="ok"/>
    <x v="0"/>
    <n v="142.67843944451306"/>
  </r>
  <r>
    <x v="2"/>
    <n v="3202"/>
    <x v="1"/>
    <x v="2"/>
    <x v="1"/>
    <s v="1st line support"/>
    <x v="2"/>
    <x v="1724"/>
    <d v="2023-09-28T09:00:12"/>
    <d v="2023-09-27T09:02:12"/>
    <d v="2023-09-27T09:01:38"/>
    <s v="Within SLA"/>
    <d v="2023-09-28T01:56:50"/>
    <x v="0"/>
    <m/>
    <n v="6"/>
    <m/>
    <x v="2"/>
    <x v="0"/>
    <s v="Bulgaria"/>
    <n v="42.724992499999999"/>
    <n v="25.483303899999999"/>
    <s v="ok"/>
    <s v="ok"/>
    <s v="ok"/>
    <s v="ok"/>
    <s v="ok"/>
    <x v="0"/>
    <n v="16.943992222077213"/>
  </r>
  <r>
    <x v="1"/>
    <n v="3203"/>
    <x v="0"/>
    <x v="2"/>
    <x v="3"/>
    <s v="1st line support"/>
    <x v="0"/>
    <x v="1725"/>
    <d v="2023-09-28T10:58:40"/>
    <d v="2023-09-27T11:00:40"/>
    <d v="2023-09-27T11:00:24"/>
    <s v="Within SLA"/>
    <m/>
    <x v="1"/>
    <m/>
    <n v="6"/>
    <m/>
    <x v="0"/>
    <x v="0"/>
    <s v="France"/>
    <n v="48.864716000000001"/>
    <n v="2.3490139999999999"/>
    <s v="ok"/>
    <s v="ok"/>
    <s v="ok"/>
    <s v="ok"/>
    <s v="ok"/>
    <x v="1"/>
    <s v=""/>
  </r>
  <r>
    <x v="0"/>
    <n v="3204"/>
    <x v="0"/>
    <x v="0"/>
    <x v="5"/>
    <s v="2nd line support"/>
    <x v="7"/>
    <x v="1726"/>
    <d v="2023-09-29T00:18:02"/>
    <d v="2023-09-27T01:18:02"/>
    <d v="2023-09-27T00:49:10"/>
    <s v="Within SLA"/>
    <d v="2023-09-28T05:08:58"/>
    <x v="0"/>
    <d v="2023-09-30T04:14:05"/>
    <n v="9"/>
    <n v="4"/>
    <x v="3"/>
    <x v="1"/>
    <s v="Poland"/>
    <n v="52.536273000000001"/>
    <n v="19.050639"/>
    <s v="ok"/>
    <s v="ok"/>
    <s v="ok"/>
    <s v="ok"/>
    <s v="ok"/>
    <x v="0"/>
    <n v="28.848842499952298"/>
  </r>
  <r>
    <x v="0"/>
    <n v="3205"/>
    <x v="0"/>
    <x v="0"/>
    <x v="2"/>
    <s v="1st line support"/>
    <x v="4"/>
    <x v="1727"/>
    <d v="2023-09-29T14:36:20"/>
    <d v="2023-09-27T15:36:20"/>
    <d v="2023-09-27T15:13:43"/>
    <s v="Within SLA"/>
    <d v="2023-09-29T04:48:30"/>
    <x v="0"/>
    <d v="2023-09-29T02:01:21"/>
    <n v="3"/>
    <n v="3"/>
    <x v="3"/>
    <x v="0"/>
    <s v="France"/>
    <n v="48.864716000000001"/>
    <n v="2.3490139999999999"/>
    <s v="ok"/>
    <s v="ok"/>
    <s v="check"/>
    <s v="ok"/>
    <s v="ok"/>
    <x v="0"/>
    <n v="38.20272749994183"/>
  </r>
  <r>
    <x v="1"/>
    <n v="3206"/>
    <x v="2"/>
    <x v="2"/>
    <x v="1"/>
    <s v="1st line support"/>
    <x v="0"/>
    <x v="1728"/>
    <d v="2023-09-29T11:38:17"/>
    <d v="2023-09-28T11:40:17"/>
    <d v="2023-09-28T11:40:12"/>
    <s v="Within SLA"/>
    <m/>
    <x v="1"/>
    <m/>
    <n v="2"/>
    <m/>
    <x v="2"/>
    <x v="0"/>
    <s v="Slovenia"/>
    <n v="46.149166399999999"/>
    <n v="14.9860106"/>
    <s v="ok"/>
    <s v="ok"/>
    <s v="ok"/>
    <s v="ok"/>
    <s v="ok"/>
    <x v="1"/>
    <s v=""/>
  </r>
  <r>
    <x v="0"/>
    <n v="3207"/>
    <x v="0"/>
    <x v="2"/>
    <x v="2"/>
    <s v="1st line support"/>
    <x v="0"/>
    <x v="1729"/>
    <d v="2023-09-29T02:28:25"/>
    <d v="2023-09-28T02:30:25"/>
    <d v="2023-09-28T02:33:31"/>
    <s v="SLA Violated"/>
    <d v="2023-09-28T10:03:25"/>
    <x v="0"/>
    <d v="2023-10-03T15:04:20"/>
    <n v="5"/>
    <n v="4"/>
    <x v="0"/>
    <x v="0"/>
    <s v="Poland"/>
    <n v="52.536273000000001"/>
    <n v="19.050639"/>
    <s v="ok"/>
    <s v="ok"/>
    <s v="ok"/>
    <s v="ok"/>
    <s v="ok"/>
    <x v="0"/>
    <n v="7.5832913888152689"/>
  </r>
  <r>
    <x v="2"/>
    <n v="3208"/>
    <x v="2"/>
    <x v="0"/>
    <x v="4"/>
    <s v="1st line support"/>
    <x v="0"/>
    <x v="1730"/>
    <d v="2023-09-30T08:07:52"/>
    <d v="2023-09-28T09:07:52"/>
    <d v="2023-09-28T08:43:25"/>
    <s v="Within SLA"/>
    <d v="2023-09-29T11:54:37"/>
    <x v="0"/>
    <m/>
    <n v="8"/>
    <m/>
    <x v="1"/>
    <x v="0"/>
    <s v="Bulgaria"/>
    <n v="42.724992499999999"/>
    <n v="25.483303899999999"/>
    <s v="ok"/>
    <s v="ok"/>
    <s v="ok"/>
    <s v="ok"/>
    <s v="ok"/>
    <x v="0"/>
    <n v="27.779131111165043"/>
  </r>
  <r>
    <x v="0"/>
    <n v="3209"/>
    <x v="1"/>
    <x v="0"/>
    <x v="1"/>
    <s v="1st line support"/>
    <x v="2"/>
    <x v="1731"/>
    <d v="2023-09-30T14:43:00"/>
    <d v="2023-09-28T15:43:00"/>
    <d v="2023-09-28T15:12:19"/>
    <s v="Within SLA"/>
    <d v="2023-10-02T21:26:33"/>
    <x v="1"/>
    <d v="2023-10-04T07:27:29"/>
    <n v="1"/>
    <n v="3"/>
    <x v="1"/>
    <x v="0"/>
    <s v="Italy"/>
    <n v="43.036776000000003"/>
    <n v="12.678565000000001"/>
    <s v="ok"/>
    <s v="ok"/>
    <s v="ok"/>
    <s v="ok"/>
    <s v="ok"/>
    <x v="0"/>
    <n v="102.72589805553434"/>
  </r>
  <r>
    <x v="0"/>
    <n v="3210"/>
    <x v="0"/>
    <x v="0"/>
    <x v="3"/>
    <s v="1st line support"/>
    <x v="2"/>
    <x v="1732"/>
    <d v="2023-09-30T18:54:26"/>
    <d v="2023-09-28T19:54:26"/>
    <d v="2023-09-28T18:56:28"/>
    <s v="Within SLA"/>
    <d v="2023-10-01T16:54:07"/>
    <x v="1"/>
    <d v="2023-10-02T09:41:48"/>
    <n v="1"/>
    <n v="1"/>
    <x v="0"/>
    <x v="0"/>
    <s v="Poland"/>
    <n v="52.536273000000001"/>
    <n v="19.050639"/>
    <s v="ok"/>
    <s v="ok"/>
    <s v="ok"/>
    <s v="ok"/>
    <s v="ok"/>
    <x v="0"/>
    <n v="69.994716666522436"/>
  </r>
  <r>
    <x v="0"/>
    <n v="3211"/>
    <x v="2"/>
    <x v="2"/>
    <x v="6"/>
    <s v="1st line support"/>
    <x v="4"/>
    <x v="1733"/>
    <d v="2023-09-29T07:43:20"/>
    <d v="2023-09-28T07:45:20"/>
    <d v="2023-09-28T07:43:58"/>
    <s v="Within SLA"/>
    <d v="2023-09-28T11:39:35"/>
    <x v="0"/>
    <d v="2023-09-30T22:21:11"/>
    <n v="6"/>
    <n v="3"/>
    <x v="3"/>
    <x v="0"/>
    <s v="Italy"/>
    <n v="43.036776000000003"/>
    <n v="12.678565000000001"/>
    <s v="ok"/>
    <s v="ok"/>
    <s v="ok"/>
    <s v="ok"/>
    <s v="ok"/>
    <x v="0"/>
    <n v="3.9375044443295337"/>
  </r>
  <r>
    <x v="1"/>
    <n v="3212"/>
    <x v="2"/>
    <x v="2"/>
    <x v="3"/>
    <s v="1st line support"/>
    <x v="6"/>
    <x v="1734"/>
    <d v="2023-09-29T18:52:08"/>
    <d v="2023-09-28T18:54:08"/>
    <d v="2023-09-28T18:52:17"/>
    <s v="Within SLA"/>
    <m/>
    <x v="1"/>
    <m/>
    <n v="4"/>
    <m/>
    <x v="0"/>
    <x v="0"/>
    <s v="Greece"/>
    <n v="39.368279000000001"/>
    <n v="21.863140999999999"/>
    <s v="ok"/>
    <s v="ok"/>
    <s v="ok"/>
    <s v="ok"/>
    <s v="ok"/>
    <x v="1"/>
    <s v=""/>
  </r>
  <r>
    <x v="0"/>
    <n v="3214"/>
    <x v="0"/>
    <x v="0"/>
    <x v="2"/>
    <s v="1st line support"/>
    <x v="0"/>
    <x v="1735"/>
    <d v="2023-10-01T01:39:42"/>
    <d v="2023-09-29T02:39:42"/>
    <d v="2023-09-29T02:14:57"/>
    <s v="Within SLA"/>
    <d v="2023-09-29T18:55:59"/>
    <x v="0"/>
    <d v="2023-10-01T17:03:44"/>
    <n v="1"/>
    <n v="2"/>
    <x v="1"/>
    <x v="0"/>
    <s v="France"/>
    <n v="48.864716000000001"/>
    <n v="2.3490139999999999"/>
    <s v="ok"/>
    <s v="ok"/>
    <s v="ok"/>
    <s v="ok"/>
    <s v="ok"/>
    <x v="0"/>
    <n v="17.271466666599736"/>
  </r>
  <r>
    <x v="0"/>
    <n v="3215"/>
    <x v="0"/>
    <x v="0"/>
    <x v="1"/>
    <s v="1st line support"/>
    <x v="3"/>
    <x v="1736"/>
    <d v="2023-10-01T23:41:14"/>
    <d v="2023-09-30T00:41:14"/>
    <d v="2023-09-30T00:14:08"/>
    <s v="Within SLA"/>
    <d v="2023-09-30T00:24:52"/>
    <x v="0"/>
    <d v="2023-10-06T23:20:52"/>
    <n v="9"/>
    <n v="5"/>
    <x v="2"/>
    <x v="0"/>
    <s v="United Kingdom"/>
    <n v="55.378051999999997"/>
    <n v="-3.4359730000000002"/>
    <s v="ok"/>
    <s v="ok"/>
    <s v="ok"/>
    <s v="ok"/>
    <s v="ok"/>
    <x v="0"/>
    <n v="0.72710249992087483"/>
  </r>
  <r>
    <x v="2"/>
    <n v="3216"/>
    <x v="1"/>
    <x v="0"/>
    <x v="1"/>
    <s v="1st line support"/>
    <x v="0"/>
    <x v="1737"/>
    <d v="2023-10-01T09:45:58"/>
    <d v="2023-09-29T10:45:58"/>
    <d v="2023-09-29T10:37:03"/>
    <s v="Within SLA"/>
    <d v="2023-09-30T14:43:47"/>
    <x v="0"/>
    <m/>
    <n v="1"/>
    <m/>
    <x v="3"/>
    <x v="0"/>
    <s v="Bulgaria"/>
    <n v="42.724992499999999"/>
    <n v="25.483303899999999"/>
    <s v="ok"/>
    <s v="ok"/>
    <s v="ok"/>
    <s v="ok"/>
    <s v="ok"/>
    <x v="0"/>
    <n v="28.963698055653367"/>
  </r>
  <r>
    <x v="0"/>
    <n v="3218"/>
    <x v="2"/>
    <x v="0"/>
    <x v="3"/>
    <s v="1st line support"/>
    <x v="0"/>
    <x v="1738"/>
    <d v="2023-10-02T01:21:38"/>
    <d v="2023-09-30T02:21:38"/>
    <d v="2023-09-30T01:59:58"/>
    <s v="Within SLA"/>
    <d v="2023-10-04T22:54:08"/>
    <x v="1"/>
    <d v="2023-10-05T07:18:46"/>
    <n v="8"/>
    <n v="5"/>
    <x v="2"/>
    <x v="0"/>
    <s v="Greece"/>
    <n v="39.368279000000001"/>
    <n v="21.863140999999999"/>
    <s v="ok"/>
    <s v="ok"/>
    <s v="ok"/>
    <s v="ok"/>
    <s v="ok"/>
    <x v="0"/>
    <n v="117.54154638882028"/>
  </r>
  <r>
    <x v="2"/>
    <n v="3219"/>
    <x v="0"/>
    <x v="1"/>
    <x v="3"/>
    <s v="1st line support"/>
    <x v="0"/>
    <x v="1739"/>
    <d v="2023-10-02T02:53:40"/>
    <d v="2023-09-30T02:55:40"/>
    <d v="2023-09-30T02:59:14"/>
    <s v="SLA Violated"/>
    <d v="2023-10-05T12:12:59"/>
    <x v="1"/>
    <m/>
    <n v="1"/>
    <m/>
    <x v="1"/>
    <x v="0"/>
    <s v="Italy"/>
    <n v="43.036776000000003"/>
    <n v="12.678565000000001"/>
    <s v="ok"/>
    <s v="ok"/>
    <s v="ok"/>
    <s v="ok"/>
    <s v="ok"/>
    <x v="0"/>
    <n v="129.32200222229585"/>
  </r>
  <r>
    <x v="0"/>
    <n v="3220"/>
    <x v="0"/>
    <x v="0"/>
    <x v="0"/>
    <s v="2nd line support"/>
    <x v="7"/>
    <x v="1740"/>
    <d v="2023-10-02T16:21:10"/>
    <d v="2023-09-30T17:21:10"/>
    <d v="2023-09-30T17:09:32"/>
    <s v="Within SLA"/>
    <d v="2023-09-30T20:48:13"/>
    <x v="0"/>
    <d v="2023-10-04T12:04:33"/>
    <n v="6"/>
    <n v="1"/>
    <x v="2"/>
    <x v="1"/>
    <s v="France"/>
    <n v="48.864716000000001"/>
    <n v="2.3490139999999999"/>
    <s v="ok"/>
    <s v="ok"/>
    <s v="ok"/>
    <s v="ok"/>
    <s v="ok"/>
    <x v="0"/>
    <n v="4.4509458333486691"/>
  </r>
  <r>
    <x v="2"/>
    <n v="3228"/>
    <x v="0"/>
    <x v="1"/>
    <x v="3"/>
    <s v="1st line support"/>
    <x v="2"/>
    <x v="1741"/>
    <d v="2023-10-03T12:32:53"/>
    <d v="2023-10-01T12:34:53"/>
    <d v="2023-10-01T12:34:07"/>
    <s v="Within SLA"/>
    <d v="2023-10-03T12:04:42"/>
    <x v="0"/>
    <m/>
    <n v="5"/>
    <m/>
    <x v="2"/>
    <x v="0"/>
    <s v="Italy"/>
    <n v="43.036776000000003"/>
    <n v="12.678565000000001"/>
    <s v="ok"/>
    <s v="ok"/>
    <s v="ok"/>
    <s v="ok"/>
    <s v="ok"/>
    <x v="0"/>
    <n v="47.530233333469369"/>
  </r>
  <r>
    <x v="2"/>
    <n v="3229"/>
    <x v="0"/>
    <x v="1"/>
    <x v="1"/>
    <s v="1st line support"/>
    <x v="3"/>
    <x v="1742"/>
    <d v="2023-10-04T02:28:15"/>
    <d v="2023-10-02T02:30:15"/>
    <d v="2023-10-02T02:29:17"/>
    <s v="Within SLA"/>
    <d v="2023-10-06T10:24:06"/>
    <x v="1"/>
    <m/>
    <n v="4"/>
    <m/>
    <x v="0"/>
    <x v="0"/>
    <s v="United Kingdom"/>
    <n v="55.378051999999997"/>
    <n v="-3.4359730000000002"/>
    <s v="ok"/>
    <s v="ok"/>
    <s v="ok"/>
    <s v="ok"/>
    <s v="ok"/>
    <x v="0"/>
    <n v="103.93093111115741"/>
  </r>
  <r>
    <x v="2"/>
    <n v="3230"/>
    <x v="2"/>
    <x v="0"/>
    <x v="3"/>
    <s v="1st line support"/>
    <x v="0"/>
    <x v="1743"/>
    <d v="2023-10-04T18:04:18"/>
    <d v="2023-10-02T19:04:18"/>
    <d v="2023-10-02T21:28:49"/>
    <s v="SLA Violated"/>
    <d v="2023-10-02T18:39:21"/>
    <x v="0"/>
    <m/>
    <n v="1"/>
    <m/>
    <x v="3"/>
    <x v="0"/>
    <s v="Republic of Ireland"/>
    <n v="53.094023999999997"/>
    <n v="-8.0196749999999994"/>
    <s v="ok"/>
    <s v="ok"/>
    <s v="ok"/>
    <s v="ok"/>
    <s v="ok"/>
    <x v="0"/>
    <n v="0.58409583329921588"/>
  </r>
  <r>
    <x v="2"/>
    <n v="3231"/>
    <x v="1"/>
    <x v="2"/>
    <x v="0"/>
    <s v="1st line support"/>
    <x v="6"/>
    <x v="1744"/>
    <d v="2023-10-03T08:19:12"/>
    <d v="2023-10-02T08:21:12"/>
    <d v="2023-10-02T08:19:59"/>
    <s v="Within SLA"/>
    <d v="2023-10-03T02:05:09"/>
    <x v="0"/>
    <m/>
    <n v="60"/>
    <m/>
    <x v="2"/>
    <x v="0"/>
    <s v="Italy"/>
    <n v="43.036776000000003"/>
    <n v="12.678565000000001"/>
    <s v="ok"/>
    <s v="ok"/>
    <s v="ok"/>
    <s v="ok"/>
    <s v="ok"/>
    <x v="0"/>
    <n v="17.765970277832821"/>
  </r>
  <r>
    <x v="2"/>
    <n v="3232"/>
    <x v="0"/>
    <x v="2"/>
    <x v="1"/>
    <s v="2nd line support"/>
    <x v="7"/>
    <x v="1745"/>
    <d v="2023-10-03T20:30:48"/>
    <d v="2023-10-02T20:32:48"/>
    <d v="2023-10-02T20:32:39"/>
    <s v="Within SLA"/>
    <d v="2023-10-03T05:55:23"/>
    <x v="0"/>
    <m/>
    <n v="2"/>
    <m/>
    <x v="3"/>
    <x v="1"/>
    <s v="Spain"/>
    <n v="39.673369999999998"/>
    <n v="-4.7677259999999997"/>
    <s v="ok"/>
    <s v="ok"/>
    <s v="ok"/>
    <s v="ok"/>
    <s v="ok"/>
    <x v="0"/>
    <n v="9.4097963890526444"/>
  </r>
  <r>
    <x v="0"/>
    <n v="3233"/>
    <x v="2"/>
    <x v="1"/>
    <x v="4"/>
    <s v="1st line support"/>
    <x v="0"/>
    <x v="1746"/>
    <d v="2023-10-04T06:05:57"/>
    <d v="2023-10-02T06:07:57"/>
    <d v="2023-10-02T06:06:45"/>
    <s v="Within SLA"/>
    <d v="2023-10-04T01:30:26"/>
    <x v="0"/>
    <d v="2023-10-08T10:26:01"/>
    <n v="5"/>
    <n v="2"/>
    <x v="2"/>
    <x v="0"/>
    <s v="Poland"/>
    <n v="52.536273000000001"/>
    <n v="19.050639"/>
    <s v="ok"/>
    <s v="ok"/>
    <s v="ok"/>
    <s v="ok"/>
    <s v="ok"/>
    <x v="0"/>
    <n v="43.408088055672124"/>
  </r>
  <r>
    <x v="2"/>
    <n v="3234"/>
    <x v="0"/>
    <x v="0"/>
    <x v="1"/>
    <s v="1st line support"/>
    <x v="4"/>
    <x v="1747"/>
    <d v="2023-10-04T23:15:59"/>
    <d v="2023-10-03T00:15:59"/>
    <d v="2023-10-02T23:55:47"/>
    <s v="Within SLA"/>
    <d v="2023-10-06T06:21:35"/>
    <x v="1"/>
    <m/>
    <n v="8"/>
    <m/>
    <x v="2"/>
    <x v="0"/>
    <s v="United Kingdom"/>
    <n v="55.378051999999997"/>
    <n v="-3.4359730000000002"/>
    <s v="ok"/>
    <s v="ok"/>
    <s v="ok"/>
    <s v="ok"/>
    <s v="ok"/>
    <x v="0"/>
    <n v="79.093253055587411"/>
  </r>
  <r>
    <x v="0"/>
    <n v="3235"/>
    <x v="2"/>
    <x v="1"/>
    <x v="4"/>
    <s v="1st line support"/>
    <x v="4"/>
    <x v="1748"/>
    <d v="2023-10-04T03:14:09"/>
    <d v="2023-10-02T03:16:09"/>
    <d v="2023-10-02T03:19:15"/>
    <s v="SLA Violated"/>
    <d v="2023-10-03T05:36:35"/>
    <x v="0"/>
    <d v="2023-10-03T00:04:21"/>
    <n v="2"/>
    <n v="3"/>
    <x v="0"/>
    <x v="0"/>
    <s v="Austria"/>
    <n v="47.696471899999999"/>
    <n v="13.3457347"/>
    <s v="ok"/>
    <s v="ok"/>
    <s v="check"/>
    <s v="ok"/>
    <s v="ok"/>
    <x v="0"/>
    <n v="26.374003888922743"/>
  </r>
  <r>
    <x v="2"/>
    <n v="3236"/>
    <x v="2"/>
    <x v="0"/>
    <x v="5"/>
    <s v="2nd line support"/>
    <x v="7"/>
    <x v="1749"/>
    <d v="2023-10-05T01:21:20"/>
    <d v="2023-10-03T02:21:20"/>
    <d v="2023-10-03T01:49:33"/>
    <s v="Within SLA"/>
    <d v="2023-10-04T08:40:50"/>
    <x v="0"/>
    <m/>
    <n v="1"/>
    <m/>
    <x v="2"/>
    <x v="1"/>
    <s v="Greece"/>
    <n v="39.368279000000001"/>
    <n v="21.863140999999999"/>
    <s v="ok"/>
    <s v="ok"/>
    <s v="ok"/>
    <s v="ok"/>
    <s v="ok"/>
    <x v="0"/>
    <n v="31.324966111220419"/>
  </r>
  <r>
    <x v="0"/>
    <n v="3237"/>
    <x v="2"/>
    <x v="2"/>
    <x v="6"/>
    <s v="1st line support"/>
    <x v="4"/>
    <x v="1750"/>
    <d v="2023-10-04T08:47:28"/>
    <d v="2023-10-03T08:49:28"/>
    <d v="2023-10-03T08:50:33"/>
    <s v="SLA Violated"/>
    <d v="2023-10-04T08:40:20"/>
    <x v="0"/>
    <d v="2023-10-06T02:00:58"/>
    <n v="5"/>
    <n v="4"/>
    <x v="3"/>
    <x v="0"/>
    <s v="Poland"/>
    <n v="52.536273000000001"/>
    <n v="19.050639"/>
    <s v="ok"/>
    <s v="ok"/>
    <s v="ok"/>
    <s v="ok"/>
    <s v="ok"/>
    <x v="0"/>
    <n v="23.881174999871291"/>
  </r>
  <r>
    <x v="2"/>
    <n v="3238"/>
    <x v="0"/>
    <x v="2"/>
    <x v="3"/>
    <s v="1st line support"/>
    <x v="6"/>
    <x v="1751"/>
    <d v="2023-10-04T02:51:22"/>
    <d v="2023-10-03T02:53:22"/>
    <d v="2023-10-03T02:53:08"/>
    <s v="Within SLA"/>
    <d v="2023-10-04T00:17:38"/>
    <x v="0"/>
    <m/>
    <n v="8"/>
    <m/>
    <x v="0"/>
    <x v="0"/>
    <s v="Italy"/>
    <n v="43.036776000000003"/>
    <n v="12.678565000000001"/>
    <s v="ok"/>
    <s v="ok"/>
    <s v="ok"/>
    <s v="ok"/>
    <s v="ok"/>
    <x v="0"/>
    <n v="21.437761944369413"/>
  </r>
  <r>
    <x v="0"/>
    <n v="3239"/>
    <x v="1"/>
    <x v="0"/>
    <x v="1"/>
    <s v="2nd line support"/>
    <x v="7"/>
    <x v="1752"/>
    <d v="2023-10-05T02:21:32"/>
    <d v="2023-10-03T03:21:32"/>
    <d v="2023-10-03T02:38:44"/>
    <s v="Within SLA"/>
    <d v="2023-10-04T19:30:32"/>
    <x v="0"/>
    <d v="2023-10-06T08:48:12"/>
    <n v="1"/>
    <n v="3"/>
    <x v="0"/>
    <x v="1"/>
    <s v="Spain"/>
    <n v="39.673369999999998"/>
    <n v="-4.7677259999999997"/>
    <s v="ok"/>
    <s v="ok"/>
    <s v="ok"/>
    <s v="ok"/>
    <s v="ok"/>
    <x v="0"/>
    <n v="41.150130833324511"/>
  </r>
  <r>
    <x v="2"/>
    <n v="3240"/>
    <x v="0"/>
    <x v="2"/>
    <x v="0"/>
    <s v="2nd line support"/>
    <x v="5"/>
    <x v="1753"/>
    <d v="2023-10-04T22:55:49"/>
    <d v="2023-10-03T22:57:49"/>
    <d v="2023-10-03T22:56:58"/>
    <s v="Within SLA"/>
    <d v="2023-10-07T15:01:05"/>
    <x v="1"/>
    <m/>
    <n v="2"/>
    <m/>
    <x v="1"/>
    <x v="1"/>
    <s v="United Kingdom"/>
    <n v="55.378051999999997"/>
    <n v="-3.4359730000000002"/>
    <s v="ok"/>
    <s v="ok"/>
    <s v="ok"/>
    <s v="ok"/>
    <s v="ok"/>
    <x v="0"/>
    <n v="88.087796666601207"/>
  </r>
  <r>
    <x v="1"/>
    <n v="3241"/>
    <x v="2"/>
    <x v="0"/>
    <x v="3"/>
    <s v="1st line support"/>
    <x v="3"/>
    <x v="1754"/>
    <d v="2023-10-05T16:05:53"/>
    <d v="2023-10-03T17:05:53"/>
    <d v="2023-10-03T16:53:53"/>
    <s v="Within SLA"/>
    <m/>
    <x v="1"/>
    <m/>
    <n v="1"/>
    <m/>
    <x v="2"/>
    <x v="0"/>
    <s v="Slovenia"/>
    <n v="46.149166399999999"/>
    <n v="14.9860106"/>
    <s v="ok"/>
    <s v="ok"/>
    <s v="ok"/>
    <s v="ok"/>
    <s v="ok"/>
    <x v="1"/>
    <s v=""/>
  </r>
  <r>
    <x v="0"/>
    <n v="3242"/>
    <x v="1"/>
    <x v="2"/>
    <x v="2"/>
    <s v="2nd line support"/>
    <x v="7"/>
    <x v="1755"/>
    <d v="2023-10-04T12:16:58"/>
    <d v="2023-10-03T12:18:58"/>
    <d v="2023-10-03T12:18:22"/>
    <s v="Within SLA"/>
    <d v="2023-10-08T01:25:15"/>
    <x v="1"/>
    <d v="2023-10-09T06:41:20"/>
    <n v="2"/>
    <n v="4"/>
    <x v="2"/>
    <x v="1"/>
    <s v="Poland"/>
    <n v="52.536273000000001"/>
    <n v="19.050639"/>
    <s v="ok"/>
    <s v="ok"/>
    <s v="ok"/>
    <s v="ok"/>
    <s v="ok"/>
    <x v="0"/>
    <n v="109.13797194458311"/>
  </r>
  <r>
    <x v="1"/>
    <n v="3243"/>
    <x v="2"/>
    <x v="0"/>
    <x v="1"/>
    <s v="2nd line support"/>
    <x v="1"/>
    <x v="1756"/>
    <d v="2023-10-06T01:11:12"/>
    <d v="2023-10-04T02:11:12"/>
    <d v="2023-10-04T01:17:30"/>
    <s v="Within SLA"/>
    <m/>
    <x v="1"/>
    <m/>
    <n v="4"/>
    <m/>
    <x v="1"/>
    <x v="1"/>
    <s v="United Kingdom"/>
    <n v="55.378051999999997"/>
    <n v="-3.4359730000000002"/>
    <s v="ok"/>
    <s v="ok"/>
    <s v="ok"/>
    <s v="ok"/>
    <s v="ok"/>
    <x v="1"/>
    <s v=""/>
  </r>
  <r>
    <x v="0"/>
    <n v="3244"/>
    <x v="0"/>
    <x v="0"/>
    <x v="1"/>
    <s v="1st line support"/>
    <x v="0"/>
    <x v="1757"/>
    <d v="2023-10-06T21:18:44"/>
    <d v="2023-10-04T22:18:44"/>
    <d v="2023-10-04T22:10:40"/>
    <s v="Within SLA"/>
    <d v="2023-10-05T03:01:25"/>
    <x v="0"/>
    <d v="2023-10-06T05:18:13"/>
    <n v="9"/>
    <n v="2"/>
    <x v="0"/>
    <x v="0"/>
    <s v="Germany"/>
    <n v="51.165691000000002"/>
    <n v="10.451525999999999"/>
    <s v="ok"/>
    <s v="ok"/>
    <s v="ok"/>
    <s v="ok"/>
    <s v="ok"/>
    <x v="0"/>
    <n v="5.711498333257623"/>
  </r>
  <r>
    <x v="0"/>
    <n v="3245"/>
    <x v="1"/>
    <x v="0"/>
    <x v="4"/>
    <s v="1st line support"/>
    <x v="3"/>
    <x v="1758"/>
    <d v="2023-10-06T03:45:47"/>
    <d v="2023-10-04T04:45:47"/>
    <d v="2023-10-04T04:19:30"/>
    <s v="Within SLA"/>
    <d v="2023-10-05T13:18:38"/>
    <x v="0"/>
    <d v="2023-10-11T03:26:39"/>
    <n v="8"/>
    <n v="3"/>
    <x v="2"/>
    <x v="0"/>
    <s v="Greece"/>
    <n v="39.368279000000001"/>
    <n v="21.863140999999999"/>
    <s v="ok"/>
    <s v="ok"/>
    <s v="ok"/>
    <s v="ok"/>
    <s v="ok"/>
    <x v="0"/>
    <n v="33.547564444423188"/>
  </r>
  <r>
    <x v="0"/>
    <n v="3246"/>
    <x v="0"/>
    <x v="0"/>
    <x v="1"/>
    <s v="1st line support"/>
    <x v="2"/>
    <x v="1759"/>
    <d v="2023-10-06T13:30:44"/>
    <d v="2023-10-04T14:30:44"/>
    <d v="2023-10-04T14:12:43"/>
    <s v="Within SLA"/>
    <d v="2023-10-08T04:12:00"/>
    <x v="1"/>
    <d v="2023-10-09T18:30:17"/>
    <n v="7"/>
    <n v="3"/>
    <x v="2"/>
    <x v="0"/>
    <s v="Czech Republic"/>
    <n v="49.8037633"/>
    <n v="15.4749126"/>
    <s v="ok"/>
    <s v="ok"/>
    <s v="ok"/>
    <s v="ok"/>
    <s v="ok"/>
    <x v="0"/>
    <n v="86.687734722218011"/>
  </r>
  <r>
    <x v="2"/>
    <n v="3247"/>
    <x v="0"/>
    <x v="2"/>
    <x v="1"/>
    <s v="2nd line support"/>
    <x v="1"/>
    <x v="1760"/>
    <d v="2023-10-05T00:32:04"/>
    <d v="2023-10-04T00:34:04"/>
    <d v="2023-10-04T00:33:57"/>
    <s v="Within SLA"/>
    <d v="2023-10-04T11:25:15"/>
    <x v="0"/>
    <m/>
    <n v="2"/>
    <m/>
    <x v="0"/>
    <x v="1"/>
    <s v="United Kingdom"/>
    <n v="55.378051999999997"/>
    <n v="-3.4359730000000002"/>
    <s v="ok"/>
    <s v="ok"/>
    <s v="ok"/>
    <s v="ok"/>
    <s v="ok"/>
    <x v="0"/>
    <n v="10.886473611113615"/>
  </r>
  <r>
    <x v="2"/>
    <n v="3248"/>
    <x v="2"/>
    <x v="0"/>
    <x v="1"/>
    <s v="1st line support"/>
    <x v="6"/>
    <x v="1761"/>
    <d v="2023-10-06T07:03:44"/>
    <d v="2023-10-04T08:03:44"/>
    <d v="2023-10-04T07:28:29"/>
    <s v="Within SLA"/>
    <d v="2023-10-04T15:51:43"/>
    <x v="0"/>
    <m/>
    <n v="1"/>
    <m/>
    <x v="3"/>
    <x v="0"/>
    <s v="Bulgaria"/>
    <n v="42.724992499999999"/>
    <n v="25.483303899999999"/>
    <s v="ok"/>
    <s v="ok"/>
    <s v="ok"/>
    <s v="ok"/>
    <s v="ok"/>
    <x v="0"/>
    <n v="8.7998461110983044"/>
  </r>
  <r>
    <x v="2"/>
    <n v="3249"/>
    <x v="2"/>
    <x v="0"/>
    <x v="1"/>
    <s v="1st line support"/>
    <x v="0"/>
    <x v="1762"/>
    <d v="2023-10-06T09:31:24"/>
    <d v="2023-10-04T10:31:24"/>
    <d v="2023-10-04T09:48:33"/>
    <s v="Within SLA"/>
    <d v="2023-10-05T22:59:18"/>
    <x v="0"/>
    <m/>
    <n v="10"/>
    <m/>
    <x v="2"/>
    <x v="0"/>
    <s v="Spain"/>
    <n v="39.673369999999998"/>
    <n v="-4.7677259999999997"/>
    <s v="ok"/>
    <s v="ok"/>
    <s v="ok"/>
    <s v="ok"/>
    <s v="ok"/>
    <x v="0"/>
    <n v="37.464926944579929"/>
  </r>
  <r>
    <x v="1"/>
    <n v="3250"/>
    <x v="0"/>
    <x v="0"/>
    <x v="1"/>
    <s v="1st line support"/>
    <x v="6"/>
    <x v="1763"/>
    <d v="2023-10-07T05:10:40"/>
    <d v="2023-10-05T06:10:40"/>
    <d v="2023-10-05T05:41:14"/>
    <s v="Within SLA"/>
    <m/>
    <x v="1"/>
    <m/>
    <n v="1"/>
    <m/>
    <x v="3"/>
    <x v="0"/>
    <s v="United Kingdom"/>
    <n v="55.378051999999997"/>
    <n v="-3.4359730000000002"/>
    <s v="ok"/>
    <s v="ok"/>
    <s v="ok"/>
    <s v="ok"/>
    <s v="ok"/>
    <x v="1"/>
    <s v=""/>
  </r>
  <r>
    <x v="2"/>
    <n v="3251"/>
    <x v="1"/>
    <x v="1"/>
    <x v="4"/>
    <s v="1st line support"/>
    <x v="2"/>
    <x v="1764"/>
    <d v="2023-10-07T16:45:56"/>
    <d v="2023-10-05T16:47:56"/>
    <d v="2023-10-05T16:47:09"/>
    <s v="Within SLA"/>
    <d v="2023-10-06T07:56:18"/>
    <x v="0"/>
    <m/>
    <n v="3"/>
    <m/>
    <x v="1"/>
    <x v="0"/>
    <s v="Poland"/>
    <n v="52.536273000000001"/>
    <n v="19.050639"/>
    <s v="ok"/>
    <s v="ok"/>
    <s v="ok"/>
    <s v="ok"/>
    <s v="ok"/>
    <x v="0"/>
    <n v="15.172717499895953"/>
  </r>
  <r>
    <x v="0"/>
    <n v="3252"/>
    <x v="1"/>
    <x v="0"/>
    <x v="1"/>
    <s v="1st line support"/>
    <x v="3"/>
    <x v="1765"/>
    <d v="2023-10-07T04:06:05"/>
    <d v="2023-10-05T05:06:05"/>
    <d v="2023-10-05T04:19:48"/>
    <s v="Within SLA"/>
    <d v="2023-10-10T13:03:57"/>
    <x v="1"/>
    <d v="2023-10-11T20:10:44"/>
    <n v="4"/>
    <n v="5"/>
    <x v="2"/>
    <x v="0"/>
    <s v="Poland"/>
    <n v="52.536273000000001"/>
    <n v="19.050639"/>
    <s v="ok"/>
    <s v="ok"/>
    <s v="ok"/>
    <s v="ok"/>
    <s v="ok"/>
    <x v="0"/>
    <n v="128.96442555554677"/>
  </r>
  <r>
    <x v="0"/>
    <n v="3253"/>
    <x v="0"/>
    <x v="0"/>
    <x v="3"/>
    <s v="1st line support"/>
    <x v="0"/>
    <x v="1766"/>
    <d v="2023-10-07T12:30:40"/>
    <d v="2023-10-05T13:30:40"/>
    <d v="2023-10-05T12:59:34"/>
    <s v="Within SLA"/>
    <d v="2023-10-06T04:48:44"/>
    <x v="0"/>
    <d v="2023-10-09T19:50:28"/>
    <n v="6"/>
    <n v="4"/>
    <x v="2"/>
    <x v="0"/>
    <s v="Slovenia"/>
    <n v="46.149166399999999"/>
    <n v="14.9860106"/>
    <s v="ok"/>
    <s v="ok"/>
    <s v="ok"/>
    <s v="ok"/>
    <s v="ok"/>
    <x v="0"/>
    <n v="16.301108055515215"/>
  </r>
  <r>
    <x v="2"/>
    <n v="3254"/>
    <x v="1"/>
    <x v="0"/>
    <x v="0"/>
    <s v="1st line support"/>
    <x v="4"/>
    <x v="1767"/>
    <d v="2023-10-07T21:48:09"/>
    <d v="2023-10-05T22:48:09"/>
    <d v="2023-10-05T22:32:04"/>
    <s v="Within SLA"/>
    <d v="2023-10-07T07:49:17"/>
    <x v="0"/>
    <m/>
    <n v="3"/>
    <m/>
    <x v="2"/>
    <x v="0"/>
    <s v="France"/>
    <n v="48.864716000000001"/>
    <n v="2.3490139999999999"/>
    <s v="ok"/>
    <s v="ok"/>
    <s v="ok"/>
    <s v="ok"/>
    <s v="ok"/>
    <x v="0"/>
    <n v="34.01880722225178"/>
  </r>
  <r>
    <x v="1"/>
    <n v="3255"/>
    <x v="0"/>
    <x v="0"/>
    <x v="3"/>
    <s v="2nd line support"/>
    <x v="1"/>
    <x v="1768"/>
    <d v="2023-10-07T06:04:33"/>
    <d v="2023-10-05T07:04:33"/>
    <d v="2023-10-05T06:16:41"/>
    <s v="Within SLA"/>
    <m/>
    <x v="1"/>
    <m/>
    <n v="1"/>
    <m/>
    <x v="2"/>
    <x v="1"/>
    <s v="Italy"/>
    <n v="43.036776000000003"/>
    <n v="12.678565000000001"/>
    <s v="ok"/>
    <s v="ok"/>
    <s v="ok"/>
    <s v="ok"/>
    <s v="ok"/>
    <x v="1"/>
    <s v=""/>
  </r>
  <r>
    <x v="0"/>
    <n v="3256"/>
    <x v="0"/>
    <x v="2"/>
    <x v="6"/>
    <s v="1st line support"/>
    <x v="0"/>
    <x v="1769"/>
    <d v="2023-10-06T06:44:05"/>
    <d v="2023-10-05T06:46:05"/>
    <d v="2023-10-05T06:45:27"/>
    <s v="Within SLA"/>
    <d v="2023-10-09T18:23:04"/>
    <x v="1"/>
    <d v="2023-10-09T19:19:23"/>
    <n v="6"/>
    <n v="4"/>
    <x v="3"/>
    <x v="0"/>
    <s v="Austria"/>
    <n v="47.696471899999999"/>
    <n v="13.3457347"/>
    <s v="ok"/>
    <s v="ok"/>
    <s v="ok"/>
    <s v="ok"/>
    <s v="ok"/>
    <x v="0"/>
    <n v="107.64981111127418"/>
  </r>
  <r>
    <x v="2"/>
    <n v="3257"/>
    <x v="2"/>
    <x v="0"/>
    <x v="0"/>
    <s v="2nd line support"/>
    <x v="5"/>
    <x v="1770"/>
    <d v="2023-10-08T03:18:41"/>
    <d v="2023-10-06T04:18:41"/>
    <d v="2023-10-06T03:38:39"/>
    <s v="Within SLA"/>
    <d v="2023-10-06T08:11:07"/>
    <x v="0"/>
    <m/>
    <n v="1"/>
    <m/>
    <x v="1"/>
    <x v="1"/>
    <s v="United Kingdom"/>
    <n v="55.378051999999997"/>
    <n v="-3.4359730000000002"/>
    <s v="ok"/>
    <s v="ok"/>
    <s v="ok"/>
    <s v="ok"/>
    <s v="ok"/>
    <x v="0"/>
    <n v="4.873799444467295"/>
  </r>
  <r>
    <x v="0"/>
    <n v="3258"/>
    <x v="0"/>
    <x v="1"/>
    <x v="3"/>
    <s v="2nd line support"/>
    <x v="5"/>
    <x v="1771"/>
    <d v="2023-10-08T08:01:52"/>
    <d v="2023-10-06T08:03:52"/>
    <d v="2023-10-06T08:03:15"/>
    <s v="Within SLA"/>
    <d v="2023-10-07T00:10:29"/>
    <x v="0"/>
    <d v="2023-10-10T15:30:18"/>
    <n v="2"/>
    <n v="3"/>
    <x v="2"/>
    <x v="1"/>
    <s v="Italy"/>
    <n v="43.036776000000003"/>
    <n v="12.678565000000001"/>
    <s v="ok"/>
    <s v="ok"/>
    <s v="ok"/>
    <s v="ok"/>
    <s v="ok"/>
    <x v="0"/>
    <n v="16.143740277795587"/>
  </r>
  <r>
    <x v="0"/>
    <n v="3259"/>
    <x v="2"/>
    <x v="0"/>
    <x v="3"/>
    <s v="1st line support"/>
    <x v="6"/>
    <x v="1772"/>
    <d v="2023-10-08T21:17:46"/>
    <d v="2023-10-06T22:17:46"/>
    <d v="2023-10-06T21:24:07"/>
    <s v="Within SLA"/>
    <d v="2023-10-08T19:30:54"/>
    <x v="0"/>
    <d v="2023-10-08T12:02:34"/>
    <n v="9"/>
    <n v="2"/>
    <x v="0"/>
    <x v="0"/>
    <s v="Spain"/>
    <n v="39.673369999999998"/>
    <n v="-4.7677259999999997"/>
    <s v="ok"/>
    <s v="ok"/>
    <s v="check"/>
    <s v="ok"/>
    <s v="ok"/>
    <x v="0"/>
    <n v="46.218824999872595"/>
  </r>
  <r>
    <x v="1"/>
    <n v="3260"/>
    <x v="2"/>
    <x v="2"/>
    <x v="6"/>
    <s v="1st line support"/>
    <x v="4"/>
    <x v="1773"/>
    <d v="2023-10-07T14:38:41"/>
    <d v="2023-10-06T14:40:41"/>
    <d v="2023-10-06T14:39:33"/>
    <s v="Within SLA"/>
    <m/>
    <x v="1"/>
    <m/>
    <n v="5"/>
    <m/>
    <x v="3"/>
    <x v="0"/>
    <s v="United Kingdom"/>
    <n v="55.378051999999997"/>
    <n v="-3.4359730000000002"/>
    <s v="ok"/>
    <s v="ok"/>
    <s v="ok"/>
    <s v="ok"/>
    <s v="ok"/>
    <x v="1"/>
    <s v=""/>
  </r>
  <r>
    <x v="0"/>
    <n v="3261"/>
    <x v="0"/>
    <x v="2"/>
    <x v="0"/>
    <s v="1st line support"/>
    <x v="6"/>
    <x v="1774"/>
    <d v="2023-10-07T07:23:29"/>
    <d v="2023-10-06T07:25:29"/>
    <d v="2023-10-06T07:24:39"/>
    <s v="Within SLA"/>
    <d v="2023-10-06T16:18:50"/>
    <x v="0"/>
    <d v="2023-10-08T14:48:04"/>
    <n v="6"/>
    <n v="3"/>
    <x v="0"/>
    <x v="0"/>
    <s v="Italy"/>
    <n v="43.036776000000003"/>
    <n v="12.678565000000001"/>
    <s v="ok"/>
    <s v="ok"/>
    <s v="ok"/>
    <s v="ok"/>
    <s v="ok"/>
    <x v="0"/>
    <n v="8.9223730555968359"/>
  </r>
  <r>
    <x v="2"/>
    <n v="3262"/>
    <x v="0"/>
    <x v="1"/>
    <x v="1"/>
    <s v="1st line support"/>
    <x v="2"/>
    <x v="1775"/>
    <d v="2023-10-08T05:55:08"/>
    <d v="2023-10-06T05:57:08"/>
    <d v="2023-10-06T05:56:29"/>
    <s v="Within SLA"/>
    <d v="2023-10-07T18:51:07"/>
    <x v="0"/>
    <m/>
    <n v="5"/>
    <m/>
    <x v="2"/>
    <x v="0"/>
    <s v="Czech Republic"/>
    <n v="49.8037633"/>
    <n v="15.4749126"/>
    <s v="ok"/>
    <s v="ok"/>
    <s v="ok"/>
    <s v="ok"/>
    <s v="ok"/>
    <x v="0"/>
    <n v="36.933137499843724"/>
  </r>
  <r>
    <x v="0"/>
    <n v="3263"/>
    <x v="2"/>
    <x v="0"/>
    <x v="1"/>
    <s v="1st line support"/>
    <x v="4"/>
    <x v="1776"/>
    <d v="2023-10-08T03:10:41"/>
    <d v="2023-10-06T04:10:41"/>
    <d v="2023-10-06T03:24:30"/>
    <s v="Within SLA"/>
    <d v="2023-10-10T17:56:56"/>
    <x v="1"/>
    <d v="2023-10-12T16:56:56"/>
    <n v="2"/>
    <n v="3"/>
    <x v="0"/>
    <x v="0"/>
    <s v="Italy"/>
    <n v="43.036776000000003"/>
    <n v="12.678565000000001"/>
    <s v="ok"/>
    <s v="ok"/>
    <s v="ok"/>
    <s v="ok"/>
    <s v="ok"/>
    <x v="0"/>
    <n v="110.7708149998798"/>
  </r>
  <r>
    <x v="0"/>
    <n v="3264"/>
    <x v="2"/>
    <x v="2"/>
    <x v="0"/>
    <s v="1st line support"/>
    <x v="3"/>
    <x v="1777"/>
    <d v="2023-10-07T00:29:50"/>
    <d v="2023-10-06T00:31:50"/>
    <d v="2023-10-06T00:33:26"/>
    <s v="SLA Violated"/>
    <d v="2023-10-10T19:34:10"/>
    <x v="1"/>
    <d v="2023-10-11T05:44:39"/>
    <n v="6"/>
    <n v="3"/>
    <x v="2"/>
    <x v="0"/>
    <s v="Spain"/>
    <n v="39.673369999999998"/>
    <n v="-4.7677259999999997"/>
    <s v="ok"/>
    <s v="ok"/>
    <s v="ok"/>
    <s v="ok"/>
    <s v="ok"/>
    <x v="0"/>
    <n v="115.07218888902571"/>
  </r>
  <r>
    <x v="0"/>
    <n v="3265"/>
    <x v="0"/>
    <x v="0"/>
    <x v="1"/>
    <s v="2nd line support"/>
    <x v="1"/>
    <x v="1778"/>
    <d v="2023-10-08T23:57:46"/>
    <d v="2023-10-07T00:57:46"/>
    <d v="2023-10-07T00:55:57"/>
    <s v="Within SLA"/>
    <d v="2023-10-08T17:05:12"/>
    <x v="0"/>
    <d v="2023-10-11T14:09:37"/>
    <n v="1"/>
    <n v="2"/>
    <x v="3"/>
    <x v="1"/>
    <s v="Germany"/>
    <n v="51.165691000000002"/>
    <n v="10.451525999999999"/>
    <s v="ok"/>
    <s v="ok"/>
    <s v="ok"/>
    <s v="ok"/>
    <s v="ok"/>
    <x v="0"/>
    <n v="41.123790833225939"/>
  </r>
  <r>
    <x v="2"/>
    <n v="3266"/>
    <x v="2"/>
    <x v="0"/>
    <x v="5"/>
    <s v="2nd line support"/>
    <x v="7"/>
    <x v="1779"/>
    <d v="2023-10-08T18:47:37"/>
    <d v="2023-10-06T19:47:37"/>
    <d v="2023-10-06T23:07:41"/>
    <s v="SLA Violated"/>
    <d v="2023-10-07T19:24:34"/>
    <x v="0"/>
    <m/>
    <n v="1"/>
    <m/>
    <x v="1"/>
    <x v="1"/>
    <s v="Republic of Ireland"/>
    <n v="53.094023999999997"/>
    <n v="-8.0196749999999994"/>
    <s v="ok"/>
    <s v="ok"/>
    <s v="ok"/>
    <s v="ok"/>
    <s v="ok"/>
    <x v="0"/>
    <n v="24.615753055550158"/>
  </r>
  <r>
    <x v="2"/>
    <n v="3267"/>
    <x v="0"/>
    <x v="2"/>
    <x v="1"/>
    <s v="1st line support"/>
    <x v="2"/>
    <x v="1780"/>
    <d v="2023-10-08T17:08:31"/>
    <d v="2023-10-07T17:10:31"/>
    <d v="2023-10-07T17:09:33"/>
    <s v="Within SLA"/>
    <d v="2023-10-08T02:27:12"/>
    <x v="0"/>
    <m/>
    <n v="7"/>
    <m/>
    <x v="0"/>
    <x v="0"/>
    <s v="Poland"/>
    <n v="52.536273000000001"/>
    <n v="19.050639"/>
    <s v="ok"/>
    <s v="ok"/>
    <s v="ok"/>
    <s v="ok"/>
    <s v="ok"/>
    <x v="0"/>
    <n v="9.311255277658347"/>
  </r>
  <r>
    <x v="0"/>
    <n v="3269"/>
    <x v="0"/>
    <x v="2"/>
    <x v="1"/>
    <s v="2nd line support"/>
    <x v="5"/>
    <x v="1781"/>
    <d v="2023-10-08T06:00:57"/>
    <d v="2023-10-07T06:02:57"/>
    <d v="2023-10-07T06:02:53"/>
    <s v="Within SLA"/>
    <d v="2023-10-07T11:02:55"/>
    <x v="0"/>
    <d v="2023-10-09T00:28:44"/>
    <n v="9"/>
    <n v="1"/>
    <x v="2"/>
    <x v="1"/>
    <s v="Greece"/>
    <n v="39.368279000000001"/>
    <n v="21.863140999999999"/>
    <s v="ok"/>
    <s v="ok"/>
    <s v="ok"/>
    <s v="ok"/>
    <s v="ok"/>
    <x v="0"/>
    <n v="5.0328188887797296"/>
  </r>
  <r>
    <x v="1"/>
    <n v="3271"/>
    <x v="0"/>
    <x v="0"/>
    <x v="2"/>
    <s v="1st line support"/>
    <x v="4"/>
    <x v="1782"/>
    <d v="2023-10-09T03:30:54"/>
    <d v="2023-10-07T04:30:54"/>
    <d v="2023-10-07T04:00:33"/>
    <s v="Within SLA"/>
    <m/>
    <x v="1"/>
    <m/>
    <n v="1"/>
    <m/>
    <x v="0"/>
    <x v="0"/>
    <s v="Italy"/>
    <n v="43.036776000000003"/>
    <n v="12.678565000000001"/>
    <s v="ok"/>
    <s v="ok"/>
    <s v="ok"/>
    <s v="ok"/>
    <s v="ok"/>
    <x v="1"/>
    <s v=""/>
  </r>
  <r>
    <x v="0"/>
    <n v="3272"/>
    <x v="2"/>
    <x v="2"/>
    <x v="4"/>
    <s v="1st line support"/>
    <x v="0"/>
    <x v="1783"/>
    <d v="2023-10-08T16:37:00"/>
    <d v="2023-10-07T16:39:00"/>
    <d v="2023-10-07T16:37:34"/>
    <s v="Within SLA"/>
    <d v="2023-10-09T02:48:56"/>
    <x v="1"/>
    <d v="2023-10-10T12:44:57"/>
    <n v="2"/>
    <n v="4"/>
    <x v="0"/>
    <x v="0"/>
    <s v="Austria"/>
    <n v="47.696471899999999"/>
    <n v="13.3457347"/>
    <s v="ok"/>
    <s v="ok"/>
    <s v="ok"/>
    <s v="ok"/>
    <s v="ok"/>
    <x v="0"/>
    <n v="34.198777777666692"/>
  </r>
  <r>
    <x v="0"/>
    <n v="3279"/>
    <x v="0"/>
    <x v="2"/>
    <x v="5"/>
    <s v="2nd line support"/>
    <x v="5"/>
    <x v="1784"/>
    <d v="2023-10-09T09:20:28"/>
    <d v="2023-10-08T09:22:28"/>
    <d v="2023-10-08T09:20:39"/>
    <s v="Within SLA"/>
    <d v="2023-10-08T22:05:13"/>
    <x v="0"/>
    <d v="2023-10-14T08:40:28"/>
    <n v="5"/>
    <n v="5"/>
    <x v="3"/>
    <x v="1"/>
    <s v="Spain"/>
    <n v="39.673369999999998"/>
    <n v="-4.7677259999999997"/>
    <s v="ok"/>
    <s v="ok"/>
    <s v="ok"/>
    <s v="ok"/>
    <s v="ok"/>
    <x v="0"/>
    <n v="12.745860277907923"/>
  </r>
  <r>
    <x v="0"/>
    <n v="3281"/>
    <x v="0"/>
    <x v="2"/>
    <x v="1"/>
    <s v="2nd line support"/>
    <x v="1"/>
    <x v="1785"/>
    <d v="2023-10-10T07:02:33"/>
    <d v="2023-10-09T07:04:33"/>
    <d v="2023-10-09T07:03:12"/>
    <s v="Within SLA"/>
    <d v="2023-10-13T06:13:43"/>
    <x v="1"/>
    <d v="2023-10-14T23:42:08"/>
    <n v="4"/>
    <n v="5"/>
    <x v="2"/>
    <x v="1"/>
    <s v="Greece"/>
    <n v="39.368279000000001"/>
    <n v="21.863140999999999"/>
    <s v="ok"/>
    <s v="ok"/>
    <s v="ok"/>
    <s v="ok"/>
    <s v="ok"/>
    <x v="0"/>
    <n v="95.186059166793711"/>
  </r>
  <r>
    <x v="0"/>
    <n v="3282"/>
    <x v="2"/>
    <x v="0"/>
    <x v="5"/>
    <s v="1st line support"/>
    <x v="6"/>
    <x v="1786"/>
    <d v="2023-10-11T15:02:45"/>
    <d v="2023-10-09T16:02:45"/>
    <d v="2023-10-09T15:38:42"/>
    <s v="Within SLA"/>
    <d v="2023-10-09T15:25:27"/>
    <x v="0"/>
    <d v="2023-10-11T08:15:42"/>
    <n v="6"/>
    <n v="5"/>
    <x v="2"/>
    <x v="0"/>
    <s v="Czech Republic"/>
    <n v="49.8037633"/>
    <n v="15.4749126"/>
    <s v="ok"/>
    <s v="ok"/>
    <s v="ok"/>
    <s v="ok"/>
    <s v="ok"/>
    <x v="0"/>
    <n v="0.37830972211668268"/>
  </r>
  <r>
    <x v="2"/>
    <n v="3283"/>
    <x v="1"/>
    <x v="0"/>
    <x v="1"/>
    <s v="1st line support"/>
    <x v="2"/>
    <x v="1787"/>
    <d v="2023-10-11T07:10:47"/>
    <d v="2023-10-09T08:10:47"/>
    <d v="2023-10-09T07:41:54"/>
    <s v="Within SLA"/>
    <d v="2023-10-10T23:24:24"/>
    <x v="0"/>
    <m/>
    <n v="4"/>
    <m/>
    <x v="1"/>
    <x v="0"/>
    <s v="Italy"/>
    <n v="43.036776000000003"/>
    <n v="12.678565000000001"/>
    <s v="ok"/>
    <s v="ok"/>
    <s v="ok"/>
    <s v="ok"/>
    <s v="ok"/>
    <x v="0"/>
    <n v="40.226874444459099"/>
  </r>
  <r>
    <x v="0"/>
    <n v="3284"/>
    <x v="1"/>
    <x v="2"/>
    <x v="5"/>
    <s v="1st line support"/>
    <x v="3"/>
    <x v="1788"/>
    <d v="2023-10-10T04:28:25"/>
    <d v="2023-10-09T04:30:25"/>
    <d v="2023-10-09T04:30:16"/>
    <s v="Within SLA"/>
    <d v="2023-10-12T00:56:43"/>
    <x v="1"/>
    <d v="2023-10-13T06:51:40"/>
    <n v="9"/>
    <n v="5"/>
    <x v="3"/>
    <x v="0"/>
    <s v="Italy"/>
    <n v="43.036776000000003"/>
    <n v="12.678565000000001"/>
    <s v="ok"/>
    <s v="ok"/>
    <s v="ok"/>
    <s v="ok"/>
    <s v="ok"/>
    <x v="0"/>
    <n v="68.471678055531811"/>
  </r>
  <r>
    <x v="0"/>
    <n v="3285"/>
    <x v="0"/>
    <x v="0"/>
    <x v="3"/>
    <s v="1st line support"/>
    <x v="0"/>
    <x v="1789"/>
    <d v="2023-10-11T18:03:15"/>
    <d v="2023-10-09T19:03:15"/>
    <d v="2023-10-09T18:29:03"/>
    <s v="Within SLA"/>
    <d v="2023-10-10T15:01:07"/>
    <x v="0"/>
    <d v="2023-10-12T21:45:19"/>
    <n v="4"/>
    <n v="5"/>
    <x v="1"/>
    <x v="0"/>
    <s v="Italy"/>
    <n v="43.036776000000003"/>
    <n v="12.678565000000001"/>
    <s v="ok"/>
    <s v="ok"/>
    <s v="ok"/>
    <s v="ok"/>
    <s v="ok"/>
    <x v="0"/>
    <n v="20.964502222370356"/>
  </r>
  <r>
    <x v="0"/>
    <n v="3286"/>
    <x v="0"/>
    <x v="2"/>
    <x v="2"/>
    <s v="1st line support"/>
    <x v="3"/>
    <x v="1790"/>
    <d v="2023-10-10T07:04:52"/>
    <d v="2023-10-09T07:06:52"/>
    <d v="2023-10-09T07:06:05"/>
    <s v="Within SLA"/>
    <d v="2023-10-09T18:53:30"/>
    <x v="0"/>
    <d v="2023-10-13T05:56:12"/>
    <n v="6"/>
    <n v="3"/>
    <x v="2"/>
    <x v="0"/>
    <s v="United Kingdom"/>
    <n v="55.378051999999997"/>
    <n v="-3.4359730000000002"/>
    <s v="ok"/>
    <s v="ok"/>
    <s v="ok"/>
    <s v="ok"/>
    <s v="ok"/>
    <x v="0"/>
    <n v="11.810573333292268"/>
  </r>
  <r>
    <x v="0"/>
    <n v="3287"/>
    <x v="2"/>
    <x v="0"/>
    <x v="0"/>
    <s v="1st line support"/>
    <x v="0"/>
    <x v="1791"/>
    <d v="2023-10-11T06:15:04"/>
    <d v="2023-10-09T07:15:04"/>
    <d v="2023-10-09T06:22:13"/>
    <s v="Within SLA"/>
    <d v="2023-10-14T22:20:33"/>
    <x v="1"/>
    <d v="2023-10-15T08:20:41"/>
    <n v="8"/>
    <n v="5"/>
    <x v="2"/>
    <x v="0"/>
    <s v="Spain"/>
    <n v="39.673369999999998"/>
    <n v="-4.7677259999999997"/>
    <s v="ok"/>
    <s v="ok"/>
    <s v="ok"/>
    <s v="ok"/>
    <s v="ok"/>
    <x v="0"/>
    <n v="136.09135555545799"/>
  </r>
  <r>
    <x v="2"/>
    <n v="3288"/>
    <x v="2"/>
    <x v="0"/>
    <x v="3"/>
    <s v="1st line support"/>
    <x v="3"/>
    <x v="1792"/>
    <d v="2023-10-11T15:56:53"/>
    <d v="2023-10-09T16:56:53"/>
    <d v="2023-10-09T16:10:57"/>
    <s v="Within SLA"/>
    <d v="2023-10-10T09:58:54"/>
    <x v="0"/>
    <m/>
    <n v="1"/>
    <m/>
    <x v="0"/>
    <x v="0"/>
    <s v="United Kingdom"/>
    <n v="55.378051999999997"/>
    <n v="-3.4359730000000002"/>
    <s v="ok"/>
    <s v="ok"/>
    <s v="ok"/>
    <s v="ok"/>
    <s v="ok"/>
    <x v="0"/>
    <n v="18.033687499933876"/>
  </r>
  <r>
    <x v="0"/>
    <n v="3290"/>
    <x v="2"/>
    <x v="1"/>
    <x v="5"/>
    <s v="1st line support"/>
    <x v="6"/>
    <x v="1793"/>
    <d v="2023-10-12T01:54:53"/>
    <d v="2023-10-10T01:56:53"/>
    <d v="2023-10-10T01:56:52"/>
    <s v="Within SLA"/>
    <d v="2023-10-11T12:47:09"/>
    <x v="0"/>
    <d v="2023-10-16T02:07:26"/>
    <n v="1"/>
    <n v="5"/>
    <x v="2"/>
    <x v="0"/>
    <s v="Czech Republic"/>
    <n v="49.8037633"/>
    <n v="15.4749126"/>
    <s v="ok"/>
    <s v="ok"/>
    <s v="ok"/>
    <s v="ok"/>
    <s v="ok"/>
    <x v="0"/>
    <n v="34.871226944436785"/>
  </r>
  <r>
    <x v="2"/>
    <n v="3291"/>
    <x v="2"/>
    <x v="0"/>
    <x v="2"/>
    <s v="1st line support"/>
    <x v="3"/>
    <x v="1794"/>
    <d v="2023-10-12T07:14:04"/>
    <d v="2023-10-10T08:14:04"/>
    <d v="2023-10-10T08:07:36"/>
    <s v="Within SLA"/>
    <d v="2023-10-12T03:20:48"/>
    <x v="0"/>
    <m/>
    <n v="1"/>
    <m/>
    <x v="2"/>
    <x v="0"/>
    <s v="Bulgaria"/>
    <n v="42.724992499999999"/>
    <n v="25.483303899999999"/>
    <s v="ok"/>
    <s v="ok"/>
    <s v="ok"/>
    <s v="ok"/>
    <s v="ok"/>
    <x v="0"/>
    <n v="44.112275555671658"/>
  </r>
  <r>
    <x v="0"/>
    <n v="3292"/>
    <x v="0"/>
    <x v="0"/>
    <x v="0"/>
    <s v="1st line support"/>
    <x v="4"/>
    <x v="1795"/>
    <d v="2023-10-12T16:12:48"/>
    <d v="2023-10-10T17:12:48"/>
    <d v="2023-10-10T16:40:38"/>
    <s v="Within SLA"/>
    <d v="2023-10-14T00:09:35"/>
    <x v="1"/>
    <d v="2023-10-15T20:05:11"/>
    <n v="3"/>
    <n v="4"/>
    <x v="1"/>
    <x v="0"/>
    <s v="United Kingdom"/>
    <n v="55.378051999999997"/>
    <n v="-3.4359730000000002"/>
    <s v="ok"/>
    <s v="ok"/>
    <s v="ok"/>
    <s v="ok"/>
    <s v="ok"/>
    <x v="0"/>
    <n v="79.946370555495378"/>
  </r>
  <r>
    <x v="2"/>
    <n v="3293"/>
    <x v="2"/>
    <x v="2"/>
    <x v="1"/>
    <s v="1st line support"/>
    <x v="6"/>
    <x v="1796"/>
    <d v="2023-10-11T07:50:07"/>
    <d v="2023-10-10T07:52:07"/>
    <d v="2023-10-10T07:55:58"/>
    <s v="SLA Violated"/>
    <d v="2023-10-13T14:09:33"/>
    <x v="1"/>
    <m/>
    <n v="7"/>
    <m/>
    <x v="2"/>
    <x v="0"/>
    <s v="Czech Republic"/>
    <n v="49.8037633"/>
    <n v="15.4749126"/>
    <s v="ok"/>
    <s v="ok"/>
    <s v="ok"/>
    <s v="ok"/>
    <s v="ok"/>
    <x v="0"/>
    <n v="78.323834444512613"/>
  </r>
  <r>
    <x v="2"/>
    <n v="3294"/>
    <x v="2"/>
    <x v="2"/>
    <x v="0"/>
    <s v="1st line support"/>
    <x v="2"/>
    <x v="1797"/>
    <d v="2023-10-11T15:50:53"/>
    <d v="2023-10-10T15:52:53"/>
    <d v="2023-10-10T15:52:42"/>
    <s v="Within SLA"/>
    <d v="2023-10-10T19:38:25"/>
    <x v="0"/>
    <m/>
    <n v="6"/>
    <m/>
    <x v="2"/>
    <x v="0"/>
    <s v="Poland"/>
    <n v="52.536273000000001"/>
    <n v="19.050639"/>
    <s v="ok"/>
    <s v="ok"/>
    <s v="ok"/>
    <s v="ok"/>
    <s v="ok"/>
    <x v="0"/>
    <n v="3.7920883332844824"/>
  </r>
  <r>
    <x v="2"/>
    <n v="3295"/>
    <x v="2"/>
    <x v="2"/>
    <x v="0"/>
    <s v="2nd line support"/>
    <x v="5"/>
    <x v="1798"/>
    <d v="2023-10-12T13:40:00"/>
    <d v="2023-10-11T13:42:00"/>
    <d v="2023-10-11T13:41:52"/>
    <s v="Within SLA"/>
    <d v="2023-10-11T18:55:50"/>
    <x v="0"/>
    <m/>
    <n v="5"/>
    <m/>
    <x v="0"/>
    <x v="1"/>
    <s v="Italy"/>
    <n v="43.036776000000003"/>
    <n v="12.678565000000001"/>
    <s v="ok"/>
    <s v="ok"/>
    <s v="ok"/>
    <s v="ok"/>
    <s v="ok"/>
    <x v="0"/>
    <n v="5.2638052777620032"/>
  </r>
  <r>
    <x v="2"/>
    <n v="3296"/>
    <x v="0"/>
    <x v="2"/>
    <x v="1"/>
    <s v="1st line support"/>
    <x v="3"/>
    <x v="1799"/>
    <d v="2023-10-12T17:19:03"/>
    <d v="2023-10-11T17:21:03"/>
    <d v="2023-10-11T17:19:16"/>
    <s v="Within SLA"/>
    <d v="2023-10-12T10:35:28"/>
    <x v="0"/>
    <m/>
    <n v="7"/>
    <m/>
    <x v="1"/>
    <x v="0"/>
    <s v="Spain"/>
    <n v="39.673369999999998"/>
    <n v="-4.7677259999999997"/>
    <s v="ok"/>
    <s v="ok"/>
    <s v="ok"/>
    <s v="ok"/>
    <s v="ok"/>
    <x v="0"/>
    <n v="17.273619444400538"/>
  </r>
  <r>
    <x v="2"/>
    <n v="3297"/>
    <x v="0"/>
    <x v="0"/>
    <x v="1"/>
    <s v="2nd line support"/>
    <x v="5"/>
    <x v="1800"/>
    <d v="2023-10-13T08:14:02"/>
    <d v="2023-10-11T09:14:02"/>
    <d v="2023-10-11T09:12:07"/>
    <s v="Within SLA"/>
    <d v="2023-10-12T21:41:02"/>
    <x v="0"/>
    <m/>
    <n v="10"/>
    <m/>
    <x v="1"/>
    <x v="1"/>
    <s v="Slovenia"/>
    <n v="46.149166399999999"/>
    <n v="14.9860106"/>
    <s v="ok"/>
    <s v="ok"/>
    <s v="ok"/>
    <s v="ok"/>
    <s v="ok"/>
    <x v="0"/>
    <n v="37.450034722220153"/>
  </r>
  <r>
    <x v="0"/>
    <n v="3298"/>
    <x v="0"/>
    <x v="0"/>
    <x v="0"/>
    <s v="2nd line support"/>
    <x v="5"/>
    <x v="1801"/>
    <d v="2023-10-13T10:04:30"/>
    <d v="2023-10-11T11:04:30"/>
    <d v="2023-10-11T10:07:37"/>
    <s v="Within SLA"/>
    <d v="2023-10-12T14:47:23"/>
    <x v="0"/>
    <d v="2023-10-15T14:21:59"/>
    <n v="5"/>
    <n v="3"/>
    <x v="2"/>
    <x v="1"/>
    <s v="Austria"/>
    <n v="47.696471899999999"/>
    <n v="13.3457347"/>
    <s v="ok"/>
    <s v="ok"/>
    <s v="ok"/>
    <s v="ok"/>
    <s v="ok"/>
    <x v="0"/>
    <n v="28.714653611183167"/>
  </r>
  <r>
    <x v="0"/>
    <n v="3299"/>
    <x v="0"/>
    <x v="0"/>
    <x v="3"/>
    <s v="1st line support"/>
    <x v="0"/>
    <x v="1802"/>
    <d v="2023-10-13T08:09:16"/>
    <d v="2023-10-11T09:09:16"/>
    <d v="2023-10-11T08:25:58"/>
    <s v="Within SLA"/>
    <d v="2023-10-15T20:41:10"/>
    <x v="1"/>
    <d v="2023-10-17T15:53:05"/>
    <n v="3"/>
    <n v="5"/>
    <x v="0"/>
    <x v="0"/>
    <s v="United Kingdom"/>
    <n v="55.378051999999997"/>
    <n v="-3.4359730000000002"/>
    <s v="ok"/>
    <s v="ok"/>
    <s v="ok"/>
    <s v="ok"/>
    <s v="ok"/>
    <x v="0"/>
    <n v="108.53154388885014"/>
  </r>
  <r>
    <x v="0"/>
    <n v="3300"/>
    <x v="0"/>
    <x v="2"/>
    <x v="3"/>
    <s v="1st line support"/>
    <x v="6"/>
    <x v="1803"/>
    <d v="2023-10-12T17:24:55"/>
    <d v="2023-10-11T17:26:55"/>
    <d v="2023-10-11T17:26:28"/>
    <s v="Within SLA"/>
    <d v="2023-10-11T20:26:58"/>
    <x v="0"/>
    <d v="2023-10-13T03:14:30"/>
    <n v="6"/>
    <n v="3"/>
    <x v="0"/>
    <x v="0"/>
    <s v="Spain"/>
    <n v="39.673369999999998"/>
    <n v="-4.7677259999999997"/>
    <s v="ok"/>
    <s v="ok"/>
    <s v="ok"/>
    <s v="ok"/>
    <s v="ok"/>
    <x v="0"/>
    <n v="3.0340911110979505"/>
  </r>
  <r>
    <x v="1"/>
    <n v="3301"/>
    <x v="1"/>
    <x v="1"/>
    <x v="0"/>
    <s v="1st line support"/>
    <x v="0"/>
    <x v="1804"/>
    <d v="2023-10-13T01:12:43"/>
    <d v="2023-10-11T01:14:43"/>
    <d v="2023-10-11T01:14:13"/>
    <s v="Within SLA"/>
    <m/>
    <x v="1"/>
    <m/>
    <n v="1"/>
    <m/>
    <x v="2"/>
    <x v="0"/>
    <s v="Germany"/>
    <n v="51.165691000000002"/>
    <n v="10.451525999999999"/>
    <s v="ok"/>
    <s v="ok"/>
    <s v="ok"/>
    <s v="ok"/>
    <s v="ok"/>
    <x v="1"/>
    <s v=""/>
  </r>
  <r>
    <x v="0"/>
    <n v="3302"/>
    <x v="0"/>
    <x v="2"/>
    <x v="1"/>
    <s v="1st line support"/>
    <x v="6"/>
    <x v="1805"/>
    <d v="2023-10-12T05:25:30"/>
    <d v="2023-10-11T05:27:30"/>
    <d v="2023-10-11T05:27:27"/>
    <s v="Within SLA"/>
    <d v="2023-10-11T13:18:53"/>
    <x v="0"/>
    <d v="2023-10-13T20:46:34"/>
    <n v="8"/>
    <n v="4"/>
    <x v="0"/>
    <x v="0"/>
    <s v="Italy"/>
    <n v="43.036776000000003"/>
    <n v="12.678565000000001"/>
    <s v="ok"/>
    <s v="ok"/>
    <s v="ok"/>
    <s v="ok"/>
    <s v="ok"/>
    <x v="0"/>
    <n v="7.8896269443794154"/>
  </r>
  <r>
    <x v="0"/>
    <n v="3303"/>
    <x v="2"/>
    <x v="2"/>
    <x v="3"/>
    <s v="1st line support"/>
    <x v="3"/>
    <x v="1806"/>
    <d v="2023-10-13T15:08:18"/>
    <d v="2023-10-12T15:10:18"/>
    <d v="2023-10-12T15:08:55"/>
    <s v="Within SLA"/>
    <d v="2023-10-13T07:27:10"/>
    <x v="0"/>
    <d v="2023-10-13T19:35:34"/>
    <n v="6"/>
    <n v="3"/>
    <x v="1"/>
    <x v="0"/>
    <s v="Poland"/>
    <n v="52.536273000000001"/>
    <n v="19.050639"/>
    <s v="ok"/>
    <s v="ok"/>
    <s v="ok"/>
    <s v="ok"/>
    <s v="ok"/>
    <x v="0"/>
    <n v="16.314367499900982"/>
  </r>
  <r>
    <x v="2"/>
    <n v="3304"/>
    <x v="0"/>
    <x v="2"/>
    <x v="4"/>
    <s v="2nd line support"/>
    <x v="5"/>
    <x v="1807"/>
    <d v="2023-10-13T04:25:20"/>
    <d v="2023-10-12T04:27:20"/>
    <d v="2023-10-12T04:26:47"/>
    <s v="Within SLA"/>
    <d v="2023-10-12T12:55:18"/>
    <x v="0"/>
    <m/>
    <n v="4"/>
    <m/>
    <x v="3"/>
    <x v="1"/>
    <s v="Republic of Ireland"/>
    <n v="53.094023999999997"/>
    <n v="-8.0196749999999994"/>
    <s v="ok"/>
    <s v="ok"/>
    <s v="ok"/>
    <s v="ok"/>
    <s v="ok"/>
    <x v="0"/>
    <n v="8.4995233333320357"/>
  </r>
  <r>
    <x v="2"/>
    <n v="3305"/>
    <x v="0"/>
    <x v="2"/>
    <x v="1"/>
    <s v="1st line support"/>
    <x v="6"/>
    <x v="1808"/>
    <d v="2023-10-13T12:33:45"/>
    <d v="2023-10-12T12:35:45"/>
    <d v="2023-10-12T12:35:38"/>
    <s v="Within SLA"/>
    <d v="2023-10-14T05:29:05"/>
    <x v="1"/>
    <m/>
    <n v="8"/>
    <m/>
    <x v="2"/>
    <x v="0"/>
    <s v="Poland"/>
    <n v="52.536273000000001"/>
    <n v="19.050639"/>
    <s v="ok"/>
    <s v="ok"/>
    <s v="ok"/>
    <s v="ok"/>
    <s v="ok"/>
    <x v="0"/>
    <n v="40.922194999933708"/>
  </r>
  <r>
    <x v="0"/>
    <n v="3306"/>
    <x v="2"/>
    <x v="0"/>
    <x v="3"/>
    <s v="1st line support"/>
    <x v="6"/>
    <x v="1809"/>
    <d v="2023-10-14T15:03:01"/>
    <d v="2023-10-12T16:03:01"/>
    <d v="2023-10-12T15:27:47"/>
    <s v="Within SLA"/>
    <d v="2023-10-14T14:11:07"/>
    <x v="0"/>
    <d v="2023-10-15T09:22:54"/>
    <n v="2"/>
    <n v="4"/>
    <x v="0"/>
    <x v="0"/>
    <s v="Italy"/>
    <n v="43.036776000000003"/>
    <n v="12.678565000000001"/>
    <s v="ok"/>
    <s v="ok"/>
    <s v="ok"/>
    <s v="ok"/>
    <s v="ok"/>
    <x v="0"/>
    <n v="47.135016388900112"/>
  </r>
  <r>
    <x v="1"/>
    <n v="3307"/>
    <x v="0"/>
    <x v="0"/>
    <x v="3"/>
    <s v="1st line support"/>
    <x v="4"/>
    <x v="1810"/>
    <d v="2023-10-14T19:25:20"/>
    <d v="2023-10-12T20:25:20"/>
    <d v="2023-10-12T19:35:32"/>
    <s v="Within SLA"/>
    <m/>
    <x v="1"/>
    <m/>
    <n v="1"/>
    <m/>
    <x v="2"/>
    <x v="0"/>
    <s v="Italy"/>
    <n v="43.036776000000003"/>
    <n v="12.678565000000001"/>
    <s v="ok"/>
    <s v="ok"/>
    <s v="ok"/>
    <s v="ok"/>
    <s v="ok"/>
    <x v="1"/>
    <s v=""/>
  </r>
  <r>
    <x v="0"/>
    <n v="3308"/>
    <x v="0"/>
    <x v="2"/>
    <x v="3"/>
    <s v="1st line support"/>
    <x v="2"/>
    <x v="1811"/>
    <d v="2023-10-13T19:02:17"/>
    <d v="2023-10-12T19:04:17"/>
    <d v="2023-10-12T19:04:01"/>
    <s v="Within SLA"/>
    <d v="2023-10-13T14:04:53"/>
    <x v="0"/>
    <d v="2023-10-14T13:43:38"/>
    <n v="5"/>
    <n v="2"/>
    <x v="0"/>
    <x v="0"/>
    <s v="United Kingdom"/>
    <n v="55.378051999999997"/>
    <n v="-3.4359730000000002"/>
    <s v="ok"/>
    <s v="ok"/>
    <s v="ok"/>
    <s v="ok"/>
    <s v="ok"/>
    <x v="0"/>
    <n v="19.043203333450947"/>
  </r>
  <r>
    <x v="0"/>
    <n v="3309"/>
    <x v="0"/>
    <x v="0"/>
    <x v="4"/>
    <s v="2nd line support"/>
    <x v="1"/>
    <x v="1812"/>
    <d v="2023-10-14T12:47:43"/>
    <d v="2023-10-12T13:47:43"/>
    <d v="2023-10-12T13:10:14"/>
    <s v="Within SLA"/>
    <d v="2023-10-14T02:09:27"/>
    <x v="0"/>
    <d v="2023-10-17T12:48:41"/>
    <n v="9"/>
    <n v="1"/>
    <x v="2"/>
    <x v="1"/>
    <s v="Austria"/>
    <n v="47.696471899999999"/>
    <n v="13.3457347"/>
    <s v="ok"/>
    <s v="ok"/>
    <s v="ok"/>
    <s v="ok"/>
    <s v="ok"/>
    <x v="0"/>
    <n v="37.362226111174095"/>
  </r>
  <r>
    <x v="0"/>
    <n v="3310"/>
    <x v="2"/>
    <x v="0"/>
    <x v="1"/>
    <s v="1st line support"/>
    <x v="6"/>
    <x v="1813"/>
    <d v="2023-10-14T18:46:46"/>
    <d v="2023-10-12T19:46:46"/>
    <d v="2023-10-12T19:31:01"/>
    <s v="Within SLA"/>
    <d v="2023-10-13T03:24:20"/>
    <x v="0"/>
    <d v="2023-10-15T12:42:43"/>
    <n v="1"/>
    <n v="3"/>
    <x v="3"/>
    <x v="0"/>
    <s v="Italy"/>
    <n v="43.036776000000003"/>
    <n v="12.678565000000001"/>
    <s v="ok"/>
    <s v="ok"/>
    <s v="ok"/>
    <s v="ok"/>
    <s v="ok"/>
    <x v="0"/>
    <n v="8.6262405555462465"/>
  </r>
  <r>
    <x v="1"/>
    <n v="3311"/>
    <x v="0"/>
    <x v="2"/>
    <x v="1"/>
    <s v="1st line support"/>
    <x v="2"/>
    <x v="1814"/>
    <d v="2023-10-14T16:13:18"/>
    <d v="2023-10-13T16:15:18"/>
    <d v="2023-10-13T16:14:39"/>
    <s v="Within SLA"/>
    <m/>
    <x v="1"/>
    <m/>
    <n v="2"/>
    <m/>
    <x v="1"/>
    <x v="0"/>
    <s v="France"/>
    <n v="48.864716000000001"/>
    <n v="2.3490139999999999"/>
    <s v="ok"/>
    <s v="ok"/>
    <s v="ok"/>
    <s v="ok"/>
    <s v="ok"/>
    <x v="1"/>
    <s v=""/>
  </r>
  <r>
    <x v="0"/>
    <n v="3312"/>
    <x v="0"/>
    <x v="1"/>
    <x v="5"/>
    <s v="1st line support"/>
    <x v="0"/>
    <x v="1815"/>
    <d v="2023-10-15T22:23:31"/>
    <d v="2023-10-13T22:25:31"/>
    <d v="2023-10-13T22:24:01"/>
    <s v="Within SLA"/>
    <d v="2023-10-15T20:41:25"/>
    <x v="0"/>
    <d v="2023-10-16T21:03:00"/>
    <n v="3"/>
    <n v="5"/>
    <x v="0"/>
    <x v="0"/>
    <s v="Republic of Ireland"/>
    <n v="53.094023999999997"/>
    <n v="-8.0196749999999994"/>
    <s v="ok"/>
    <s v="ok"/>
    <s v="ok"/>
    <s v="ok"/>
    <s v="ok"/>
    <x v="0"/>
    <n v="46.298324166680686"/>
  </r>
  <r>
    <x v="1"/>
    <n v="3313"/>
    <x v="2"/>
    <x v="2"/>
    <x v="2"/>
    <s v="1st line support"/>
    <x v="3"/>
    <x v="1816"/>
    <d v="2023-10-14T12:25:20"/>
    <d v="2023-10-13T12:27:20"/>
    <d v="2023-10-13T12:26:46"/>
    <s v="Within SLA"/>
    <m/>
    <x v="1"/>
    <m/>
    <n v="6"/>
    <m/>
    <x v="1"/>
    <x v="0"/>
    <s v="Bulgaria"/>
    <n v="42.724992499999999"/>
    <n v="25.483303899999999"/>
    <s v="ok"/>
    <s v="ok"/>
    <s v="ok"/>
    <s v="ok"/>
    <s v="ok"/>
    <x v="1"/>
    <s v=""/>
  </r>
  <r>
    <x v="0"/>
    <n v="3314"/>
    <x v="2"/>
    <x v="0"/>
    <x v="5"/>
    <s v="1st line support"/>
    <x v="0"/>
    <x v="1817"/>
    <d v="2023-10-15T17:04:50"/>
    <d v="2023-10-13T18:04:50"/>
    <d v="2023-10-13T17:41:12"/>
    <s v="Within SLA"/>
    <d v="2023-10-16T03:26:45"/>
    <x v="1"/>
    <d v="2023-10-17T09:01:52"/>
    <n v="3"/>
    <n v="5"/>
    <x v="0"/>
    <x v="0"/>
    <s v="Slovenia"/>
    <n v="46.149166399999999"/>
    <n v="14.9860106"/>
    <s v="ok"/>
    <s v="ok"/>
    <s v="ok"/>
    <s v="ok"/>
    <s v="ok"/>
    <x v="0"/>
    <n v="58.365205277747009"/>
  </r>
  <r>
    <x v="2"/>
    <n v="3315"/>
    <x v="2"/>
    <x v="2"/>
    <x v="0"/>
    <s v="2nd line support"/>
    <x v="1"/>
    <x v="1818"/>
    <d v="2023-10-15T19:17:47"/>
    <d v="2023-10-14T19:19:47"/>
    <d v="2023-10-14T19:23:38"/>
    <s v="SLA Violated"/>
    <d v="2023-10-20T13:19:31"/>
    <x v="1"/>
    <m/>
    <n v="7"/>
    <m/>
    <x v="2"/>
    <x v="1"/>
    <s v="France"/>
    <n v="48.864716000000001"/>
    <n v="2.3490139999999999"/>
    <s v="ok"/>
    <s v="ok"/>
    <s v="ok"/>
    <s v="ok"/>
    <s v="ok"/>
    <x v="0"/>
    <n v="138.02878194430377"/>
  </r>
  <r>
    <x v="0"/>
    <n v="3316"/>
    <x v="2"/>
    <x v="0"/>
    <x v="0"/>
    <s v="1st line support"/>
    <x v="4"/>
    <x v="1819"/>
    <d v="2023-10-16T13:17:57"/>
    <d v="2023-10-14T14:17:57"/>
    <d v="2023-10-14T13:52:20"/>
    <s v="Within SLA"/>
    <d v="2023-10-14T16:38:19"/>
    <x v="0"/>
    <d v="2023-10-17T00:54:27"/>
    <n v="1"/>
    <n v="2"/>
    <x v="0"/>
    <x v="0"/>
    <s v="Republic of Ireland"/>
    <n v="53.094023999999997"/>
    <n v="-8.0196749999999994"/>
    <s v="ok"/>
    <s v="ok"/>
    <s v="ok"/>
    <s v="ok"/>
    <s v="ok"/>
    <x v="0"/>
    <n v="3.3393922221148387"/>
  </r>
  <r>
    <x v="1"/>
    <n v="3317"/>
    <x v="0"/>
    <x v="0"/>
    <x v="3"/>
    <s v="1st line support"/>
    <x v="6"/>
    <x v="1820"/>
    <d v="2023-10-16T19:40:35"/>
    <d v="2023-10-14T20:40:35"/>
    <d v="2023-10-14T20:12:54"/>
    <s v="Within SLA"/>
    <m/>
    <x v="1"/>
    <m/>
    <n v="2"/>
    <m/>
    <x v="2"/>
    <x v="0"/>
    <s v="France"/>
    <n v="48.864716000000001"/>
    <n v="2.3490139999999999"/>
    <s v="ok"/>
    <s v="ok"/>
    <s v="ok"/>
    <s v="ok"/>
    <s v="ok"/>
    <x v="1"/>
    <s v=""/>
  </r>
  <r>
    <x v="2"/>
    <n v="3318"/>
    <x v="0"/>
    <x v="2"/>
    <x v="3"/>
    <s v="1st line support"/>
    <x v="3"/>
    <x v="1821"/>
    <d v="2023-10-15T15:22:51"/>
    <d v="2023-10-14T15:24:51"/>
    <d v="2023-10-14T15:23:45"/>
    <s v="Within SLA"/>
    <d v="2023-10-15T09:47:49"/>
    <x v="0"/>
    <m/>
    <n v="5"/>
    <m/>
    <x v="2"/>
    <x v="0"/>
    <s v="Spain"/>
    <n v="39.673369999999998"/>
    <n v="-4.7677259999999997"/>
    <s v="ok"/>
    <s v="ok"/>
    <s v="ok"/>
    <s v="ok"/>
    <s v="ok"/>
    <x v="0"/>
    <n v="18.415982222242747"/>
  </r>
  <r>
    <x v="0"/>
    <n v="3319"/>
    <x v="2"/>
    <x v="2"/>
    <x v="3"/>
    <s v="1st line support"/>
    <x v="0"/>
    <x v="1822"/>
    <d v="2023-10-15T07:59:49"/>
    <d v="2023-10-14T08:01:49"/>
    <d v="2023-10-14T08:01:22"/>
    <s v="Within SLA"/>
    <d v="2023-10-17T20:41:22"/>
    <x v="1"/>
    <d v="2023-10-17T21:28:17"/>
    <n v="2"/>
    <n v="2"/>
    <x v="0"/>
    <x v="0"/>
    <s v="Germany"/>
    <n v="51.165691000000002"/>
    <n v="10.451525999999999"/>
    <s v="ok"/>
    <s v="ok"/>
    <s v="ok"/>
    <s v="ok"/>
    <s v="ok"/>
    <x v="0"/>
    <n v="84.692551388929132"/>
  </r>
  <r>
    <x v="2"/>
    <n v="3331"/>
    <x v="2"/>
    <x v="0"/>
    <x v="2"/>
    <s v="1st line support"/>
    <x v="6"/>
    <x v="1823"/>
    <d v="2023-10-18T09:32:25"/>
    <d v="2023-10-16T10:32:25"/>
    <d v="2023-10-16T10:11:30"/>
    <s v="Within SLA"/>
    <d v="2023-10-17T01:05:13"/>
    <x v="0"/>
    <m/>
    <n v="2"/>
    <m/>
    <x v="2"/>
    <x v="0"/>
    <s v="Poland"/>
    <n v="52.536273000000001"/>
    <n v="19.050639"/>
    <s v="ok"/>
    <s v="ok"/>
    <s v="ok"/>
    <s v="ok"/>
    <s v="ok"/>
    <x v="0"/>
    <n v="15.546713055577129"/>
  </r>
  <r>
    <x v="1"/>
    <n v="3332"/>
    <x v="2"/>
    <x v="0"/>
    <x v="0"/>
    <s v="1st line support"/>
    <x v="4"/>
    <x v="1824"/>
    <d v="2023-10-18T14:25:07"/>
    <d v="2023-10-16T15:25:07"/>
    <d v="2023-10-16T14:42:20"/>
    <s v="Within SLA"/>
    <m/>
    <x v="1"/>
    <m/>
    <n v="1"/>
    <m/>
    <x v="1"/>
    <x v="0"/>
    <s v="Italy"/>
    <n v="43.036776000000003"/>
    <n v="12.678565000000001"/>
    <s v="ok"/>
    <s v="ok"/>
    <s v="ok"/>
    <s v="ok"/>
    <s v="ok"/>
    <x v="1"/>
    <s v=""/>
  </r>
  <r>
    <x v="1"/>
    <n v="3333"/>
    <x v="0"/>
    <x v="1"/>
    <x v="1"/>
    <s v="1st line support"/>
    <x v="3"/>
    <x v="1825"/>
    <d v="2023-10-18T14:14:49"/>
    <d v="2023-10-16T14:16:49"/>
    <d v="2023-10-16T14:16:19"/>
    <s v="Within SLA"/>
    <m/>
    <x v="1"/>
    <m/>
    <n v="2"/>
    <m/>
    <x v="2"/>
    <x v="0"/>
    <s v="Italy"/>
    <n v="43.036776000000003"/>
    <n v="12.678565000000001"/>
    <s v="ok"/>
    <s v="ok"/>
    <s v="ok"/>
    <s v="ok"/>
    <s v="ok"/>
    <x v="1"/>
    <s v=""/>
  </r>
  <r>
    <x v="1"/>
    <n v="3334"/>
    <x v="0"/>
    <x v="0"/>
    <x v="3"/>
    <s v="1st line support"/>
    <x v="2"/>
    <x v="1826"/>
    <d v="2023-10-18T12:38:37"/>
    <d v="2023-10-16T13:38:37"/>
    <d v="2023-10-16T13:11:14"/>
    <s v="Within SLA"/>
    <m/>
    <x v="1"/>
    <m/>
    <n v="9"/>
    <m/>
    <x v="2"/>
    <x v="0"/>
    <s v="Slovenia"/>
    <n v="46.149166399999999"/>
    <n v="14.9860106"/>
    <s v="ok"/>
    <s v="ok"/>
    <s v="ok"/>
    <s v="ok"/>
    <s v="ok"/>
    <x v="1"/>
    <s v=""/>
  </r>
  <r>
    <x v="2"/>
    <n v="3335"/>
    <x v="0"/>
    <x v="0"/>
    <x v="5"/>
    <s v="1st line support"/>
    <x v="6"/>
    <x v="1827"/>
    <d v="2023-10-18T22:24:26"/>
    <d v="2023-10-16T23:24:26"/>
    <d v="2023-10-16T22:51:50"/>
    <s v="Within SLA"/>
    <d v="2023-10-18T20:58:32"/>
    <x v="0"/>
    <m/>
    <n v="2"/>
    <m/>
    <x v="2"/>
    <x v="0"/>
    <s v="Italy"/>
    <n v="43.036776000000003"/>
    <n v="12.678565000000001"/>
    <s v="ok"/>
    <s v="ok"/>
    <s v="ok"/>
    <s v="ok"/>
    <s v="ok"/>
    <x v="0"/>
    <n v="46.568431388936006"/>
  </r>
  <r>
    <x v="2"/>
    <n v="3336"/>
    <x v="2"/>
    <x v="2"/>
    <x v="5"/>
    <s v="1st line support"/>
    <x v="3"/>
    <x v="1828"/>
    <d v="2023-10-17T04:17:14"/>
    <d v="2023-10-16T04:19:14"/>
    <d v="2023-10-16T04:17:39"/>
    <s v="Within SLA"/>
    <d v="2023-10-16T08:00:47"/>
    <x v="0"/>
    <m/>
    <n v="5"/>
    <m/>
    <x v="2"/>
    <x v="0"/>
    <s v="Germany"/>
    <n v="51.165691000000002"/>
    <n v="10.451525999999999"/>
    <s v="ok"/>
    <s v="ok"/>
    <s v="ok"/>
    <s v="ok"/>
    <s v="ok"/>
    <x v="0"/>
    <n v="3.7257130555808544"/>
  </r>
  <r>
    <x v="2"/>
    <n v="3337"/>
    <x v="0"/>
    <x v="2"/>
    <x v="5"/>
    <s v="1st line support"/>
    <x v="4"/>
    <x v="1829"/>
    <d v="2023-10-17T13:54:00"/>
    <d v="2023-10-16T13:56:00"/>
    <d v="2023-10-16T13:54:24"/>
    <s v="Within SLA"/>
    <d v="2023-10-21T02:00:55"/>
    <x v="1"/>
    <m/>
    <n v="2"/>
    <m/>
    <x v="3"/>
    <x v="0"/>
    <s v="France"/>
    <n v="48.864716000000001"/>
    <n v="2.3490139999999999"/>
    <s v="ok"/>
    <s v="ok"/>
    <s v="ok"/>
    <s v="ok"/>
    <s v="ok"/>
    <x v="0"/>
    <n v="108.11532805545721"/>
  </r>
  <r>
    <x v="0"/>
    <n v="3338"/>
    <x v="1"/>
    <x v="2"/>
    <x v="2"/>
    <s v="1st line support"/>
    <x v="2"/>
    <x v="1830"/>
    <d v="2023-10-17T18:14:13"/>
    <d v="2023-10-16T18:16:13"/>
    <d v="2023-10-16T18:15:28"/>
    <s v="Within SLA"/>
    <d v="2023-10-17T12:29:16"/>
    <x v="0"/>
    <d v="2023-10-18T21:58:03"/>
    <n v="5"/>
    <n v="3"/>
    <x v="0"/>
    <x v="0"/>
    <s v="Austria"/>
    <n v="47.696471899999999"/>
    <n v="13.3457347"/>
    <s v="ok"/>
    <s v="ok"/>
    <s v="ok"/>
    <s v="ok"/>
    <s v="ok"/>
    <x v="0"/>
    <n v="18.250934444367886"/>
  </r>
  <r>
    <x v="2"/>
    <n v="3339"/>
    <x v="0"/>
    <x v="0"/>
    <x v="3"/>
    <s v="2nd line support"/>
    <x v="7"/>
    <x v="1831"/>
    <d v="2023-10-18T19:22:47"/>
    <d v="2023-10-16T20:22:47"/>
    <d v="2023-10-16T20:08:06"/>
    <s v="Within SLA"/>
    <d v="2023-10-17T08:40:56"/>
    <x v="0"/>
    <m/>
    <n v="3"/>
    <m/>
    <x v="0"/>
    <x v="1"/>
    <s v="Poland"/>
    <n v="52.536273000000001"/>
    <n v="19.050639"/>
    <s v="ok"/>
    <s v="ok"/>
    <s v="ok"/>
    <s v="ok"/>
    <s v="ok"/>
    <x v="0"/>
    <n v="13.302377499989234"/>
  </r>
  <r>
    <x v="2"/>
    <n v="3340"/>
    <x v="2"/>
    <x v="2"/>
    <x v="2"/>
    <s v="1st line support"/>
    <x v="6"/>
    <x v="1832"/>
    <d v="2023-10-17T00:12:58"/>
    <d v="2023-10-16T00:14:58"/>
    <d v="2023-10-16T00:17:25"/>
    <s v="SLA Violated"/>
    <d v="2023-10-16T20:04:44"/>
    <x v="0"/>
    <m/>
    <n v="6"/>
    <m/>
    <x v="0"/>
    <x v="0"/>
    <s v="Italy"/>
    <n v="43.036776000000003"/>
    <n v="12.678565000000001"/>
    <s v="ok"/>
    <s v="ok"/>
    <s v="ok"/>
    <s v="ok"/>
    <s v="ok"/>
    <x v="0"/>
    <n v="19.862803055439144"/>
  </r>
  <r>
    <x v="0"/>
    <n v="3341"/>
    <x v="2"/>
    <x v="0"/>
    <x v="3"/>
    <s v="1st line support"/>
    <x v="0"/>
    <x v="1833"/>
    <d v="2023-10-18T00:32:59"/>
    <d v="2023-10-16T01:32:59"/>
    <d v="2023-10-16T01:30:35"/>
    <s v="Within SLA"/>
    <d v="2023-10-17T16:43:41"/>
    <x v="0"/>
    <d v="2023-10-16T16:03:27"/>
    <n v="8"/>
    <n v="2"/>
    <x v="1"/>
    <x v="0"/>
    <s v="Spain"/>
    <n v="39.673369999999998"/>
    <n v="-4.7677259999999997"/>
    <s v="ok"/>
    <s v="ok"/>
    <s v="check"/>
    <s v="ok"/>
    <s v="ok"/>
    <x v="0"/>
    <n v="40.178309444454499"/>
  </r>
  <r>
    <x v="0"/>
    <n v="3342"/>
    <x v="1"/>
    <x v="0"/>
    <x v="2"/>
    <s v="1st line support"/>
    <x v="4"/>
    <x v="1834"/>
    <d v="2023-10-18T00:49:10"/>
    <d v="2023-10-16T01:49:10"/>
    <d v="2023-10-16T01:10:53"/>
    <s v="Within SLA"/>
    <d v="2023-10-17T20:34:46"/>
    <x v="0"/>
    <d v="2023-10-20T22:18:13"/>
    <n v="3"/>
    <n v="4"/>
    <x v="3"/>
    <x v="0"/>
    <s v="Republic of Ireland"/>
    <n v="53.094023999999997"/>
    <n v="-8.0196749999999994"/>
    <s v="ok"/>
    <s v="ok"/>
    <s v="ok"/>
    <s v="ok"/>
    <s v="ok"/>
    <x v="0"/>
    <n v="43.760075000056531"/>
  </r>
  <r>
    <x v="2"/>
    <n v="3343"/>
    <x v="1"/>
    <x v="0"/>
    <x v="3"/>
    <s v="1st line support"/>
    <x v="2"/>
    <x v="1835"/>
    <d v="2023-10-19T00:10:03"/>
    <d v="2023-10-17T01:10:03"/>
    <d v="2023-10-17T00:44:55"/>
    <s v="Within SLA"/>
    <d v="2023-10-17T06:02:53"/>
    <x v="0"/>
    <m/>
    <n v="7"/>
    <m/>
    <x v="2"/>
    <x v="0"/>
    <s v="United Kingdom"/>
    <n v="55.378051999999997"/>
    <n v="-3.4359730000000002"/>
    <s v="ok"/>
    <s v="ok"/>
    <s v="ok"/>
    <s v="ok"/>
    <s v="ok"/>
    <x v="0"/>
    <n v="5.8804927777382545"/>
  </r>
  <r>
    <x v="0"/>
    <n v="3344"/>
    <x v="0"/>
    <x v="2"/>
    <x v="3"/>
    <s v="1st line support"/>
    <x v="3"/>
    <x v="1836"/>
    <d v="2023-10-18T21:43:36"/>
    <d v="2023-10-17T21:45:36"/>
    <d v="2023-10-17T21:43:38"/>
    <s v="Within SLA"/>
    <d v="2023-10-20T06:08:06"/>
    <x v="1"/>
    <d v="2023-10-21T01:20:40"/>
    <n v="7"/>
    <n v="5"/>
    <x v="2"/>
    <x v="0"/>
    <s v="Germany"/>
    <n v="51.165691000000002"/>
    <n v="10.451525999999999"/>
    <s v="ok"/>
    <s v="ok"/>
    <s v="ok"/>
    <s v="ok"/>
    <s v="ok"/>
    <x v="0"/>
    <n v="56.40827555564465"/>
  </r>
  <r>
    <x v="0"/>
    <n v="3345"/>
    <x v="0"/>
    <x v="0"/>
    <x v="5"/>
    <s v="1st line support"/>
    <x v="6"/>
    <x v="1837"/>
    <d v="2023-10-19T08:26:50"/>
    <d v="2023-10-17T09:26:50"/>
    <d v="2023-10-17T09:25:11"/>
    <s v="Within SLA"/>
    <d v="2023-10-18T10:56:05"/>
    <x v="0"/>
    <d v="2023-10-19T19:11:17"/>
    <n v="3"/>
    <n v="5"/>
    <x v="2"/>
    <x v="0"/>
    <s v="Italy"/>
    <n v="43.036776000000003"/>
    <n v="12.678565000000001"/>
    <s v="ok"/>
    <s v="ok"/>
    <s v="ok"/>
    <s v="ok"/>
    <s v="ok"/>
    <x v="0"/>
    <n v="26.487468333332799"/>
  </r>
  <r>
    <x v="2"/>
    <n v="3346"/>
    <x v="0"/>
    <x v="0"/>
    <x v="4"/>
    <s v="1st line support"/>
    <x v="3"/>
    <x v="1838"/>
    <d v="2023-10-19T11:44:38"/>
    <d v="2023-10-17T12:44:38"/>
    <d v="2023-10-17T12:00:15"/>
    <s v="Within SLA"/>
    <d v="2023-10-19T01:09:12"/>
    <x v="0"/>
    <m/>
    <n v="1"/>
    <m/>
    <x v="0"/>
    <x v="0"/>
    <s v="Spain"/>
    <n v="39.673369999999998"/>
    <n v="-4.7677259999999997"/>
    <s v="ok"/>
    <s v="ok"/>
    <s v="ok"/>
    <s v="ok"/>
    <s v="ok"/>
    <x v="0"/>
    <n v="37.409387777675875"/>
  </r>
  <r>
    <x v="2"/>
    <n v="3347"/>
    <x v="0"/>
    <x v="0"/>
    <x v="5"/>
    <s v="1st line support"/>
    <x v="6"/>
    <x v="1839"/>
    <d v="2023-10-19T20:29:49"/>
    <d v="2023-10-17T21:29:49"/>
    <d v="2023-10-17T21:26:40"/>
    <s v="Within SLA"/>
    <d v="2023-10-18T04:12:09"/>
    <x v="0"/>
    <m/>
    <n v="2"/>
    <m/>
    <x v="3"/>
    <x v="0"/>
    <s v="Germany"/>
    <n v="51.165691000000002"/>
    <n v="10.451525999999999"/>
    <s v="ok"/>
    <s v="ok"/>
    <s v="ok"/>
    <s v="ok"/>
    <s v="ok"/>
    <x v="0"/>
    <n v="7.7055752778542228"/>
  </r>
  <r>
    <x v="0"/>
    <n v="3348"/>
    <x v="0"/>
    <x v="0"/>
    <x v="6"/>
    <s v="2nd line support"/>
    <x v="5"/>
    <x v="1840"/>
    <d v="2023-10-19T06:00:33"/>
    <d v="2023-10-17T07:00:33"/>
    <d v="2023-10-17T12:47:01"/>
    <s v="SLA Violated"/>
    <d v="2023-10-21T15:58:32"/>
    <x v="1"/>
    <d v="2023-10-21T20:13:56"/>
    <n v="1"/>
    <n v="4"/>
    <x v="3"/>
    <x v="1"/>
    <s v="Czech Republic"/>
    <n v="49.8037633"/>
    <n v="15.4749126"/>
    <s v="ok"/>
    <s v="ok"/>
    <s v="ok"/>
    <s v="ok"/>
    <s v="ok"/>
    <x v="0"/>
    <n v="105.96645888889907"/>
  </r>
  <r>
    <x v="2"/>
    <n v="3349"/>
    <x v="0"/>
    <x v="0"/>
    <x v="3"/>
    <s v="1st line support"/>
    <x v="3"/>
    <x v="1841"/>
    <d v="2023-10-20T08:08:28"/>
    <d v="2023-10-18T09:08:28"/>
    <d v="2023-10-18T08:51:54"/>
    <s v="Within SLA"/>
    <d v="2023-10-22T05:48:06"/>
    <x v="1"/>
    <m/>
    <n v="7"/>
    <m/>
    <x v="2"/>
    <x v="0"/>
    <s v="Republic of Ireland"/>
    <n v="53.094023999999997"/>
    <n v="-8.0196749999999994"/>
    <s v="ok"/>
    <s v="ok"/>
    <s v="ok"/>
    <s v="ok"/>
    <s v="ok"/>
    <x v="0"/>
    <n v="93.660562222183216"/>
  </r>
  <r>
    <x v="2"/>
    <n v="3350"/>
    <x v="0"/>
    <x v="1"/>
    <x v="4"/>
    <s v="1st line support"/>
    <x v="2"/>
    <x v="1842"/>
    <d v="2023-10-20T10:05:07"/>
    <d v="2023-10-18T10:07:07"/>
    <d v="2023-10-18T10:05:45"/>
    <s v="Within SLA"/>
    <d v="2023-10-22T08:14:46"/>
    <x v="1"/>
    <m/>
    <n v="1"/>
    <m/>
    <x v="2"/>
    <x v="0"/>
    <s v="United Kingdom"/>
    <n v="55.378051999999997"/>
    <n v="-3.4359730000000002"/>
    <s v="ok"/>
    <s v="ok"/>
    <s v="ok"/>
    <s v="ok"/>
    <s v="ok"/>
    <x v="0"/>
    <n v="94.160756944504101"/>
  </r>
  <r>
    <x v="1"/>
    <n v="3351"/>
    <x v="0"/>
    <x v="2"/>
    <x v="1"/>
    <s v="1st line support"/>
    <x v="4"/>
    <x v="1843"/>
    <d v="2023-10-19T21:51:40"/>
    <d v="2023-10-18T21:53:40"/>
    <d v="2023-10-18T21:53:20"/>
    <s v="Within SLA"/>
    <m/>
    <x v="1"/>
    <m/>
    <n v="6"/>
    <m/>
    <x v="2"/>
    <x v="0"/>
    <s v="Poland"/>
    <n v="52.536273000000001"/>
    <n v="19.050639"/>
    <s v="ok"/>
    <s v="ok"/>
    <s v="ok"/>
    <s v="ok"/>
    <s v="ok"/>
    <x v="1"/>
    <s v=""/>
  </r>
  <r>
    <x v="2"/>
    <n v="3352"/>
    <x v="0"/>
    <x v="2"/>
    <x v="3"/>
    <s v="1st line support"/>
    <x v="0"/>
    <x v="1844"/>
    <d v="2023-10-19T05:39:02"/>
    <d v="2023-10-18T05:41:02"/>
    <d v="2023-10-18T05:39:13"/>
    <s v="Within SLA"/>
    <d v="2023-10-18T17:50:55"/>
    <x v="0"/>
    <m/>
    <n v="6"/>
    <m/>
    <x v="0"/>
    <x v="0"/>
    <s v="Republic of Ireland"/>
    <n v="53.094023999999997"/>
    <n v="-8.0196749999999994"/>
    <s v="ok"/>
    <s v="ok"/>
    <s v="ok"/>
    <s v="ok"/>
    <s v="ok"/>
    <x v="0"/>
    <n v="12.197969166620169"/>
  </r>
  <r>
    <x v="0"/>
    <n v="3353"/>
    <x v="2"/>
    <x v="0"/>
    <x v="1"/>
    <s v="1st line support"/>
    <x v="4"/>
    <x v="1845"/>
    <d v="2023-10-20T15:35:58"/>
    <d v="2023-10-18T16:35:58"/>
    <d v="2023-10-18T16:28:28"/>
    <s v="Within SLA"/>
    <d v="2023-10-19T06:56:50"/>
    <x v="0"/>
    <d v="2023-10-23T23:29:19"/>
    <n v="4"/>
    <n v="2"/>
    <x v="0"/>
    <x v="0"/>
    <s v="Czech Republic"/>
    <n v="49.8037633"/>
    <n v="15.4749126"/>
    <s v="ok"/>
    <s v="ok"/>
    <s v="ok"/>
    <s v="ok"/>
    <s v="ok"/>
    <x v="0"/>
    <n v="15.347881111025345"/>
  </r>
  <r>
    <x v="0"/>
    <n v="3354"/>
    <x v="0"/>
    <x v="1"/>
    <x v="2"/>
    <s v="1st line support"/>
    <x v="2"/>
    <x v="1846"/>
    <d v="2023-10-20T17:52:22"/>
    <d v="2023-10-18T17:54:22"/>
    <d v="2023-10-18T17:55:10"/>
    <s v="SLA Violated"/>
    <d v="2023-10-23T00:32:16"/>
    <x v="1"/>
    <d v="2023-10-24T05:46:54"/>
    <n v="2"/>
    <n v="2"/>
    <x v="0"/>
    <x v="0"/>
    <s v="Czech Republic"/>
    <n v="49.8037633"/>
    <n v="15.4749126"/>
    <s v="ok"/>
    <s v="ok"/>
    <s v="ok"/>
    <s v="ok"/>
    <s v="ok"/>
    <x v="0"/>
    <n v="102.66500916669611"/>
  </r>
  <r>
    <x v="2"/>
    <n v="3355"/>
    <x v="2"/>
    <x v="2"/>
    <x v="4"/>
    <s v="2nd line support"/>
    <x v="1"/>
    <x v="1847"/>
    <d v="2023-10-19T02:49:03"/>
    <d v="2023-10-18T02:51:03"/>
    <d v="2023-10-18T02:49:06"/>
    <s v="Within SLA"/>
    <d v="2023-10-18T15:47:02"/>
    <x v="0"/>
    <m/>
    <n v="2"/>
    <m/>
    <x v="2"/>
    <x v="1"/>
    <s v="United Kingdom"/>
    <n v="55.378051999999997"/>
    <n v="-3.4359730000000002"/>
    <s v="ok"/>
    <s v="ok"/>
    <s v="ok"/>
    <s v="ok"/>
    <s v="ok"/>
    <x v="0"/>
    <n v="12.96635083341971"/>
  </r>
  <r>
    <x v="0"/>
    <n v="3356"/>
    <x v="2"/>
    <x v="0"/>
    <x v="1"/>
    <s v="1st line support"/>
    <x v="0"/>
    <x v="1848"/>
    <d v="2023-10-20T20:38:28"/>
    <d v="2023-10-18T21:38:28"/>
    <d v="2023-10-18T21:20:24"/>
    <s v="Within SLA"/>
    <d v="2023-10-19T11:56:09"/>
    <x v="0"/>
    <d v="2023-10-21T15:36:57"/>
    <n v="2"/>
    <n v="2"/>
    <x v="3"/>
    <x v="0"/>
    <s v="Poland"/>
    <n v="52.536273000000001"/>
    <n v="19.050639"/>
    <s v="ok"/>
    <s v="ok"/>
    <s v="ok"/>
    <s v="ok"/>
    <s v="ok"/>
    <x v="0"/>
    <n v="15.294627777824644"/>
  </r>
  <r>
    <x v="2"/>
    <n v="3357"/>
    <x v="0"/>
    <x v="0"/>
    <x v="5"/>
    <s v="1st line support"/>
    <x v="3"/>
    <x v="1849"/>
    <d v="2023-10-20T22:51:28"/>
    <d v="2023-10-18T23:51:28"/>
    <d v="2023-10-18T23:22:04"/>
    <s v="Within SLA"/>
    <d v="2023-10-23T03:32:47"/>
    <x v="1"/>
    <m/>
    <n v="7"/>
    <m/>
    <x v="2"/>
    <x v="0"/>
    <s v="Poland"/>
    <n v="52.536273000000001"/>
    <n v="19.050639"/>
    <s v="ok"/>
    <s v="ok"/>
    <s v="ok"/>
    <s v="ok"/>
    <s v="ok"/>
    <x v="0"/>
    <n v="100.68868055561325"/>
  </r>
  <r>
    <x v="2"/>
    <n v="3358"/>
    <x v="2"/>
    <x v="1"/>
    <x v="1"/>
    <s v="1st line support"/>
    <x v="4"/>
    <x v="1850"/>
    <d v="2023-10-20T11:15:29"/>
    <d v="2023-10-18T11:17:29"/>
    <d v="2023-10-18T11:17:58"/>
    <s v="SLA Violated"/>
    <d v="2023-10-19T15:47:55"/>
    <x v="0"/>
    <m/>
    <n v="7"/>
    <m/>
    <x v="3"/>
    <x v="0"/>
    <s v="Poland"/>
    <n v="52.536273000000001"/>
    <n v="19.050639"/>
    <s v="ok"/>
    <s v="ok"/>
    <s v="ok"/>
    <s v="ok"/>
    <s v="ok"/>
    <x v="0"/>
    <n v="28.540565555565991"/>
  </r>
  <r>
    <x v="2"/>
    <n v="3359"/>
    <x v="1"/>
    <x v="2"/>
    <x v="3"/>
    <s v="2nd line support"/>
    <x v="1"/>
    <x v="1851"/>
    <d v="2023-10-19T15:22:51"/>
    <d v="2023-10-18T15:24:51"/>
    <d v="2023-10-18T15:24:42"/>
    <s v="Within SLA"/>
    <d v="2023-10-19T13:09:57"/>
    <x v="0"/>
    <m/>
    <n v="2"/>
    <m/>
    <x v="2"/>
    <x v="1"/>
    <s v="Poland"/>
    <n v="52.536273000000001"/>
    <n v="19.050639"/>
    <s v="ok"/>
    <s v="ok"/>
    <s v="ok"/>
    <s v="ok"/>
    <s v="ok"/>
    <x v="0"/>
    <n v="21.78501583338948"/>
  </r>
  <r>
    <x v="0"/>
    <n v="3360"/>
    <x v="0"/>
    <x v="0"/>
    <x v="1"/>
    <s v="1st line support"/>
    <x v="2"/>
    <x v="1852"/>
    <d v="2023-10-20T20:36:54"/>
    <d v="2023-10-18T21:36:54"/>
    <d v="2023-10-18T21:11:38"/>
    <s v="Within SLA"/>
    <d v="2023-10-20T18:55:25"/>
    <x v="0"/>
    <d v="2023-10-21T05:39:39"/>
    <n v="1"/>
    <n v="4"/>
    <x v="3"/>
    <x v="0"/>
    <s v="Slovenia"/>
    <n v="46.149166399999999"/>
    <n v="14.9860106"/>
    <s v="ok"/>
    <s v="ok"/>
    <s v="ok"/>
    <s v="ok"/>
    <s v="ok"/>
    <x v="0"/>
    <n v="46.308686944597866"/>
  </r>
  <r>
    <x v="1"/>
    <n v="3361"/>
    <x v="1"/>
    <x v="0"/>
    <x v="1"/>
    <s v="2nd line support"/>
    <x v="5"/>
    <x v="1853"/>
    <d v="2023-10-20T03:46:11"/>
    <d v="2023-10-18T04:46:11"/>
    <d v="2023-10-18T04:30:57"/>
    <s v="Within SLA"/>
    <m/>
    <x v="1"/>
    <m/>
    <n v="9"/>
    <m/>
    <x v="0"/>
    <x v="1"/>
    <s v="Germany"/>
    <n v="51.165691000000002"/>
    <n v="10.451525999999999"/>
    <s v="ok"/>
    <s v="ok"/>
    <s v="ok"/>
    <s v="ok"/>
    <s v="ok"/>
    <x v="1"/>
    <s v=""/>
  </r>
  <r>
    <x v="0"/>
    <n v="3363"/>
    <x v="1"/>
    <x v="2"/>
    <x v="1"/>
    <s v="2nd line support"/>
    <x v="5"/>
    <x v="1854"/>
    <d v="2023-10-19T21:11:59"/>
    <d v="2023-10-18T21:13:59"/>
    <d v="2023-10-18T21:13:13"/>
    <s v="Within SLA"/>
    <d v="2023-10-19T16:59:10"/>
    <x v="0"/>
    <d v="2023-10-19T12:04:45"/>
    <n v="2"/>
    <n v="3"/>
    <x v="2"/>
    <x v="1"/>
    <s v="France"/>
    <n v="48.864716000000001"/>
    <n v="2.3490139999999999"/>
    <s v="ok"/>
    <s v="ok"/>
    <s v="check"/>
    <s v="ok"/>
    <s v="ok"/>
    <x v="0"/>
    <n v="19.78636805556016"/>
  </r>
  <r>
    <x v="1"/>
    <n v="3364"/>
    <x v="0"/>
    <x v="0"/>
    <x v="4"/>
    <s v="2nd line support"/>
    <x v="7"/>
    <x v="1855"/>
    <d v="2023-10-20T00:20:33"/>
    <d v="2023-10-18T01:20:33"/>
    <d v="2023-10-18T00:54:04"/>
    <s v="Within SLA"/>
    <m/>
    <x v="1"/>
    <m/>
    <n v="3"/>
    <m/>
    <x v="1"/>
    <x v="1"/>
    <s v="Republic of Ireland"/>
    <n v="53.094023999999997"/>
    <n v="-8.0196749999999994"/>
    <s v="ok"/>
    <s v="ok"/>
    <s v="ok"/>
    <s v="ok"/>
    <s v="ok"/>
    <x v="1"/>
    <s v=""/>
  </r>
  <r>
    <x v="1"/>
    <n v="3365"/>
    <x v="1"/>
    <x v="0"/>
    <x v="6"/>
    <s v="1st line support"/>
    <x v="0"/>
    <x v="1856"/>
    <d v="2023-10-21T06:16:32"/>
    <d v="2023-10-19T07:16:32"/>
    <d v="2023-10-19T06:36:18"/>
    <s v="Within SLA"/>
    <m/>
    <x v="1"/>
    <m/>
    <n v="2"/>
    <m/>
    <x v="3"/>
    <x v="0"/>
    <s v="United Kingdom"/>
    <n v="55.378051999999997"/>
    <n v="-3.4359730000000002"/>
    <s v="ok"/>
    <s v="ok"/>
    <s v="ok"/>
    <s v="ok"/>
    <s v="ok"/>
    <x v="1"/>
    <s v=""/>
  </r>
  <r>
    <x v="0"/>
    <n v="3366"/>
    <x v="0"/>
    <x v="2"/>
    <x v="1"/>
    <s v="1st line support"/>
    <x v="3"/>
    <x v="1857"/>
    <d v="2023-10-20T17:45:48"/>
    <d v="2023-10-19T17:47:48"/>
    <d v="2023-10-19T17:47:06"/>
    <s v="Within SLA"/>
    <d v="2023-10-19T20:33:38"/>
    <x v="0"/>
    <d v="2023-10-27T16:47:10"/>
    <n v="6"/>
    <n v="5"/>
    <x v="2"/>
    <x v="0"/>
    <s v="Slovenia"/>
    <n v="46.149166399999999"/>
    <n v="14.9860106"/>
    <s v="ok"/>
    <s v="ok"/>
    <s v="ok"/>
    <s v="ok"/>
    <s v="ok"/>
    <x v="0"/>
    <n v="2.7971858333330601"/>
  </r>
  <r>
    <x v="2"/>
    <n v="3367"/>
    <x v="2"/>
    <x v="0"/>
    <x v="1"/>
    <s v="1st line support"/>
    <x v="2"/>
    <x v="1858"/>
    <d v="2023-10-21T04:44:14"/>
    <d v="2023-10-19T05:44:14"/>
    <d v="2023-10-19T05:28:31"/>
    <s v="Within SLA"/>
    <d v="2023-10-22T18:09:09"/>
    <x v="1"/>
    <m/>
    <n v="2"/>
    <m/>
    <x v="0"/>
    <x v="0"/>
    <s v="Greece"/>
    <n v="39.368279000000001"/>
    <n v="21.863140999999999"/>
    <s v="ok"/>
    <s v="ok"/>
    <s v="ok"/>
    <s v="ok"/>
    <s v="ok"/>
    <x v="0"/>
    <n v="85.415373055671807"/>
  </r>
  <r>
    <x v="0"/>
    <n v="3368"/>
    <x v="0"/>
    <x v="2"/>
    <x v="2"/>
    <s v="1st line support"/>
    <x v="3"/>
    <x v="1859"/>
    <d v="2023-10-20T12:01:28"/>
    <d v="2023-10-19T12:03:28"/>
    <d v="2023-10-19T12:03:02"/>
    <s v="Within SLA"/>
    <d v="2023-10-24T09:10:38"/>
    <x v="1"/>
    <d v="2023-10-24T15:36:36"/>
    <n v="5"/>
    <n v="5"/>
    <x v="2"/>
    <x v="0"/>
    <s v="Poland"/>
    <n v="52.536273000000001"/>
    <n v="19.050639"/>
    <s v="ok"/>
    <s v="ok"/>
    <s v="ok"/>
    <s v="ok"/>
    <s v="ok"/>
    <x v="0"/>
    <n v="117.15269083343446"/>
  </r>
  <r>
    <x v="0"/>
    <n v="3369"/>
    <x v="0"/>
    <x v="2"/>
    <x v="0"/>
    <s v="1st line support"/>
    <x v="0"/>
    <x v="1860"/>
    <d v="2023-10-20T00:51:54"/>
    <d v="2023-10-19T00:53:54"/>
    <d v="2023-10-19T00:52:40"/>
    <s v="Within SLA"/>
    <d v="2023-10-19T14:06:11"/>
    <x v="0"/>
    <d v="2023-10-19T13:56:03"/>
    <n v="5"/>
    <n v="2"/>
    <x v="2"/>
    <x v="0"/>
    <s v="Republic of Ireland"/>
    <n v="53.094023999999997"/>
    <n v="-8.0196749999999994"/>
    <s v="ok"/>
    <s v="ok"/>
    <s v="check"/>
    <s v="ok"/>
    <s v="ok"/>
    <x v="0"/>
    <n v="13.238097500056028"/>
  </r>
  <r>
    <x v="2"/>
    <n v="3370"/>
    <x v="2"/>
    <x v="0"/>
    <x v="1"/>
    <s v="1st line support"/>
    <x v="2"/>
    <x v="1861"/>
    <d v="2023-10-21T21:34:41"/>
    <d v="2023-10-19T22:34:41"/>
    <d v="2023-10-19T21:58:20"/>
    <s v="Within SLA"/>
    <d v="2023-10-20T12:27:03"/>
    <x v="0"/>
    <m/>
    <n v="5"/>
    <m/>
    <x v="2"/>
    <x v="0"/>
    <s v="United Kingdom"/>
    <n v="55.378051999999997"/>
    <n v="-3.4359730000000002"/>
    <s v="ok"/>
    <s v="ok"/>
    <s v="ok"/>
    <s v="ok"/>
    <s v="ok"/>
    <x v="0"/>
    <n v="14.872904999996535"/>
  </r>
  <r>
    <x v="2"/>
    <n v="3371"/>
    <x v="0"/>
    <x v="2"/>
    <x v="2"/>
    <s v="1st line support"/>
    <x v="3"/>
    <x v="1862"/>
    <d v="2023-10-20T04:33:51"/>
    <d v="2023-10-19T04:35:51"/>
    <d v="2023-10-19T04:33:55"/>
    <s v="Within SLA"/>
    <d v="2023-10-19T10:10:32"/>
    <x v="0"/>
    <m/>
    <n v="9"/>
    <m/>
    <x v="2"/>
    <x v="0"/>
    <s v="Republic of Ireland"/>
    <n v="53.094023999999997"/>
    <n v="-8.0196749999999994"/>
    <s v="ok"/>
    <s v="ok"/>
    <s v="ok"/>
    <s v="ok"/>
    <s v="ok"/>
    <x v="0"/>
    <n v="5.6114988889312372"/>
  </r>
  <r>
    <x v="2"/>
    <n v="3372"/>
    <x v="2"/>
    <x v="0"/>
    <x v="2"/>
    <s v="1st line support"/>
    <x v="6"/>
    <x v="1863"/>
    <d v="2023-10-21T16:15:29"/>
    <d v="2023-10-19T17:15:29"/>
    <d v="2023-10-19T16:27:35"/>
    <s v="Within SLA"/>
    <d v="2023-10-20T19:20:03"/>
    <x v="0"/>
    <m/>
    <n v="10"/>
    <m/>
    <x v="2"/>
    <x v="0"/>
    <s v="United Kingdom"/>
    <n v="55.378051999999997"/>
    <n v="-3.4359730000000002"/>
    <s v="ok"/>
    <s v="ok"/>
    <s v="ok"/>
    <s v="ok"/>
    <s v="ok"/>
    <x v="0"/>
    <n v="27.076037777820602"/>
  </r>
  <r>
    <x v="1"/>
    <n v="3373"/>
    <x v="0"/>
    <x v="0"/>
    <x v="4"/>
    <s v="1st line support"/>
    <x v="3"/>
    <x v="1864"/>
    <d v="2023-10-21T13:57:38"/>
    <d v="2023-10-19T14:57:38"/>
    <d v="2023-10-19T14:00:27"/>
    <s v="Within SLA"/>
    <m/>
    <x v="1"/>
    <m/>
    <n v="9"/>
    <m/>
    <x v="0"/>
    <x v="0"/>
    <s v="United Kingdom"/>
    <n v="55.378051999999997"/>
    <n v="-3.4359730000000002"/>
    <s v="ok"/>
    <s v="ok"/>
    <s v="ok"/>
    <s v="ok"/>
    <s v="ok"/>
    <x v="1"/>
    <s v=""/>
  </r>
  <r>
    <x v="0"/>
    <n v="3374"/>
    <x v="0"/>
    <x v="0"/>
    <x v="1"/>
    <s v="1st line support"/>
    <x v="2"/>
    <x v="1865"/>
    <d v="2023-10-21T01:14:55"/>
    <d v="2023-10-19T02:14:55"/>
    <d v="2023-10-19T01:46:54"/>
    <s v="Within SLA"/>
    <d v="2023-10-21T04:04:36"/>
    <x v="1"/>
    <d v="2023-10-22T04:26:22"/>
    <n v="9"/>
    <n v="4"/>
    <x v="1"/>
    <x v="0"/>
    <s v="Germany"/>
    <n v="51.165691000000002"/>
    <n v="10.451525999999999"/>
    <s v="ok"/>
    <s v="ok"/>
    <s v="ok"/>
    <s v="ok"/>
    <s v="ok"/>
    <x v="0"/>
    <n v="50.828089444432408"/>
  </r>
  <r>
    <x v="0"/>
    <n v="3376"/>
    <x v="2"/>
    <x v="2"/>
    <x v="3"/>
    <s v="1st line support"/>
    <x v="0"/>
    <x v="1866"/>
    <d v="2023-10-20T03:54:58"/>
    <d v="2023-10-19T03:56:58"/>
    <d v="2023-10-19T03:55:07"/>
    <s v="Within SLA"/>
    <d v="2023-10-20T06:16:40"/>
    <x v="1"/>
    <d v="2023-10-20T12:41:33"/>
    <n v="7"/>
    <n v="2"/>
    <x v="0"/>
    <x v="0"/>
    <s v="Austria"/>
    <n v="47.696471899999999"/>
    <n v="13.3457347"/>
    <s v="ok"/>
    <s v="ok"/>
    <s v="ok"/>
    <s v="ok"/>
    <s v="ok"/>
    <x v="0"/>
    <n v="26.361540555430111"/>
  </r>
  <r>
    <x v="2"/>
    <n v="3377"/>
    <x v="0"/>
    <x v="0"/>
    <x v="1"/>
    <s v="2nd line support"/>
    <x v="7"/>
    <x v="1867"/>
    <d v="2023-10-22T13:53:50"/>
    <d v="2023-10-20T14:53:50"/>
    <d v="2023-10-20T17:47:33"/>
    <s v="SLA Violated"/>
    <d v="2023-10-21T12:14:31"/>
    <x v="0"/>
    <m/>
    <n v="3"/>
    <m/>
    <x v="2"/>
    <x v="1"/>
    <s v="Poland"/>
    <n v="52.536273000000001"/>
    <n v="19.050639"/>
    <s v="ok"/>
    <s v="ok"/>
    <s v="ok"/>
    <s v="ok"/>
    <s v="ok"/>
    <x v="0"/>
    <n v="22.3447772221989"/>
  </r>
  <r>
    <x v="2"/>
    <n v="3379"/>
    <x v="1"/>
    <x v="0"/>
    <x v="1"/>
    <s v="2nd line support"/>
    <x v="5"/>
    <x v="1868"/>
    <d v="2023-10-22T12:13:33"/>
    <d v="2023-10-20T13:13:33"/>
    <d v="2023-10-20T12:52:04"/>
    <s v="Within SLA"/>
    <d v="2023-10-21T03:34:41"/>
    <x v="0"/>
    <m/>
    <n v="4"/>
    <m/>
    <x v="3"/>
    <x v="1"/>
    <s v="Spain"/>
    <n v="39.673369999999998"/>
    <n v="-4.7677259999999997"/>
    <s v="ok"/>
    <s v="ok"/>
    <s v="ok"/>
    <s v="ok"/>
    <s v="ok"/>
    <x v="0"/>
    <n v="15.352116111083888"/>
  </r>
  <r>
    <x v="2"/>
    <n v="3380"/>
    <x v="0"/>
    <x v="0"/>
    <x v="3"/>
    <s v="1st line support"/>
    <x v="4"/>
    <x v="1869"/>
    <d v="2023-10-22T06:09:17"/>
    <d v="2023-10-20T07:09:17"/>
    <d v="2023-10-20T06:15:56"/>
    <s v="Within SLA"/>
    <d v="2023-10-20T08:40:52"/>
    <x v="0"/>
    <m/>
    <n v="3"/>
    <m/>
    <x v="0"/>
    <x v="0"/>
    <s v="Poland"/>
    <n v="52.536273000000001"/>
    <n v="19.050639"/>
    <s v="ok"/>
    <s v="ok"/>
    <s v="ok"/>
    <s v="ok"/>
    <s v="ok"/>
    <x v="0"/>
    <n v="2.5263311110320501"/>
  </r>
  <r>
    <x v="1"/>
    <n v="3381"/>
    <x v="0"/>
    <x v="0"/>
    <x v="5"/>
    <s v="2nd line support"/>
    <x v="1"/>
    <x v="1870"/>
    <d v="2023-10-22T11:45:43"/>
    <d v="2023-10-20T12:45:43"/>
    <d v="2023-10-20T11:59:57"/>
    <s v="Within SLA"/>
    <m/>
    <x v="1"/>
    <m/>
    <n v="1"/>
    <m/>
    <x v="2"/>
    <x v="1"/>
    <s v="Spain"/>
    <n v="39.673369999999998"/>
    <n v="-4.7677259999999997"/>
    <s v="ok"/>
    <s v="ok"/>
    <s v="ok"/>
    <s v="ok"/>
    <s v="ok"/>
    <x v="1"/>
    <s v=""/>
  </r>
  <r>
    <x v="0"/>
    <n v="3383"/>
    <x v="2"/>
    <x v="0"/>
    <x v="3"/>
    <s v="1st line support"/>
    <x v="2"/>
    <x v="1871"/>
    <d v="2023-10-22T15:50:36"/>
    <d v="2023-10-20T16:50:36"/>
    <d v="2023-10-20T15:57:06"/>
    <s v="Within SLA"/>
    <d v="2023-10-20T21:04:24"/>
    <x v="0"/>
    <d v="2023-10-23T00:17:16"/>
    <n v="3"/>
    <n v="3"/>
    <x v="0"/>
    <x v="0"/>
    <s v="United Kingdom"/>
    <n v="55.378051999999997"/>
    <n v="-3.4359730000000002"/>
    <s v="ok"/>
    <s v="ok"/>
    <s v="ok"/>
    <s v="ok"/>
    <s v="ok"/>
    <x v="0"/>
    <n v="5.2300722221843898"/>
  </r>
  <r>
    <x v="2"/>
    <n v="3384"/>
    <x v="1"/>
    <x v="0"/>
    <x v="4"/>
    <s v="1st line support"/>
    <x v="6"/>
    <x v="1872"/>
    <d v="2023-10-23T20:51:44"/>
    <d v="2023-10-21T21:51:44"/>
    <d v="2023-10-21T21:31:37"/>
    <s v="Within SLA"/>
    <d v="2023-10-22T23:05:19"/>
    <x v="0"/>
    <m/>
    <n v="8"/>
    <m/>
    <x v="0"/>
    <x v="0"/>
    <s v="United Kingdom"/>
    <n v="55.378051999999997"/>
    <n v="-3.4359730000000002"/>
    <s v="ok"/>
    <s v="ok"/>
    <s v="ok"/>
    <s v="ok"/>
    <s v="ok"/>
    <x v="0"/>
    <n v="26.22632111114217"/>
  </r>
  <r>
    <x v="0"/>
    <n v="3385"/>
    <x v="0"/>
    <x v="0"/>
    <x v="3"/>
    <s v="1st line support"/>
    <x v="4"/>
    <x v="1873"/>
    <d v="2023-10-23T04:11:08"/>
    <d v="2023-10-21T05:11:08"/>
    <d v="2023-10-21T04:32:59"/>
    <s v="Within SLA"/>
    <d v="2023-10-22T18:31:52"/>
    <x v="0"/>
    <d v="2023-10-28T04:16:37"/>
    <n v="1"/>
    <n v="4"/>
    <x v="2"/>
    <x v="0"/>
    <s v="Poland"/>
    <n v="52.536273000000001"/>
    <n v="19.050639"/>
    <s v="ok"/>
    <s v="ok"/>
    <s v="ok"/>
    <s v="ok"/>
    <s v="ok"/>
    <x v="0"/>
    <n v="38.345663611020427"/>
  </r>
  <r>
    <x v="0"/>
    <n v="3386"/>
    <x v="0"/>
    <x v="1"/>
    <x v="1"/>
    <s v="1st line support"/>
    <x v="2"/>
    <x v="1874"/>
    <d v="2023-10-23T09:09:40"/>
    <d v="2023-10-21T09:11:40"/>
    <d v="2023-10-21T09:09:59"/>
    <s v="Within SLA"/>
    <d v="2023-10-24T07:20:25"/>
    <x v="1"/>
    <d v="2023-10-25T10:55:17"/>
    <n v="4"/>
    <n v="5"/>
    <x v="2"/>
    <x v="0"/>
    <s v="United Kingdom"/>
    <n v="55.378051999999997"/>
    <n v="-3.4359730000000002"/>
    <s v="ok"/>
    <s v="ok"/>
    <s v="ok"/>
    <s v="ok"/>
    <s v="ok"/>
    <x v="0"/>
    <n v="70.179058611101937"/>
  </r>
  <r>
    <x v="1"/>
    <n v="3398"/>
    <x v="2"/>
    <x v="2"/>
    <x v="1"/>
    <s v="2nd line support"/>
    <x v="7"/>
    <x v="1875"/>
    <d v="2023-10-23T00:18:43"/>
    <d v="2023-10-22T00:20:43"/>
    <d v="2023-10-22T00:24:05"/>
    <s v="SLA Violated"/>
    <m/>
    <x v="1"/>
    <m/>
    <n v="5"/>
    <m/>
    <x v="3"/>
    <x v="1"/>
    <s v="Spain"/>
    <n v="39.673369999999998"/>
    <n v="-4.7677259999999997"/>
    <s v="ok"/>
    <s v="ok"/>
    <s v="ok"/>
    <s v="ok"/>
    <s v="ok"/>
    <x v="1"/>
    <s v=""/>
  </r>
  <r>
    <x v="2"/>
    <n v="3399"/>
    <x v="1"/>
    <x v="0"/>
    <x v="1"/>
    <s v="2nd line support"/>
    <x v="7"/>
    <x v="1876"/>
    <d v="2023-10-24T16:51:22"/>
    <d v="2023-10-22T17:51:22"/>
    <d v="2023-10-22T17:45:30"/>
    <s v="Within SLA"/>
    <d v="2023-10-23T15:09:36"/>
    <x v="0"/>
    <m/>
    <n v="7"/>
    <m/>
    <x v="2"/>
    <x v="1"/>
    <s v="Italy"/>
    <n v="43.036776000000003"/>
    <n v="12.678565000000001"/>
    <s v="ok"/>
    <s v="ok"/>
    <s v="ok"/>
    <s v="ok"/>
    <s v="ok"/>
    <x v="0"/>
    <n v="22.303934166789986"/>
  </r>
  <r>
    <x v="2"/>
    <n v="3400"/>
    <x v="0"/>
    <x v="0"/>
    <x v="3"/>
    <s v="1st line support"/>
    <x v="4"/>
    <x v="1877"/>
    <d v="2023-10-24T14:43:58"/>
    <d v="2023-10-22T15:43:58"/>
    <d v="2023-10-22T15:27:00"/>
    <s v="Within SLA"/>
    <d v="2023-10-24T03:19:33"/>
    <x v="0"/>
    <m/>
    <n v="1"/>
    <m/>
    <x v="2"/>
    <x v="0"/>
    <s v="Czech Republic"/>
    <n v="49.8037633"/>
    <n v="15.4749126"/>
    <s v="ok"/>
    <s v="ok"/>
    <s v="ok"/>
    <s v="ok"/>
    <s v="ok"/>
    <x v="0"/>
    <n v="36.593035833269823"/>
  </r>
  <r>
    <x v="0"/>
    <n v="3401"/>
    <x v="2"/>
    <x v="2"/>
    <x v="0"/>
    <s v="1st line support"/>
    <x v="0"/>
    <x v="1878"/>
    <d v="2023-10-23T11:24:23"/>
    <d v="2023-10-22T11:26:23"/>
    <d v="2023-10-22T11:25:45"/>
    <s v="Within SLA"/>
    <d v="2023-10-22T12:45:12"/>
    <x v="0"/>
    <d v="2023-10-28T07:10:52"/>
    <n v="6"/>
    <n v="4"/>
    <x v="1"/>
    <x v="0"/>
    <s v="Germany"/>
    <n v="51.165691000000002"/>
    <n v="10.451525999999999"/>
    <s v="ok"/>
    <s v="ok"/>
    <s v="ok"/>
    <s v="ok"/>
    <s v="ok"/>
    <x v="0"/>
    <n v="1.3470552776707336"/>
  </r>
  <r>
    <x v="0"/>
    <n v="3402"/>
    <x v="2"/>
    <x v="0"/>
    <x v="3"/>
    <s v="1st line support"/>
    <x v="4"/>
    <x v="1879"/>
    <d v="2023-10-24T02:32:15"/>
    <d v="2023-10-22T03:32:15"/>
    <d v="2023-10-22T05:27:03"/>
    <s v="SLA Violated"/>
    <d v="2023-10-24T09:35:11"/>
    <x v="1"/>
    <d v="2023-10-26T01:53:58"/>
    <n v="1"/>
    <n v="5"/>
    <x v="0"/>
    <x v="0"/>
    <s v="Germany"/>
    <n v="51.165691000000002"/>
    <n v="10.451525999999999"/>
    <s v="ok"/>
    <s v="ok"/>
    <s v="ok"/>
    <s v="ok"/>
    <s v="ok"/>
    <x v="0"/>
    <n v="55.048815555637702"/>
  </r>
  <r>
    <x v="0"/>
    <n v="3403"/>
    <x v="0"/>
    <x v="1"/>
    <x v="1"/>
    <s v="2nd line support"/>
    <x v="1"/>
    <x v="1880"/>
    <d v="2023-10-24T08:47:17"/>
    <d v="2023-10-22T08:49:17"/>
    <d v="2023-10-22T08:48:34"/>
    <s v="Within SLA"/>
    <d v="2023-10-22T10:16:13"/>
    <x v="0"/>
    <d v="2023-10-26T08:25:09"/>
    <n v="4"/>
    <n v="1"/>
    <x v="0"/>
    <x v="1"/>
    <s v="Spain"/>
    <n v="39.673369999999998"/>
    <n v="-4.7677259999999997"/>
    <s v="ok"/>
    <s v="ok"/>
    <s v="ok"/>
    <s v="ok"/>
    <s v="ok"/>
    <x v="0"/>
    <n v="1.4823230555048212"/>
  </r>
  <r>
    <x v="0"/>
    <n v="3404"/>
    <x v="0"/>
    <x v="2"/>
    <x v="5"/>
    <s v="1st line support"/>
    <x v="3"/>
    <x v="1881"/>
    <d v="2023-10-24T00:01:46"/>
    <d v="2023-10-23T00:03:46"/>
    <d v="2023-10-23T00:02:25"/>
    <s v="Within SLA"/>
    <d v="2023-10-28T11:32:28"/>
    <x v="1"/>
    <d v="2023-10-29T20:56:52"/>
    <n v="4"/>
    <n v="3"/>
    <x v="2"/>
    <x v="0"/>
    <s v="Czech Republic"/>
    <n v="49.8037633"/>
    <n v="15.4749126"/>
    <s v="ok"/>
    <s v="ok"/>
    <s v="ok"/>
    <s v="ok"/>
    <s v="ok"/>
    <x v="0"/>
    <n v="131.51162999990629"/>
  </r>
  <r>
    <x v="2"/>
    <n v="3405"/>
    <x v="0"/>
    <x v="0"/>
    <x v="5"/>
    <s v="1st line support"/>
    <x v="4"/>
    <x v="1882"/>
    <d v="2023-10-25T17:28:34"/>
    <d v="2023-10-23T18:28:34"/>
    <d v="2023-10-23T17:57:13"/>
    <s v="Within SLA"/>
    <d v="2023-10-23T23:56:24"/>
    <x v="0"/>
    <m/>
    <n v="2"/>
    <m/>
    <x v="3"/>
    <x v="0"/>
    <s v="Czech Republic"/>
    <n v="49.8037633"/>
    <n v="15.4749126"/>
    <s v="ok"/>
    <s v="ok"/>
    <s v="ok"/>
    <s v="ok"/>
    <s v="ok"/>
    <x v="0"/>
    <n v="6.4639691667398438"/>
  </r>
  <r>
    <x v="0"/>
    <n v="3406"/>
    <x v="0"/>
    <x v="0"/>
    <x v="3"/>
    <s v="1st line support"/>
    <x v="4"/>
    <x v="1883"/>
    <d v="2023-10-25T14:41:25"/>
    <d v="2023-10-23T15:41:25"/>
    <d v="2023-10-23T15:27:36"/>
    <s v="Within SLA"/>
    <d v="2023-10-24T12:00:18"/>
    <x v="0"/>
    <d v="2023-10-25T19:53:30"/>
    <n v="3"/>
    <n v="4"/>
    <x v="2"/>
    <x v="0"/>
    <s v="Italy"/>
    <n v="43.036776000000003"/>
    <n v="12.678565000000001"/>
    <s v="ok"/>
    <s v="ok"/>
    <s v="ok"/>
    <s v="ok"/>
    <s v="ok"/>
    <x v="0"/>
    <n v="21.3148261110764"/>
  </r>
  <r>
    <x v="0"/>
    <n v="3407"/>
    <x v="2"/>
    <x v="0"/>
    <x v="0"/>
    <s v="1st line support"/>
    <x v="6"/>
    <x v="1884"/>
    <d v="2023-10-25T04:03:21"/>
    <d v="2023-10-23T05:03:21"/>
    <d v="2023-10-23T04:15:54"/>
    <s v="Within SLA"/>
    <d v="2023-10-24T10:59:44"/>
    <x v="0"/>
    <d v="2023-10-28T05:22:23"/>
    <n v="7"/>
    <n v="5"/>
    <x v="0"/>
    <x v="0"/>
    <s v="Spain"/>
    <n v="39.673369999999998"/>
    <n v="-4.7677259999999997"/>
    <s v="ok"/>
    <s v="ok"/>
    <s v="ok"/>
    <s v="ok"/>
    <s v="ok"/>
    <x v="0"/>
    <n v="30.939668333216105"/>
  </r>
  <r>
    <x v="2"/>
    <n v="3408"/>
    <x v="2"/>
    <x v="0"/>
    <x v="3"/>
    <s v="1st line support"/>
    <x v="0"/>
    <x v="1885"/>
    <d v="2023-10-26T00:55:28"/>
    <d v="2023-10-24T01:55:28"/>
    <d v="2023-10-24T01:34:47"/>
    <s v="Within SLA"/>
    <d v="2023-10-25T14:10:06"/>
    <x v="0"/>
    <m/>
    <n v="8"/>
    <m/>
    <x v="1"/>
    <x v="0"/>
    <s v="Germany"/>
    <n v="51.165691000000002"/>
    <n v="10.451525999999999"/>
    <s v="ok"/>
    <s v="ok"/>
    <s v="ok"/>
    <s v="ok"/>
    <s v="ok"/>
    <x v="0"/>
    <n v="37.243983889056835"/>
  </r>
  <r>
    <x v="0"/>
    <n v="3409"/>
    <x v="2"/>
    <x v="0"/>
    <x v="5"/>
    <s v="1st line support"/>
    <x v="0"/>
    <x v="1886"/>
    <d v="2023-10-26T16:57:50"/>
    <d v="2023-10-24T17:57:50"/>
    <d v="2023-10-24T17:31:17"/>
    <s v="Within SLA"/>
    <d v="2023-10-28T23:40:49"/>
    <x v="1"/>
    <d v="2023-10-30T01:03:34"/>
    <n v="5"/>
    <n v="2"/>
    <x v="2"/>
    <x v="0"/>
    <s v="Germany"/>
    <n v="51.165691000000002"/>
    <n v="10.451525999999999"/>
    <s v="ok"/>
    <s v="ok"/>
    <s v="ok"/>
    <s v="ok"/>
    <s v="ok"/>
    <x v="0"/>
    <n v="102.71638055553194"/>
  </r>
  <r>
    <x v="0"/>
    <n v="3410"/>
    <x v="2"/>
    <x v="2"/>
    <x v="0"/>
    <s v="1st line support"/>
    <x v="6"/>
    <x v="1887"/>
    <d v="2023-10-25T05:56:10"/>
    <d v="2023-10-24T05:58:10"/>
    <d v="2023-10-24T05:58:00"/>
    <s v="Within SLA"/>
    <d v="2023-10-30T01:35:45"/>
    <x v="1"/>
    <d v="2023-10-30T15:03:32"/>
    <n v="6"/>
    <n v="3"/>
    <x v="0"/>
    <x v="0"/>
    <s v="Greece"/>
    <n v="39.368279000000001"/>
    <n v="21.863140999999999"/>
    <s v="ok"/>
    <s v="ok"/>
    <s v="ok"/>
    <s v="ok"/>
    <s v="ok"/>
    <x v="0"/>
    <n v="139.65961944434093"/>
  </r>
  <r>
    <x v="0"/>
    <n v="3411"/>
    <x v="0"/>
    <x v="2"/>
    <x v="2"/>
    <s v="2nd line support"/>
    <x v="7"/>
    <x v="1888"/>
    <d v="2023-10-25T09:33:56"/>
    <d v="2023-10-24T09:35:56"/>
    <d v="2023-10-24T09:35:18"/>
    <s v="Within SLA"/>
    <d v="2023-10-24T14:46:28"/>
    <x v="0"/>
    <d v="2023-10-27T23:35:19"/>
    <n v="5"/>
    <n v="4"/>
    <x v="0"/>
    <x v="1"/>
    <s v="Italy"/>
    <n v="43.036776000000003"/>
    <n v="12.678565000000001"/>
    <s v="ok"/>
    <s v="ok"/>
    <s v="ok"/>
    <s v="ok"/>
    <s v="ok"/>
    <x v="0"/>
    <n v="5.2087913888390176"/>
  </r>
  <r>
    <x v="0"/>
    <n v="3412"/>
    <x v="1"/>
    <x v="0"/>
    <x v="1"/>
    <s v="2nd line support"/>
    <x v="1"/>
    <x v="1889"/>
    <d v="2023-10-26T20:01:39"/>
    <d v="2023-10-24T21:01:39"/>
    <d v="2023-10-24T20:32:31"/>
    <s v="Within SLA"/>
    <d v="2023-10-26T17:40:34"/>
    <x v="0"/>
    <d v="2023-10-26T01:18:06"/>
    <n v="5"/>
    <n v="5"/>
    <x v="2"/>
    <x v="1"/>
    <s v="United Kingdom"/>
    <n v="55.378051999999997"/>
    <n v="-3.4359730000000002"/>
    <s v="ok"/>
    <s v="ok"/>
    <s v="check"/>
    <s v="ok"/>
    <s v="ok"/>
    <x v="0"/>
    <n v="45.648574444348924"/>
  </r>
  <r>
    <x v="2"/>
    <n v="3413"/>
    <x v="2"/>
    <x v="0"/>
    <x v="0"/>
    <s v="1st line support"/>
    <x v="4"/>
    <x v="1890"/>
    <d v="2023-10-26T23:54:58"/>
    <d v="2023-10-25T00:54:58"/>
    <d v="2023-10-24T23:56:02"/>
    <s v="Within SLA"/>
    <d v="2023-10-26T02:49:52"/>
    <x v="0"/>
    <m/>
    <n v="1"/>
    <m/>
    <x v="1"/>
    <x v="0"/>
    <s v="Germany"/>
    <n v="51.165691000000002"/>
    <n v="10.451525999999999"/>
    <s v="ok"/>
    <s v="ok"/>
    <s v="ok"/>
    <s v="ok"/>
    <s v="ok"/>
    <x v="0"/>
    <n v="26.915115833398886"/>
  </r>
  <r>
    <x v="0"/>
    <n v="3414"/>
    <x v="2"/>
    <x v="2"/>
    <x v="1"/>
    <s v="1st line support"/>
    <x v="2"/>
    <x v="1891"/>
    <d v="2023-10-25T11:54:36"/>
    <d v="2023-10-24T11:56:36"/>
    <d v="2023-10-24T11:56:34"/>
    <s v="Within SLA"/>
    <d v="2023-10-24T19:32:59"/>
    <x v="0"/>
    <d v="2023-10-29T11:48:19"/>
    <n v="6"/>
    <n v="3"/>
    <x v="1"/>
    <x v="0"/>
    <s v="Bulgaria"/>
    <n v="42.724992499999999"/>
    <n v="25.483303899999999"/>
    <s v="ok"/>
    <s v="ok"/>
    <s v="ok"/>
    <s v="ok"/>
    <s v="ok"/>
    <x v="0"/>
    <n v="7.6398033333825879"/>
  </r>
  <r>
    <x v="0"/>
    <n v="3415"/>
    <x v="2"/>
    <x v="0"/>
    <x v="3"/>
    <s v="2nd line support"/>
    <x v="1"/>
    <x v="1892"/>
    <d v="2023-10-27T23:08:17"/>
    <d v="2023-10-26T00:08:17"/>
    <d v="2023-10-25T23:09:32"/>
    <s v="Within SLA"/>
    <d v="2023-10-27T17:24:39"/>
    <x v="0"/>
    <d v="2023-10-27T20:40:31"/>
    <n v="8"/>
    <n v="4"/>
    <x v="0"/>
    <x v="1"/>
    <s v="Italy"/>
    <n v="43.036776000000003"/>
    <n v="12.678565000000001"/>
    <s v="ok"/>
    <s v="ok"/>
    <s v="ok"/>
    <s v="ok"/>
    <s v="ok"/>
    <x v="0"/>
    <n v="42.272664166695904"/>
  </r>
  <r>
    <x v="2"/>
    <n v="3416"/>
    <x v="0"/>
    <x v="2"/>
    <x v="1"/>
    <s v="1st line support"/>
    <x v="3"/>
    <x v="1893"/>
    <d v="2023-10-26T09:24:24"/>
    <d v="2023-10-25T09:26:24"/>
    <d v="2023-10-25T09:24:40"/>
    <s v="Within SLA"/>
    <d v="2023-10-26T20:53:58"/>
    <x v="1"/>
    <m/>
    <n v="2"/>
    <m/>
    <x v="3"/>
    <x v="0"/>
    <s v="Poland"/>
    <n v="52.536273000000001"/>
    <n v="19.050639"/>
    <s v="ok"/>
    <s v="ok"/>
    <s v="ok"/>
    <s v="ok"/>
    <s v="ok"/>
    <x v="0"/>
    <n v="35.492728611105122"/>
  </r>
  <r>
    <x v="0"/>
    <n v="3417"/>
    <x v="2"/>
    <x v="0"/>
    <x v="3"/>
    <s v="1st line support"/>
    <x v="0"/>
    <x v="1894"/>
    <d v="2023-10-27T10:48:25"/>
    <d v="2023-10-25T11:48:25"/>
    <d v="2023-10-25T11:30:49"/>
    <s v="Within SLA"/>
    <d v="2023-10-25T12:07:40"/>
    <x v="0"/>
    <d v="2023-10-31T12:17:03"/>
    <n v="2"/>
    <n v="1"/>
    <x v="2"/>
    <x v="0"/>
    <s v="Slovenia"/>
    <n v="46.149166399999999"/>
    <n v="14.9860106"/>
    <s v="ok"/>
    <s v="ok"/>
    <s v="ok"/>
    <s v="ok"/>
    <s v="ok"/>
    <x v="0"/>
    <n v="1.3208283333806321"/>
  </r>
  <r>
    <x v="1"/>
    <n v="3418"/>
    <x v="0"/>
    <x v="0"/>
    <x v="1"/>
    <s v="2nd line support"/>
    <x v="5"/>
    <x v="1895"/>
    <d v="2023-10-27T04:04:02"/>
    <d v="2023-10-25T05:04:02"/>
    <d v="2023-10-25T04:20:43"/>
    <s v="Within SLA"/>
    <m/>
    <x v="1"/>
    <m/>
    <n v="4"/>
    <m/>
    <x v="3"/>
    <x v="1"/>
    <s v="Greece"/>
    <n v="39.368279000000001"/>
    <n v="21.863140999999999"/>
    <s v="ok"/>
    <s v="ok"/>
    <s v="ok"/>
    <s v="ok"/>
    <s v="ok"/>
    <x v="1"/>
    <s v=""/>
  </r>
  <r>
    <x v="2"/>
    <n v="3419"/>
    <x v="0"/>
    <x v="0"/>
    <x v="1"/>
    <s v="1st line support"/>
    <x v="2"/>
    <x v="1896"/>
    <d v="2023-10-27T23:34:43"/>
    <d v="2023-10-26T00:34:43"/>
    <d v="2023-10-26T00:09:15"/>
    <s v="Within SLA"/>
    <d v="2023-10-26T08:45:30"/>
    <x v="0"/>
    <m/>
    <n v="6"/>
    <m/>
    <x v="0"/>
    <x v="0"/>
    <s v="United Kingdom"/>
    <n v="55.378051999999997"/>
    <n v="-3.4359730000000002"/>
    <s v="ok"/>
    <s v="ok"/>
    <s v="ok"/>
    <s v="ok"/>
    <s v="ok"/>
    <x v="0"/>
    <n v="9.1796475001028739"/>
  </r>
  <r>
    <x v="2"/>
    <n v="3420"/>
    <x v="0"/>
    <x v="2"/>
    <x v="2"/>
    <s v="1st line support"/>
    <x v="4"/>
    <x v="1897"/>
    <d v="2023-10-26T01:13:47"/>
    <d v="2023-10-25T01:15:47"/>
    <d v="2023-10-25T01:14:15"/>
    <s v="Within SLA"/>
    <d v="2023-10-25T14:07:42"/>
    <x v="0"/>
    <m/>
    <n v="4"/>
    <m/>
    <x v="3"/>
    <x v="0"/>
    <s v="Slovenia"/>
    <n v="46.149166399999999"/>
    <n v="14.9860106"/>
    <s v="ok"/>
    <s v="ok"/>
    <s v="ok"/>
    <s v="ok"/>
    <s v="ok"/>
    <x v="0"/>
    <n v="12.898529444471933"/>
  </r>
  <r>
    <x v="0"/>
    <n v="3421"/>
    <x v="1"/>
    <x v="2"/>
    <x v="6"/>
    <s v="1st line support"/>
    <x v="6"/>
    <x v="1898"/>
    <d v="2023-10-27T09:44:19"/>
    <d v="2023-10-26T09:46:19"/>
    <d v="2023-10-26T09:46:17"/>
    <s v="Within SLA"/>
    <d v="2023-10-26T10:08:05"/>
    <x v="0"/>
    <d v="2023-11-01T13:22:18"/>
    <n v="5"/>
    <n v="4"/>
    <x v="3"/>
    <x v="0"/>
    <s v="United Kingdom"/>
    <n v="55.378051999999997"/>
    <n v="-3.4359730000000002"/>
    <s v="ok"/>
    <s v="ok"/>
    <s v="ok"/>
    <s v="ok"/>
    <s v="ok"/>
    <x v="0"/>
    <n v="0.39624250010820106"/>
  </r>
  <r>
    <x v="2"/>
    <n v="3422"/>
    <x v="0"/>
    <x v="2"/>
    <x v="5"/>
    <s v="2nd line support"/>
    <x v="1"/>
    <x v="1899"/>
    <d v="2023-10-27T02:28:01"/>
    <d v="2023-10-26T02:30:01"/>
    <d v="2023-10-26T02:30:36"/>
    <s v="SLA Violated"/>
    <d v="2023-10-30T20:24:59"/>
    <x v="1"/>
    <m/>
    <n v="2"/>
    <m/>
    <x v="2"/>
    <x v="1"/>
    <s v="Austria"/>
    <n v="47.696471899999999"/>
    <n v="13.3457347"/>
    <s v="ok"/>
    <s v="ok"/>
    <s v="ok"/>
    <s v="ok"/>
    <s v="ok"/>
    <x v="0"/>
    <n v="113.94944749987917"/>
  </r>
  <r>
    <x v="2"/>
    <n v="3423"/>
    <x v="0"/>
    <x v="0"/>
    <x v="0"/>
    <s v="1st line support"/>
    <x v="3"/>
    <x v="1900"/>
    <d v="2023-10-28T05:47:17"/>
    <d v="2023-10-26T06:47:17"/>
    <d v="2023-10-26T06:28:55"/>
    <s v="Within SLA"/>
    <d v="2023-10-28T04:22:48"/>
    <x v="0"/>
    <m/>
    <n v="10"/>
    <m/>
    <x v="2"/>
    <x v="0"/>
    <s v="Poland"/>
    <n v="52.536273000000001"/>
    <n v="19.050639"/>
    <s v="ok"/>
    <s v="ok"/>
    <s v="ok"/>
    <s v="ok"/>
    <s v="ok"/>
    <x v="0"/>
    <n v="46.591949999914505"/>
  </r>
  <r>
    <x v="0"/>
    <n v="3424"/>
    <x v="2"/>
    <x v="2"/>
    <x v="1"/>
    <s v="1st line support"/>
    <x v="4"/>
    <x v="1901"/>
    <d v="2023-10-27T01:39:42"/>
    <d v="2023-10-26T01:41:42"/>
    <d v="2023-10-26T01:39:59"/>
    <s v="Within SLA"/>
    <d v="2023-10-26T03:53:06"/>
    <x v="0"/>
    <d v="2023-10-27T14:26:36"/>
    <n v="6"/>
    <n v="4"/>
    <x v="2"/>
    <x v="0"/>
    <s v="Austria"/>
    <n v="47.696471899999999"/>
    <n v="13.3457347"/>
    <s v="ok"/>
    <s v="ok"/>
    <s v="ok"/>
    <s v="ok"/>
    <s v="ok"/>
    <x v="0"/>
    <n v="2.2234605554840527"/>
  </r>
  <r>
    <x v="1"/>
    <n v="3425"/>
    <x v="1"/>
    <x v="1"/>
    <x v="5"/>
    <s v="1st line support"/>
    <x v="2"/>
    <x v="1902"/>
    <d v="2023-10-28T15:13:20"/>
    <d v="2023-10-26T15:15:20"/>
    <d v="2023-10-26T15:13:52"/>
    <s v="Within SLA"/>
    <m/>
    <x v="1"/>
    <m/>
    <n v="3"/>
    <m/>
    <x v="2"/>
    <x v="0"/>
    <s v="Republic of Ireland"/>
    <n v="53.094023999999997"/>
    <n v="-8.0196749999999994"/>
    <s v="ok"/>
    <s v="ok"/>
    <s v="ok"/>
    <s v="ok"/>
    <s v="ok"/>
    <x v="1"/>
    <s v=""/>
  </r>
  <r>
    <x v="2"/>
    <n v="3426"/>
    <x v="2"/>
    <x v="0"/>
    <x v="5"/>
    <s v="1st line support"/>
    <x v="0"/>
    <x v="1903"/>
    <d v="2023-10-28T22:22:25"/>
    <d v="2023-10-26T23:22:25"/>
    <d v="2023-10-26T23:00:03"/>
    <s v="Within SLA"/>
    <d v="2023-10-27T08:33:45"/>
    <x v="0"/>
    <m/>
    <n v="4"/>
    <m/>
    <x v="2"/>
    <x v="0"/>
    <s v="Italy"/>
    <n v="43.036776000000003"/>
    <n v="12.678565000000001"/>
    <s v="ok"/>
    <s v="ok"/>
    <s v="ok"/>
    <s v="ok"/>
    <s v="ok"/>
    <x v="0"/>
    <n v="10.188800000119954"/>
  </r>
  <r>
    <x v="0"/>
    <n v="3427"/>
    <x v="0"/>
    <x v="0"/>
    <x v="1"/>
    <s v="2nd line support"/>
    <x v="7"/>
    <x v="1904"/>
    <d v="2023-10-28T16:21:45"/>
    <d v="2023-10-26T17:21:45"/>
    <d v="2023-10-26T16:26:56"/>
    <s v="Within SLA"/>
    <d v="2023-10-30T16:05:18"/>
    <x v="1"/>
    <d v="2023-10-31T06:21:11"/>
    <n v="2"/>
    <n v="4"/>
    <x v="2"/>
    <x v="1"/>
    <s v="France"/>
    <n v="48.864716000000001"/>
    <n v="2.3490139999999999"/>
    <s v="ok"/>
    <s v="ok"/>
    <s v="ok"/>
    <s v="ok"/>
    <s v="ok"/>
    <x v="0"/>
    <n v="95.725839444436133"/>
  </r>
  <r>
    <x v="2"/>
    <n v="3428"/>
    <x v="0"/>
    <x v="0"/>
    <x v="3"/>
    <s v="2nd line support"/>
    <x v="7"/>
    <x v="1905"/>
    <d v="2023-10-28T16:46:44"/>
    <d v="2023-10-26T17:46:44"/>
    <d v="2023-10-26T17:24:04"/>
    <s v="Within SLA"/>
    <d v="2023-10-28T02:05:38"/>
    <x v="0"/>
    <m/>
    <n v="1"/>
    <m/>
    <x v="0"/>
    <x v="1"/>
    <s v="France"/>
    <n v="48.864716000000001"/>
    <n v="2.3490139999999999"/>
    <s v="ok"/>
    <s v="ok"/>
    <s v="ok"/>
    <s v="ok"/>
    <s v="ok"/>
    <x v="0"/>
    <n v="33.314878888777457"/>
  </r>
  <r>
    <x v="1"/>
    <n v="3429"/>
    <x v="1"/>
    <x v="0"/>
    <x v="0"/>
    <s v="1st line support"/>
    <x v="0"/>
    <x v="1906"/>
    <d v="2023-10-28T18:56:11"/>
    <d v="2023-10-26T19:56:11"/>
    <d v="2023-10-26T19:10:21"/>
    <s v="Within SLA"/>
    <m/>
    <x v="1"/>
    <m/>
    <n v="2"/>
    <m/>
    <x v="2"/>
    <x v="0"/>
    <s v="Poland"/>
    <n v="52.536273000000001"/>
    <n v="19.050639"/>
    <s v="ok"/>
    <s v="ok"/>
    <s v="ok"/>
    <s v="ok"/>
    <s v="ok"/>
    <x v="1"/>
    <s v=""/>
  </r>
  <r>
    <x v="0"/>
    <n v="3430"/>
    <x v="2"/>
    <x v="2"/>
    <x v="4"/>
    <s v="1st line support"/>
    <x v="0"/>
    <x v="1907"/>
    <d v="2023-10-27T22:52:28"/>
    <d v="2023-10-26T22:54:28"/>
    <d v="2023-10-26T22:53:14"/>
    <s v="Within SLA"/>
    <d v="2023-10-27T16:52:09"/>
    <x v="0"/>
    <d v="2023-10-31T21:28:12"/>
    <n v="2"/>
    <n v="2"/>
    <x v="0"/>
    <x v="0"/>
    <s v="United Kingdom"/>
    <n v="55.378051999999997"/>
    <n v="-3.4359730000000002"/>
    <s v="ok"/>
    <s v="ok"/>
    <s v="ok"/>
    <s v="ok"/>
    <s v="ok"/>
    <x v="0"/>
    <n v="17.994672777713276"/>
  </r>
  <r>
    <x v="0"/>
    <n v="3431"/>
    <x v="2"/>
    <x v="2"/>
    <x v="1"/>
    <s v="1st line support"/>
    <x v="4"/>
    <x v="1908"/>
    <d v="2023-10-28T11:33:45"/>
    <d v="2023-10-27T11:35:45"/>
    <d v="2023-10-27T11:35:20"/>
    <s v="Within SLA"/>
    <d v="2023-10-28T21:01:50"/>
    <x v="1"/>
    <d v="2023-10-30T08:14:23"/>
    <n v="2"/>
    <n v="4"/>
    <x v="2"/>
    <x v="0"/>
    <s v="Poland"/>
    <n v="52.536273000000001"/>
    <n v="19.050639"/>
    <s v="ok"/>
    <s v="ok"/>
    <s v="ok"/>
    <s v="ok"/>
    <s v="ok"/>
    <x v="0"/>
    <n v="33.468005277682096"/>
  </r>
  <r>
    <x v="2"/>
    <n v="3432"/>
    <x v="0"/>
    <x v="0"/>
    <x v="0"/>
    <s v="1st line support"/>
    <x v="2"/>
    <x v="1909"/>
    <d v="2023-10-29T08:22:15"/>
    <d v="2023-10-27T09:22:15"/>
    <d v="2023-10-27T12:22:21"/>
    <s v="SLA Violated"/>
    <d v="2023-10-29T02:02:27"/>
    <x v="0"/>
    <m/>
    <n v="1"/>
    <m/>
    <x v="0"/>
    <x v="0"/>
    <s v="Bulgaria"/>
    <n v="42.724992499999999"/>
    <n v="25.483303899999999"/>
    <s v="ok"/>
    <s v="ok"/>
    <s v="ok"/>
    <s v="ok"/>
    <s v="ok"/>
    <x v="0"/>
    <n v="41.669982500025071"/>
  </r>
  <r>
    <x v="2"/>
    <n v="3433"/>
    <x v="2"/>
    <x v="0"/>
    <x v="5"/>
    <s v="1st line support"/>
    <x v="4"/>
    <x v="1910"/>
    <d v="2023-10-29T10:10:33"/>
    <d v="2023-10-27T11:10:33"/>
    <d v="2023-10-27T11:08:57"/>
    <s v="Within SLA"/>
    <d v="2023-10-28T19:11:27"/>
    <x v="0"/>
    <m/>
    <n v="3"/>
    <m/>
    <x v="2"/>
    <x v="0"/>
    <s v="Greece"/>
    <n v="39.368279000000001"/>
    <n v="21.863140999999999"/>
    <s v="ok"/>
    <s v="ok"/>
    <s v="ok"/>
    <s v="ok"/>
    <s v="ok"/>
    <x v="0"/>
    <n v="33.015138333372306"/>
  </r>
  <r>
    <x v="0"/>
    <n v="3434"/>
    <x v="0"/>
    <x v="0"/>
    <x v="0"/>
    <s v="1st line support"/>
    <x v="3"/>
    <x v="1911"/>
    <d v="2023-10-29T12:03:12"/>
    <d v="2023-10-27T13:03:12"/>
    <d v="2023-10-27T12:41:09"/>
    <s v="Within SLA"/>
    <d v="2023-10-28T21:19:07"/>
    <x v="0"/>
    <d v="2023-11-01T12:14:18"/>
    <n v="4"/>
    <n v="3"/>
    <x v="2"/>
    <x v="0"/>
    <s v="United Kingdom"/>
    <n v="55.378051999999997"/>
    <n v="-3.4359730000000002"/>
    <s v="ok"/>
    <s v="ok"/>
    <s v="ok"/>
    <s v="ok"/>
    <s v="ok"/>
    <x v="0"/>
    <n v="33.265350555418991"/>
  </r>
  <r>
    <x v="0"/>
    <n v="3435"/>
    <x v="0"/>
    <x v="0"/>
    <x v="0"/>
    <s v="2nd line support"/>
    <x v="5"/>
    <x v="1912"/>
    <d v="2023-10-29T14:44:55"/>
    <d v="2023-10-27T15:44:55"/>
    <d v="2023-10-27T15:26:39"/>
    <s v="Within SLA"/>
    <d v="2023-10-28T03:36:35"/>
    <x v="0"/>
    <d v="2023-10-29T12:27:27"/>
    <n v="3"/>
    <n v="4"/>
    <x v="2"/>
    <x v="1"/>
    <s v="Spain"/>
    <n v="39.673369999999998"/>
    <n v="-4.7677259999999997"/>
    <s v="ok"/>
    <s v="ok"/>
    <s v="ok"/>
    <s v="ok"/>
    <s v="ok"/>
    <x v="0"/>
    <n v="12.861138333217241"/>
  </r>
  <r>
    <x v="2"/>
    <n v="3436"/>
    <x v="0"/>
    <x v="0"/>
    <x v="4"/>
    <s v="1st line support"/>
    <x v="2"/>
    <x v="1913"/>
    <d v="2023-10-29T19:01:06"/>
    <d v="2023-10-27T20:01:06"/>
    <d v="2023-10-27T19:37:30"/>
    <s v="Within SLA"/>
    <d v="2023-10-31T04:48:03"/>
    <x v="1"/>
    <m/>
    <n v="1"/>
    <m/>
    <x v="0"/>
    <x v="0"/>
    <s v="United Kingdom"/>
    <n v="55.378051999999997"/>
    <n v="-3.4359730000000002"/>
    <s v="ok"/>
    <s v="ok"/>
    <s v="ok"/>
    <s v="ok"/>
    <s v="ok"/>
    <x v="0"/>
    <n v="81.782590833376162"/>
  </r>
  <r>
    <x v="0"/>
    <n v="3437"/>
    <x v="2"/>
    <x v="2"/>
    <x v="1"/>
    <s v="2nd line support"/>
    <x v="5"/>
    <x v="1914"/>
    <d v="2023-10-28T10:31:50"/>
    <d v="2023-10-27T10:33:50"/>
    <d v="2023-10-27T10:33:16"/>
    <s v="Within SLA"/>
    <d v="2023-10-28T07:54:35"/>
    <x v="0"/>
    <d v="2023-10-28T18:40:09"/>
    <n v="6"/>
    <n v="4"/>
    <x v="1"/>
    <x v="1"/>
    <s v="Slovenia"/>
    <n v="46.149166399999999"/>
    <n v="14.9860106"/>
    <s v="ok"/>
    <s v="ok"/>
    <s v="ok"/>
    <s v="ok"/>
    <s v="ok"/>
    <x v="0"/>
    <n v="21.379231111204717"/>
  </r>
  <r>
    <x v="2"/>
    <n v="3438"/>
    <x v="0"/>
    <x v="2"/>
    <x v="0"/>
    <s v="1st line support"/>
    <x v="4"/>
    <x v="1915"/>
    <d v="2023-10-28T00:25:35"/>
    <d v="2023-10-27T00:27:35"/>
    <d v="2023-10-27T00:26:59"/>
    <s v="Within SLA"/>
    <d v="2023-10-31T23:09:31"/>
    <x v="1"/>
    <m/>
    <n v="8"/>
    <m/>
    <x v="1"/>
    <x v="0"/>
    <s v="Germany"/>
    <n v="51.165691000000002"/>
    <n v="10.451525999999999"/>
    <s v="ok"/>
    <s v="ok"/>
    <s v="ok"/>
    <s v="ok"/>
    <s v="ok"/>
    <x v="0"/>
    <n v="118.73208416666603"/>
  </r>
  <r>
    <x v="2"/>
    <n v="3439"/>
    <x v="0"/>
    <x v="0"/>
    <x v="0"/>
    <s v="1st line support"/>
    <x v="6"/>
    <x v="1916"/>
    <d v="2023-10-29T23:17:33"/>
    <d v="2023-10-28T00:17:33"/>
    <d v="2023-10-27T23:58:53"/>
    <s v="Within SLA"/>
    <d v="2023-10-29T01:01:23"/>
    <x v="0"/>
    <m/>
    <n v="1"/>
    <m/>
    <x v="2"/>
    <x v="0"/>
    <s v="Spain"/>
    <n v="39.673369999999998"/>
    <n v="-4.7677259999999997"/>
    <s v="ok"/>
    <s v="ok"/>
    <s v="ok"/>
    <s v="ok"/>
    <s v="ok"/>
    <x v="0"/>
    <n v="25.730584444419947"/>
  </r>
  <r>
    <x v="0"/>
    <n v="3440"/>
    <x v="1"/>
    <x v="2"/>
    <x v="5"/>
    <s v="1st line support"/>
    <x v="4"/>
    <x v="1917"/>
    <d v="2023-10-28T19:19:17"/>
    <d v="2023-10-27T19:21:17"/>
    <d v="2023-10-27T19:21:45"/>
    <s v="SLA Violated"/>
    <d v="2023-10-28T15:06:04"/>
    <x v="0"/>
    <d v="2023-11-02T01:40:31"/>
    <n v="5"/>
    <n v="4"/>
    <x v="3"/>
    <x v="0"/>
    <s v="Bulgaria"/>
    <n v="42.724992499999999"/>
    <n v="25.483303899999999"/>
    <s v="ok"/>
    <s v="ok"/>
    <s v="ok"/>
    <s v="ok"/>
    <s v="ok"/>
    <x v="0"/>
    <n v="19.779750555579085"/>
  </r>
  <r>
    <x v="2"/>
    <n v="3441"/>
    <x v="0"/>
    <x v="0"/>
    <x v="5"/>
    <s v="1st line support"/>
    <x v="2"/>
    <x v="1918"/>
    <d v="2023-10-29T06:45:31"/>
    <d v="2023-10-27T07:45:31"/>
    <d v="2023-10-27T07:35:25"/>
    <s v="Within SLA"/>
    <d v="2023-10-27T22:35:09"/>
    <x v="0"/>
    <m/>
    <n v="1"/>
    <m/>
    <x v="2"/>
    <x v="0"/>
    <s v="Bulgaria"/>
    <n v="42.724992499999999"/>
    <n v="25.483303899999999"/>
    <s v="ok"/>
    <s v="ok"/>
    <s v="ok"/>
    <s v="ok"/>
    <s v="ok"/>
    <x v="0"/>
    <n v="15.827294722257648"/>
  </r>
  <r>
    <x v="2"/>
    <n v="3442"/>
    <x v="2"/>
    <x v="2"/>
    <x v="5"/>
    <s v="2nd line support"/>
    <x v="5"/>
    <x v="1919"/>
    <d v="2023-10-28T17:22:00"/>
    <d v="2023-10-27T17:24:00"/>
    <d v="2023-10-27T17:23:32"/>
    <s v="Within SLA"/>
    <d v="2023-10-29T21:29:27"/>
    <x v="1"/>
    <m/>
    <n v="6"/>
    <m/>
    <x v="2"/>
    <x v="1"/>
    <s v="Germany"/>
    <n v="51.165691000000002"/>
    <n v="10.451525999999999"/>
    <s v="ok"/>
    <s v="ok"/>
    <s v="ok"/>
    <s v="ok"/>
    <s v="ok"/>
    <x v="0"/>
    <n v="52.124107777664904"/>
  </r>
  <r>
    <x v="0"/>
    <n v="3443"/>
    <x v="1"/>
    <x v="1"/>
    <x v="0"/>
    <s v="1st line support"/>
    <x v="2"/>
    <x v="1920"/>
    <d v="2023-10-30T19:28:01"/>
    <d v="2023-10-28T19:30:01"/>
    <d v="2023-10-28T19:28:42"/>
    <s v="Within SLA"/>
    <d v="2023-11-02T06:58:53"/>
    <x v="1"/>
    <d v="2023-11-02T16:54:51"/>
    <n v="2"/>
    <n v="5"/>
    <x v="2"/>
    <x v="0"/>
    <s v="United Kingdom"/>
    <n v="55.378051999999997"/>
    <n v="-3.4359730000000002"/>
    <s v="ok"/>
    <s v="ok"/>
    <s v="ok"/>
    <s v="ok"/>
    <s v="ok"/>
    <x v="0"/>
    <n v="107.51434777787654"/>
  </r>
  <r>
    <x v="1"/>
    <n v="3444"/>
    <x v="0"/>
    <x v="2"/>
    <x v="5"/>
    <s v="2nd line support"/>
    <x v="1"/>
    <x v="1921"/>
    <d v="2023-10-29T12:32:42"/>
    <d v="2023-10-28T12:34:42"/>
    <d v="2023-10-28T12:33:41"/>
    <s v="Within SLA"/>
    <m/>
    <x v="1"/>
    <m/>
    <n v="6"/>
    <m/>
    <x v="0"/>
    <x v="1"/>
    <s v="United Kingdom"/>
    <n v="55.378051999999997"/>
    <n v="-3.4359730000000002"/>
    <s v="ok"/>
    <s v="ok"/>
    <s v="ok"/>
    <s v="ok"/>
    <s v="ok"/>
    <x v="1"/>
    <s v=""/>
  </r>
  <r>
    <x v="0"/>
    <n v="3445"/>
    <x v="0"/>
    <x v="1"/>
    <x v="1"/>
    <s v="1st line support"/>
    <x v="2"/>
    <x v="1922"/>
    <d v="2023-10-30T15:48:50"/>
    <d v="2023-10-28T15:50:50"/>
    <d v="2023-10-28T15:49:39"/>
    <s v="Within SLA"/>
    <d v="2023-10-28T16:18:10"/>
    <x v="0"/>
    <d v="2023-10-31T16:15:53"/>
    <n v="6"/>
    <n v="3"/>
    <x v="2"/>
    <x v="0"/>
    <s v="Germany"/>
    <n v="51.165691000000002"/>
    <n v="10.451525999999999"/>
    <s v="ok"/>
    <s v="ok"/>
    <s v="ok"/>
    <s v="ok"/>
    <s v="ok"/>
    <x v="0"/>
    <n v="0.48876111122081056"/>
  </r>
  <r>
    <x v="1"/>
    <n v="3457"/>
    <x v="0"/>
    <x v="0"/>
    <x v="3"/>
    <s v="2nd line support"/>
    <x v="5"/>
    <x v="1923"/>
    <d v="2023-10-31T00:45:51"/>
    <d v="2023-10-29T01:45:51"/>
    <d v="2023-10-29T01:28:19"/>
    <s v="Within SLA"/>
    <m/>
    <x v="1"/>
    <m/>
    <n v="9"/>
    <m/>
    <x v="2"/>
    <x v="1"/>
    <s v="Germany"/>
    <n v="51.165691000000002"/>
    <n v="10.451525999999999"/>
    <s v="ok"/>
    <s v="ok"/>
    <s v="ok"/>
    <s v="ok"/>
    <s v="ok"/>
    <x v="1"/>
    <s v=""/>
  </r>
  <r>
    <x v="0"/>
    <n v="3458"/>
    <x v="1"/>
    <x v="0"/>
    <x v="0"/>
    <s v="2nd line support"/>
    <x v="1"/>
    <x v="1924"/>
    <d v="2023-10-31T15:26:21"/>
    <d v="2023-10-29T16:26:21"/>
    <d v="2023-10-29T15:26:33"/>
    <s v="Within SLA"/>
    <d v="2023-10-31T07:09:39"/>
    <x v="0"/>
    <d v="2023-11-01T00:28:16"/>
    <n v="1"/>
    <n v="5"/>
    <x v="2"/>
    <x v="1"/>
    <s v="Slovenia"/>
    <n v="46.149166399999999"/>
    <n v="14.9860106"/>
    <s v="ok"/>
    <s v="ok"/>
    <s v="ok"/>
    <s v="ok"/>
    <s v="ok"/>
    <x v="0"/>
    <n v="39.721707777818665"/>
  </r>
  <r>
    <x v="0"/>
    <n v="3459"/>
    <x v="0"/>
    <x v="0"/>
    <x v="3"/>
    <s v="1st line support"/>
    <x v="6"/>
    <x v="1925"/>
    <d v="2023-10-31T03:14:50"/>
    <d v="2023-10-29T04:14:50"/>
    <d v="2023-10-29T04:01:54"/>
    <s v="Within SLA"/>
    <d v="2023-10-29T08:16:52"/>
    <x v="0"/>
    <d v="2023-11-04T01:41:17"/>
    <n v="1"/>
    <n v="4"/>
    <x v="1"/>
    <x v="0"/>
    <s v="Germany"/>
    <n v="51.165691000000002"/>
    <n v="10.451525999999999"/>
    <s v="ok"/>
    <s v="ok"/>
    <s v="ok"/>
    <s v="ok"/>
    <s v="ok"/>
    <x v="0"/>
    <n v="5.0340030555962585"/>
  </r>
  <r>
    <x v="0"/>
    <n v="3460"/>
    <x v="0"/>
    <x v="2"/>
    <x v="1"/>
    <s v="1st line support"/>
    <x v="4"/>
    <x v="1926"/>
    <d v="2023-10-31T16:10:14"/>
    <d v="2023-10-30T16:12:14"/>
    <d v="2023-10-30T16:11:27"/>
    <s v="Within SLA"/>
    <d v="2023-10-31T06:09:27"/>
    <x v="0"/>
    <d v="2023-11-03T16:32:26"/>
    <n v="6"/>
    <n v="5"/>
    <x v="0"/>
    <x v="0"/>
    <s v="Austria"/>
    <n v="47.696471899999999"/>
    <n v="13.3457347"/>
    <s v="ok"/>
    <s v="ok"/>
    <s v="ok"/>
    <s v="ok"/>
    <s v="ok"/>
    <x v="0"/>
    <n v="13.986943611118477"/>
  </r>
  <r>
    <x v="0"/>
    <n v="3461"/>
    <x v="0"/>
    <x v="2"/>
    <x v="0"/>
    <s v="1st line support"/>
    <x v="6"/>
    <x v="1927"/>
    <d v="2023-10-31T06:39:12"/>
    <d v="2023-10-30T06:41:12"/>
    <d v="2023-10-30T06:40:01"/>
    <s v="Within SLA"/>
    <d v="2023-10-30T15:33:15"/>
    <x v="0"/>
    <d v="2023-10-31T23:53:39"/>
    <n v="2"/>
    <n v="3"/>
    <x v="2"/>
    <x v="0"/>
    <s v="Greece"/>
    <n v="39.368279000000001"/>
    <n v="21.863140999999999"/>
    <s v="ok"/>
    <s v="ok"/>
    <s v="ok"/>
    <s v="ok"/>
    <s v="ok"/>
    <x v="0"/>
    <n v="8.9007219445193186"/>
  </r>
  <r>
    <x v="0"/>
    <n v="3462"/>
    <x v="2"/>
    <x v="0"/>
    <x v="3"/>
    <s v="1st line support"/>
    <x v="2"/>
    <x v="1928"/>
    <d v="2023-11-01T18:13:05"/>
    <d v="2023-10-30T19:13:05"/>
    <d v="2023-10-30T18:46:01"/>
    <s v="Within SLA"/>
    <d v="2023-10-30T18:15:04"/>
    <x v="0"/>
    <d v="2023-11-02T23:57:54"/>
    <n v="6"/>
    <n v="4"/>
    <x v="3"/>
    <x v="0"/>
    <s v="Austria"/>
    <n v="47.696471899999999"/>
    <n v="13.3457347"/>
    <s v="ok"/>
    <s v="ok"/>
    <s v="ok"/>
    <s v="ok"/>
    <s v="ok"/>
    <x v="0"/>
    <n v="3.3051388920284808E-2"/>
  </r>
  <r>
    <x v="0"/>
    <n v="3463"/>
    <x v="0"/>
    <x v="0"/>
    <x v="2"/>
    <s v="1st line support"/>
    <x v="2"/>
    <x v="1929"/>
    <d v="2023-11-01T19:30:50"/>
    <d v="2023-10-30T20:30:50"/>
    <d v="2023-10-30T20:07:02"/>
    <s v="Within SLA"/>
    <d v="2023-11-01T21:56:58"/>
    <x v="1"/>
    <d v="2023-11-02T15:37:05"/>
    <n v="8"/>
    <n v="3"/>
    <x v="3"/>
    <x v="0"/>
    <s v="Greece"/>
    <n v="39.368279000000001"/>
    <n v="21.863140999999999"/>
    <s v="ok"/>
    <s v="ok"/>
    <s v="ok"/>
    <s v="ok"/>
    <s v="ok"/>
    <x v="0"/>
    <n v="50.435645277786534"/>
  </r>
  <r>
    <x v="2"/>
    <n v="3464"/>
    <x v="1"/>
    <x v="0"/>
    <x v="1"/>
    <s v="2nd line support"/>
    <x v="7"/>
    <x v="1930"/>
    <d v="2023-11-01T23:33:23"/>
    <d v="2023-10-31T00:33:23"/>
    <d v="2023-10-30T23:52:17"/>
    <s v="Within SLA"/>
    <d v="2023-10-31T11:53:32"/>
    <x v="0"/>
    <m/>
    <n v="9"/>
    <m/>
    <x v="3"/>
    <x v="1"/>
    <s v="Greece"/>
    <n v="39.368279000000001"/>
    <n v="21.863140999999999"/>
    <s v="ok"/>
    <s v="ok"/>
    <s v="ok"/>
    <s v="ok"/>
    <s v="ok"/>
    <x v="0"/>
    <n v="12.335952222172637"/>
  </r>
  <r>
    <x v="1"/>
    <n v="3465"/>
    <x v="0"/>
    <x v="0"/>
    <x v="1"/>
    <s v="1st line support"/>
    <x v="2"/>
    <x v="1931"/>
    <d v="2023-11-01T05:51:10"/>
    <d v="2023-10-30T06:51:10"/>
    <d v="2023-10-30T06:04:04"/>
    <s v="Within SLA"/>
    <m/>
    <x v="1"/>
    <m/>
    <n v="2"/>
    <m/>
    <x v="0"/>
    <x v="0"/>
    <s v="Austria"/>
    <n v="47.696471899999999"/>
    <n v="13.3457347"/>
    <s v="ok"/>
    <s v="ok"/>
    <s v="ok"/>
    <s v="ok"/>
    <s v="ok"/>
    <x v="1"/>
    <s v=""/>
  </r>
  <r>
    <x v="0"/>
    <n v="3466"/>
    <x v="2"/>
    <x v="2"/>
    <x v="0"/>
    <s v="1st line support"/>
    <x v="3"/>
    <x v="1932"/>
    <d v="2023-10-31T16:02:03"/>
    <d v="2023-10-30T16:04:03"/>
    <d v="2023-10-30T16:03:30"/>
    <s v="Within SLA"/>
    <d v="2023-11-04T02:37:43"/>
    <x v="1"/>
    <d v="2023-11-05T03:09:54"/>
    <n v="5"/>
    <n v="5"/>
    <x v="2"/>
    <x v="0"/>
    <s v="Poland"/>
    <n v="52.536273000000001"/>
    <n v="19.050639"/>
    <s v="ok"/>
    <s v="ok"/>
    <s v="ok"/>
    <s v="ok"/>
    <s v="ok"/>
    <x v="0"/>
    <n v="106.59432999993442"/>
  </r>
  <r>
    <x v="2"/>
    <n v="3467"/>
    <x v="0"/>
    <x v="2"/>
    <x v="0"/>
    <s v="2nd line support"/>
    <x v="5"/>
    <x v="1933"/>
    <d v="2023-11-01T15:07:33"/>
    <d v="2023-10-31T15:09:33"/>
    <d v="2023-10-31T15:07:51"/>
    <s v="Within SLA"/>
    <d v="2023-10-31T15:26:10"/>
    <x v="0"/>
    <m/>
    <n v="6"/>
    <m/>
    <x v="2"/>
    <x v="1"/>
    <s v="Poland"/>
    <n v="52.536273000000001"/>
    <n v="19.050639"/>
    <s v="ok"/>
    <s v="ok"/>
    <s v="ok"/>
    <s v="ok"/>
    <s v="ok"/>
    <x v="0"/>
    <n v="0.31031861098017544"/>
  </r>
  <r>
    <x v="0"/>
    <n v="3468"/>
    <x v="0"/>
    <x v="1"/>
    <x v="0"/>
    <s v="2nd line support"/>
    <x v="5"/>
    <x v="1934"/>
    <d v="2023-11-02T10:07:30"/>
    <d v="2023-10-31T10:09:30"/>
    <d v="2023-10-31T10:09:10"/>
    <s v="Within SLA"/>
    <d v="2023-11-02T16:18:08"/>
    <x v="1"/>
    <d v="2023-11-03T15:52:36"/>
    <n v="7"/>
    <n v="4"/>
    <x v="1"/>
    <x v="1"/>
    <s v="Slovenia"/>
    <n v="46.149166399999999"/>
    <n v="14.9860106"/>
    <s v="ok"/>
    <s v="ok"/>
    <s v="ok"/>
    <s v="ok"/>
    <s v="ok"/>
    <x v="0"/>
    <n v="54.177330277743749"/>
  </r>
  <r>
    <x v="1"/>
    <n v="3469"/>
    <x v="0"/>
    <x v="0"/>
    <x v="6"/>
    <s v="1st line support"/>
    <x v="6"/>
    <x v="1935"/>
    <d v="2023-11-02T20:58:47"/>
    <d v="2023-10-31T21:58:47"/>
    <d v="2023-10-31T21:05:33"/>
    <s v="Within SLA"/>
    <m/>
    <x v="1"/>
    <m/>
    <n v="7"/>
    <m/>
    <x v="3"/>
    <x v="0"/>
    <s v="Italy"/>
    <n v="43.036776000000003"/>
    <n v="12.678565000000001"/>
    <s v="ok"/>
    <s v="ok"/>
    <s v="ok"/>
    <s v="ok"/>
    <s v="ok"/>
    <x v="1"/>
    <s v=""/>
  </r>
  <r>
    <x v="0"/>
    <n v="3470"/>
    <x v="2"/>
    <x v="1"/>
    <x v="3"/>
    <s v="2nd line support"/>
    <x v="1"/>
    <x v="1936"/>
    <d v="2023-11-02T00:37:49"/>
    <d v="2023-10-31T00:39:49"/>
    <d v="2023-10-31T00:38:45"/>
    <s v="Within SLA"/>
    <d v="2023-10-31T22:58:05"/>
    <x v="0"/>
    <d v="2023-11-04T13:51:21"/>
    <n v="4"/>
    <n v="1"/>
    <x v="2"/>
    <x v="1"/>
    <s v="Italy"/>
    <n v="43.036776000000003"/>
    <n v="12.678565000000001"/>
    <s v="ok"/>
    <s v="ok"/>
    <s v="ok"/>
    <s v="ok"/>
    <s v="ok"/>
    <x v="0"/>
    <n v="22.337768611090723"/>
  </r>
  <r>
    <x v="0"/>
    <n v="3471"/>
    <x v="2"/>
    <x v="0"/>
    <x v="3"/>
    <s v="1st line support"/>
    <x v="2"/>
    <x v="1937"/>
    <d v="2023-11-02T07:06:15"/>
    <d v="2023-10-31T08:06:15"/>
    <d v="2023-10-31T07:38:50"/>
    <s v="Within SLA"/>
    <d v="2023-11-01T02:35:45"/>
    <x v="0"/>
    <d v="2023-11-05T10:09:59"/>
    <n v="5"/>
    <n v="4"/>
    <x v="2"/>
    <x v="0"/>
    <s v="Bulgaria"/>
    <n v="42.724992499999999"/>
    <n v="25.483303899999999"/>
    <s v="ok"/>
    <s v="ok"/>
    <s v="ok"/>
    <s v="ok"/>
    <s v="ok"/>
    <x v="0"/>
    <n v="19.491803055570927"/>
  </r>
  <r>
    <x v="1"/>
    <n v="3472"/>
    <x v="0"/>
    <x v="2"/>
    <x v="3"/>
    <s v="2nd line support"/>
    <x v="1"/>
    <x v="1938"/>
    <d v="2023-11-01T16:06:51"/>
    <d v="2023-10-31T16:08:51"/>
    <d v="2023-10-31T16:06:55"/>
    <s v="Within SLA"/>
    <m/>
    <x v="1"/>
    <m/>
    <n v="5"/>
    <m/>
    <x v="2"/>
    <x v="1"/>
    <s v="United Kingdom"/>
    <n v="55.378051999999997"/>
    <n v="-3.4359730000000002"/>
    <s v="ok"/>
    <s v="ok"/>
    <s v="ok"/>
    <s v="ok"/>
    <s v="ok"/>
    <x v="1"/>
    <s v=""/>
  </r>
  <r>
    <x v="0"/>
    <n v="3473"/>
    <x v="1"/>
    <x v="2"/>
    <x v="1"/>
    <s v="1st line support"/>
    <x v="6"/>
    <x v="1939"/>
    <d v="2023-11-01T00:29:39"/>
    <d v="2023-10-31T00:31:39"/>
    <d v="2023-10-31T00:31:17"/>
    <s v="Within SLA"/>
    <d v="2023-10-31T12:12:37"/>
    <x v="0"/>
    <d v="2023-11-07T05:24:56"/>
    <n v="6"/>
    <n v="5"/>
    <x v="2"/>
    <x v="0"/>
    <s v="France"/>
    <n v="48.864716000000001"/>
    <n v="2.3490139999999999"/>
    <s v="ok"/>
    <s v="ok"/>
    <s v="ok"/>
    <s v="ok"/>
    <s v="ok"/>
    <x v="0"/>
    <n v="11.716163333330769"/>
  </r>
  <r>
    <x v="0"/>
    <n v="3474"/>
    <x v="2"/>
    <x v="1"/>
    <x v="4"/>
    <s v="1st line support"/>
    <x v="6"/>
    <x v="1940"/>
    <d v="2023-11-02T00:34:03"/>
    <d v="2023-10-31T00:36:03"/>
    <d v="2023-10-31T00:35:12"/>
    <s v="Within SLA"/>
    <d v="2023-11-02T19:34:52"/>
    <x v="1"/>
    <d v="2023-11-03T16:11:50"/>
    <n v="2"/>
    <n v="5"/>
    <x v="0"/>
    <x v="0"/>
    <s v="Republic of Ireland"/>
    <n v="53.094023999999997"/>
    <n v="-8.0196749999999994"/>
    <s v="ok"/>
    <s v="ok"/>
    <s v="ok"/>
    <s v="ok"/>
    <s v="ok"/>
    <x v="0"/>
    <n v="67.013551111158449"/>
  </r>
  <r>
    <x v="0"/>
    <n v="3475"/>
    <x v="0"/>
    <x v="0"/>
    <x v="2"/>
    <s v="2nd line support"/>
    <x v="7"/>
    <x v="1941"/>
    <d v="2023-11-03T00:06:49"/>
    <d v="2023-11-01T01:06:49"/>
    <d v="2023-11-01T00:40:10"/>
    <s v="Within SLA"/>
    <d v="2023-11-02T05:39:06"/>
    <x v="0"/>
    <d v="2023-11-03T11:05:24"/>
    <n v="1"/>
    <n v="4"/>
    <x v="0"/>
    <x v="1"/>
    <s v="Poland"/>
    <n v="52.536273000000001"/>
    <n v="19.050639"/>
    <s v="ok"/>
    <s v="ok"/>
    <s v="ok"/>
    <s v="ok"/>
    <s v="ok"/>
    <x v="0"/>
    <n v="29.537947222182993"/>
  </r>
  <r>
    <x v="0"/>
    <n v="3476"/>
    <x v="2"/>
    <x v="2"/>
    <x v="1"/>
    <s v="1st line support"/>
    <x v="4"/>
    <x v="1942"/>
    <d v="2023-11-02T23:01:47"/>
    <d v="2023-11-01T23:03:47"/>
    <d v="2023-11-01T23:03:04"/>
    <s v="Within SLA"/>
    <d v="2023-11-02T17:50:40"/>
    <x v="0"/>
    <d v="2023-11-09T00:58:29"/>
    <n v="5"/>
    <n v="4"/>
    <x v="1"/>
    <x v="0"/>
    <s v="Bulgaria"/>
    <n v="42.724992499999999"/>
    <n v="25.483303899999999"/>
    <s v="ok"/>
    <s v="ok"/>
    <s v="ok"/>
    <s v="ok"/>
    <s v="ok"/>
    <x v="0"/>
    <n v="18.814841666724533"/>
  </r>
  <r>
    <x v="0"/>
    <n v="3477"/>
    <x v="1"/>
    <x v="2"/>
    <x v="5"/>
    <s v="1st line support"/>
    <x v="2"/>
    <x v="1943"/>
    <d v="2023-11-02T09:20:37"/>
    <d v="2023-11-01T09:22:37"/>
    <d v="2023-11-01T09:25:13"/>
    <s v="SLA Violated"/>
    <d v="2023-11-02T01:35:38"/>
    <x v="0"/>
    <d v="2023-11-05T15:12:48"/>
    <n v="4"/>
    <n v="4"/>
    <x v="2"/>
    <x v="0"/>
    <s v="Spain"/>
    <n v="39.673369999999998"/>
    <n v="-4.7677259999999997"/>
    <s v="ok"/>
    <s v="ok"/>
    <s v="ok"/>
    <s v="ok"/>
    <s v="ok"/>
    <x v="0"/>
    <n v="16.250214722240344"/>
  </r>
  <r>
    <x v="2"/>
    <n v="3478"/>
    <x v="0"/>
    <x v="2"/>
    <x v="2"/>
    <s v="1st line support"/>
    <x v="3"/>
    <x v="1944"/>
    <d v="2023-11-02T21:15:52"/>
    <d v="2023-11-01T21:17:52"/>
    <d v="2023-11-01T21:17:50"/>
    <s v="Within SLA"/>
    <d v="2023-11-05T12:42:49"/>
    <x v="1"/>
    <m/>
    <n v="7"/>
    <m/>
    <x v="0"/>
    <x v="0"/>
    <s v="Greece"/>
    <n v="39.368279000000001"/>
    <n v="21.863140999999999"/>
    <s v="ok"/>
    <s v="ok"/>
    <s v="ok"/>
    <s v="ok"/>
    <s v="ok"/>
    <x v="0"/>
    <n v="87.449071388924494"/>
  </r>
  <r>
    <x v="0"/>
    <n v="3479"/>
    <x v="0"/>
    <x v="0"/>
    <x v="1"/>
    <s v="1st line support"/>
    <x v="0"/>
    <x v="1945"/>
    <d v="2023-11-03T18:55:11"/>
    <d v="2023-11-01T19:55:11"/>
    <d v="2023-11-01T19:35:42"/>
    <s v="Within SLA"/>
    <d v="2023-11-05T23:42:31"/>
    <x v="1"/>
    <d v="2023-11-06T07:56:34"/>
    <n v="5"/>
    <n v="4"/>
    <x v="2"/>
    <x v="0"/>
    <s v="Slovenia"/>
    <n v="46.149166399999999"/>
    <n v="14.9860106"/>
    <s v="ok"/>
    <s v="ok"/>
    <s v="ok"/>
    <s v="ok"/>
    <s v="ok"/>
    <x v="0"/>
    <n v="100.78897972212872"/>
  </r>
  <r>
    <x v="0"/>
    <n v="3480"/>
    <x v="1"/>
    <x v="2"/>
    <x v="5"/>
    <s v="1st line support"/>
    <x v="3"/>
    <x v="1946"/>
    <d v="2023-11-02T13:07:28"/>
    <d v="2023-11-01T13:09:28"/>
    <d v="2023-11-01T13:07:33"/>
    <s v="Within SLA"/>
    <d v="2023-11-01T22:57:27"/>
    <x v="0"/>
    <d v="2023-11-08T13:55:17"/>
    <n v="5"/>
    <n v="5"/>
    <x v="2"/>
    <x v="0"/>
    <s v="Slovenia"/>
    <n v="46.149166399999999"/>
    <n v="14.9860106"/>
    <s v="ok"/>
    <s v="ok"/>
    <s v="ok"/>
    <s v="ok"/>
    <s v="ok"/>
    <x v="0"/>
    <n v="9.8330630554701202"/>
  </r>
  <r>
    <x v="2"/>
    <n v="3481"/>
    <x v="2"/>
    <x v="0"/>
    <x v="5"/>
    <s v="1st line support"/>
    <x v="2"/>
    <x v="1947"/>
    <d v="2023-11-03T23:54:55"/>
    <d v="2023-11-02T00:54:55"/>
    <d v="2023-11-02T00:26:49"/>
    <s v="Within SLA"/>
    <d v="2023-11-03T06:21:11"/>
    <x v="0"/>
    <m/>
    <n v="3"/>
    <m/>
    <x v="2"/>
    <x v="0"/>
    <s v="Austria"/>
    <n v="47.696471899999999"/>
    <n v="13.3457347"/>
    <s v="ok"/>
    <s v="ok"/>
    <s v="ok"/>
    <s v="ok"/>
    <s v="ok"/>
    <x v="0"/>
    <n v="30.437856666685548"/>
  </r>
  <r>
    <x v="1"/>
    <n v="3482"/>
    <x v="1"/>
    <x v="0"/>
    <x v="3"/>
    <s v="2nd line support"/>
    <x v="1"/>
    <x v="1948"/>
    <d v="2023-11-03T10:21:54"/>
    <d v="2023-11-01T11:21:54"/>
    <d v="2023-11-01T10:52:35"/>
    <s v="Within SLA"/>
    <m/>
    <x v="1"/>
    <m/>
    <n v="2"/>
    <m/>
    <x v="0"/>
    <x v="1"/>
    <s v="Poland"/>
    <n v="52.536273000000001"/>
    <n v="19.050639"/>
    <s v="ok"/>
    <s v="ok"/>
    <s v="ok"/>
    <s v="ok"/>
    <s v="ok"/>
    <x v="1"/>
    <s v=""/>
  </r>
  <r>
    <x v="0"/>
    <n v="3483"/>
    <x v="0"/>
    <x v="2"/>
    <x v="1"/>
    <s v="1st line support"/>
    <x v="0"/>
    <x v="1949"/>
    <d v="2023-11-02T15:23:00"/>
    <d v="2023-11-01T15:25:00"/>
    <d v="2023-11-01T15:28:04"/>
    <s v="SLA Violated"/>
    <d v="2023-11-02T08:19:20"/>
    <x v="0"/>
    <d v="2023-11-06T17:14:25"/>
    <n v="9"/>
    <n v="4"/>
    <x v="2"/>
    <x v="0"/>
    <s v="Slovenia"/>
    <n v="46.149166399999999"/>
    <n v="14.9860106"/>
    <s v="ok"/>
    <s v="ok"/>
    <s v="ok"/>
    <s v="ok"/>
    <s v="ok"/>
    <x v="0"/>
    <n v="16.938954166718759"/>
  </r>
  <r>
    <x v="1"/>
    <n v="3484"/>
    <x v="0"/>
    <x v="0"/>
    <x v="3"/>
    <s v="1st line support"/>
    <x v="3"/>
    <x v="1950"/>
    <d v="2023-11-03T08:18:40"/>
    <d v="2023-11-01T09:18:40"/>
    <d v="2023-11-01T08:36:03"/>
    <s v="Within SLA"/>
    <m/>
    <x v="1"/>
    <m/>
    <n v="1"/>
    <m/>
    <x v="2"/>
    <x v="0"/>
    <s v="Italy"/>
    <n v="43.036776000000003"/>
    <n v="12.678565000000001"/>
    <s v="ok"/>
    <s v="ok"/>
    <s v="ok"/>
    <s v="ok"/>
    <s v="ok"/>
    <x v="1"/>
    <s v=""/>
  </r>
  <r>
    <x v="0"/>
    <n v="3485"/>
    <x v="2"/>
    <x v="1"/>
    <x v="1"/>
    <s v="1st line support"/>
    <x v="0"/>
    <x v="1951"/>
    <d v="2023-11-03T07:01:08"/>
    <d v="2023-11-01T07:03:08"/>
    <d v="2023-11-01T07:03:03"/>
    <s v="Within SLA"/>
    <d v="2023-11-02T15:16:06"/>
    <x v="0"/>
    <d v="2023-11-07T08:05:17"/>
    <n v="7"/>
    <n v="2"/>
    <x v="2"/>
    <x v="0"/>
    <s v="United Kingdom"/>
    <n v="55.378051999999997"/>
    <n v="-3.4359730000000002"/>
    <s v="ok"/>
    <s v="ok"/>
    <s v="ok"/>
    <s v="ok"/>
    <s v="ok"/>
    <x v="0"/>
    <n v="32.249571388936602"/>
  </r>
  <r>
    <x v="1"/>
    <n v="3486"/>
    <x v="0"/>
    <x v="0"/>
    <x v="3"/>
    <s v="1st line support"/>
    <x v="0"/>
    <x v="1952"/>
    <d v="2023-11-04T19:25:27"/>
    <d v="2023-11-02T20:25:27"/>
    <d v="2023-11-02T20:37:40"/>
    <s v="SLA Violated"/>
    <m/>
    <x v="1"/>
    <m/>
    <n v="3"/>
    <m/>
    <x v="0"/>
    <x v="0"/>
    <s v="United Kingdom"/>
    <n v="55.378051999999997"/>
    <n v="-3.4359730000000002"/>
    <s v="ok"/>
    <s v="ok"/>
    <s v="ok"/>
    <s v="ok"/>
    <s v="ok"/>
    <x v="1"/>
    <s v=""/>
  </r>
  <r>
    <x v="2"/>
    <n v="3487"/>
    <x v="2"/>
    <x v="0"/>
    <x v="1"/>
    <s v="2nd line support"/>
    <x v="1"/>
    <x v="1953"/>
    <d v="2023-11-04T06:12:26"/>
    <d v="2023-11-02T07:12:26"/>
    <d v="2023-11-02T07:09:06"/>
    <s v="Within SLA"/>
    <d v="2023-11-02T10:11:00"/>
    <x v="0"/>
    <m/>
    <n v="1"/>
    <m/>
    <x v="2"/>
    <x v="1"/>
    <s v="Poland"/>
    <n v="52.536273000000001"/>
    <n v="19.050639"/>
    <s v="ok"/>
    <s v="ok"/>
    <s v="ok"/>
    <s v="ok"/>
    <s v="ok"/>
    <x v="0"/>
    <n v="3.9759799999301322"/>
  </r>
  <r>
    <x v="0"/>
    <n v="3488"/>
    <x v="2"/>
    <x v="2"/>
    <x v="4"/>
    <s v="1st line support"/>
    <x v="3"/>
    <x v="1954"/>
    <d v="2023-11-03T01:48:46"/>
    <d v="2023-11-02T01:50:46"/>
    <d v="2023-11-02T01:49:28"/>
    <s v="Within SLA"/>
    <d v="2023-11-04T10:10:47"/>
    <x v="1"/>
    <d v="2023-11-04T19:48:22"/>
    <n v="5"/>
    <n v="5"/>
    <x v="0"/>
    <x v="0"/>
    <s v="Germany"/>
    <n v="51.165691000000002"/>
    <n v="10.451525999999999"/>
    <s v="ok"/>
    <s v="ok"/>
    <s v="ok"/>
    <s v="ok"/>
    <s v="ok"/>
    <x v="0"/>
    <n v="56.367077777744271"/>
  </r>
  <r>
    <x v="0"/>
    <n v="3489"/>
    <x v="1"/>
    <x v="2"/>
    <x v="1"/>
    <s v="2nd line support"/>
    <x v="7"/>
    <x v="1955"/>
    <d v="2023-11-03T11:02:27"/>
    <d v="2023-11-02T11:04:27"/>
    <d v="2023-11-02T11:04:04"/>
    <s v="Within SLA"/>
    <d v="2023-11-02T17:00:41"/>
    <x v="0"/>
    <d v="2023-11-06T16:07:31"/>
    <n v="8"/>
    <n v="4"/>
    <x v="1"/>
    <x v="1"/>
    <s v="Slovenia"/>
    <n v="46.149166399999999"/>
    <n v="14.9860106"/>
    <s v="ok"/>
    <s v="ok"/>
    <s v="ok"/>
    <s v="ok"/>
    <s v="ok"/>
    <x v="0"/>
    <n v="5.970532777835615"/>
  </r>
  <r>
    <x v="1"/>
    <n v="3490"/>
    <x v="0"/>
    <x v="0"/>
    <x v="1"/>
    <s v="2nd line support"/>
    <x v="1"/>
    <x v="1956"/>
    <d v="2023-11-04T02:48:53"/>
    <d v="2023-11-02T03:48:53"/>
    <d v="2023-11-02T03:43:20"/>
    <s v="Within SLA"/>
    <m/>
    <x v="1"/>
    <m/>
    <n v="1"/>
    <m/>
    <x v="0"/>
    <x v="1"/>
    <s v="Greece"/>
    <n v="39.368279000000001"/>
    <n v="21.863140999999999"/>
    <s v="ok"/>
    <s v="ok"/>
    <s v="ok"/>
    <s v="ok"/>
    <s v="ok"/>
    <x v="1"/>
    <s v=""/>
  </r>
  <r>
    <x v="0"/>
    <n v="3491"/>
    <x v="1"/>
    <x v="2"/>
    <x v="0"/>
    <s v="1st line support"/>
    <x v="4"/>
    <x v="1957"/>
    <d v="2023-11-03T12:46:43"/>
    <d v="2023-11-02T12:48:43"/>
    <d v="2023-11-02T12:48:08"/>
    <s v="Within SLA"/>
    <d v="2023-11-02T23:30:40"/>
    <x v="0"/>
    <d v="2023-11-08T09:13:16"/>
    <n v="9"/>
    <n v="4"/>
    <x v="0"/>
    <x v="0"/>
    <s v="Republic of Ireland"/>
    <n v="53.094023999999997"/>
    <n v="-8.0196749999999994"/>
    <s v="ok"/>
    <s v="ok"/>
    <s v="ok"/>
    <s v="ok"/>
    <s v="ok"/>
    <x v="0"/>
    <n v="10.732417499937583"/>
  </r>
  <r>
    <x v="0"/>
    <n v="3492"/>
    <x v="1"/>
    <x v="0"/>
    <x v="1"/>
    <s v="1st line support"/>
    <x v="6"/>
    <x v="1958"/>
    <d v="2023-11-04T15:45:40"/>
    <d v="2023-11-02T16:45:40"/>
    <d v="2023-11-02T16:11:14"/>
    <s v="Within SLA"/>
    <d v="2023-11-07T02:46:44"/>
    <x v="1"/>
    <d v="2023-11-08T12:27:16"/>
    <n v="6"/>
    <n v="1"/>
    <x v="1"/>
    <x v="0"/>
    <s v="France"/>
    <n v="48.864716000000001"/>
    <n v="2.3490139999999999"/>
    <s v="ok"/>
    <s v="ok"/>
    <s v="ok"/>
    <s v="ok"/>
    <s v="ok"/>
    <x v="0"/>
    <n v="107.01782611117233"/>
  </r>
  <r>
    <x v="2"/>
    <n v="3493"/>
    <x v="0"/>
    <x v="0"/>
    <x v="4"/>
    <s v="1st line support"/>
    <x v="3"/>
    <x v="1959"/>
    <d v="2023-11-04T08:00:12"/>
    <d v="2023-11-02T09:00:12"/>
    <d v="2023-11-02T08:19:34"/>
    <s v="Within SLA"/>
    <d v="2023-11-02T14:22:37"/>
    <x v="0"/>
    <m/>
    <n v="7"/>
    <m/>
    <x v="1"/>
    <x v="0"/>
    <s v="Czech Republic"/>
    <n v="49.8037633"/>
    <n v="15.4749126"/>
    <s v="ok"/>
    <s v="ok"/>
    <s v="ok"/>
    <s v="ok"/>
    <s v="ok"/>
    <x v="0"/>
    <n v="6.373703055549413"/>
  </r>
  <r>
    <x v="1"/>
    <n v="3494"/>
    <x v="1"/>
    <x v="2"/>
    <x v="3"/>
    <s v="1st line support"/>
    <x v="4"/>
    <x v="1960"/>
    <d v="2023-11-03T15:27:33"/>
    <d v="2023-11-02T15:29:33"/>
    <d v="2023-11-02T15:29:28"/>
    <s v="Within SLA"/>
    <m/>
    <x v="1"/>
    <m/>
    <n v="6"/>
    <m/>
    <x v="0"/>
    <x v="0"/>
    <s v="Italy"/>
    <n v="43.036776000000003"/>
    <n v="12.678565000000001"/>
    <s v="ok"/>
    <s v="ok"/>
    <s v="ok"/>
    <s v="ok"/>
    <s v="ok"/>
    <x v="1"/>
    <s v=""/>
  </r>
  <r>
    <x v="0"/>
    <n v="3495"/>
    <x v="0"/>
    <x v="0"/>
    <x v="5"/>
    <s v="2nd line support"/>
    <x v="1"/>
    <x v="1961"/>
    <d v="2023-11-04T06:29:35"/>
    <d v="2023-11-02T07:29:35"/>
    <d v="2023-11-02T07:16:20"/>
    <s v="Within SLA"/>
    <d v="2023-11-02T22:23:09"/>
    <x v="0"/>
    <d v="2023-11-03T01:54:12"/>
    <n v="1"/>
    <n v="5"/>
    <x v="2"/>
    <x v="1"/>
    <s v="Germany"/>
    <n v="51.165691000000002"/>
    <n v="10.451525999999999"/>
    <s v="ok"/>
    <s v="ok"/>
    <s v="ok"/>
    <s v="ok"/>
    <s v="ok"/>
    <x v="0"/>
    <n v="15.892725277750287"/>
  </r>
  <r>
    <x v="0"/>
    <n v="3496"/>
    <x v="1"/>
    <x v="2"/>
    <x v="0"/>
    <s v="1st line support"/>
    <x v="6"/>
    <x v="1962"/>
    <d v="2023-11-04T17:47:09"/>
    <d v="2023-11-03T17:49:09"/>
    <d v="2023-11-03T17:47:30"/>
    <s v="Within SLA"/>
    <d v="2023-11-04T15:48:21"/>
    <x v="0"/>
    <d v="2023-11-05T19:25:19"/>
    <n v="6"/>
    <n v="5"/>
    <x v="0"/>
    <x v="0"/>
    <s v="Austria"/>
    <n v="47.696471899999999"/>
    <n v="13.3457347"/>
    <s v="ok"/>
    <s v="ok"/>
    <s v="ok"/>
    <s v="ok"/>
    <s v="ok"/>
    <x v="0"/>
    <n v="22.019891666597687"/>
  </r>
  <r>
    <x v="0"/>
    <n v="3497"/>
    <x v="2"/>
    <x v="0"/>
    <x v="5"/>
    <s v="1st line support"/>
    <x v="6"/>
    <x v="1963"/>
    <d v="2023-11-05T18:35:52"/>
    <d v="2023-11-03T19:35:52"/>
    <d v="2023-11-03T18:47:21"/>
    <s v="Within SLA"/>
    <d v="2023-11-03T22:03:38"/>
    <x v="0"/>
    <d v="2023-11-06T03:22:23"/>
    <n v="9"/>
    <n v="3"/>
    <x v="2"/>
    <x v="0"/>
    <s v="Czech Republic"/>
    <n v="49.8037633"/>
    <n v="15.4749126"/>
    <s v="ok"/>
    <s v="ok"/>
    <s v="ok"/>
    <s v="ok"/>
    <s v="ok"/>
    <x v="0"/>
    <n v="3.4626855554524809"/>
  </r>
  <r>
    <x v="0"/>
    <n v="3498"/>
    <x v="0"/>
    <x v="2"/>
    <x v="3"/>
    <s v="1st line support"/>
    <x v="6"/>
    <x v="1964"/>
    <d v="2023-11-04T19:42:56"/>
    <d v="2023-11-03T19:44:56"/>
    <d v="2023-11-03T19:43:41"/>
    <s v="Within SLA"/>
    <d v="2023-11-08T06:51:55"/>
    <x v="1"/>
    <d v="2023-11-09T17:18:39"/>
    <n v="4"/>
    <n v="4"/>
    <x v="3"/>
    <x v="0"/>
    <s v="Slovenia"/>
    <n v="46.149166399999999"/>
    <n v="14.9860106"/>
    <s v="ok"/>
    <s v="ok"/>
    <s v="ok"/>
    <s v="ok"/>
    <s v="ok"/>
    <x v="0"/>
    <n v="107.14985250000609"/>
  </r>
  <r>
    <x v="0"/>
    <n v="3499"/>
    <x v="2"/>
    <x v="1"/>
    <x v="5"/>
    <s v="1st line support"/>
    <x v="6"/>
    <x v="1965"/>
    <d v="2023-11-05T13:33:40"/>
    <d v="2023-11-03T13:35:40"/>
    <d v="2023-11-03T13:34:23"/>
    <s v="Within SLA"/>
    <d v="2023-11-03T23:04:46"/>
    <x v="0"/>
    <d v="2023-11-06T23:46:25"/>
    <n v="2"/>
    <n v="3"/>
    <x v="2"/>
    <x v="0"/>
    <s v="Greece"/>
    <n v="39.368279000000001"/>
    <n v="21.863140999999999"/>
    <s v="ok"/>
    <s v="ok"/>
    <s v="ok"/>
    <s v="ok"/>
    <s v="ok"/>
    <x v="0"/>
    <n v="9.5183069444610737"/>
  </r>
  <r>
    <x v="0"/>
    <n v="3500"/>
    <x v="1"/>
    <x v="0"/>
    <x v="1"/>
    <s v="2nd line support"/>
    <x v="7"/>
    <x v="1966"/>
    <d v="2023-11-05T15:51:20"/>
    <d v="2023-11-03T16:51:20"/>
    <d v="2023-11-03T16:13:18"/>
    <s v="Within SLA"/>
    <d v="2023-11-04T08:45:13"/>
    <x v="0"/>
    <d v="2023-11-08T03:19:55"/>
    <n v="2"/>
    <n v="5"/>
    <x v="1"/>
    <x v="1"/>
    <s v="Austria"/>
    <n v="47.696471899999999"/>
    <n v="13.3457347"/>
    <s v="ok"/>
    <s v="ok"/>
    <s v="ok"/>
    <s v="ok"/>
    <s v="ok"/>
    <x v="0"/>
    <n v="16.898145833343733"/>
  </r>
  <r>
    <x v="0"/>
    <n v="3501"/>
    <x v="1"/>
    <x v="2"/>
    <x v="0"/>
    <s v="1st line support"/>
    <x v="2"/>
    <x v="1967"/>
    <d v="2023-11-04T05:18:59"/>
    <d v="2023-11-03T05:20:59"/>
    <d v="2023-11-03T05:20:59"/>
    <s v="Within SLA"/>
    <d v="2023-11-04T10:38:27"/>
    <x v="1"/>
    <d v="2023-11-04T11:31:34"/>
    <n v="5"/>
    <n v="1"/>
    <x v="0"/>
    <x v="0"/>
    <s v="Republic of Ireland"/>
    <n v="53.094023999999997"/>
    <n v="-8.0196749999999994"/>
    <s v="ok"/>
    <s v="ok"/>
    <s v="ok"/>
    <s v="ok"/>
    <s v="ok"/>
    <x v="0"/>
    <n v="29.324335833429359"/>
  </r>
  <r>
    <x v="0"/>
    <n v="3502"/>
    <x v="1"/>
    <x v="0"/>
    <x v="4"/>
    <s v="1st line support"/>
    <x v="4"/>
    <x v="1968"/>
    <d v="2023-11-05T16:58:19"/>
    <d v="2023-11-03T17:58:19"/>
    <d v="2023-11-03T17:07:58"/>
    <s v="Within SLA"/>
    <d v="2023-11-07T03:48:16"/>
    <x v="1"/>
    <d v="2023-11-07T22:28:49"/>
    <n v="6"/>
    <n v="4"/>
    <x v="2"/>
    <x v="0"/>
    <s v="Spain"/>
    <n v="39.673369999999998"/>
    <n v="-4.7677259999999997"/>
    <s v="ok"/>
    <s v="ok"/>
    <s v="ok"/>
    <s v="ok"/>
    <s v="ok"/>
    <x v="0"/>
    <n v="82.83236333343666"/>
  </r>
  <r>
    <x v="0"/>
    <n v="3503"/>
    <x v="1"/>
    <x v="2"/>
    <x v="3"/>
    <s v="1st line support"/>
    <x v="3"/>
    <x v="1969"/>
    <d v="2023-11-04T10:23:40"/>
    <d v="2023-11-03T10:25:40"/>
    <d v="2023-11-03T10:23:41"/>
    <s v="Within SLA"/>
    <d v="2023-11-08T18:45:04"/>
    <x v="1"/>
    <d v="2023-11-09T21:20:53"/>
    <n v="7"/>
    <n v="3"/>
    <x v="1"/>
    <x v="0"/>
    <s v="Poland"/>
    <n v="52.536273000000001"/>
    <n v="19.050639"/>
    <s v="ok"/>
    <s v="ok"/>
    <s v="ok"/>
    <s v="ok"/>
    <s v="ok"/>
    <x v="0"/>
    <n v="128.35654888901627"/>
  </r>
  <r>
    <x v="0"/>
    <n v="3504"/>
    <x v="0"/>
    <x v="2"/>
    <x v="4"/>
    <s v="1st line support"/>
    <x v="4"/>
    <x v="1970"/>
    <d v="2023-11-04T09:23:39"/>
    <d v="2023-11-03T09:25:39"/>
    <d v="2023-11-03T09:27:46"/>
    <s v="SLA Violated"/>
    <d v="2023-11-03T14:51:09"/>
    <x v="0"/>
    <d v="2023-11-06T17:00:17"/>
    <n v="2"/>
    <n v="4"/>
    <x v="2"/>
    <x v="0"/>
    <s v="Slovenia"/>
    <n v="46.149166399999999"/>
    <n v="14.9860106"/>
    <s v="ok"/>
    <s v="ok"/>
    <s v="ok"/>
    <s v="ok"/>
    <s v="ok"/>
    <x v="0"/>
    <n v="5.4582313889404759"/>
  </r>
  <r>
    <x v="0"/>
    <n v="3505"/>
    <x v="0"/>
    <x v="2"/>
    <x v="1"/>
    <s v="2nd line support"/>
    <x v="1"/>
    <x v="1971"/>
    <d v="2023-11-04T06:23:01"/>
    <d v="2023-11-03T06:25:01"/>
    <d v="2023-11-03T06:24:43"/>
    <s v="Within SLA"/>
    <d v="2023-11-03T16:53:33"/>
    <x v="0"/>
    <d v="2023-11-09T00:55:34"/>
    <n v="2"/>
    <n v="4"/>
    <x v="1"/>
    <x v="1"/>
    <s v="Italy"/>
    <n v="43.036776000000003"/>
    <n v="12.678565000000001"/>
    <s v="ok"/>
    <s v="ok"/>
    <s v="ok"/>
    <s v="ok"/>
    <s v="ok"/>
    <x v="0"/>
    <n v="10.508933611214161"/>
  </r>
  <r>
    <x v="0"/>
    <n v="3506"/>
    <x v="0"/>
    <x v="2"/>
    <x v="0"/>
    <s v="2nd line support"/>
    <x v="5"/>
    <x v="1972"/>
    <d v="2023-11-05T15:02:09"/>
    <d v="2023-11-04T15:04:09"/>
    <d v="2023-11-04T15:04:08"/>
    <s v="Within SLA"/>
    <d v="2023-11-05T09:40:23"/>
    <x v="0"/>
    <d v="2023-11-11T07:59:27"/>
    <n v="6"/>
    <n v="4"/>
    <x v="2"/>
    <x v="1"/>
    <s v="Germany"/>
    <n v="51.165691000000002"/>
    <n v="10.451525999999999"/>
    <s v="ok"/>
    <s v="ok"/>
    <s v="ok"/>
    <s v="ok"/>
    <s v="ok"/>
    <x v="0"/>
    <n v="18.637214444519486"/>
  </r>
  <r>
    <x v="1"/>
    <n v="3507"/>
    <x v="1"/>
    <x v="2"/>
    <x v="3"/>
    <s v="1st line support"/>
    <x v="0"/>
    <x v="1973"/>
    <d v="2023-11-05T18:21:44"/>
    <d v="2023-11-04T18:23:44"/>
    <d v="2023-11-04T18:23:03"/>
    <s v="Within SLA"/>
    <m/>
    <x v="1"/>
    <m/>
    <n v="5"/>
    <m/>
    <x v="2"/>
    <x v="0"/>
    <s v="Poland"/>
    <n v="52.536273000000001"/>
    <n v="19.050639"/>
    <s v="ok"/>
    <s v="ok"/>
    <s v="ok"/>
    <s v="ok"/>
    <s v="ok"/>
    <x v="1"/>
    <s v=""/>
  </r>
  <r>
    <x v="0"/>
    <n v="3508"/>
    <x v="1"/>
    <x v="2"/>
    <x v="3"/>
    <s v="1st line support"/>
    <x v="4"/>
    <x v="1974"/>
    <d v="2023-11-05T21:16:05"/>
    <d v="2023-11-04T21:18:05"/>
    <d v="2023-11-04T21:16:09"/>
    <s v="Within SLA"/>
    <d v="2023-11-05T16:35:01"/>
    <x v="0"/>
    <d v="2023-11-10T23:59:15"/>
    <n v="6"/>
    <n v="4"/>
    <x v="0"/>
    <x v="0"/>
    <s v="Italy"/>
    <n v="43.036776000000003"/>
    <n v="12.678565000000001"/>
    <s v="ok"/>
    <s v="ok"/>
    <s v="ok"/>
    <s v="ok"/>
    <s v="ok"/>
    <x v="0"/>
    <n v="19.315474444418214"/>
  </r>
  <r>
    <x v="0"/>
    <n v="3522"/>
    <x v="2"/>
    <x v="2"/>
    <x v="3"/>
    <s v="1st line support"/>
    <x v="4"/>
    <x v="1975"/>
    <d v="2023-11-06T00:43:17"/>
    <d v="2023-11-05T00:45:17"/>
    <d v="2023-11-05T00:43:53"/>
    <s v="Within SLA"/>
    <d v="2023-11-07T14:26:18"/>
    <x v="1"/>
    <d v="2023-11-08T22:06:14"/>
    <n v="5"/>
    <n v="5"/>
    <x v="3"/>
    <x v="0"/>
    <s v="Italy"/>
    <n v="43.036776000000003"/>
    <n v="12.678565000000001"/>
    <s v="ok"/>
    <s v="ok"/>
    <s v="ok"/>
    <s v="ok"/>
    <s v="ok"/>
    <x v="0"/>
    <n v="61.71705555554945"/>
  </r>
  <r>
    <x v="1"/>
    <n v="3523"/>
    <x v="2"/>
    <x v="2"/>
    <x v="0"/>
    <s v="1st line support"/>
    <x v="2"/>
    <x v="1976"/>
    <d v="2023-11-06T16:52:21"/>
    <d v="2023-11-05T16:54:21"/>
    <d v="2023-11-05T16:54:16"/>
    <s v="Within SLA"/>
    <m/>
    <x v="1"/>
    <m/>
    <n v="6"/>
    <m/>
    <x v="2"/>
    <x v="0"/>
    <s v="Czech Republic"/>
    <n v="49.8037633"/>
    <n v="15.4749126"/>
    <s v="ok"/>
    <s v="ok"/>
    <s v="ok"/>
    <s v="ok"/>
    <s v="ok"/>
    <x v="1"/>
    <s v=""/>
  </r>
  <r>
    <x v="0"/>
    <n v="3524"/>
    <x v="0"/>
    <x v="2"/>
    <x v="3"/>
    <s v="1st line support"/>
    <x v="6"/>
    <x v="1977"/>
    <d v="2023-11-06T12:30:09"/>
    <d v="2023-11-05T12:32:09"/>
    <d v="2023-11-05T12:31:00"/>
    <s v="Within SLA"/>
    <d v="2023-11-05T16:38:59"/>
    <x v="0"/>
    <d v="2023-11-08T18:15:45"/>
    <n v="2"/>
    <n v="1"/>
    <x v="2"/>
    <x v="0"/>
    <s v="Czech Republic"/>
    <n v="49.8037633"/>
    <n v="15.4749126"/>
    <s v="ok"/>
    <s v="ok"/>
    <s v="ok"/>
    <s v="ok"/>
    <s v="ok"/>
    <x v="0"/>
    <n v="4.1471230555325747"/>
  </r>
  <r>
    <x v="0"/>
    <n v="3525"/>
    <x v="0"/>
    <x v="2"/>
    <x v="4"/>
    <s v="1st line support"/>
    <x v="6"/>
    <x v="1978"/>
    <d v="2023-11-07T09:52:57"/>
    <d v="2023-11-06T09:54:57"/>
    <d v="2023-11-06T09:54:41"/>
    <s v="Within SLA"/>
    <d v="2023-11-06T22:56:31"/>
    <x v="0"/>
    <d v="2023-11-13T09:58:12"/>
    <n v="8"/>
    <n v="4"/>
    <x v="3"/>
    <x v="0"/>
    <s v="Republic of Ireland"/>
    <n v="53.094023999999997"/>
    <n v="-8.0196749999999994"/>
    <s v="ok"/>
    <s v="ok"/>
    <s v="ok"/>
    <s v="ok"/>
    <s v="ok"/>
    <x v="0"/>
    <n v="13.059513611078728"/>
  </r>
  <r>
    <x v="1"/>
    <n v="3526"/>
    <x v="0"/>
    <x v="0"/>
    <x v="1"/>
    <s v="1st line support"/>
    <x v="0"/>
    <x v="1979"/>
    <d v="2023-11-08T09:49:23"/>
    <d v="2023-11-06T10:49:23"/>
    <d v="2023-11-06T10:28:05"/>
    <s v="Within SLA"/>
    <m/>
    <x v="1"/>
    <m/>
    <n v="1"/>
    <m/>
    <x v="1"/>
    <x v="0"/>
    <s v="Czech Republic"/>
    <n v="49.8037633"/>
    <n v="15.4749126"/>
    <s v="ok"/>
    <s v="ok"/>
    <s v="ok"/>
    <s v="ok"/>
    <s v="ok"/>
    <x v="1"/>
    <s v=""/>
  </r>
  <r>
    <x v="0"/>
    <n v="3527"/>
    <x v="2"/>
    <x v="0"/>
    <x v="3"/>
    <s v="1st line support"/>
    <x v="4"/>
    <x v="1980"/>
    <d v="2023-11-08T13:18:19"/>
    <d v="2023-11-06T14:18:19"/>
    <d v="2023-11-06T13:55:59"/>
    <s v="Within SLA"/>
    <d v="2023-11-07T18:50:13"/>
    <x v="0"/>
    <d v="2023-11-08T10:06:01"/>
    <n v="3"/>
    <n v="3"/>
    <x v="1"/>
    <x v="0"/>
    <s v="Bulgaria"/>
    <n v="42.724992499999999"/>
    <n v="25.483303899999999"/>
    <s v="ok"/>
    <s v="ok"/>
    <s v="ok"/>
    <s v="ok"/>
    <s v="ok"/>
    <x v="0"/>
    <n v="29.531680833315477"/>
  </r>
  <r>
    <x v="0"/>
    <n v="3528"/>
    <x v="0"/>
    <x v="2"/>
    <x v="3"/>
    <s v="1st line support"/>
    <x v="4"/>
    <x v="1981"/>
    <d v="2023-11-07T07:26:31"/>
    <d v="2023-11-06T07:28:31"/>
    <d v="2023-11-06T07:27:10"/>
    <s v="Within SLA"/>
    <d v="2023-11-06T10:44:52"/>
    <x v="0"/>
    <d v="2023-11-09T13:11:40"/>
    <n v="2"/>
    <n v="4"/>
    <x v="2"/>
    <x v="0"/>
    <s v="Bulgaria"/>
    <n v="42.724992499999999"/>
    <n v="25.483303899999999"/>
    <s v="ok"/>
    <s v="ok"/>
    <s v="ok"/>
    <s v="ok"/>
    <s v="ok"/>
    <x v="0"/>
    <n v="3.3057627776870504"/>
  </r>
  <r>
    <x v="0"/>
    <n v="3529"/>
    <x v="0"/>
    <x v="0"/>
    <x v="3"/>
    <s v="1st line support"/>
    <x v="4"/>
    <x v="1982"/>
    <d v="2023-11-08T23:48:23"/>
    <d v="2023-11-07T00:48:23"/>
    <d v="2023-11-07T00:09:07"/>
    <s v="Within SLA"/>
    <d v="2023-11-07T09:17:13"/>
    <x v="0"/>
    <d v="2023-11-10T08:04:42"/>
    <n v="1"/>
    <n v="2"/>
    <x v="2"/>
    <x v="0"/>
    <s v="Republic of Ireland"/>
    <n v="53.094023999999997"/>
    <n v="-8.0196749999999994"/>
    <s v="ok"/>
    <s v="ok"/>
    <s v="ok"/>
    <s v="ok"/>
    <s v="ok"/>
    <x v="0"/>
    <n v="9.4804458333528601"/>
  </r>
  <r>
    <x v="0"/>
    <n v="3530"/>
    <x v="0"/>
    <x v="2"/>
    <x v="3"/>
    <s v="1st line support"/>
    <x v="6"/>
    <x v="1983"/>
    <d v="2023-11-07T16:35:57"/>
    <d v="2023-11-06T16:37:57"/>
    <d v="2023-11-06T16:39:10"/>
    <s v="SLA Violated"/>
    <d v="2023-11-10T17:41:52"/>
    <x v="1"/>
    <d v="2023-11-11T04:38:37"/>
    <n v="6"/>
    <n v="4"/>
    <x v="2"/>
    <x v="0"/>
    <s v="United Kingdom"/>
    <n v="55.378051999999997"/>
    <n v="-3.4359730000000002"/>
    <s v="ok"/>
    <s v="ok"/>
    <s v="ok"/>
    <s v="ok"/>
    <s v="ok"/>
    <x v="0"/>
    <n v="97.098697500012349"/>
  </r>
  <r>
    <x v="0"/>
    <n v="3531"/>
    <x v="0"/>
    <x v="0"/>
    <x v="1"/>
    <s v="1st line support"/>
    <x v="3"/>
    <x v="1984"/>
    <d v="2023-11-08T19:21:09"/>
    <d v="2023-11-06T20:21:09"/>
    <d v="2023-11-06T20:05:29"/>
    <s v="Within SLA"/>
    <d v="2023-11-07T01:34:15"/>
    <x v="0"/>
    <d v="2023-11-13T01:57:46"/>
    <n v="2"/>
    <n v="3"/>
    <x v="2"/>
    <x v="0"/>
    <s v="United Kingdom"/>
    <n v="55.378051999999997"/>
    <n v="-3.4359730000000002"/>
    <s v="ok"/>
    <s v="ok"/>
    <s v="ok"/>
    <s v="ok"/>
    <s v="ok"/>
    <x v="0"/>
    <n v="6.2182655555661768"/>
  </r>
  <r>
    <x v="1"/>
    <n v="3532"/>
    <x v="2"/>
    <x v="0"/>
    <x v="1"/>
    <s v="1st line support"/>
    <x v="0"/>
    <x v="1985"/>
    <d v="2023-11-08T00:36:36"/>
    <d v="2023-11-06T01:36:36"/>
    <d v="2023-11-06T01:03:25"/>
    <s v="Within SLA"/>
    <m/>
    <x v="1"/>
    <m/>
    <n v="8"/>
    <m/>
    <x v="3"/>
    <x v="0"/>
    <s v="Spain"/>
    <n v="39.673369999999998"/>
    <n v="-4.7677259999999997"/>
    <s v="ok"/>
    <s v="ok"/>
    <s v="ok"/>
    <s v="ok"/>
    <s v="ok"/>
    <x v="1"/>
    <s v=""/>
  </r>
  <r>
    <x v="0"/>
    <n v="3533"/>
    <x v="0"/>
    <x v="0"/>
    <x v="2"/>
    <s v="1st line support"/>
    <x v="3"/>
    <x v="1986"/>
    <d v="2023-11-09T12:46:42"/>
    <d v="2023-11-07T13:46:42"/>
    <d v="2023-11-07T13:14:51"/>
    <s v="Within SLA"/>
    <d v="2023-11-08T21:32:08"/>
    <x v="0"/>
    <d v="2023-11-13T18:49:22"/>
    <n v="1"/>
    <n v="5"/>
    <x v="2"/>
    <x v="0"/>
    <s v="Austria"/>
    <n v="47.696471899999999"/>
    <n v="13.3457347"/>
    <s v="ok"/>
    <s v="ok"/>
    <s v="ok"/>
    <s v="ok"/>
    <s v="ok"/>
    <x v="0"/>
    <n v="32.757086111116223"/>
  </r>
  <r>
    <x v="2"/>
    <n v="3534"/>
    <x v="0"/>
    <x v="0"/>
    <x v="3"/>
    <s v="1st line support"/>
    <x v="4"/>
    <x v="1987"/>
    <d v="2023-11-09T00:28:30"/>
    <d v="2023-11-07T01:28:30"/>
    <d v="2023-11-07T00:47:40"/>
    <s v="Within SLA"/>
    <d v="2023-11-12T20:42:54"/>
    <x v="1"/>
    <m/>
    <n v="5"/>
    <m/>
    <x v="1"/>
    <x v="0"/>
    <s v="Austria"/>
    <n v="47.696471899999999"/>
    <n v="13.3457347"/>
    <s v="ok"/>
    <s v="ok"/>
    <s v="ok"/>
    <s v="ok"/>
    <s v="ok"/>
    <x v="0"/>
    <n v="140.23992500005988"/>
  </r>
  <r>
    <x v="0"/>
    <n v="3535"/>
    <x v="0"/>
    <x v="2"/>
    <x v="0"/>
    <s v="1st line support"/>
    <x v="6"/>
    <x v="1988"/>
    <d v="2023-11-08T01:41:16"/>
    <d v="2023-11-07T01:43:16"/>
    <d v="2023-11-07T01:42:28"/>
    <s v="Within SLA"/>
    <d v="2023-11-07T16:52:24"/>
    <x v="0"/>
    <d v="2023-11-10T07:23:45"/>
    <n v="6"/>
    <n v="4"/>
    <x v="0"/>
    <x v="0"/>
    <s v="Poland"/>
    <n v="52.536273000000001"/>
    <n v="19.050639"/>
    <s v="ok"/>
    <s v="ok"/>
    <s v="ok"/>
    <s v="ok"/>
    <s v="ok"/>
    <x v="0"/>
    <n v="15.185620555537753"/>
  </r>
  <r>
    <x v="0"/>
    <n v="3536"/>
    <x v="2"/>
    <x v="0"/>
    <x v="0"/>
    <s v="1st line support"/>
    <x v="0"/>
    <x v="1989"/>
    <d v="2023-11-09T01:05:48"/>
    <d v="2023-11-07T02:05:48"/>
    <d v="2023-11-07T07:09:23"/>
    <s v="SLA Violated"/>
    <d v="2023-11-07T08:43:26"/>
    <x v="0"/>
    <d v="2023-11-07T17:22:29"/>
    <n v="9"/>
    <n v="1"/>
    <x v="2"/>
    <x v="0"/>
    <s v="Germany"/>
    <n v="51.165691000000002"/>
    <n v="10.451525999999999"/>
    <s v="ok"/>
    <s v="ok"/>
    <s v="ok"/>
    <s v="ok"/>
    <s v="ok"/>
    <x v="0"/>
    <n v="7.6273244444746524"/>
  </r>
  <r>
    <x v="0"/>
    <n v="3537"/>
    <x v="0"/>
    <x v="0"/>
    <x v="3"/>
    <s v="1st line support"/>
    <x v="0"/>
    <x v="1990"/>
    <d v="2023-11-09T19:22:24"/>
    <d v="2023-11-07T20:22:24"/>
    <d v="2023-11-07T19:28:40"/>
    <s v="Within SLA"/>
    <d v="2023-11-11T13:16:25"/>
    <x v="1"/>
    <d v="2023-11-11T23:51:35"/>
    <n v="8"/>
    <n v="5"/>
    <x v="1"/>
    <x v="0"/>
    <s v="Italy"/>
    <n v="43.036776000000003"/>
    <n v="12.678565000000001"/>
    <s v="ok"/>
    <s v="ok"/>
    <s v="ok"/>
    <s v="ok"/>
    <s v="ok"/>
    <x v="0"/>
    <n v="89.900319166656118"/>
  </r>
  <r>
    <x v="0"/>
    <n v="3538"/>
    <x v="0"/>
    <x v="2"/>
    <x v="5"/>
    <s v="1st line support"/>
    <x v="0"/>
    <x v="1991"/>
    <d v="2023-11-08T05:07:18"/>
    <d v="2023-11-07T05:09:18"/>
    <d v="2023-11-07T05:07:40"/>
    <s v="Within SLA"/>
    <d v="2023-11-07T06:33:10"/>
    <x v="0"/>
    <d v="2023-11-12T03:45:04"/>
    <n v="7"/>
    <n v="2"/>
    <x v="0"/>
    <x v="0"/>
    <s v="Republic of Ireland"/>
    <n v="53.094023999999997"/>
    <n v="-8.0196749999999994"/>
    <s v="ok"/>
    <s v="ok"/>
    <s v="ok"/>
    <s v="ok"/>
    <s v="ok"/>
    <x v="0"/>
    <n v="1.4312377776950598"/>
  </r>
  <r>
    <x v="0"/>
    <n v="3539"/>
    <x v="1"/>
    <x v="2"/>
    <x v="4"/>
    <s v="1st line support"/>
    <x v="4"/>
    <x v="1992"/>
    <d v="2023-11-08T00:47:28"/>
    <d v="2023-11-07T00:49:28"/>
    <d v="2023-11-07T00:47:52"/>
    <s v="Within SLA"/>
    <d v="2023-11-07T08:30:36"/>
    <x v="0"/>
    <d v="2023-11-08T18:26:51"/>
    <n v="6"/>
    <n v="5"/>
    <x v="2"/>
    <x v="0"/>
    <s v="Poland"/>
    <n v="52.536273000000001"/>
    <n v="19.050639"/>
    <s v="ok"/>
    <s v="ok"/>
    <s v="ok"/>
    <s v="ok"/>
    <s v="ok"/>
    <x v="0"/>
    <n v="7.7189269444788806"/>
  </r>
  <r>
    <x v="0"/>
    <n v="3540"/>
    <x v="2"/>
    <x v="0"/>
    <x v="1"/>
    <s v="1st line support"/>
    <x v="6"/>
    <x v="1993"/>
    <d v="2023-11-10T07:10:23"/>
    <d v="2023-11-08T08:10:23"/>
    <d v="2023-11-08T07:53:53"/>
    <s v="Within SLA"/>
    <d v="2023-11-13T07:52:06"/>
    <x v="1"/>
    <d v="2023-11-14T09:41:22"/>
    <n v="3"/>
    <n v="3"/>
    <x v="2"/>
    <x v="0"/>
    <s v="Spain"/>
    <n v="39.673369999999998"/>
    <n v="-4.7677259999999997"/>
    <s v="ok"/>
    <s v="ok"/>
    <s v="ok"/>
    <s v="ok"/>
    <s v="ok"/>
    <x v="0"/>
    <n v="120.69539666664787"/>
  </r>
  <r>
    <x v="2"/>
    <n v="3542"/>
    <x v="2"/>
    <x v="0"/>
    <x v="0"/>
    <s v="1st line support"/>
    <x v="2"/>
    <x v="1994"/>
    <d v="2023-11-10T20:42:42"/>
    <d v="2023-11-08T21:42:42"/>
    <d v="2023-11-08T21:29:41"/>
    <s v="Within SLA"/>
    <d v="2023-11-08T20:43:53"/>
    <x v="0"/>
    <m/>
    <n v="2"/>
    <m/>
    <x v="2"/>
    <x v="0"/>
    <s v="Poland"/>
    <n v="52.536273000000001"/>
    <n v="19.050639"/>
    <s v="ok"/>
    <s v="ok"/>
    <s v="ok"/>
    <s v="ok"/>
    <s v="ok"/>
    <x v="0"/>
    <n v="1.9584166584536433E-2"/>
  </r>
  <r>
    <x v="2"/>
    <n v="3543"/>
    <x v="1"/>
    <x v="0"/>
    <x v="3"/>
    <s v="1st line support"/>
    <x v="2"/>
    <x v="1995"/>
    <d v="2023-11-10T22:46:35"/>
    <d v="2023-11-08T23:46:35"/>
    <d v="2023-11-08T22:56:38"/>
    <s v="Within SLA"/>
    <d v="2023-11-09T00:42:28"/>
    <x v="0"/>
    <m/>
    <n v="3"/>
    <m/>
    <x v="2"/>
    <x v="0"/>
    <s v="United Kingdom"/>
    <n v="55.378051999999997"/>
    <n v="-3.4359730000000002"/>
    <s v="ok"/>
    <s v="ok"/>
    <s v="ok"/>
    <s v="ok"/>
    <s v="ok"/>
    <x v="0"/>
    <n v="1.9314633333706297"/>
  </r>
  <r>
    <x v="2"/>
    <n v="3544"/>
    <x v="0"/>
    <x v="0"/>
    <x v="0"/>
    <s v="2nd line support"/>
    <x v="5"/>
    <x v="1996"/>
    <d v="2023-11-10T01:13:09"/>
    <d v="2023-11-08T02:13:09"/>
    <d v="2023-11-08T02:00:19"/>
    <s v="Within SLA"/>
    <d v="2023-11-09T18:35:28"/>
    <x v="0"/>
    <m/>
    <n v="2"/>
    <m/>
    <x v="2"/>
    <x v="1"/>
    <s v="Germany"/>
    <n v="51.165691000000002"/>
    <n v="10.451525999999999"/>
    <s v="ok"/>
    <s v="ok"/>
    <s v="ok"/>
    <s v="ok"/>
    <s v="ok"/>
    <x v="0"/>
    <n v="41.372059444373008"/>
  </r>
  <r>
    <x v="0"/>
    <n v="3545"/>
    <x v="0"/>
    <x v="0"/>
    <x v="0"/>
    <s v="1st line support"/>
    <x v="2"/>
    <x v="1997"/>
    <d v="2023-11-10T01:34:12"/>
    <d v="2023-11-08T02:34:12"/>
    <d v="2023-11-08T02:26:44"/>
    <s v="Within SLA"/>
    <d v="2023-11-09T17:06:53"/>
    <x v="0"/>
    <d v="2023-11-13T21:19:08"/>
    <n v="4"/>
    <n v="4"/>
    <x v="1"/>
    <x v="0"/>
    <s v="Poland"/>
    <n v="52.536273000000001"/>
    <n v="19.050639"/>
    <s v="ok"/>
    <s v="ok"/>
    <s v="ok"/>
    <s v="ok"/>
    <s v="ok"/>
    <x v="0"/>
    <n v="39.544692222203594"/>
  </r>
  <r>
    <x v="0"/>
    <n v="3546"/>
    <x v="0"/>
    <x v="0"/>
    <x v="3"/>
    <s v="2nd line support"/>
    <x v="5"/>
    <x v="1998"/>
    <d v="2023-11-10T07:43:08"/>
    <d v="2023-11-08T08:43:08"/>
    <d v="2023-11-08T08:13:30"/>
    <s v="Within SLA"/>
    <d v="2023-11-08T17:05:37"/>
    <x v="0"/>
    <d v="2023-11-12T23:48:01"/>
    <n v="8"/>
    <n v="3"/>
    <x v="3"/>
    <x v="1"/>
    <s v="United Kingdom"/>
    <n v="55.378051999999997"/>
    <n v="-3.4359730000000002"/>
    <s v="ok"/>
    <s v="ok"/>
    <s v="ok"/>
    <s v="ok"/>
    <s v="ok"/>
    <x v="0"/>
    <n v="9.3746249999385327"/>
  </r>
  <r>
    <x v="2"/>
    <n v="3547"/>
    <x v="2"/>
    <x v="2"/>
    <x v="4"/>
    <s v="1st line support"/>
    <x v="0"/>
    <x v="1999"/>
    <d v="2023-11-09T02:07:36"/>
    <d v="2023-11-08T02:09:36"/>
    <d v="2023-11-08T02:13:27"/>
    <s v="SLA Violated"/>
    <d v="2023-11-08T18:25:54"/>
    <x v="0"/>
    <m/>
    <n v="2"/>
    <m/>
    <x v="3"/>
    <x v="0"/>
    <s v="Italy"/>
    <n v="43.036776000000003"/>
    <n v="12.678565000000001"/>
    <s v="ok"/>
    <s v="ok"/>
    <s v="ok"/>
    <s v="ok"/>
    <s v="ok"/>
    <x v="0"/>
    <n v="16.304869722167496"/>
  </r>
  <r>
    <x v="2"/>
    <n v="3548"/>
    <x v="0"/>
    <x v="0"/>
    <x v="4"/>
    <s v="1st line support"/>
    <x v="6"/>
    <x v="2000"/>
    <d v="2023-11-10T11:37:14"/>
    <d v="2023-11-08T12:37:14"/>
    <d v="2023-11-08T12:26:43"/>
    <s v="Within SLA"/>
    <d v="2023-11-11T13:57:48"/>
    <x v="1"/>
    <m/>
    <n v="6"/>
    <m/>
    <x v="0"/>
    <x v="0"/>
    <s v="Germany"/>
    <n v="51.165691000000002"/>
    <n v="10.451525999999999"/>
    <s v="ok"/>
    <s v="ok"/>
    <s v="ok"/>
    <s v="ok"/>
    <s v="ok"/>
    <x v="0"/>
    <n v="74.342700277687982"/>
  </r>
  <r>
    <x v="2"/>
    <n v="3550"/>
    <x v="2"/>
    <x v="2"/>
    <x v="1"/>
    <s v="2nd line support"/>
    <x v="1"/>
    <x v="2001"/>
    <d v="2023-11-09T12:19:12"/>
    <d v="2023-11-08T12:21:12"/>
    <d v="2023-11-08T12:20:03"/>
    <s v="Within SLA"/>
    <d v="2023-11-09T07:10:20"/>
    <x v="0"/>
    <m/>
    <n v="5"/>
    <m/>
    <x v="2"/>
    <x v="1"/>
    <s v="Slovenia"/>
    <n v="46.149166399999999"/>
    <n v="14.9860106"/>
    <s v="ok"/>
    <s v="ok"/>
    <s v="ok"/>
    <s v="ok"/>
    <s v="ok"/>
    <x v="0"/>
    <n v="18.852354999922682"/>
  </r>
  <r>
    <x v="0"/>
    <n v="3551"/>
    <x v="1"/>
    <x v="0"/>
    <x v="0"/>
    <s v="1st line support"/>
    <x v="2"/>
    <x v="2002"/>
    <d v="2023-11-10T21:27:37"/>
    <d v="2023-11-08T22:27:37"/>
    <d v="2023-11-08T21:38:20"/>
    <s v="Within SLA"/>
    <d v="2023-11-11T03:53:09"/>
    <x v="1"/>
    <d v="2023-11-13T01:16:11"/>
    <n v="9"/>
    <n v="4"/>
    <x v="2"/>
    <x v="0"/>
    <s v="Poland"/>
    <n v="52.536273000000001"/>
    <n v="19.050639"/>
    <s v="ok"/>
    <s v="ok"/>
    <s v="ok"/>
    <s v="ok"/>
    <s v="ok"/>
    <x v="0"/>
    <n v="54.42564666661201"/>
  </r>
  <r>
    <x v="1"/>
    <n v="3552"/>
    <x v="0"/>
    <x v="2"/>
    <x v="4"/>
    <s v="1st line support"/>
    <x v="0"/>
    <x v="2003"/>
    <d v="2023-11-09T07:52:27"/>
    <d v="2023-11-08T07:54:27"/>
    <d v="2023-11-08T07:53:25"/>
    <s v="Within SLA"/>
    <m/>
    <x v="1"/>
    <m/>
    <n v="8"/>
    <m/>
    <x v="0"/>
    <x v="0"/>
    <s v="France"/>
    <n v="48.864716000000001"/>
    <n v="2.3490139999999999"/>
    <s v="ok"/>
    <s v="ok"/>
    <s v="ok"/>
    <s v="ok"/>
    <s v="ok"/>
    <x v="1"/>
    <s v=""/>
  </r>
  <r>
    <x v="0"/>
    <n v="3553"/>
    <x v="1"/>
    <x v="0"/>
    <x v="6"/>
    <s v="1st line support"/>
    <x v="3"/>
    <x v="2004"/>
    <d v="2023-11-11T04:47:36"/>
    <d v="2023-11-09T05:47:36"/>
    <d v="2023-11-09T05:01:00"/>
    <s v="Within SLA"/>
    <d v="2023-11-09T07:06:33"/>
    <x v="0"/>
    <d v="2023-11-11T08:15:26"/>
    <n v="5"/>
    <n v="5"/>
    <x v="3"/>
    <x v="0"/>
    <s v="France"/>
    <n v="48.864716000000001"/>
    <n v="2.3490139999999999"/>
    <s v="ok"/>
    <s v="ok"/>
    <s v="ok"/>
    <s v="ok"/>
    <s v="ok"/>
    <x v="0"/>
    <n v="2.3157202778966166"/>
  </r>
  <r>
    <x v="1"/>
    <n v="3554"/>
    <x v="0"/>
    <x v="0"/>
    <x v="3"/>
    <s v="1st line support"/>
    <x v="2"/>
    <x v="2005"/>
    <d v="2023-11-11T20:45:50"/>
    <d v="2023-11-09T21:45:50"/>
    <d v="2023-11-09T21:44:20"/>
    <s v="Within SLA"/>
    <m/>
    <x v="1"/>
    <m/>
    <n v="8"/>
    <m/>
    <x v="2"/>
    <x v="0"/>
    <s v="Spain"/>
    <n v="39.673369999999998"/>
    <n v="-4.7677259999999997"/>
    <s v="ok"/>
    <s v="ok"/>
    <s v="ok"/>
    <s v="ok"/>
    <s v="ok"/>
    <x v="1"/>
    <s v=""/>
  </r>
  <r>
    <x v="0"/>
    <n v="3555"/>
    <x v="0"/>
    <x v="0"/>
    <x v="1"/>
    <s v="1st line support"/>
    <x v="0"/>
    <x v="2006"/>
    <d v="2023-11-11T21:18:44"/>
    <d v="2023-11-09T22:18:44"/>
    <d v="2023-11-09T21:24:25"/>
    <s v="Within SLA"/>
    <d v="2023-11-11T09:20:17"/>
    <x v="0"/>
    <d v="2023-11-12T11:59:49"/>
    <n v="9"/>
    <n v="4"/>
    <x v="1"/>
    <x v="0"/>
    <s v="Germany"/>
    <n v="51.165691000000002"/>
    <n v="10.451525999999999"/>
    <s v="ok"/>
    <s v="ok"/>
    <s v="ok"/>
    <s v="ok"/>
    <s v="ok"/>
    <x v="0"/>
    <n v="36.025936666759662"/>
  </r>
  <r>
    <x v="0"/>
    <n v="3556"/>
    <x v="0"/>
    <x v="0"/>
    <x v="3"/>
    <s v="1st line support"/>
    <x v="3"/>
    <x v="2007"/>
    <d v="2023-11-11T23:18:57"/>
    <d v="2023-11-10T00:18:57"/>
    <d v="2023-11-09T23:31:27"/>
    <s v="Within SLA"/>
    <d v="2023-11-10T01:44:02"/>
    <x v="0"/>
    <d v="2023-11-11T08:49:31"/>
    <n v="2"/>
    <n v="3"/>
    <x v="0"/>
    <x v="0"/>
    <s v="Austria"/>
    <n v="47.696471899999999"/>
    <n v="13.3457347"/>
    <s v="ok"/>
    <s v="ok"/>
    <s v="ok"/>
    <s v="ok"/>
    <s v="ok"/>
    <x v="0"/>
    <n v="2.4181711110868491"/>
  </r>
  <r>
    <x v="0"/>
    <n v="3557"/>
    <x v="2"/>
    <x v="2"/>
    <x v="2"/>
    <s v="1st line support"/>
    <x v="3"/>
    <x v="2008"/>
    <d v="2023-11-10T08:15:53"/>
    <d v="2023-11-09T08:17:53"/>
    <d v="2023-11-09T08:17:34"/>
    <s v="Within SLA"/>
    <d v="2023-11-09T23:09:37"/>
    <x v="0"/>
    <d v="2023-11-14T12:20:55"/>
    <n v="5"/>
    <n v="3"/>
    <x v="2"/>
    <x v="0"/>
    <s v="Bulgaria"/>
    <n v="42.724992499999999"/>
    <n v="25.483303899999999"/>
    <s v="ok"/>
    <s v="ok"/>
    <s v="ok"/>
    <s v="ok"/>
    <s v="ok"/>
    <x v="0"/>
    <n v="14.895562777819578"/>
  </r>
  <r>
    <x v="0"/>
    <n v="3559"/>
    <x v="1"/>
    <x v="0"/>
    <x v="5"/>
    <s v="1st line support"/>
    <x v="3"/>
    <x v="2009"/>
    <d v="2023-11-11T03:02:00"/>
    <d v="2023-11-09T04:02:00"/>
    <d v="2023-11-09T03:56:04"/>
    <s v="Within SLA"/>
    <d v="2023-11-11T23:07:32"/>
    <x v="1"/>
    <d v="2023-11-13T05:56:39"/>
    <n v="1"/>
    <n v="3"/>
    <x v="0"/>
    <x v="0"/>
    <s v="Italy"/>
    <n v="43.036776000000003"/>
    <n v="12.678565000000001"/>
    <s v="ok"/>
    <s v="ok"/>
    <s v="ok"/>
    <s v="ok"/>
    <s v="ok"/>
    <x v="0"/>
    <n v="68.092277777788695"/>
  </r>
  <r>
    <x v="0"/>
    <n v="3560"/>
    <x v="2"/>
    <x v="2"/>
    <x v="0"/>
    <s v="1st line support"/>
    <x v="4"/>
    <x v="2010"/>
    <d v="2023-11-10T05:13:12"/>
    <d v="2023-11-09T05:15:12"/>
    <d v="2023-11-09T05:13:17"/>
    <s v="Within SLA"/>
    <d v="2023-11-09T10:31:11"/>
    <x v="0"/>
    <d v="2023-11-11T04:05:30"/>
    <n v="4"/>
    <n v="2"/>
    <x v="1"/>
    <x v="0"/>
    <s v="Greece"/>
    <n v="39.368279000000001"/>
    <n v="21.863140999999999"/>
    <s v="ok"/>
    <s v="ok"/>
    <s v="ok"/>
    <s v="ok"/>
    <s v="ok"/>
    <x v="0"/>
    <n v="5.2997086111572571"/>
  </r>
  <r>
    <x v="2"/>
    <n v="3561"/>
    <x v="2"/>
    <x v="0"/>
    <x v="3"/>
    <s v="1st line support"/>
    <x v="3"/>
    <x v="2011"/>
    <d v="2023-11-11T00:43:22"/>
    <d v="2023-11-09T01:43:22"/>
    <d v="2023-11-09T01:01:02"/>
    <s v="Within SLA"/>
    <d v="2023-11-10T22:06:04"/>
    <x v="0"/>
    <m/>
    <n v="1"/>
    <m/>
    <x v="0"/>
    <x v="0"/>
    <s v="Spain"/>
    <n v="39.673369999999998"/>
    <n v="-4.7677259999999997"/>
    <s v="ok"/>
    <s v="ok"/>
    <s v="ok"/>
    <s v="ok"/>
    <s v="ok"/>
    <x v="0"/>
    <n v="45.378323888930026"/>
  </r>
  <r>
    <x v="0"/>
    <n v="3562"/>
    <x v="1"/>
    <x v="0"/>
    <x v="3"/>
    <s v="1st line support"/>
    <x v="4"/>
    <x v="2012"/>
    <d v="2023-11-12T14:10:13"/>
    <d v="2023-11-10T15:10:13"/>
    <d v="2023-11-10T14:27:27"/>
    <s v="Within SLA"/>
    <d v="2023-11-11T23:08:30"/>
    <x v="0"/>
    <d v="2023-11-13T22:30:20"/>
    <n v="1"/>
    <n v="4"/>
    <x v="2"/>
    <x v="0"/>
    <s v="Italy"/>
    <n v="43.036776000000003"/>
    <n v="12.678565000000001"/>
    <s v="ok"/>
    <s v="ok"/>
    <s v="ok"/>
    <s v="ok"/>
    <s v="ok"/>
    <x v="0"/>
    <n v="32.971496666665189"/>
  </r>
  <r>
    <x v="0"/>
    <n v="3563"/>
    <x v="2"/>
    <x v="2"/>
    <x v="1"/>
    <s v="1st line support"/>
    <x v="4"/>
    <x v="2013"/>
    <d v="2023-11-11T00:57:33"/>
    <d v="2023-11-10T00:59:33"/>
    <d v="2023-11-10T00:57:54"/>
    <s v="Within SLA"/>
    <d v="2023-11-14T17:09:40"/>
    <x v="1"/>
    <d v="2023-11-16T10:05:05"/>
    <n v="7"/>
    <n v="3"/>
    <x v="2"/>
    <x v="0"/>
    <s v="Italy"/>
    <n v="43.036776000000003"/>
    <n v="12.678565000000001"/>
    <s v="ok"/>
    <s v="ok"/>
    <s v="ok"/>
    <s v="ok"/>
    <s v="ok"/>
    <x v="0"/>
    <n v="112.20201083330903"/>
  </r>
  <r>
    <x v="0"/>
    <n v="3565"/>
    <x v="0"/>
    <x v="0"/>
    <x v="4"/>
    <s v="2nd line support"/>
    <x v="1"/>
    <x v="2014"/>
    <d v="2023-11-12T12:56:25"/>
    <d v="2023-11-10T13:56:25"/>
    <d v="2023-11-10T13:48:39"/>
    <s v="Within SLA"/>
    <d v="2023-11-11T22:40:13"/>
    <x v="0"/>
    <d v="2023-11-12T12:07:49"/>
    <n v="2"/>
    <n v="3"/>
    <x v="2"/>
    <x v="1"/>
    <s v="Italy"/>
    <n v="43.036776000000003"/>
    <n v="12.678565000000001"/>
    <s v="ok"/>
    <s v="ok"/>
    <s v="ok"/>
    <s v="ok"/>
    <s v="ok"/>
    <x v="0"/>
    <n v="33.730090555676725"/>
  </r>
  <r>
    <x v="0"/>
    <n v="3566"/>
    <x v="0"/>
    <x v="1"/>
    <x v="1"/>
    <s v="1st line support"/>
    <x v="6"/>
    <x v="2015"/>
    <d v="2023-11-12T23:46:05"/>
    <d v="2023-11-10T23:48:05"/>
    <d v="2023-11-10T23:47:17"/>
    <s v="Within SLA"/>
    <d v="2023-11-11T22:08:42"/>
    <x v="0"/>
    <d v="2023-11-12T05:51:43"/>
    <n v="2"/>
    <n v="3"/>
    <x v="2"/>
    <x v="0"/>
    <s v="Austria"/>
    <n v="47.696471899999999"/>
    <n v="13.3457347"/>
    <s v="ok"/>
    <s v="ok"/>
    <s v="ok"/>
    <s v="ok"/>
    <s v="ok"/>
    <x v="0"/>
    <n v="22.37705611117417"/>
  </r>
  <r>
    <x v="0"/>
    <n v="3567"/>
    <x v="1"/>
    <x v="0"/>
    <x v="1"/>
    <s v="1st line support"/>
    <x v="2"/>
    <x v="2016"/>
    <d v="2023-11-12T11:46:55"/>
    <d v="2023-11-10T12:46:55"/>
    <d v="2023-11-10T11:57:57"/>
    <s v="Within SLA"/>
    <d v="2023-11-10T16:12:35"/>
    <x v="0"/>
    <d v="2023-11-10T17:43:19"/>
    <n v="4"/>
    <n v="4"/>
    <x v="1"/>
    <x v="0"/>
    <s v="Czech Republic"/>
    <n v="49.8037633"/>
    <n v="15.4749126"/>
    <s v="ok"/>
    <s v="ok"/>
    <s v="ok"/>
    <s v="ok"/>
    <s v="ok"/>
    <x v="0"/>
    <n v="4.4278763888287358"/>
  </r>
  <r>
    <x v="2"/>
    <n v="3568"/>
    <x v="0"/>
    <x v="2"/>
    <x v="1"/>
    <s v="1st line support"/>
    <x v="4"/>
    <x v="2017"/>
    <d v="2023-11-11T06:58:51"/>
    <d v="2023-11-10T07:00:51"/>
    <d v="2023-11-10T07:00:15"/>
    <s v="Within SLA"/>
    <d v="2023-11-11T01:54:48"/>
    <x v="0"/>
    <m/>
    <n v="6"/>
    <m/>
    <x v="1"/>
    <x v="0"/>
    <s v="Germany"/>
    <n v="51.165691000000002"/>
    <n v="10.451525999999999"/>
    <s v="ok"/>
    <s v="ok"/>
    <s v="ok"/>
    <s v="ok"/>
    <s v="ok"/>
    <x v="0"/>
    <n v="18.932368888927158"/>
  </r>
  <r>
    <x v="0"/>
    <n v="3569"/>
    <x v="2"/>
    <x v="0"/>
    <x v="3"/>
    <s v="1st line support"/>
    <x v="4"/>
    <x v="2018"/>
    <d v="2023-11-13T00:40:59"/>
    <d v="2023-11-11T01:40:59"/>
    <d v="2023-11-11T00:57:40"/>
    <s v="Within SLA"/>
    <d v="2023-11-13T04:51:56"/>
    <x v="1"/>
    <d v="2023-11-15T04:41:38"/>
    <n v="1"/>
    <n v="4"/>
    <x v="0"/>
    <x v="0"/>
    <s v="Bulgaria"/>
    <n v="42.724992499999999"/>
    <n v="25.483303899999999"/>
    <s v="ok"/>
    <s v="ok"/>
    <s v="ok"/>
    <s v="ok"/>
    <s v="ok"/>
    <x v="0"/>
    <n v="52.182424166647252"/>
  </r>
  <r>
    <x v="0"/>
    <n v="3570"/>
    <x v="0"/>
    <x v="0"/>
    <x v="0"/>
    <s v="1st line support"/>
    <x v="0"/>
    <x v="2019"/>
    <d v="2023-11-13T08:50:21"/>
    <d v="2023-11-11T09:50:21"/>
    <d v="2023-11-11T09:45:28"/>
    <s v="Within SLA"/>
    <d v="2023-11-12T08:41:12"/>
    <x v="0"/>
    <d v="2023-11-12T21:10:46"/>
    <n v="2"/>
    <n v="5"/>
    <x v="1"/>
    <x v="0"/>
    <s v="Italy"/>
    <n v="43.036776000000003"/>
    <n v="12.678565000000001"/>
    <s v="ok"/>
    <s v="ok"/>
    <s v="ok"/>
    <s v="ok"/>
    <s v="ok"/>
    <x v="0"/>
    <n v="23.847425833402667"/>
  </r>
  <r>
    <x v="2"/>
    <n v="3571"/>
    <x v="1"/>
    <x v="1"/>
    <x v="0"/>
    <s v="1st line support"/>
    <x v="6"/>
    <x v="2020"/>
    <d v="2023-11-13T00:34:31"/>
    <d v="2023-11-11T00:36:31"/>
    <d v="2023-11-11T00:37:58"/>
    <s v="SLA Violated"/>
    <d v="2023-11-12T20:55:25"/>
    <x v="0"/>
    <m/>
    <n v="4"/>
    <m/>
    <x v="2"/>
    <x v="0"/>
    <s v="Poland"/>
    <n v="52.536273000000001"/>
    <n v="19.050639"/>
    <s v="ok"/>
    <s v="ok"/>
    <s v="ok"/>
    <s v="ok"/>
    <s v="ok"/>
    <x v="0"/>
    <n v="44.348306111118291"/>
  </r>
  <r>
    <x v="0"/>
    <n v="3572"/>
    <x v="0"/>
    <x v="2"/>
    <x v="2"/>
    <s v="1st line support"/>
    <x v="4"/>
    <x v="2021"/>
    <d v="2023-11-12T20:11:44"/>
    <d v="2023-11-11T20:13:44"/>
    <d v="2023-11-11T20:12:05"/>
    <s v="Within SLA"/>
    <d v="2023-11-12T18:22:56"/>
    <x v="0"/>
    <d v="2023-11-18T11:13:15"/>
    <n v="2"/>
    <n v="5"/>
    <x v="2"/>
    <x v="0"/>
    <s v="Bulgaria"/>
    <n v="42.724992499999999"/>
    <n v="25.483303899999999"/>
    <s v="ok"/>
    <s v="ok"/>
    <s v="ok"/>
    <s v="ok"/>
    <s v="ok"/>
    <x v="0"/>
    <n v="22.186587222211529"/>
  </r>
  <r>
    <x v="0"/>
    <n v="3573"/>
    <x v="1"/>
    <x v="0"/>
    <x v="2"/>
    <s v="1st line support"/>
    <x v="6"/>
    <x v="2022"/>
    <d v="2023-11-13T00:18:43"/>
    <d v="2023-11-11T01:18:43"/>
    <d v="2023-11-11T00:51:59"/>
    <s v="Within SLA"/>
    <d v="2023-11-12T04:58:08"/>
    <x v="0"/>
    <d v="2023-11-14T07:27:02"/>
    <n v="7"/>
    <n v="3"/>
    <x v="2"/>
    <x v="0"/>
    <s v="Austria"/>
    <n v="47.696471899999999"/>
    <n v="13.3457347"/>
    <s v="ok"/>
    <s v="ok"/>
    <s v="ok"/>
    <s v="ok"/>
    <s v="ok"/>
    <x v="0"/>
    <n v="28.656894444487989"/>
  </r>
  <r>
    <x v="0"/>
    <n v="3574"/>
    <x v="2"/>
    <x v="0"/>
    <x v="4"/>
    <s v="1st line support"/>
    <x v="3"/>
    <x v="2023"/>
    <d v="2023-11-14T10:50:47"/>
    <d v="2023-11-12T11:50:47"/>
    <d v="2023-11-12T11:19:55"/>
    <s v="Within SLA"/>
    <d v="2023-11-15T08:29:25"/>
    <x v="1"/>
    <d v="2023-11-17T05:30:44"/>
    <n v="2"/>
    <n v="3"/>
    <x v="2"/>
    <x v="0"/>
    <s v="Czech Republic"/>
    <n v="49.8037633"/>
    <n v="15.4749126"/>
    <s v="ok"/>
    <s v="ok"/>
    <s v="ok"/>
    <s v="ok"/>
    <s v="ok"/>
    <x v="0"/>
    <n v="69.643957777821925"/>
  </r>
  <r>
    <x v="0"/>
    <n v="3575"/>
    <x v="2"/>
    <x v="0"/>
    <x v="3"/>
    <s v="1st line support"/>
    <x v="6"/>
    <x v="2024"/>
    <d v="2023-11-14T00:16:05"/>
    <d v="2023-11-12T01:16:05"/>
    <d v="2023-11-12T00:27:52"/>
    <s v="Within SLA"/>
    <d v="2023-11-12T16:28:14"/>
    <x v="0"/>
    <d v="2023-11-14T03:51:38"/>
    <n v="2"/>
    <n v="5"/>
    <x v="2"/>
    <x v="0"/>
    <s v="Slovenia"/>
    <n v="46.149166399999999"/>
    <n v="14.9860106"/>
    <s v="ok"/>
    <s v="ok"/>
    <s v="ok"/>
    <s v="ok"/>
    <s v="ok"/>
    <x v="0"/>
    <n v="16.202407222241163"/>
  </r>
  <r>
    <x v="0"/>
    <n v="3576"/>
    <x v="0"/>
    <x v="0"/>
    <x v="1"/>
    <s v="2nd line support"/>
    <x v="1"/>
    <x v="2025"/>
    <d v="2023-11-14T16:48:39"/>
    <d v="2023-11-12T17:48:39"/>
    <d v="2023-11-12T17:37:36"/>
    <s v="Within SLA"/>
    <d v="2023-11-13T14:20:56"/>
    <x v="0"/>
    <d v="2023-11-19T04:28:41"/>
    <n v="3"/>
    <n v="5"/>
    <x v="3"/>
    <x v="1"/>
    <s v="Republic of Ireland"/>
    <n v="53.094023999999997"/>
    <n v="-8.0196749999999994"/>
    <s v="ok"/>
    <s v="ok"/>
    <s v="ok"/>
    <s v="ok"/>
    <s v="ok"/>
    <x v="0"/>
    <n v="21.537923888827208"/>
  </r>
  <r>
    <x v="2"/>
    <n v="3584"/>
    <x v="2"/>
    <x v="1"/>
    <x v="0"/>
    <s v="1st line support"/>
    <x v="3"/>
    <x v="2026"/>
    <d v="2023-11-15T16:51:30"/>
    <d v="2023-11-13T16:53:30"/>
    <d v="2023-11-13T16:53:01"/>
    <s v="Within SLA"/>
    <d v="2023-11-15T10:20:37"/>
    <x v="0"/>
    <m/>
    <n v="2"/>
    <m/>
    <x v="1"/>
    <x v="0"/>
    <s v="France"/>
    <n v="48.864716000000001"/>
    <n v="2.3490139999999999"/>
    <s v="ok"/>
    <s v="ok"/>
    <s v="ok"/>
    <s v="ok"/>
    <s v="ok"/>
    <x v="0"/>
    <n v="41.485404444567394"/>
  </r>
  <r>
    <x v="1"/>
    <n v="3585"/>
    <x v="0"/>
    <x v="0"/>
    <x v="1"/>
    <s v="1st line support"/>
    <x v="4"/>
    <x v="2027"/>
    <d v="2023-11-15T15:05:45"/>
    <d v="2023-11-13T16:05:45"/>
    <d v="2023-11-13T15:55:46"/>
    <s v="Within SLA"/>
    <m/>
    <x v="1"/>
    <m/>
    <n v="5"/>
    <m/>
    <x v="2"/>
    <x v="0"/>
    <s v="Poland"/>
    <n v="52.536273000000001"/>
    <n v="19.050639"/>
    <s v="ok"/>
    <s v="ok"/>
    <s v="ok"/>
    <s v="ok"/>
    <s v="ok"/>
    <x v="1"/>
    <s v=""/>
  </r>
  <r>
    <x v="1"/>
    <n v="3586"/>
    <x v="0"/>
    <x v="0"/>
    <x v="2"/>
    <s v="1st line support"/>
    <x v="6"/>
    <x v="2028"/>
    <d v="2023-11-15T08:27:15"/>
    <d v="2023-11-13T09:27:15"/>
    <d v="2023-11-13T08:59:25"/>
    <s v="Within SLA"/>
    <m/>
    <x v="1"/>
    <m/>
    <n v="5"/>
    <m/>
    <x v="0"/>
    <x v="0"/>
    <s v="Republic of Ireland"/>
    <n v="53.094023999999997"/>
    <n v="-8.0196749999999994"/>
    <s v="ok"/>
    <s v="ok"/>
    <s v="ok"/>
    <s v="ok"/>
    <s v="ok"/>
    <x v="1"/>
    <s v=""/>
  </r>
  <r>
    <x v="0"/>
    <n v="3587"/>
    <x v="0"/>
    <x v="0"/>
    <x v="3"/>
    <s v="2nd line support"/>
    <x v="5"/>
    <x v="2029"/>
    <d v="2023-11-15T09:31:45"/>
    <d v="2023-11-13T10:31:45"/>
    <d v="2023-11-13T10:23:52"/>
    <s v="Within SLA"/>
    <d v="2023-11-14T22:05:56"/>
    <x v="0"/>
    <d v="2023-11-20T07:23:37"/>
    <n v="7"/>
    <n v="4"/>
    <x v="3"/>
    <x v="1"/>
    <s v="United Kingdom"/>
    <n v="55.378051999999997"/>
    <n v="-3.4359730000000002"/>
    <s v="ok"/>
    <s v="ok"/>
    <s v="ok"/>
    <s v="ok"/>
    <s v="ok"/>
    <x v="0"/>
    <n v="36.569696666614618"/>
  </r>
  <r>
    <x v="2"/>
    <n v="3588"/>
    <x v="1"/>
    <x v="2"/>
    <x v="1"/>
    <s v="1st line support"/>
    <x v="4"/>
    <x v="2030"/>
    <d v="2023-11-14T23:03:20"/>
    <d v="2023-11-13T23:05:20"/>
    <d v="2023-11-13T23:03:42"/>
    <s v="Within SLA"/>
    <d v="2023-11-14T11:15:16"/>
    <x v="0"/>
    <m/>
    <n v="9"/>
    <m/>
    <x v="2"/>
    <x v="0"/>
    <s v="United Kingdom"/>
    <n v="55.378051999999997"/>
    <n v="-3.4359730000000002"/>
    <s v="ok"/>
    <s v="ok"/>
    <s v="ok"/>
    <s v="ok"/>
    <s v="ok"/>
    <x v="0"/>
    <n v="12.198823889018968"/>
  </r>
  <r>
    <x v="0"/>
    <n v="3589"/>
    <x v="0"/>
    <x v="0"/>
    <x v="2"/>
    <s v="1st line support"/>
    <x v="6"/>
    <x v="2031"/>
    <d v="2023-11-15T11:46:21"/>
    <d v="2023-11-13T12:46:21"/>
    <d v="2023-11-13T11:58:27"/>
    <s v="Within SLA"/>
    <d v="2023-11-15T03:39:50"/>
    <x v="0"/>
    <d v="2023-11-17T14:09:25"/>
    <n v="4"/>
    <n v="4"/>
    <x v="2"/>
    <x v="0"/>
    <s v="Bulgaria"/>
    <n v="42.724992499999999"/>
    <n v="25.483303899999999"/>
    <s v="ok"/>
    <s v="ok"/>
    <s v="ok"/>
    <s v="ok"/>
    <s v="ok"/>
    <x v="0"/>
    <n v="39.891386666509788"/>
  </r>
  <r>
    <x v="1"/>
    <n v="3590"/>
    <x v="0"/>
    <x v="2"/>
    <x v="1"/>
    <s v="2nd line support"/>
    <x v="1"/>
    <x v="2032"/>
    <d v="2023-11-14T04:21:58"/>
    <d v="2023-11-13T04:23:58"/>
    <d v="2023-11-13T04:25:49"/>
    <s v="SLA Violated"/>
    <m/>
    <x v="1"/>
    <m/>
    <n v="6"/>
    <m/>
    <x v="0"/>
    <x v="1"/>
    <s v="Germany"/>
    <n v="51.165691000000002"/>
    <n v="10.451525999999999"/>
    <s v="ok"/>
    <s v="ok"/>
    <s v="ok"/>
    <s v="ok"/>
    <s v="ok"/>
    <x v="1"/>
    <s v=""/>
  </r>
  <r>
    <x v="0"/>
    <n v="3591"/>
    <x v="2"/>
    <x v="0"/>
    <x v="0"/>
    <s v="1st line support"/>
    <x v="2"/>
    <x v="2033"/>
    <d v="2023-11-16T09:45:25"/>
    <d v="2023-11-14T10:45:25"/>
    <d v="2023-11-14T10:36:07"/>
    <s v="Within SLA"/>
    <d v="2023-11-19T00:10:52"/>
    <x v="1"/>
    <d v="2023-11-19T16:11:34"/>
    <n v="9"/>
    <n v="5"/>
    <x v="2"/>
    <x v="0"/>
    <s v="Germany"/>
    <n v="51.165691000000002"/>
    <n v="10.451525999999999"/>
    <s v="ok"/>
    <s v="ok"/>
    <s v="ok"/>
    <s v="ok"/>
    <s v="ok"/>
    <x v="0"/>
    <n v="110.42417027772171"/>
  </r>
  <r>
    <x v="0"/>
    <n v="3592"/>
    <x v="1"/>
    <x v="1"/>
    <x v="1"/>
    <s v="1st line support"/>
    <x v="2"/>
    <x v="2034"/>
    <d v="2023-11-16T12:05:31"/>
    <d v="2023-11-14T12:07:31"/>
    <d v="2023-11-14T12:05:33"/>
    <s v="Within SLA"/>
    <d v="2023-11-17T03:30:31"/>
    <x v="1"/>
    <d v="2023-11-17T11:57:56"/>
    <n v="4"/>
    <n v="5"/>
    <x v="2"/>
    <x v="0"/>
    <s v="Poland"/>
    <n v="52.536273000000001"/>
    <n v="19.050639"/>
    <s v="ok"/>
    <s v="ok"/>
    <s v="ok"/>
    <s v="ok"/>
    <s v="ok"/>
    <x v="0"/>
    <n v="63.416565277730115"/>
  </r>
  <r>
    <x v="1"/>
    <n v="3593"/>
    <x v="0"/>
    <x v="2"/>
    <x v="3"/>
    <s v="1st line support"/>
    <x v="2"/>
    <x v="2035"/>
    <d v="2023-11-15T05:07:29"/>
    <d v="2023-11-14T05:09:29"/>
    <d v="2023-11-14T05:09:04"/>
    <s v="Within SLA"/>
    <m/>
    <x v="1"/>
    <m/>
    <n v="6"/>
    <m/>
    <x v="0"/>
    <x v="0"/>
    <s v="Italy"/>
    <n v="43.036776000000003"/>
    <n v="12.678565000000001"/>
    <s v="ok"/>
    <s v="ok"/>
    <s v="ok"/>
    <s v="ok"/>
    <s v="ok"/>
    <x v="1"/>
    <s v=""/>
  </r>
  <r>
    <x v="0"/>
    <n v="3594"/>
    <x v="0"/>
    <x v="0"/>
    <x v="0"/>
    <s v="1st line support"/>
    <x v="2"/>
    <x v="2036"/>
    <d v="2023-11-16T16:11:11"/>
    <d v="2023-11-14T17:11:11"/>
    <d v="2023-11-14T17:08:21"/>
    <s v="Within SLA"/>
    <d v="2023-11-15T16:52:02"/>
    <x v="0"/>
    <d v="2023-11-16T21:05:21"/>
    <n v="7"/>
    <n v="3"/>
    <x v="2"/>
    <x v="0"/>
    <s v="Italy"/>
    <n v="43.036776000000003"/>
    <n v="12.678565000000001"/>
    <s v="ok"/>
    <s v="ok"/>
    <s v="ok"/>
    <s v="ok"/>
    <s v="ok"/>
    <x v="0"/>
    <n v="24.680849722120911"/>
  </r>
  <r>
    <x v="1"/>
    <n v="3595"/>
    <x v="0"/>
    <x v="0"/>
    <x v="6"/>
    <s v="1st line support"/>
    <x v="2"/>
    <x v="2037"/>
    <d v="2023-11-16T09:01:58"/>
    <d v="2023-11-14T10:01:58"/>
    <d v="2023-11-14T09:53:19"/>
    <s v="Within SLA"/>
    <m/>
    <x v="1"/>
    <m/>
    <n v="2"/>
    <m/>
    <x v="3"/>
    <x v="0"/>
    <s v="Slovenia"/>
    <n v="46.149166399999999"/>
    <n v="14.9860106"/>
    <s v="ok"/>
    <s v="ok"/>
    <s v="ok"/>
    <s v="ok"/>
    <s v="ok"/>
    <x v="1"/>
    <s v=""/>
  </r>
  <r>
    <x v="0"/>
    <n v="3596"/>
    <x v="1"/>
    <x v="0"/>
    <x v="1"/>
    <s v="1st line support"/>
    <x v="6"/>
    <x v="2038"/>
    <d v="2023-11-16T21:15:29"/>
    <d v="2023-11-14T22:15:29"/>
    <d v="2023-11-14T22:00:15"/>
    <s v="Within SLA"/>
    <d v="2023-11-16T16:54:01"/>
    <x v="0"/>
    <d v="2023-11-18T04:30:29"/>
    <n v="1"/>
    <n v="4"/>
    <x v="2"/>
    <x v="0"/>
    <s v="Spain"/>
    <n v="39.673369999999998"/>
    <n v="-4.7677259999999997"/>
    <s v="ok"/>
    <s v="ok"/>
    <s v="ok"/>
    <s v="ok"/>
    <s v="ok"/>
    <x v="0"/>
    <n v="43.642084999883082"/>
  </r>
  <r>
    <x v="2"/>
    <n v="3597"/>
    <x v="2"/>
    <x v="1"/>
    <x v="3"/>
    <s v="2nd line support"/>
    <x v="1"/>
    <x v="2039"/>
    <d v="2023-11-16T05:20:32"/>
    <d v="2023-11-14T05:22:32"/>
    <d v="2023-11-14T05:22:17"/>
    <s v="Within SLA"/>
    <d v="2023-11-15T19:11:06"/>
    <x v="0"/>
    <m/>
    <n v="1"/>
    <m/>
    <x v="2"/>
    <x v="1"/>
    <s v="United Kingdom"/>
    <n v="55.378051999999997"/>
    <n v="-3.4359730000000002"/>
    <s v="ok"/>
    <s v="ok"/>
    <s v="ok"/>
    <s v="ok"/>
    <s v="ok"/>
    <x v="0"/>
    <n v="37.842781944433227"/>
  </r>
  <r>
    <x v="1"/>
    <n v="3598"/>
    <x v="1"/>
    <x v="0"/>
    <x v="1"/>
    <s v="1st line support"/>
    <x v="2"/>
    <x v="2040"/>
    <d v="2023-11-16T02:14:10"/>
    <d v="2023-11-14T03:14:10"/>
    <d v="2023-11-14T03:06:58"/>
    <s v="Within SLA"/>
    <m/>
    <x v="1"/>
    <m/>
    <n v="7"/>
    <m/>
    <x v="2"/>
    <x v="0"/>
    <s v="Bulgaria"/>
    <n v="42.724992499999999"/>
    <n v="25.483303899999999"/>
    <s v="ok"/>
    <s v="ok"/>
    <s v="ok"/>
    <s v="ok"/>
    <s v="ok"/>
    <x v="1"/>
    <s v=""/>
  </r>
  <r>
    <x v="2"/>
    <n v="3599"/>
    <x v="1"/>
    <x v="2"/>
    <x v="3"/>
    <s v="1st line support"/>
    <x v="6"/>
    <x v="2041"/>
    <d v="2023-11-15T05:51:57"/>
    <d v="2023-11-14T05:53:57"/>
    <d v="2023-11-14T05:52:11"/>
    <s v="Within SLA"/>
    <d v="2023-11-18T05:17:44"/>
    <x v="1"/>
    <m/>
    <n v="5"/>
    <m/>
    <x v="2"/>
    <x v="0"/>
    <s v="Czech Republic"/>
    <n v="49.8037633"/>
    <n v="15.4749126"/>
    <s v="ok"/>
    <s v="ok"/>
    <s v="ok"/>
    <s v="ok"/>
    <s v="ok"/>
    <x v="0"/>
    <n v="95.429608333215583"/>
  </r>
  <r>
    <x v="2"/>
    <n v="3600"/>
    <x v="0"/>
    <x v="0"/>
    <x v="1"/>
    <s v="1st line support"/>
    <x v="0"/>
    <x v="2042"/>
    <d v="2023-11-17T13:43:51"/>
    <d v="2023-11-15T14:43:51"/>
    <d v="2023-11-15T14:40:46"/>
    <s v="Within SLA"/>
    <d v="2023-11-16T08:14:47"/>
    <x v="0"/>
    <m/>
    <n v="8"/>
    <m/>
    <x v="1"/>
    <x v="0"/>
    <s v="Republic of Ireland"/>
    <n v="53.094023999999997"/>
    <n v="-8.0196749999999994"/>
    <s v="ok"/>
    <s v="ok"/>
    <s v="ok"/>
    <s v="ok"/>
    <s v="ok"/>
    <x v="0"/>
    <n v="18.515495277824812"/>
  </r>
  <r>
    <x v="0"/>
    <n v="3601"/>
    <x v="0"/>
    <x v="1"/>
    <x v="3"/>
    <s v="1st line support"/>
    <x v="3"/>
    <x v="2043"/>
    <d v="2023-11-17T19:04:12"/>
    <d v="2023-11-15T19:06:12"/>
    <d v="2023-11-15T19:06:39"/>
    <s v="SLA Violated"/>
    <d v="2023-11-16T12:15:04"/>
    <x v="0"/>
    <d v="2023-11-20T18:06:37"/>
    <n v="3"/>
    <n v="5"/>
    <x v="0"/>
    <x v="0"/>
    <s v="Slovenia"/>
    <n v="46.149166399999999"/>
    <n v="14.9860106"/>
    <s v="ok"/>
    <s v="ok"/>
    <s v="ok"/>
    <s v="ok"/>
    <s v="ok"/>
    <x v="0"/>
    <n v="17.181209722242784"/>
  </r>
  <r>
    <x v="1"/>
    <n v="3602"/>
    <x v="2"/>
    <x v="2"/>
    <x v="1"/>
    <s v="1st line support"/>
    <x v="3"/>
    <x v="2044"/>
    <d v="2023-11-16T16:13:20"/>
    <d v="2023-11-15T16:15:20"/>
    <d v="2023-11-15T16:14:51"/>
    <s v="Within SLA"/>
    <m/>
    <x v="1"/>
    <m/>
    <n v="6"/>
    <m/>
    <x v="3"/>
    <x v="0"/>
    <s v="United Kingdom"/>
    <n v="55.378051999999997"/>
    <n v="-3.4359730000000002"/>
    <s v="ok"/>
    <s v="ok"/>
    <s v="ok"/>
    <s v="ok"/>
    <s v="ok"/>
    <x v="1"/>
    <s v=""/>
  </r>
  <r>
    <x v="1"/>
    <n v="3603"/>
    <x v="0"/>
    <x v="2"/>
    <x v="3"/>
    <s v="2nd line support"/>
    <x v="7"/>
    <x v="2045"/>
    <d v="2023-11-16T15:32:02"/>
    <d v="2023-11-15T15:34:02"/>
    <d v="2023-11-15T15:36:41"/>
    <s v="SLA Violated"/>
    <m/>
    <x v="1"/>
    <m/>
    <n v="2"/>
    <m/>
    <x v="2"/>
    <x v="1"/>
    <s v="United Kingdom"/>
    <n v="55.378051999999997"/>
    <n v="-3.4359730000000002"/>
    <s v="ok"/>
    <s v="ok"/>
    <s v="ok"/>
    <s v="ok"/>
    <s v="ok"/>
    <x v="1"/>
    <s v=""/>
  </r>
  <r>
    <x v="0"/>
    <n v="3604"/>
    <x v="0"/>
    <x v="0"/>
    <x v="5"/>
    <s v="1st line support"/>
    <x v="2"/>
    <x v="2046"/>
    <d v="2023-11-17T22:41:22"/>
    <d v="2023-11-15T23:41:22"/>
    <d v="2023-11-15T23:16:34"/>
    <s v="Within SLA"/>
    <d v="2023-11-16T17:00:00"/>
    <x v="0"/>
    <d v="2023-11-18T23:49:52"/>
    <n v="2"/>
    <n v="4"/>
    <x v="2"/>
    <x v="0"/>
    <s v="United Kingdom"/>
    <n v="55.378051999999997"/>
    <n v="-3.4359730000000002"/>
    <s v="ok"/>
    <s v="ok"/>
    <s v="ok"/>
    <s v="ok"/>
    <s v="ok"/>
    <x v="0"/>
    <n v="18.310435277817305"/>
  </r>
  <r>
    <x v="1"/>
    <n v="3605"/>
    <x v="2"/>
    <x v="0"/>
    <x v="3"/>
    <s v="1st line support"/>
    <x v="0"/>
    <x v="2047"/>
    <d v="2023-11-17T08:13:13"/>
    <d v="2023-11-15T09:13:13"/>
    <d v="2023-11-15T09:57:35"/>
    <s v="SLA Violated"/>
    <m/>
    <x v="1"/>
    <m/>
    <n v="1"/>
    <m/>
    <x v="1"/>
    <x v="0"/>
    <s v="Poland"/>
    <n v="52.536273000000001"/>
    <n v="19.050639"/>
    <s v="ok"/>
    <s v="ok"/>
    <s v="ok"/>
    <s v="ok"/>
    <s v="ok"/>
    <x v="1"/>
    <s v=""/>
  </r>
  <r>
    <x v="2"/>
    <n v="3606"/>
    <x v="0"/>
    <x v="0"/>
    <x v="0"/>
    <s v="1st line support"/>
    <x v="6"/>
    <x v="2048"/>
    <d v="2023-11-17T19:48:19"/>
    <d v="2023-11-15T20:48:19"/>
    <d v="2023-11-15T19:56:51"/>
    <s v="Within SLA"/>
    <d v="2023-11-17T22:03:12"/>
    <x v="1"/>
    <m/>
    <n v="8"/>
    <m/>
    <x v="2"/>
    <x v="0"/>
    <s v="Greece"/>
    <n v="39.368279000000001"/>
    <n v="21.863140999999999"/>
    <s v="ok"/>
    <s v="ok"/>
    <s v="ok"/>
    <s v="ok"/>
    <s v="ok"/>
    <x v="0"/>
    <n v="50.24801638891222"/>
  </r>
  <r>
    <x v="0"/>
    <n v="3607"/>
    <x v="2"/>
    <x v="2"/>
    <x v="4"/>
    <s v="1st line support"/>
    <x v="2"/>
    <x v="2049"/>
    <d v="2023-11-16T17:46:50"/>
    <d v="2023-11-15T17:48:50"/>
    <d v="2023-11-15T17:47:24"/>
    <s v="Within SLA"/>
    <d v="2023-11-16T12:53:29"/>
    <x v="0"/>
    <d v="2023-11-20T16:54:35"/>
    <n v="5"/>
    <n v="5"/>
    <x v="3"/>
    <x v="0"/>
    <s v="United Kingdom"/>
    <n v="55.378051999999997"/>
    <n v="-3.4359730000000002"/>
    <s v="ok"/>
    <s v="ok"/>
    <s v="ok"/>
    <s v="ok"/>
    <s v="ok"/>
    <x v="0"/>
    <n v="19.110851111006923"/>
  </r>
  <r>
    <x v="0"/>
    <n v="3608"/>
    <x v="0"/>
    <x v="2"/>
    <x v="1"/>
    <s v="1st line support"/>
    <x v="3"/>
    <x v="2050"/>
    <d v="2023-11-17T14:57:42"/>
    <d v="2023-11-16T14:59:42"/>
    <d v="2023-11-16T14:59:14"/>
    <s v="Within SLA"/>
    <d v="2023-11-19T05:59:55"/>
    <x v="1"/>
    <d v="2023-11-20T04:12:35"/>
    <n v="5"/>
    <n v="3"/>
    <x v="2"/>
    <x v="0"/>
    <s v="United Kingdom"/>
    <n v="55.378051999999997"/>
    <n v="-3.4359730000000002"/>
    <s v="ok"/>
    <s v="ok"/>
    <s v="ok"/>
    <s v="ok"/>
    <s v="ok"/>
    <x v="0"/>
    <n v="63.037011666689068"/>
  </r>
  <r>
    <x v="0"/>
    <n v="3609"/>
    <x v="0"/>
    <x v="0"/>
    <x v="1"/>
    <s v="1st line support"/>
    <x v="4"/>
    <x v="2051"/>
    <d v="2023-11-18T02:43:21"/>
    <d v="2023-11-16T03:43:21"/>
    <d v="2023-11-16T03:31:44"/>
    <s v="Within SLA"/>
    <d v="2023-11-17T18:07:26"/>
    <x v="0"/>
    <d v="2023-11-18T15:21:54"/>
    <n v="1"/>
    <n v="4"/>
    <x v="2"/>
    <x v="0"/>
    <s v="Greece"/>
    <n v="39.368279000000001"/>
    <n v="21.863140999999999"/>
    <s v="ok"/>
    <s v="ok"/>
    <s v="ok"/>
    <s v="ok"/>
    <s v="ok"/>
    <x v="0"/>
    <n v="39.401331388915423"/>
  </r>
  <r>
    <x v="1"/>
    <n v="3610"/>
    <x v="2"/>
    <x v="2"/>
    <x v="2"/>
    <s v="2nd line support"/>
    <x v="1"/>
    <x v="2052"/>
    <d v="2023-11-17T12:28:46"/>
    <d v="2023-11-16T12:30:46"/>
    <d v="2023-11-16T12:30:14"/>
    <s v="Within SLA"/>
    <m/>
    <x v="1"/>
    <m/>
    <n v="8"/>
    <m/>
    <x v="2"/>
    <x v="1"/>
    <s v="Germany"/>
    <n v="51.165691000000002"/>
    <n v="10.451525999999999"/>
    <s v="ok"/>
    <s v="ok"/>
    <s v="ok"/>
    <s v="ok"/>
    <s v="ok"/>
    <x v="1"/>
    <s v=""/>
  </r>
  <r>
    <x v="0"/>
    <n v="3611"/>
    <x v="1"/>
    <x v="0"/>
    <x v="3"/>
    <s v="1st line support"/>
    <x v="6"/>
    <x v="2053"/>
    <d v="2023-11-18T05:59:23"/>
    <d v="2023-11-16T06:59:23"/>
    <d v="2023-11-16T06:01:10"/>
    <s v="Within SLA"/>
    <d v="2023-11-17T05:49:31"/>
    <x v="0"/>
    <d v="2023-11-18T20:54:24"/>
    <n v="1"/>
    <n v="4"/>
    <x v="0"/>
    <x v="0"/>
    <s v="Germany"/>
    <n v="51.165691000000002"/>
    <n v="10.451525999999999"/>
    <s v="ok"/>
    <s v="ok"/>
    <s v="ok"/>
    <s v="ok"/>
    <s v="ok"/>
    <x v="0"/>
    <n v="23.835443055548239"/>
  </r>
  <r>
    <x v="0"/>
    <n v="3612"/>
    <x v="0"/>
    <x v="2"/>
    <x v="3"/>
    <s v="1st line support"/>
    <x v="6"/>
    <x v="2054"/>
    <d v="2023-11-17T16:11:44"/>
    <d v="2023-11-16T16:13:44"/>
    <d v="2023-11-16T16:12:45"/>
    <s v="Within SLA"/>
    <d v="2023-11-16T19:28:26"/>
    <x v="0"/>
    <d v="2023-11-23T06:43:33"/>
    <n v="4"/>
    <n v="4"/>
    <x v="3"/>
    <x v="0"/>
    <s v="Poland"/>
    <n v="52.536273000000001"/>
    <n v="19.050639"/>
    <s v="ok"/>
    <s v="ok"/>
    <s v="ok"/>
    <s v="ok"/>
    <s v="ok"/>
    <x v="0"/>
    <n v="3.2783972222241573"/>
  </r>
  <r>
    <x v="2"/>
    <n v="3613"/>
    <x v="0"/>
    <x v="2"/>
    <x v="3"/>
    <s v="2nd line support"/>
    <x v="5"/>
    <x v="2055"/>
    <d v="2023-11-17T03:18:36"/>
    <d v="2023-11-16T03:20:36"/>
    <d v="2023-11-16T03:19:04"/>
    <s v="Within SLA"/>
    <d v="2023-11-20T07:19:08"/>
    <x v="1"/>
    <m/>
    <n v="2"/>
    <m/>
    <x v="0"/>
    <x v="1"/>
    <s v="Republic of Ireland"/>
    <n v="53.094023999999997"/>
    <n v="-8.0196749999999994"/>
    <s v="ok"/>
    <s v="ok"/>
    <s v="ok"/>
    <s v="ok"/>
    <s v="ok"/>
    <x v="0"/>
    <n v="100.00891388888704"/>
  </r>
  <r>
    <x v="0"/>
    <n v="3614"/>
    <x v="0"/>
    <x v="0"/>
    <x v="1"/>
    <s v="2nd line support"/>
    <x v="7"/>
    <x v="2056"/>
    <d v="2023-11-18T00:09:43"/>
    <d v="2023-11-16T01:09:43"/>
    <d v="2023-11-16T00:56:30"/>
    <s v="Within SLA"/>
    <d v="2023-11-20T17:00:25"/>
    <x v="1"/>
    <d v="2023-11-21T04:11:25"/>
    <n v="10"/>
    <n v="2"/>
    <x v="3"/>
    <x v="1"/>
    <s v="Poland"/>
    <n v="52.536273000000001"/>
    <n v="19.050639"/>
    <s v="ok"/>
    <s v="ok"/>
    <s v="ok"/>
    <s v="ok"/>
    <s v="ok"/>
    <x v="0"/>
    <n v="112.84496277786093"/>
  </r>
  <r>
    <x v="1"/>
    <n v="3615"/>
    <x v="0"/>
    <x v="2"/>
    <x v="6"/>
    <s v="1st line support"/>
    <x v="3"/>
    <x v="2057"/>
    <d v="2023-11-18T21:49:34"/>
    <d v="2023-11-17T21:51:34"/>
    <d v="2023-11-17T21:50:52"/>
    <s v="Within SLA"/>
    <m/>
    <x v="1"/>
    <m/>
    <n v="6"/>
    <m/>
    <x v="3"/>
    <x v="0"/>
    <s v="Bulgaria"/>
    <n v="42.724992499999999"/>
    <n v="25.483303899999999"/>
    <s v="ok"/>
    <s v="ok"/>
    <s v="ok"/>
    <s v="ok"/>
    <s v="ok"/>
    <x v="1"/>
    <s v=""/>
  </r>
  <r>
    <x v="1"/>
    <n v="3616"/>
    <x v="0"/>
    <x v="0"/>
    <x v="0"/>
    <s v="1st line support"/>
    <x v="6"/>
    <x v="2058"/>
    <d v="2023-11-19T05:21:24"/>
    <d v="2023-11-17T06:21:24"/>
    <d v="2023-11-17T05:33:49"/>
    <s v="Within SLA"/>
    <m/>
    <x v="1"/>
    <m/>
    <n v="2"/>
    <m/>
    <x v="2"/>
    <x v="0"/>
    <s v="United Kingdom"/>
    <n v="55.378051999999997"/>
    <n v="-3.4359730000000002"/>
    <s v="ok"/>
    <s v="ok"/>
    <s v="ok"/>
    <s v="ok"/>
    <s v="ok"/>
    <x v="1"/>
    <s v=""/>
  </r>
  <r>
    <x v="2"/>
    <n v="3617"/>
    <x v="2"/>
    <x v="0"/>
    <x v="1"/>
    <s v="2nd line support"/>
    <x v="1"/>
    <x v="2059"/>
    <d v="2023-11-19T07:52:27"/>
    <d v="2023-11-17T08:52:27"/>
    <d v="2023-11-17T08:23:56"/>
    <s v="Within SLA"/>
    <d v="2023-11-18T06:09:16"/>
    <x v="0"/>
    <m/>
    <n v="3"/>
    <m/>
    <x v="1"/>
    <x v="1"/>
    <s v="Slovenia"/>
    <n v="46.149166399999999"/>
    <n v="14.9860106"/>
    <s v="ok"/>
    <s v="ok"/>
    <s v="ok"/>
    <s v="ok"/>
    <s v="ok"/>
    <x v="0"/>
    <n v="22.280214166617952"/>
  </r>
  <r>
    <x v="0"/>
    <n v="3618"/>
    <x v="2"/>
    <x v="0"/>
    <x v="0"/>
    <s v="1st line support"/>
    <x v="0"/>
    <x v="2060"/>
    <d v="2023-11-19T19:40:21"/>
    <d v="2023-11-17T20:40:21"/>
    <d v="2023-11-17T19:55:00"/>
    <s v="Within SLA"/>
    <d v="2023-11-19T18:21:28"/>
    <x v="0"/>
    <d v="2023-11-22T14:00:32"/>
    <n v="3"/>
    <n v="5"/>
    <x v="2"/>
    <x v="0"/>
    <s v="France"/>
    <n v="48.864716000000001"/>
    <n v="2.3490139999999999"/>
    <s v="ok"/>
    <s v="ok"/>
    <s v="ok"/>
    <s v="ok"/>
    <s v="ok"/>
    <x v="0"/>
    <n v="46.68517694453476"/>
  </r>
  <r>
    <x v="0"/>
    <n v="3619"/>
    <x v="2"/>
    <x v="0"/>
    <x v="0"/>
    <s v="1st line support"/>
    <x v="3"/>
    <x v="2061"/>
    <d v="2023-11-19T10:04:40"/>
    <d v="2023-11-17T11:04:40"/>
    <d v="2023-11-17T10:22:14"/>
    <s v="Within SLA"/>
    <d v="2023-11-20T05:46:45"/>
    <x v="1"/>
    <d v="2023-11-21T18:23:31"/>
    <n v="4"/>
    <n v="5"/>
    <x v="0"/>
    <x v="0"/>
    <s v="Czech Republic"/>
    <n v="49.8037633"/>
    <n v="15.4749126"/>
    <s v="ok"/>
    <s v="ok"/>
    <s v="ok"/>
    <s v="ok"/>
    <s v="ok"/>
    <x v="0"/>
    <n v="67.701284166716505"/>
  </r>
  <r>
    <x v="2"/>
    <n v="3620"/>
    <x v="0"/>
    <x v="0"/>
    <x v="3"/>
    <s v="1st line support"/>
    <x v="4"/>
    <x v="2062"/>
    <d v="2023-11-19T20:00:23"/>
    <d v="2023-11-17T21:00:23"/>
    <d v="2023-11-17T20:39:52"/>
    <s v="Within SLA"/>
    <d v="2023-11-18T07:32:23"/>
    <x v="0"/>
    <m/>
    <n v="6"/>
    <m/>
    <x v="0"/>
    <x v="0"/>
    <s v="Czech Republic"/>
    <n v="49.8037633"/>
    <n v="15.4749126"/>
    <s v="ok"/>
    <s v="ok"/>
    <s v="ok"/>
    <s v="ok"/>
    <s v="ok"/>
    <x v="0"/>
    <n v="11.533283888886217"/>
  </r>
  <r>
    <x v="0"/>
    <n v="3621"/>
    <x v="0"/>
    <x v="2"/>
    <x v="3"/>
    <s v="1st line support"/>
    <x v="6"/>
    <x v="2063"/>
    <d v="2023-11-18T15:36:27"/>
    <d v="2023-11-17T15:38:27"/>
    <d v="2023-11-17T15:36:49"/>
    <s v="Within SLA"/>
    <d v="2023-11-18T12:34:35"/>
    <x v="0"/>
    <d v="2023-11-22T11:59:44"/>
    <n v="5"/>
    <n v="3"/>
    <x v="0"/>
    <x v="0"/>
    <s v="Italy"/>
    <n v="43.036776000000003"/>
    <n v="12.678565000000001"/>
    <s v="ok"/>
    <s v="ok"/>
    <s v="ok"/>
    <s v="ok"/>
    <s v="ok"/>
    <x v="0"/>
    <n v="20.968759722250979"/>
  </r>
  <r>
    <x v="0"/>
    <n v="3622"/>
    <x v="0"/>
    <x v="2"/>
    <x v="3"/>
    <s v="1st line support"/>
    <x v="4"/>
    <x v="2064"/>
    <d v="2023-11-18T10:27:31"/>
    <d v="2023-11-17T10:29:31"/>
    <d v="2023-11-17T10:29:28"/>
    <s v="Within SLA"/>
    <d v="2023-11-18T01:21:37"/>
    <x v="0"/>
    <d v="2023-11-20T22:31:10"/>
    <n v="2"/>
    <n v="5"/>
    <x v="1"/>
    <x v="0"/>
    <s v="Germany"/>
    <n v="51.165691000000002"/>
    <n v="10.451525999999999"/>
    <s v="ok"/>
    <s v="ok"/>
    <s v="ok"/>
    <s v="ok"/>
    <s v="ok"/>
    <x v="0"/>
    <n v="14.90164166665636"/>
  </r>
  <r>
    <x v="0"/>
    <n v="3628"/>
    <x v="0"/>
    <x v="2"/>
    <x v="5"/>
    <s v="2nd line support"/>
    <x v="5"/>
    <x v="2065"/>
    <d v="2023-11-19T02:08:40"/>
    <d v="2023-11-18T02:10:40"/>
    <d v="2023-11-18T02:09:50"/>
    <s v="Within SLA"/>
    <d v="2023-11-18T03:13:35"/>
    <x v="0"/>
    <d v="2023-11-20T22:53:33"/>
    <n v="60"/>
    <n v="1"/>
    <x v="1"/>
    <x v="1"/>
    <s v="Spain"/>
    <n v="39.673369999999998"/>
    <n v="-4.7677259999999997"/>
    <s v="ok"/>
    <s v="ok"/>
    <s v="ok"/>
    <s v="ok"/>
    <s v="ok"/>
    <x v="0"/>
    <n v="1.0820438889786601"/>
  </r>
  <r>
    <x v="0"/>
    <n v="3629"/>
    <x v="0"/>
    <x v="2"/>
    <x v="2"/>
    <s v="1st line support"/>
    <x v="2"/>
    <x v="2066"/>
    <d v="2023-11-19T11:16:30"/>
    <d v="2023-11-18T11:18:30"/>
    <d v="2023-11-18T11:16:31"/>
    <s v="Within SLA"/>
    <d v="2023-11-18T13:07:03"/>
    <x v="0"/>
    <d v="2023-11-19T20:08:13"/>
    <n v="5"/>
    <n v="2"/>
    <x v="1"/>
    <x v="0"/>
    <s v="United Kingdom"/>
    <n v="55.378051999999997"/>
    <n v="-3.4359730000000002"/>
    <s v="ok"/>
    <s v="ok"/>
    <s v="ok"/>
    <s v="ok"/>
    <s v="ok"/>
    <x v="0"/>
    <n v="1.8423827777733095"/>
  </r>
  <r>
    <x v="2"/>
    <n v="3630"/>
    <x v="2"/>
    <x v="0"/>
    <x v="2"/>
    <s v="1st line support"/>
    <x v="0"/>
    <x v="2067"/>
    <d v="2023-11-20T20:23:28"/>
    <d v="2023-11-18T21:23:28"/>
    <d v="2023-11-18T20:41:39"/>
    <s v="Within SLA"/>
    <d v="2023-11-19T16:14:03"/>
    <x v="0"/>
    <m/>
    <n v="6"/>
    <m/>
    <x v="2"/>
    <x v="0"/>
    <s v="Slovenia"/>
    <n v="46.149166399999999"/>
    <n v="14.9860106"/>
    <s v="ok"/>
    <s v="ok"/>
    <s v="ok"/>
    <s v="ok"/>
    <s v="ok"/>
    <x v="0"/>
    <n v="19.842946666642092"/>
  </r>
  <r>
    <x v="2"/>
    <n v="3631"/>
    <x v="0"/>
    <x v="1"/>
    <x v="1"/>
    <s v="1st line support"/>
    <x v="3"/>
    <x v="2068"/>
    <d v="2023-11-21T20:03:12"/>
    <d v="2023-11-19T20:05:12"/>
    <d v="2023-11-19T20:04:19"/>
    <s v="Within SLA"/>
    <d v="2023-11-20T01:58:39"/>
    <x v="0"/>
    <m/>
    <n v="4"/>
    <m/>
    <x v="2"/>
    <x v="0"/>
    <s v="Spain"/>
    <n v="39.673369999999998"/>
    <n v="-4.7677259999999997"/>
    <s v="ok"/>
    <s v="ok"/>
    <s v="ok"/>
    <s v="ok"/>
    <s v="ok"/>
    <x v="0"/>
    <n v="5.9241577777429484"/>
  </r>
  <r>
    <x v="0"/>
    <n v="3632"/>
    <x v="0"/>
    <x v="1"/>
    <x v="0"/>
    <s v="1st line support"/>
    <x v="6"/>
    <x v="2069"/>
    <d v="2023-11-21T01:53:46"/>
    <d v="2023-11-19T01:55:46"/>
    <d v="2023-11-19T01:54:36"/>
    <s v="Within SLA"/>
    <d v="2023-11-20T21:23:51"/>
    <x v="0"/>
    <d v="2023-11-23T13:50:59"/>
    <n v="1"/>
    <n v="4"/>
    <x v="2"/>
    <x v="0"/>
    <s v="Slovenia"/>
    <n v="46.149166399999999"/>
    <n v="14.9860106"/>
    <s v="ok"/>
    <s v="ok"/>
    <s v="ok"/>
    <s v="ok"/>
    <s v="ok"/>
    <x v="0"/>
    <n v="43.501518888864666"/>
  </r>
  <r>
    <x v="2"/>
    <n v="3633"/>
    <x v="0"/>
    <x v="0"/>
    <x v="3"/>
    <s v="1st line support"/>
    <x v="3"/>
    <x v="2070"/>
    <d v="2023-11-21T01:06:29"/>
    <d v="2023-11-19T02:06:29"/>
    <d v="2023-11-19T01:26:22"/>
    <s v="Within SLA"/>
    <d v="2023-11-21T02:14:29"/>
    <x v="1"/>
    <m/>
    <n v="2"/>
    <m/>
    <x v="3"/>
    <x v="0"/>
    <s v="Spain"/>
    <n v="39.673369999999998"/>
    <n v="-4.7677259999999997"/>
    <s v="ok"/>
    <s v="ok"/>
    <s v="ok"/>
    <s v="ok"/>
    <s v="ok"/>
    <x v="0"/>
    <n v="49.133218055474572"/>
  </r>
  <r>
    <x v="2"/>
    <n v="3634"/>
    <x v="0"/>
    <x v="0"/>
    <x v="0"/>
    <s v="1st line support"/>
    <x v="4"/>
    <x v="2071"/>
    <d v="2023-11-21T07:13:50"/>
    <d v="2023-11-19T08:13:50"/>
    <d v="2023-11-19T08:02:04"/>
    <s v="Within SLA"/>
    <d v="2023-11-24T22:46:56"/>
    <x v="1"/>
    <m/>
    <n v="9"/>
    <m/>
    <x v="0"/>
    <x v="0"/>
    <s v="Germany"/>
    <n v="51.165691000000002"/>
    <n v="10.451525999999999"/>
    <s v="ok"/>
    <s v="ok"/>
    <s v="ok"/>
    <s v="ok"/>
    <s v="ok"/>
    <x v="0"/>
    <n v="135.55166305555031"/>
  </r>
  <r>
    <x v="0"/>
    <n v="3641"/>
    <x v="0"/>
    <x v="1"/>
    <x v="3"/>
    <s v="1st line support"/>
    <x v="2"/>
    <x v="2072"/>
    <d v="2023-11-21T08:01:12"/>
    <d v="2023-11-19T08:03:12"/>
    <d v="2023-11-19T08:01:18"/>
    <s v="Within SLA"/>
    <d v="2023-11-22T22:07:21"/>
    <x v="1"/>
    <d v="2023-11-23T18:41:38"/>
    <n v="7"/>
    <n v="2"/>
    <x v="1"/>
    <x v="0"/>
    <s v="Italy"/>
    <n v="43.036776000000003"/>
    <n v="12.678565000000001"/>
    <s v="ok"/>
    <s v="ok"/>
    <s v="ok"/>
    <s v="ok"/>
    <s v="ok"/>
    <x v="0"/>
    <n v="86.102408333332278"/>
  </r>
  <r>
    <x v="0"/>
    <n v="3642"/>
    <x v="2"/>
    <x v="0"/>
    <x v="2"/>
    <s v="1st line support"/>
    <x v="6"/>
    <x v="2073"/>
    <d v="2023-11-22T21:50:19"/>
    <d v="2023-11-20T22:50:19"/>
    <d v="2023-11-20T22:24:15"/>
    <s v="Within SLA"/>
    <d v="2023-11-22T01:22:30"/>
    <x v="0"/>
    <d v="2023-11-22T07:30:39"/>
    <n v="10"/>
    <n v="4"/>
    <x v="1"/>
    <x v="0"/>
    <s v="Germany"/>
    <n v="51.165691000000002"/>
    <n v="10.451525999999999"/>
    <s v="ok"/>
    <s v="ok"/>
    <s v="ok"/>
    <s v="ok"/>
    <s v="ok"/>
    <x v="0"/>
    <n v="27.536297500133514"/>
  </r>
  <r>
    <x v="0"/>
    <n v="3643"/>
    <x v="0"/>
    <x v="2"/>
    <x v="3"/>
    <s v="1st line support"/>
    <x v="2"/>
    <x v="2074"/>
    <d v="2023-11-21T15:38:44"/>
    <d v="2023-11-20T15:40:44"/>
    <d v="2023-11-20T15:38:53"/>
    <s v="Within SLA"/>
    <d v="2023-11-21T13:26:19"/>
    <x v="0"/>
    <d v="2023-11-23T01:12:43"/>
    <n v="2"/>
    <n v="3"/>
    <x v="1"/>
    <x v="0"/>
    <s v="Slovenia"/>
    <n v="46.149166399999999"/>
    <n v="14.9860106"/>
    <s v="ok"/>
    <s v="ok"/>
    <s v="ok"/>
    <s v="ok"/>
    <s v="ok"/>
    <x v="0"/>
    <n v="21.79297944449354"/>
  </r>
  <r>
    <x v="1"/>
    <n v="3644"/>
    <x v="1"/>
    <x v="1"/>
    <x v="1"/>
    <s v="1st line support"/>
    <x v="2"/>
    <x v="2075"/>
    <d v="2023-11-22T04:03:51"/>
    <d v="2023-11-20T04:05:51"/>
    <d v="2023-11-20T04:04:24"/>
    <s v="Within SLA"/>
    <m/>
    <x v="1"/>
    <m/>
    <n v="3"/>
    <m/>
    <x v="2"/>
    <x v="0"/>
    <s v="Italy"/>
    <n v="43.036776000000003"/>
    <n v="12.678565000000001"/>
    <s v="ok"/>
    <s v="ok"/>
    <s v="ok"/>
    <s v="ok"/>
    <s v="ok"/>
    <x v="1"/>
    <s v=""/>
  </r>
  <r>
    <x v="0"/>
    <n v="3646"/>
    <x v="1"/>
    <x v="0"/>
    <x v="0"/>
    <s v="1st line support"/>
    <x v="2"/>
    <x v="2076"/>
    <d v="2023-11-22T08:48:59"/>
    <d v="2023-11-20T09:48:59"/>
    <d v="2023-11-20T09:00:30"/>
    <s v="Within SLA"/>
    <d v="2023-11-21T23:28:41"/>
    <x v="0"/>
    <d v="2023-11-22T12:20:26"/>
    <n v="2"/>
    <n v="5"/>
    <x v="0"/>
    <x v="0"/>
    <s v="Slovenia"/>
    <n v="46.149166399999999"/>
    <n v="14.9860106"/>
    <s v="ok"/>
    <s v="ok"/>
    <s v="ok"/>
    <s v="ok"/>
    <s v="ok"/>
    <x v="0"/>
    <n v="38.661581111024134"/>
  </r>
  <r>
    <x v="0"/>
    <n v="3647"/>
    <x v="0"/>
    <x v="0"/>
    <x v="1"/>
    <s v="2nd line support"/>
    <x v="5"/>
    <x v="2077"/>
    <d v="2023-11-22T16:00:41"/>
    <d v="2023-11-20T17:00:41"/>
    <d v="2023-11-20T16:16:14"/>
    <s v="Within SLA"/>
    <d v="2023-11-22T01:08:54"/>
    <x v="0"/>
    <d v="2023-11-24T21:10:11"/>
    <n v="3"/>
    <n v="4"/>
    <x v="2"/>
    <x v="1"/>
    <s v="Italy"/>
    <n v="43.036776000000003"/>
    <n v="12.678565000000001"/>
    <s v="ok"/>
    <s v="ok"/>
    <s v="ok"/>
    <s v="ok"/>
    <s v="ok"/>
    <x v="0"/>
    <n v="33.137019166722894"/>
  </r>
  <r>
    <x v="2"/>
    <n v="3648"/>
    <x v="1"/>
    <x v="2"/>
    <x v="1"/>
    <s v="1st line support"/>
    <x v="4"/>
    <x v="2078"/>
    <d v="2023-11-21T06:00:11"/>
    <d v="2023-11-20T06:02:11"/>
    <d v="2023-11-20T06:00:46"/>
    <s v="Within SLA"/>
    <d v="2023-11-20T10:33:01"/>
    <x v="0"/>
    <m/>
    <n v="8"/>
    <m/>
    <x v="3"/>
    <x v="0"/>
    <s v="Germany"/>
    <n v="51.165691000000002"/>
    <n v="10.451525999999999"/>
    <s v="ok"/>
    <s v="ok"/>
    <s v="ok"/>
    <s v="ok"/>
    <s v="ok"/>
    <x v="0"/>
    <n v="4.5470902778324671"/>
  </r>
  <r>
    <x v="1"/>
    <n v="3649"/>
    <x v="2"/>
    <x v="0"/>
    <x v="5"/>
    <s v="1st line support"/>
    <x v="3"/>
    <x v="2079"/>
    <d v="2023-11-22T19:02:57"/>
    <d v="2023-11-20T20:02:57"/>
    <d v="2023-11-20T19:07:08"/>
    <s v="Within SLA"/>
    <m/>
    <x v="1"/>
    <m/>
    <n v="1"/>
    <m/>
    <x v="2"/>
    <x v="0"/>
    <s v="France"/>
    <n v="48.864716000000001"/>
    <n v="2.3490139999999999"/>
    <s v="ok"/>
    <s v="ok"/>
    <s v="ok"/>
    <s v="ok"/>
    <s v="ok"/>
    <x v="1"/>
    <s v=""/>
  </r>
  <r>
    <x v="0"/>
    <n v="3650"/>
    <x v="2"/>
    <x v="0"/>
    <x v="0"/>
    <s v="1st line support"/>
    <x v="3"/>
    <x v="2080"/>
    <d v="2023-11-23T07:35:59"/>
    <d v="2023-11-21T08:35:59"/>
    <d v="2023-11-21T07:43:19"/>
    <s v="Within SLA"/>
    <d v="2023-11-23T02:01:22"/>
    <x v="0"/>
    <d v="2023-11-25T13:08:16"/>
    <n v="3"/>
    <n v="5"/>
    <x v="1"/>
    <x v="0"/>
    <s v="Germany"/>
    <n v="51.165691000000002"/>
    <n v="10.451525999999999"/>
    <s v="ok"/>
    <s v="ok"/>
    <s v="ok"/>
    <s v="ok"/>
    <s v="ok"/>
    <x v="0"/>
    <n v="42.422944444406312"/>
  </r>
  <r>
    <x v="0"/>
    <n v="3651"/>
    <x v="0"/>
    <x v="0"/>
    <x v="5"/>
    <s v="2nd line support"/>
    <x v="7"/>
    <x v="2081"/>
    <d v="2023-11-23T00:03:06"/>
    <d v="2023-11-21T01:03:06"/>
    <d v="2023-11-21T00:54:29"/>
    <s v="Within SLA"/>
    <d v="2023-11-21T13:40:19"/>
    <x v="0"/>
    <d v="2023-11-23T13:13:17"/>
    <n v="10"/>
    <n v="4"/>
    <x v="1"/>
    <x v="1"/>
    <s v="Republic of Ireland"/>
    <n v="53.094023999999997"/>
    <n v="-8.0196749999999994"/>
    <s v="ok"/>
    <s v="ok"/>
    <s v="ok"/>
    <s v="ok"/>
    <s v="ok"/>
    <x v="0"/>
    <n v="13.620227777806576"/>
  </r>
  <r>
    <x v="0"/>
    <n v="3652"/>
    <x v="0"/>
    <x v="2"/>
    <x v="0"/>
    <s v="1st line support"/>
    <x v="0"/>
    <x v="2082"/>
    <d v="2023-11-22T22:55:54"/>
    <d v="2023-11-21T22:57:54"/>
    <d v="2023-11-21T22:57:09"/>
    <s v="Within SLA"/>
    <d v="2023-11-26T12:28:44"/>
    <x v="1"/>
    <d v="2023-11-28T09:45:25"/>
    <n v="5"/>
    <n v="4"/>
    <x v="0"/>
    <x v="0"/>
    <s v="United Kingdom"/>
    <n v="55.378051999999997"/>
    <n v="-3.4359730000000002"/>
    <s v="ok"/>
    <s v="ok"/>
    <s v="ok"/>
    <s v="ok"/>
    <s v="ok"/>
    <x v="0"/>
    <n v="109.54720249999082"/>
  </r>
  <r>
    <x v="0"/>
    <n v="3653"/>
    <x v="2"/>
    <x v="0"/>
    <x v="3"/>
    <s v="1st line support"/>
    <x v="4"/>
    <x v="2083"/>
    <d v="2023-11-23T06:59:06"/>
    <d v="2023-11-21T07:59:06"/>
    <d v="2023-11-21T06:59:39"/>
    <s v="Within SLA"/>
    <d v="2023-11-21T19:03:07"/>
    <x v="0"/>
    <d v="2023-11-28T16:21:40"/>
    <n v="2"/>
    <n v="5"/>
    <x v="0"/>
    <x v="0"/>
    <s v="Poland"/>
    <n v="52.536273000000001"/>
    <n v="19.050639"/>
    <s v="ok"/>
    <s v="ok"/>
    <s v="ok"/>
    <s v="ok"/>
    <s v="ok"/>
    <x v="0"/>
    <n v="12.066866388951894"/>
  </r>
  <r>
    <x v="0"/>
    <n v="3654"/>
    <x v="2"/>
    <x v="2"/>
    <x v="0"/>
    <s v="2nd line support"/>
    <x v="1"/>
    <x v="2084"/>
    <d v="2023-11-22T19:03:23"/>
    <d v="2023-11-21T19:05:23"/>
    <d v="2023-11-21T19:08:34"/>
    <s v="SLA Violated"/>
    <d v="2023-11-22T02:22:59"/>
    <x v="0"/>
    <d v="2023-11-25T03:22:09"/>
    <n v="2"/>
    <n v="3"/>
    <x v="2"/>
    <x v="1"/>
    <s v="Bulgaria"/>
    <n v="42.724992499999999"/>
    <n v="25.483303899999999"/>
    <s v="ok"/>
    <s v="ok"/>
    <s v="ok"/>
    <s v="ok"/>
    <s v="ok"/>
    <x v="0"/>
    <n v="7.326561666559428"/>
  </r>
  <r>
    <x v="0"/>
    <n v="3655"/>
    <x v="1"/>
    <x v="0"/>
    <x v="1"/>
    <s v="1st line support"/>
    <x v="0"/>
    <x v="2085"/>
    <d v="2023-11-23T23:09:47"/>
    <d v="2023-11-22T00:09:47"/>
    <d v="2023-11-21T23:25:51"/>
    <s v="Within SLA"/>
    <d v="2023-11-23T20:08:59"/>
    <x v="0"/>
    <d v="2023-11-26T16:01:48"/>
    <n v="1"/>
    <n v="3"/>
    <x v="2"/>
    <x v="0"/>
    <s v="Italy"/>
    <n v="43.036776000000003"/>
    <n v="12.678565000000001"/>
    <s v="ok"/>
    <s v="ok"/>
    <s v="ok"/>
    <s v="ok"/>
    <s v="ok"/>
    <x v="0"/>
    <n v="44.986732500081416"/>
  </r>
  <r>
    <x v="0"/>
    <n v="3656"/>
    <x v="2"/>
    <x v="2"/>
    <x v="4"/>
    <s v="1st line support"/>
    <x v="3"/>
    <x v="2086"/>
    <d v="2023-11-22T06:29:06"/>
    <d v="2023-11-21T06:31:06"/>
    <d v="2023-11-21T06:30:53"/>
    <s v="Within SLA"/>
    <d v="2023-11-23T20:16:13"/>
    <x v="1"/>
    <d v="2023-11-24T21:09:01"/>
    <n v="2"/>
    <n v="3"/>
    <x v="1"/>
    <x v="0"/>
    <s v="Spain"/>
    <n v="39.673369999999998"/>
    <n v="-4.7677259999999997"/>
    <s v="ok"/>
    <s v="ok"/>
    <s v="ok"/>
    <s v="ok"/>
    <s v="ok"/>
    <x v="0"/>
    <n v="61.785146388807334"/>
  </r>
  <r>
    <x v="0"/>
    <n v="3657"/>
    <x v="1"/>
    <x v="2"/>
    <x v="3"/>
    <s v="1st line support"/>
    <x v="0"/>
    <x v="2087"/>
    <d v="2023-11-22T15:47:44"/>
    <d v="2023-11-21T15:49:44"/>
    <d v="2023-11-21T15:47:55"/>
    <s v="Within SLA"/>
    <d v="2023-11-27T00:27:45"/>
    <x v="1"/>
    <d v="2023-11-28T10:29:28"/>
    <n v="6"/>
    <n v="4"/>
    <x v="2"/>
    <x v="0"/>
    <s v="Italy"/>
    <n v="43.036776000000003"/>
    <n v="12.678565000000001"/>
    <s v="ok"/>
    <s v="ok"/>
    <s v="ok"/>
    <s v="ok"/>
    <s v="ok"/>
    <x v="0"/>
    <n v="128.66702805552632"/>
  </r>
  <r>
    <x v="2"/>
    <n v="3658"/>
    <x v="2"/>
    <x v="2"/>
    <x v="2"/>
    <s v="1st line support"/>
    <x v="0"/>
    <x v="2088"/>
    <d v="2023-11-23T09:08:52"/>
    <d v="2023-11-22T09:10:52"/>
    <d v="2023-11-22T09:10:06"/>
    <s v="Within SLA"/>
    <d v="2023-11-23T09:27:43"/>
    <x v="1"/>
    <m/>
    <n v="5"/>
    <m/>
    <x v="0"/>
    <x v="0"/>
    <s v="Austria"/>
    <n v="47.696471899999999"/>
    <n v="13.3457347"/>
    <s v="ok"/>
    <s v="ok"/>
    <s v="ok"/>
    <s v="ok"/>
    <s v="ok"/>
    <x v="0"/>
    <n v="24.31403694441542"/>
  </r>
  <r>
    <x v="2"/>
    <n v="3659"/>
    <x v="1"/>
    <x v="2"/>
    <x v="3"/>
    <s v="2nd line support"/>
    <x v="5"/>
    <x v="2089"/>
    <d v="2023-11-23T04:35:34"/>
    <d v="2023-11-22T04:37:34"/>
    <d v="2023-11-22T04:36:03"/>
    <s v="Within SLA"/>
    <d v="2023-11-22T19:39:26"/>
    <x v="0"/>
    <m/>
    <n v="2"/>
    <m/>
    <x v="2"/>
    <x v="1"/>
    <s v="Czech Republic"/>
    <n v="49.8037633"/>
    <n v="15.4749126"/>
    <s v="ok"/>
    <s v="ok"/>
    <s v="ok"/>
    <s v="ok"/>
    <s v="ok"/>
    <x v="0"/>
    <n v="15.064530555449892"/>
  </r>
  <r>
    <x v="1"/>
    <n v="3660"/>
    <x v="0"/>
    <x v="0"/>
    <x v="1"/>
    <s v="1st line support"/>
    <x v="6"/>
    <x v="2090"/>
    <d v="2023-11-24T15:51:37"/>
    <d v="2023-11-22T16:51:37"/>
    <d v="2023-11-22T16:32:07"/>
    <s v="Within SLA"/>
    <m/>
    <x v="1"/>
    <m/>
    <n v="10"/>
    <m/>
    <x v="2"/>
    <x v="0"/>
    <s v="Italy"/>
    <n v="43.036776000000003"/>
    <n v="12.678565000000001"/>
    <s v="ok"/>
    <s v="ok"/>
    <s v="ok"/>
    <s v="ok"/>
    <s v="ok"/>
    <x v="1"/>
    <s v=""/>
  </r>
  <r>
    <x v="0"/>
    <n v="3661"/>
    <x v="1"/>
    <x v="2"/>
    <x v="0"/>
    <s v="2nd line support"/>
    <x v="1"/>
    <x v="2091"/>
    <d v="2023-11-23T09:38:49"/>
    <d v="2023-11-22T09:40:49"/>
    <d v="2023-11-22T09:42:58"/>
    <s v="SLA Violated"/>
    <d v="2023-11-23T03:16:37"/>
    <x v="0"/>
    <d v="2023-11-24T06:35:49"/>
    <n v="2"/>
    <n v="3"/>
    <x v="0"/>
    <x v="1"/>
    <s v="United Kingdom"/>
    <n v="55.378051999999997"/>
    <n v="-3.4359730000000002"/>
    <s v="ok"/>
    <s v="ok"/>
    <s v="ok"/>
    <s v="ok"/>
    <s v="ok"/>
    <x v="0"/>
    <n v="17.630015555536374"/>
  </r>
  <r>
    <x v="0"/>
    <n v="3662"/>
    <x v="1"/>
    <x v="2"/>
    <x v="3"/>
    <s v="1st line support"/>
    <x v="2"/>
    <x v="2092"/>
    <d v="2023-11-23T11:28:44"/>
    <d v="2023-11-22T11:30:44"/>
    <d v="2023-11-22T11:29:15"/>
    <s v="Within SLA"/>
    <d v="2023-11-22T14:09:16"/>
    <x v="0"/>
    <d v="2023-11-24T20:15:01"/>
    <n v="6"/>
    <n v="3"/>
    <x v="0"/>
    <x v="0"/>
    <s v="Poland"/>
    <n v="52.536273000000001"/>
    <n v="19.050639"/>
    <s v="ok"/>
    <s v="ok"/>
    <s v="ok"/>
    <s v="ok"/>
    <s v="ok"/>
    <x v="0"/>
    <n v="2.6756027777446434"/>
  </r>
  <r>
    <x v="0"/>
    <n v="3663"/>
    <x v="0"/>
    <x v="0"/>
    <x v="3"/>
    <s v="1st line support"/>
    <x v="6"/>
    <x v="2093"/>
    <d v="2023-11-24T06:02:56"/>
    <d v="2023-11-22T07:02:56"/>
    <d v="2023-11-22T10:44:09"/>
    <s v="SLA Violated"/>
    <d v="2023-11-22T23:17:22"/>
    <x v="0"/>
    <d v="2023-11-25T10:26:27"/>
    <n v="10"/>
    <n v="4"/>
    <x v="0"/>
    <x v="0"/>
    <s v="Poland"/>
    <n v="52.536273000000001"/>
    <n v="19.050639"/>
    <s v="ok"/>
    <s v="ok"/>
    <s v="ok"/>
    <s v="ok"/>
    <s v="ok"/>
    <x v="0"/>
    <n v="17.240634999994654"/>
  </r>
  <r>
    <x v="0"/>
    <n v="3664"/>
    <x v="2"/>
    <x v="2"/>
    <x v="1"/>
    <s v="2nd line support"/>
    <x v="1"/>
    <x v="2094"/>
    <d v="2023-11-23T23:44:36"/>
    <d v="2023-11-22T23:46:36"/>
    <d v="2023-11-22T23:45:25"/>
    <s v="Within SLA"/>
    <d v="2023-11-23T13:28:32"/>
    <x v="0"/>
    <d v="2023-11-25T04:40:36"/>
    <n v="6"/>
    <n v="4"/>
    <x v="2"/>
    <x v="1"/>
    <s v="Poland"/>
    <n v="52.536273000000001"/>
    <n v="19.050639"/>
    <s v="ok"/>
    <s v="ok"/>
    <s v="ok"/>
    <s v="ok"/>
    <s v="ok"/>
    <x v="0"/>
    <n v="13.732121111126617"/>
  </r>
  <r>
    <x v="2"/>
    <n v="3665"/>
    <x v="0"/>
    <x v="2"/>
    <x v="1"/>
    <s v="2nd line support"/>
    <x v="7"/>
    <x v="2095"/>
    <d v="2023-11-23T14:26:53"/>
    <d v="2023-11-22T14:28:53"/>
    <d v="2023-11-22T14:28:05"/>
    <s v="Within SLA"/>
    <d v="2023-11-25T19:50:05"/>
    <x v="1"/>
    <m/>
    <n v="6"/>
    <m/>
    <x v="0"/>
    <x v="1"/>
    <s v="Poland"/>
    <n v="52.536273000000001"/>
    <n v="19.050639"/>
    <s v="ok"/>
    <s v="ok"/>
    <s v="ok"/>
    <s v="ok"/>
    <s v="ok"/>
    <x v="0"/>
    <n v="77.386572777817491"/>
  </r>
  <r>
    <x v="1"/>
    <n v="3669"/>
    <x v="0"/>
    <x v="2"/>
    <x v="3"/>
    <s v="1st line support"/>
    <x v="3"/>
    <x v="2096"/>
    <d v="2023-11-24T06:42:07"/>
    <d v="2023-11-23T06:44:07"/>
    <d v="2023-11-23T06:43:29"/>
    <s v="Within SLA"/>
    <m/>
    <x v="1"/>
    <m/>
    <n v="2"/>
    <m/>
    <x v="2"/>
    <x v="0"/>
    <s v="Germany"/>
    <n v="51.165691000000002"/>
    <n v="10.451525999999999"/>
    <s v="ok"/>
    <s v="ok"/>
    <s v="ok"/>
    <s v="ok"/>
    <s v="ok"/>
    <x v="1"/>
    <s v=""/>
  </r>
  <r>
    <x v="2"/>
    <n v="3670"/>
    <x v="2"/>
    <x v="2"/>
    <x v="5"/>
    <s v="1st line support"/>
    <x v="2"/>
    <x v="2097"/>
    <d v="2023-11-24T19:35:42"/>
    <d v="2023-11-23T19:37:42"/>
    <d v="2023-11-23T19:36:30"/>
    <s v="Within SLA"/>
    <d v="2023-11-27T08:54:07"/>
    <x v="1"/>
    <m/>
    <n v="5"/>
    <m/>
    <x v="0"/>
    <x v="0"/>
    <s v="Italy"/>
    <n v="43.036776000000003"/>
    <n v="12.678565000000001"/>
    <s v="ok"/>
    <s v="ok"/>
    <s v="ok"/>
    <s v="ok"/>
    <s v="ok"/>
    <x v="0"/>
    <n v="85.306880555581301"/>
  </r>
  <r>
    <x v="2"/>
    <n v="3671"/>
    <x v="1"/>
    <x v="2"/>
    <x v="3"/>
    <s v="1st line support"/>
    <x v="2"/>
    <x v="2098"/>
    <d v="2023-11-24T05:58:08"/>
    <d v="2023-11-23T06:00:08"/>
    <d v="2023-11-23T05:58:24"/>
    <s v="Within SLA"/>
    <d v="2023-11-23T13:18:37"/>
    <x v="0"/>
    <m/>
    <n v="5"/>
    <m/>
    <x v="2"/>
    <x v="0"/>
    <s v="Poland"/>
    <n v="52.536273000000001"/>
    <n v="19.050639"/>
    <s v="ok"/>
    <s v="ok"/>
    <s v="ok"/>
    <s v="ok"/>
    <s v="ok"/>
    <x v="0"/>
    <n v="7.341319999890402"/>
  </r>
  <r>
    <x v="2"/>
    <n v="3672"/>
    <x v="0"/>
    <x v="2"/>
    <x v="2"/>
    <s v="2nd line support"/>
    <x v="5"/>
    <x v="2099"/>
    <d v="2023-11-24T10:29:17"/>
    <d v="2023-11-23T10:31:17"/>
    <d v="2023-11-23T10:30:21"/>
    <s v="Within SLA"/>
    <d v="2023-11-23T16:37:46"/>
    <x v="0"/>
    <m/>
    <n v="8"/>
    <m/>
    <x v="3"/>
    <x v="1"/>
    <s v="Czech Republic"/>
    <n v="49.8037633"/>
    <n v="15.4749126"/>
    <s v="ok"/>
    <s v="ok"/>
    <s v="ok"/>
    <s v="ok"/>
    <s v="ok"/>
    <x v="0"/>
    <n v="6.1413480556220748"/>
  </r>
  <r>
    <x v="0"/>
    <n v="3673"/>
    <x v="2"/>
    <x v="0"/>
    <x v="2"/>
    <s v="1st line support"/>
    <x v="6"/>
    <x v="2100"/>
    <d v="2023-11-25T10:29:18"/>
    <d v="2023-11-23T11:29:18"/>
    <d v="2023-11-23T11:27:40"/>
    <s v="Within SLA"/>
    <d v="2023-11-26T16:12:58"/>
    <x v="1"/>
    <d v="2023-11-27T00:15:06"/>
    <n v="1"/>
    <n v="5"/>
    <x v="2"/>
    <x v="0"/>
    <s v="Greece"/>
    <n v="39.368279000000001"/>
    <n v="21.863140999999999"/>
    <s v="ok"/>
    <s v="ok"/>
    <s v="ok"/>
    <s v="ok"/>
    <s v="ok"/>
    <x v="0"/>
    <n v="77.727871111070272"/>
  </r>
  <r>
    <x v="2"/>
    <n v="3674"/>
    <x v="0"/>
    <x v="2"/>
    <x v="0"/>
    <s v="1st line support"/>
    <x v="6"/>
    <x v="2101"/>
    <d v="2023-11-25T00:20:37"/>
    <d v="2023-11-24T00:22:37"/>
    <d v="2023-11-24T00:21:07"/>
    <s v="Within SLA"/>
    <d v="2023-11-25T12:24:19"/>
    <x v="1"/>
    <m/>
    <n v="6"/>
    <m/>
    <x v="2"/>
    <x v="0"/>
    <s v="France"/>
    <n v="48.864716000000001"/>
    <n v="2.3490139999999999"/>
    <s v="ok"/>
    <s v="ok"/>
    <s v="ok"/>
    <s v="ok"/>
    <s v="ok"/>
    <x v="0"/>
    <n v="36.061759166652337"/>
  </r>
  <r>
    <x v="0"/>
    <n v="3675"/>
    <x v="0"/>
    <x v="0"/>
    <x v="4"/>
    <s v="1st line support"/>
    <x v="2"/>
    <x v="2102"/>
    <d v="2023-11-26T10:39:39"/>
    <d v="2023-11-24T11:39:39"/>
    <d v="2023-11-24T10:43:58"/>
    <s v="Within SLA"/>
    <d v="2023-11-26T00:25:24"/>
    <x v="0"/>
    <d v="2023-11-30T20:17:20"/>
    <n v="9"/>
    <n v="2"/>
    <x v="3"/>
    <x v="0"/>
    <s v="Poland"/>
    <n v="52.536273000000001"/>
    <n v="19.050639"/>
    <s v="ok"/>
    <s v="ok"/>
    <s v="ok"/>
    <s v="ok"/>
    <s v="ok"/>
    <x v="0"/>
    <n v="37.762503055448178"/>
  </r>
  <r>
    <x v="2"/>
    <n v="3677"/>
    <x v="1"/>
    <x v="0"/>
    <x v="1"/>
    <s v="2nd line support"/>
    <x v="5"/>
    <x v="2103"/>
    <d v="2023-11-26T01:46:54"/>
    <d v="2023-11-24T02:46:54"/>
    <d v="2023-11-24T02:16:10"/>
    <s v="Within SLA"/>
    <d v="2023-11-24T09:10:04"/>
    <x v="0"/>
    <m/>
    <n v="2"/>
    <m/>
    <x v="2"/>
    <x v="1"/>
    <s v="Austria"/>
    <n v="47.696471899999999"/>
    <n v="13.3457347"/>
    <s v="ok"/>
    <s v="ok"/>
    <s v="ok"/>
    <s v="ok"/>
    <s v="ok"/>
    <x v="0"/>
    <n v="7.3860461111180484"/>
  </r>
  <r>
    <x v="0"/>
    <n v="3678"/>
    <x v="2"/>
    <x v="0"/>
    <x v="5"/>
    <s v="1st line support"/>
    <x v="6"/>
    <x v="2104"/>
    <d v="2023-11-26T14:47:52"/>
    <d v="2023-11-24T15:47:52"/>
    <d v="2023-11-24T15:34:43"/>
    <s v="Within SLA"/>
    <d v="2023-11-24T21:03:39"/>
    <x v="0"/>
    <d v="2023-11-29T08:36:39"/>
    <n v="2"/>
    <n v="3"/>
    <x v="2"/>
    <x v="0"/>
    <s v="Germany"/>
    <n v="51.165691000000002"/>
    <n v="10.451525999999999"/>
    <s v="ok"/>
    <s v="ok"/>
    <s v="ok"/>
    <s v="ok"/>
    <s v="ok"/>
    <x v="0"/>
    <n v="6.2630186111200601"/>
  </r>
  <r>
    <x v="2"/>
    <n v="3679"/>
    <x v="2"/>
    <x v="0"/>
    <x v="6"/>
    <s v="2nd line support"/>
    <x v="7"/>
    <x v="2105"/>
    <d v="2023-11-26T02:11:22"/>
    <d v="2023-11-24T03:11:22"/>
    <d v="2023-11-24T02:12:08"/>
    <s v="Within SLA"/>
    <d v="2023-11-29T21:57:52"/>
    <x v="1"/>
    <m/>
    <n v="7"/>
    <m/>
    <x v="3"/>
    <x v="1"/>
    <s v="Poland"/>
    <n v="52.536273000000001"/>
    <n v="19.050639"/>
    <s v="ok"/>
    <s v="ok"/>
    <s v="ok"/>
    <s v="ok"/>
    <s v="ok"/>
    <x v="0"/>
    <n v="139.77486166666495"/>
  </r>
  <r>
    <x v="0"/>
    <n v="3680"/>
    <x v="1"/>
    <x v="0"/>
    <x v="4"/>
    <s v="1st line support"/>
    <x v="4"/>
    <x v="2106"/>
    <d v="2023-11-26T23:36:32"/>
    <d v="2023-11-25T00:36:32"/>
    <d v="2023-11-25T00:33:14"/>
    <s v="Within SLA"/>
    <d v="2023-11-25T05:02:36"/>
    <x v="0"/>
    <d v="2023-11-28T05:24:03"/>
    <n v="2"/>
    <n v="5"/>
    <x v="3"/>
    <x v="0"/>
    <s v="Italy"/>
    <n v="43.036776000000003"/>
    <n v="12.678565000000001"/>
    <s v="ok"/>
    <s v="ok"/>
    <s v="ok"/>
    <s v="ok"/>
    <s v="ok"/>
    <x v="0"/>
    <n v="5.434576666506473"/>
  </r>
  <r>
    <x v="0"/>
    <n v="3681"/>
    <x v="0"/>
    <x v="0"/>
    <x v="3"/>
    <s v="1st line support"/>
    <x v="6"/>
    <x v="2107"/>
    <d v="2023-11-26T10:27:27"/>
    <d v="2023-11-24T11:27:27"/>
    <d v="2023-11-24T11:07:17"/>
    <s v="Within SLA"/>
    <d v="2023-11-29T12:33:08"/>
    <x v="1"/>
    <d v="2023-12-01T00:57:06"/>
    <n v="2"/>
    <n v="2"/>
    <x v="0"/>
    <x v="0"/>
    <s v="Germany"/>
    <n v="51.165691000000002"/>
    <n v="10.451525999999999"/>
    <s v="ok"/>
    <s v="ok"/>
    <s v="ok"/>
    <s v="ok"/>
    <s v="ok"/>
    <x v="0"/>
    <n v="122.09473805548623"/>
  </r>
  <r>
    <x v="0"/>
    <n v="3682"/>
    <x v="0"/>
    <x v="1"/>
    <x v="0"/>
    <s v="1st line support"/>
    <x v="2"/>
    <x v="2108"/>
    <d v="2023-11-26T11:18:52"/>
    <d v="2023-11-24T11:20:52"/>
    <d v="2023-11-24T11:22:47"/>
    <s v="SLA Violated"/>
    <d v="2023-11-25T02:11:57"/>
    <x v="0"/>
    <d v="2023-11-27T03:54:51"/>
    <n v="2"/>
    <n v="4"/>
    <x v="0"/>
    <x v="0"/>
    <s v="United Kingdom"/>
    <n v="55.378051999999997"/>
    <n v="-3.4359730000000002"/>
    <s v="ok"/>
    <s v="ok"/>
    <s v="ok"/>
    <s v="ok"/>
    <s v="ok"/>
    <x v="0"/>
    <n v="14.884615555463824"/>
  </r>
  <r>
    <x v="2"/>
    <n v="3683"/>
    <x v="0"/>
    <x v="0"/>
    <x v="3"/>
    <s v="1st line support"/>
    <x v="0"/>
    <x v="2109"/>
    <d v="2023-11-26T04:11:59"/>
    <d v="2023-11-24T05:11:59"/>
    <d v="2023-11-24T04:33:06"/>
    <s v="Within SLA"/>
    <d v="2023-11-25T04:58:04"/>
    <x v="0"/>
    <m/>
    <n v="1"/>
    <m/>
    <x v="2"/>
    <x v="0"/>
    <s v="Republic of Ireland"/>
    <n v="53.094023999999997"/>
    <n v="-8.0196749999999994"/>
    <s v="ok"/>
    <s v="ok"/>
    <s v="ok"/>
    <s v="ok"/>
    <s v="ok"/>
    <x v="0"/>
    <n v="24.768111944489647"/>
  </r>
  <r>
    <x v="0"/>
    <n v="3684"/>
    <x v="0"/>
    <x v="2"/>
    <x v="1"/>
    <s v="2nd line support"/>
    <x v="1"/>
    <x v="2110"/>
    <d v="2023-11-25T07:46:27"/>
    <d v="2023-11-24T07:48:27"/>
    <d v="2023-11-24T07:46:48"/>
    <s v="Within SLA"/>
    <d v="2023-11-24T08:54:21"/>
    <x v="0"/>
    <d v="2023-11-27T02:32:50"/>
    <n v="6"/>
    <n v="4"/>
    <x v="2"/>
    <x v="1"/>
    <s v="Germany"/>
    <n v="51.165691000000002"/>
    <n v="10.451525999999999"/>
    <s v="ok"/>
    <s v="ok"/>
    <s v="ok"/>
    <s v="ok"/>
    <s v="ok"/>
    <x v="0"/>
    <n v="1.1315344444010407"/>
  </r>
  <r>
    <x v="2"/>
    <n v="3685"/>
    <x v="0"/>
    <x v="2"/>
    <x v="1"/>
    <s v="1st line support"/>
    <x v="0"/>
    <x v="2111"/>
    <d v="2023-11-25T15:45:32"/>
    <d v="2023-11-24T15:47:32"/>
    <d v="2023-11-24T15:47:40"/>
    <s v="SLA Violated"/>
    <d v="2023-11-27T02:18:29"/>
    <x v="1"/>
    <m/>
    <n v="5"/>
    <m/>
    <x v="2"/>
    <x v="0"/>
    <s v="Italy"/>
    <n v="43.036776000000003"/>
    <n v="12.678565000000001"/>
    <s v="ok"/>
    <s v="ok"/>
    <s v="ok"/>
    <s v="ok"/>
    <s v="ok"/>
    <x v="0"/>
    <n v="58.549122499942314"/>
  </r>
  <r>
    <x v="0"/>
    <n v="3686"/>
    <x v="0"/>
    <x v="2"/>
    <x v="5"/>
    <s v="1st line support"/>
    <x v="0"/>
    <x v="2112"/>
    <d v="2023-11-26T19:03:37"/>
    <d v="2023-11-25T19:05:37"/>
    <d v="2023-11-25T19:03:42"/>
    <s v="Within SLA"/>
    <d v="2023-11-25T21:58:55"/>
    <x v="0"/>
    <d v="2023-12-01T08:17:49"/>
    <n v="2"/>
    <n v="4"/>
    <x v="2"/>
    <x v="0"/>
    <s v="Germany"/>
    <n v="51.165691000000002"/>
    <n v="10.451525999999999"/>
    <s v="ok"/>
    <s v="ok"/>
    <s v="ok"/>
    <s v="ok"/>
    <s v="ok"/>
    <x v="0"/>
    <n v="2.9215794444316998"/>
  </r>
  <r>
    <x v="2"/>
    <n v="3693"/>
    <x v="1"/>
    <x v="2"/>
    <x v="5"/>
    <s v="1st line support"/>
    <x v="0"/>
    <x v="2113"/>
    <d v="2023-11-26T11:16:49"/>
    <d v="2023-11-25T11:18:49"/>
    <d v="2023-11-25T11:17:42"/>
    <s v="Within SLA"/>
    <d v="2023-11-25T23:40:03"/>
    <x v="0"/>
    <m/>
    <n v="60"/>
    <m/>
    <x v="2"/>
    <x v="0"/>
    <s v="Czech Republic"/>
    <n v="49.8037633"/>
    <n v="15.4749126"/>
    <s v="ok"/>
    <s v="ok"/>
    <s v="ok"/>
    <s v="ok"/>
    <s v="ok"/>
    <x v="0"/>
    <n v="12.387101944594178"/>
  </r>
  <r>
    <x v="1"/>
    <n v="3695"/>
    <x v="0"/>
    <x v="2"/>
    <x v="0"/>
    <s v="1st line support"/>
    <x v="6"/>
    <x v="2114"/>
    <d v="2023-11-27T16:49:41"/>
    <d v="2023-11-26T16:51:41"/>
    <d v="2023-11-26T16:51:04"/>
    <s v="Within SLA"/>
    <m/>
    <x v="1"/>
    <m/>
    <n v="6"/>
    <m/>
    <x v="2"/>
    <x v="0"/>
    <s v="Poland"/>
    <n v="52.536273000000001"/>
    <n v="19.050639"/>
    <s v="ok"/>
    <s v="ok"/>
    <s v="ok"/>
    <s v="ok"/>
    <s v="ok"/>
    <x v="1"/>
    <s v=""/>
  </r>
  <r>
    <x v="0"/>
    <n v="3696"/>
    <x v="0"/>
    <x v="2"/>
    <x v="1"/>
    <s v="2nd line support"/>
    <x v="1"/>
    <x v="2115"/>
    <d v="2023-11-27T02:11:43"/>
    <d v="2023-11-26T02:13:43"/>
    <d v="2023-11-26T02:13:26"/>
    <s v="Within SLA"/>
    <d v="2023-11-26T18:12:17"/>
    <x v="0"/>
    <d v="2023-11-28T14:04:57"/>
    <n v="2"/>
    <n v="5"/>
    <x v="0"/>
    <x v="1"/>
    <s v="Austria"/>
    <n v="47.696471899999999"/>
    <n v="13.3457347"/>
    <s v="ok"/>
    <s v="ok"/>
    <s v="ok"/>
    <s v="ok"/>
    <s v="ok"/>
    <x v="0"/>
    <n v="16.009424722229596"/>
  </r>
  <r>
    <x v="0"/>
    <n v="3697"/>
    <x v="2"/>
    <x v="0"/>
    <x v="1"/>
    <s v="2nd line support"/>
    <x v="5"/>
    <x v="2116"/>
    <d v="2023-11-29T14:51:28"/>
    <d v="2023-11-27T15:51:28"/>
    <d v="2023-11-27T14:56:34"/>
    <s v="Within SLA"/>
    <d v="2023-11-28T05:17:54"/>
    <x v="0"/>
    <d v="2023-11-29T15:18:55"/>
    <n v="1"/>
    <n v="1"/>
    <x v="2"/>
    <x v="1"/>
    <s v="France"/>
    <n v="48.864716000000001"/>
    <n v="2.3490139999999999"/>
    <s v="ok"/>
    <s v="ok"/>
    <s v="ok"/>
    <s v="ok"/>
    <s v="ok"/>
    <x v="0"/>
    <n v="14.440546944562811"/>
  </r>
  <r>
    <x v="0"/>
    <n v="3698"/>
    <x v="1"/>
    <x v="0"/>
    <x v="1"/>
    <s v="1st line support"/>
    <x v="4"/>
    <x v="2117"/>
    <d v="2023-11-29T09:25:50"/>
    <d v="2023-11-27T10:25:50"/>
    <d v="2023-11-27T10:21:39"/>
    <s v="Within SLA"/>
    <d v="2023-11-29T15:47:20"/>
    <x v="1"/>
    <d v="2023-12-01T14:43:26"/>
    <n v="4"/>
    <n v="4"/>
    <x v="2"/>
    <x v="0"/>
    <s v="Italy"/>
    <n v="43.036776000000003"/>
    <n v="12.678565000000001"/>
    <s v="ok"/>
    <s v="ok"/>
    <s v="ok"/>
    <s v="ok"/>
    <s v="ok"/>
    <x v="0"/>
    <n v="54.358358611003496"/>
  </r>
  <r>
    <x v="2"/>
    <n v="3699"/>
    <x v="2"/>
    <x v="0"/>
    <x v="5"/>
    <s v="2nd line support"/>
    <x v="1"/>
    <x v="2118"/>
    <d v="2023-11-29T03:24:46"/>
    <d v="2023-11-27T04:24:46"/>
    <d v="2023-11-27T04:22:33"/>
    <s v="Within SLA"/>
    <d v="2023-11-30T18:53:19"/>
    <x v="1"/>
    <m/>
    <n v="5"/>
    <m/>
    <x v="0"/>
    <x v="1"/>
    <s v="United Kingdom"/>
    <n v="55.378051999999997"/>
    <n v="-3.4359730000000002"/>
    <s v="ok"/>
    <s v="ok"/>
    <s v="ok"/>
    <s v="ok"/>
    <s v="ok"/>
    <x v="0"/>
    <n v="87.475822777894791"/>
  </r>
  <r>
    <x v="1"/>
    <n v="3700"/>
    <x v="1"/>
    <x v="2"/>
    <x v="0"/>
    <s v="1st line support"/>
    <x v="2"/>
    <x v="2119"/>
    <d v="2023-11-28T07:00:19"/>
    <d v="2023-11-27T07:02:19"/>
    <d v="2023-11-27T07:05:57"/>
    <s v="SLA Violated"/>
    <m/>
    <x v="1"/>
    <m/>
    <n v="6"/>
    <m/>
    <x v="0"/>
    <x v="0"/>
    <s v="Italy"/>
    <n v="43.036776000000003"/>
    <n v="12.678565000000001"/>
    <s v="ok"/>
    <s v="ok"/>
    <s v="ok"/>
    <s v="ok"/>
    <s v="ok"/>
    <x v="1"/>
    <s v=""/>
  </r>
  <r>
    <x v="0"/>
    <n v="3701"/>
    <x v="1"/>
    <x v="0"/>
    <x v="2"/>
    <s v="1st line support"/>
    <x v="6"/>
    <x v="2120"/>
    <d v="2023-11-29T14:41:58"/>
    <d v="2023-11-27T15:41:58"/>
    <d v="2023-11-27T15:39:51"/>
    <s v="Within SLA"/>
    <d v="2023-11-29T11:08:48"/>
    <x v="0"/>
    <d v="2023-12-02T20:09:58"/>
    <n v="5"/>
    <n v="4"/>
    <x v="0"/>
    <x v="0"/>
    <s v="United Kingdom"/>
    <n v="55.378051999999997"/>
    <n v="-3.4359730000000002"/>
    <s v="ok"/>
    <s v="ok"/>
    <s v="ok"/>
    <s v="ok"/>
    <s v="ok"/>
    <x v="0"/>
    <n v="44.447136111091822"/>
  </r>
  <r>
    <x v="0"/>
    <n v="3703"/>
    <x v="0"/>
    <x v="0"/>
    <x v="3"/>
    <s v="1st line support"/>
    <x v="6"/>
    <x v="2121"/>
    <d v="2023-11-29T20:44:12"/>
    <d v="2023-11-27T21:44:12"/>
    <d v="2023-11-27T21:14:16"/>
    <s v="Within SLA"/>
    <d v="2023-11-28T13:17:30"/>
    <x v="0"/>
    <d v="2023-12-04T00:07:56"/>
    <n v="1"/>
    <n v="4"/>
    <x v="0"/>
    <x v="0"/>
    <s v="United Kingdom"/>
    <n v="55.378051999999997"/>
    <n v="-3.4359730000000002"/>
    <s v="ok"/>
    <s v="ok"/>
    <s v="ok"/>
    <s v="ok"/>
    <s v="ok"/>
    <x v="0"/>
    <n v="16.555046111054253"/>
  </r>
  <r>
    <x v="2"/>
    <n v="3704"/>
    <x v="1"/>
    <x v="2"/>
    <x v="1"/>
    <s v="2nd line support"/>
    <x v="5"/>
    <x v="2122"/>
    <d v="2023-11-28T06:31:14"/>
    <d v="2023-11-27T06:33:14"/>
    <d v="2023-11-27T06:31:53"/>
    <s v="Within SLA"/>
    <d v="2023-12-02T05:33:10"/>
    <x v="1"/>
    <m/>
    <n v="2"/>
    <m/>
    <x v="2"/>
    <x v="1"/>
    <s v="Italy"/>
    <n v="43.036776000000003"/>
    <n v="12.678565000000001"/>
    <s v="ok"/>
    <s v="ok"/>
    <s v="ok"/>
    <s v="ok"/>
    <s v="ok"/>
    <x v="0"/>
    <n v="119.03232111112447"/>
  </r>
  <r>
    <x v="0"/>
    <n v="3705"/>
    <x v="0"/>
    <x v="2"/>
    <x v="2"/>
    <s v="1st line support"/>
    <x v="4"/>
    <x v="2123"/>
    <d v="2023-11-28T04:05:38"/>
    <d v="2023-11-27T04:07:38"/>
    <d v="2023-11-27T04:06:21"/>
    <s v="Within SLA"/>
    <d v="2023-11-28T01:48:32"/>
    <x v="0"/>
    <d v="2023-11-29T11:11:56"/>
    <n v="6"/>
    <n v="2"/>
    <x v="1"/>
    <x v="0"/>
    <s v="Poland"/>
    <n v="52.536273000000001"/>
    <n v="19.050639"/>
    <s v="ok"/>
    <s v="ok"/>
    <s v="ok"/>
    <s v="ok"/>
    <s v="ok"/>
    <x v="0"/>
    <n v="21.714930833259132"/>
  </r>
  <r>
    <x v="0"/>
    <n v="3706"/>
    <x v="0"/>
    <x v="0"/>
    <x v="5"/>
    <s v="1st line support"/>
    <x v="2"/>
    <x v="2124"/>
    <d v="2023-11-29T01:35:50"/>
    <d v="2023-11-27T02:35:50"/>
    <d v="2023-11-27T02:23:12"/>
    <s v="Within SLA"/>
    <d v="2023-11-27T04:07:47"/>
    <x v="0"/>
    <d v="2023-12-01T11:34:00"/>
    <n v="5"/>
    <n v="2"/>
    <x v="3"/>
    <x v="0"/>
    <s v="Germany"/>
    <n v="51.165691000000002"/>
    <n v="10.451525999999999"/>
    <s v="ok"/>
    <s v="ok"/>
    <s v="ok"/>
    <s v="ok"/>
    <s v="ok"/>
    <x v="0"/>
    <n v="2.5326047221315093"/>
  </r>
  <r>
    <x v="2"/>
    <n v="3707"/>
    <x v="0"/>
    <x v="0"/>
    <x v="1"/>
    <s v="1st line support"/>
    <x v="4"/>
    <x v="2125"/>
    <d v="2023-11-30T01:50:18"/>
    <d v="2023-11-28T02:50:18"/>
    <d v="2023-11-28T02:26:29"/>
    <s v="Within SLA"/>
    <d v="2023-12-03T14:32:58"/>
    <x v="1"/>
    <m/>
    <n v="4"/>
    <m/>
    <x v="2"/>
    <x v="0"/>
    <s v="Italy"/>
    <n v="43.036776000000003"/>
    <n v="12.678565000000001"/>
    <s v="ok"/>
    <s v="ok"/>
    <s v="ok"/>
    <s v="ok"/>
    <s v="ok"/>
    <x v="0"/>
    <n v="132.71099638886517"/>
  </r>
  <r>
    <x v="2"/>
    <n v="3708"/>
    <x v="2"/>
    <x v="0"/>
    <x v="2"/>
    <s v="2nd line support"/>
    <x v="1"/>
    <x v="2126"/>
    <d v="2023-11-30T02:08:15"/>
    <d v="2023-11-28T03:08:15"/>
    <d v="2023-11-28T02:43:20"/>
    <s v="Within SLA"/>
    <d v="2023-11-28T04:33:22"/>
    <x v="0"/>
    <m/>
    <n v="1"/>
    <m/>
    <x v="0"/>
    <x v="1"/>
    <s v="France"/>
    <n v="48.864716000000001"/>
    <n v="2.3490139999999999"/>
    <s v="ok"/>
    <s v="ok"/>
    <s v="ok"/>
    <s v="ok"/>
    <s v="ok"/>
    <x v="0"/>
    <n v="2.4187444444396533"/>
  </r>
  <r>
    <x v="0"/>
    <n v="3709"/>
    <x v="0"/>
    <x v="0"/>
    <x v="0"/>
    <s v="1st line support"/>
    <x v="4"/>
    <x v="2127"/>
    <d v="2023-11-30T10:37:48"/>
    <d v="2023-11-28T11:37:48"/>
    <d v="2023-11-28T13:17:35"/>
    <s v="SLA Violated"/>
    <d v="2023-12-03T09:03:44"/>
    <x v="1"/>
    <d v="2023-12-03T23:49:46"/>
    <n v="8"/>
    <n v="3"/>
    <x v="1"/>
    <x v="0"/>
    <s v="Italy"/>
    <n v="43.036776000000003"/>
    <n v="12.678565000000001"/>
    <s v="ok"/>
    <s v="ok"/>
    <s v="ok"/>
    <s v="ok"/>
    <s v="ok"/>
    <x v="0"/>
    <n v="118.43233138887445"/>
  </r>
  <r>
    <x v="1"/>
    <n v="3710"/>
    <x v="0"/>
    <x v="0"/>
    <x v="1"/>
    <s v="1st line support"/>
    <x v="4"/>
    <x v="2128"/>
    <d v="2023-11-30T07:52:47"/>
    <d v="2023-11-28T08:52:47"/>
    <d v="2023-11-28T08:30:36"/>
    <s v="Within SLA"/>
    <m/>
    <x v="1"/>
    <m/>
    <n v="8"/>
    <m/>
    <x v="2"/>
    <x v="0"/>
    <s v="Italy"/>
    <n v="43.036776000000003"/>
    <n v="12.678565000000001"/>
    <s v="ok"/>
    <s v="ok"/>
    <s v="ok"/>
    <s v="ok"/>
    <s v="ok"/>
    <x v="1"/>
    <s v=""/>
  </r>
  <r>
    <x v="2"/>
    <n v="3711"/>
    <x v="0"/>
    <x v="0"/>
    <x v="1"/>
    <s v="1st line support"/>
    <x v="6"/>
    <x v="2129"/>
    <d v="2023-11-30T18:20:48"/>
    <d v="2023-11-28T19:20:48"/>
    <d v="2023-11-28T18:59:12"/>
    <s v="Within SLA"/>
    <d v="2023-11-29T23:37:00"/>
    <x v="0"/>
    <m/>
    <n v="8"/>
    <m/>
    <x v="2"/>
    <x v="0"/>
    <s v="Slovenia"/>
    <n v="46.149166399999999"/>
    <n v="14.9860106"/>
    <s v="ok"/>
    <s v="ok"/>
    <s v="ok"/>
    <s v="ok"/>
    <s v="ok"/>
    <x v="0"/>
    <n v="29.27012166660279"/>
  </r>
  <r>
    <x v="0"/>
    <n v="3712"/>
    <x v="1"/>
    <x v="0"/>
    <x v="0"/>
    <s v="2nd line support"/>
    <x v="1"/>
    <x v="2130"/>
    <d v="2023-12-01T02:28:15"/>
    <d v="2023-11-29T03:28:15"/>
    <d v="2023-11-29T02:34:01"/>
    <s v="Within SLA"/>
    <d v="2023-11-29T22:23:25"/>
    <x v="0"/>
    <d v="2023-12-02T13:11:36"/>
    <n v="2"/>
    <n v="1"/>
    <x v="0"/>
    <x v="1"/>
    <s v="Poland"/>
    <n v="52.536273000000001"/>
    <n v="19.050639"/>
    <s v="ok"/>
    <s v="ok"/>
    <s v="ok"/>
    <s v="ok"/>
    <s v="ok"/>
    <x v="0"/>
    <n v="19.919552222359926"/>
  </r>
  <r>
    <x v="1"/>
    <n v="3713"/>
    <x v="0"/>
    <x v="0"/>
    <x v="5"/>
    <s v="1st line support"/>
    <x v="3"/>
    <x v="2131"/>
    <d v="2023-12-01T15:15:55"/>
    <d v="2023-11-29T16:15:55"/>
    <d v="2023-11-29T15:33:57"/>
    <s v="Within SLA"/>
    <m/>
    <x v="1"/>
    <m/>
    <n v="10"/>
    <m/>
    <x v="2"/>
    <x v="0"/>
    <s v="Greece"/>
    <n v="39.368279000000001"/>
    <n v="21.863140999999999"/>
    <s v="ok"/>
    <s v="ok"/>
    <s v="ok"/>
    <s v="ok"/>
    <s v="ok"/>
    <x v="1"/>
    <s v=""/>
  </r>
  <r>
    <x v="0"/>
    <n v="3715"/>
    <x v="2"/>
    <x v="2"/>
    <x v="2"/>
    <s v="1st line support"/>
    <x v="4"/>
    <x v="2132"/>
    <d v="2023-11-30T04:46:58"/>
    <d v="2023-11-29T04:48:58"/>
    <d v="2023-11-29T04:48:13"/>
    <s v="Within SLA"/>
    <d v="2023-11-29T20:39:33"/>
    <x v="0"/>
    <d v="2023-12-01T19:30:10"/>
    <n v="8"/>
    <n v="2"/>
    <x v="1"/>
    <x v="0"/>
    <s v="Poland"/>
    <n v="52.536273000000001"/>
    <n v="19.050639"/>
    <s v="ok"/>
    <s v="ok"/>
    <s v="ok"/>
    <s v="ok"/>
    <s v="ok"/>
    <x v="0"/>
    <n v="15.876437500119209"/>
  </r>
  <r>
    <x v="1"/>
    <n v="3716"/>
    <x v="0"/>
    <x v="2"/>
    <x v="1"/>
    <s v="1st line support"/>
    <x v="6"/>
    <x v="2133"/>
    <d v="2023-11-30T03:34:33"/>
    <d v="2023-11-29T03:36:33"/>
    <d v="2023-11-29T03:34:38"/>
    <s v="Within SLA"/>
    <m/>
    <x v="1"/>
    <m/>
    <n v="5"/>
    <m/>
    <x v="3"/>
    <x v="0"/>
    <s v="France"/>
    <n v="48.864716000000001"/>
    <n v="2.3490139999999999"/>
    <s v="ok"/>
    <s v="ok"/>
    <s v="ok"/>
    <s v="ok"/>
    <s v="ok"/>
    <x v="1"/>
    <s v=""/>
  </r>
  <r>
    <x v="2"/>
    <n v="3717"/>
    <x v="2"/>
    <x v="1"/>
    <x v="3"/>
    <s v="1st line support"/>
    <x v="4"/>
    <x v="2134"/>
    <d v="2023-12-01T13:23:18"/>
    <d v="2023-11-29T13:25:18"/>
    <d v="2023-11-29T13:24:58"/>
    <s v="Within SLA"/>
    <d v="2023-11-30T15:16:03"/>
    <x v="0"/>
    <m/>
    <n v="1"/>
    <m/>
    <x v="0"/>
    <x v="0"/>
    <s v="Germany"/>
    <n v="51.165691000000002"/>
    <n v="10.451525999999999"/>
    <s v="ok"/>
    <s v="ok"/>
    <s v="ok"/>
    <s v="ok"/>
    <s v="ok"/>
    <x v="0"/>
    <n v="25.87916666676756"/>
  </r>
  <r>
    <x v="1"/>
    <n v="3718"/>
    <x v="2"/>
    <x v="2"/>
    <x v="0"/>
    <s v="1st line support"/>
    <x v="2"/>
    <x v="2135"/>
    <d v="2023-11-30T11:04:30"/>
    <d v="2023-11-29T11:06:30"/>
    <d v="2023-11-29T11:04:43"/>
    <s v="Within SLA"/>
    <m/>
    <x v="1"/>
    <m/>
    <n v="60"/>
    <m/>
    <x v="0"/>
    <x v="0"/>
    <s v="Italy"/>
    <n v="43.036776000000003"/>
    <n v="12.678565000000001"/>
    <s v="ok"/>
    <s v="ok"/>
    <s v="ok"/>
    <s v="ok"/>
    <s v="ok"/>
    <x v="1"/>
    <s v=""/>
  </r>
  <r>
    <x v="0"/>
    <n v="3719"/>
    <x v="2"/>
    <x v="2"/>
    <x v="3"/>
    <s v="1st line support"/>
    <x v="2"/>
    <x v="2136"/>
    <d v="2023-11-30T02:12:23"/>
    <d v="2023-11-29T02:14:23"/>
    <d v="2023-11-29T02:13:01"/>
    <s v="Within SLA"/>
    <d v="2023-11-30T19:10:47"/>
    <x v="1"/>
    <d v="2023-12-01T14:41:04"/>
    <n v="8"/>
    <n v="4"/>
    <x v="3"/>
    <x v="0"/>
    <s v="Germany"/>
    <n v="51.165691000000002"/>
    <n v="10.451525999999999"/>
    <s v="ok"/>
    <s v="ok"/>
    <s v="ok"/>
    <s v="ok"/>
    <s v="ok"/>
    <x v="0"/>
    <n v="40.973197499988601"/>
  </r>
  <r>
    <x v="0"/>
    <n v="3720"/>
    <x v="2"/>
    <x v="1"/>
    <x v="0"/>
    <s v="1st line support"/>
    <x v="3"/>
    <x v="2137"/>
    <d v="2023-12-01T03:46:33"/>
    <d v="2023-11-29T03:48:33"/>
    <d v="2023-11-29T03:47:40"/>
    <s v="Within SLA"/>
    <d v="2023-11-30T00:57:54"/>
    <x v="0"/>
    <d v="2023-11-30T02:23:36"/>
    <n v="6"/>
    <n v="5"/>
    <x v="2"/>
    <x v="0"/>
    <s v="Poland"/>
    <n v="52.536273000000001"/>
    <n v="19.050639"/>
    <s v="ok"/>
    <s v="ok"/>
    <s v="ok"/>
    <s v="ok"/>
    <s v="ok"/>
    <x v="0"/>
    <n v="21.189169166784268"/>
  </r>
  <r>
    <x v="0"/>
    <n v="3721"/>
    <x v="1"/>
    <x v="0"/>
    <x v="3"/>
    <s v="1st line support"/>
    <x v="3"/>
    <x v="2138"/>
    <d v="2023-12-01T00:31:07"/>
    <d v="2023-11-29T01:31:07"/>
    <d v="2023-11-29T00:59:46"/>
    <s v="Within SLA"/>
    <d v="2023-11-30T06:00:46"/>
    <x v="0"/>
    <d v="2023-12-02T13:42:56"/>
    <n v="1"/>
    <n v="5"/>
    <x v="2"/>
    <x v="0"/>
    <s v="Bulgaria"/>
    <n v="42.724992499999999"/>
    <n v="25.483303899999999"/>
    <s v="ok"/>
    <s v="ok"/>
    <s v="ok"/>
    <s v="ok"/>
    <s v="ok"/>
    <x v="0"/>
    <n v="29.494243888766505"/>
  </r>
  <r>
    <x v="0"/>
    <n v="3722"/>
    <x v="0"/>
    <x v="1"/>
    <x v="3"/>
    <s v="1st line support"/>
    <x v="4"/>
    <x v="2139"/>
    <d v="2023-12-01T12:46:20"/>
    <d v="2023-11-29T12:48:20"/>
    <d v="2023-11-29T12:46:49"/>
    <s v="Within SLA"/>
    <d v="2023-12-01T09:30:32"/>
    <x v="0"/>
    <d v="2023-12-04T08:32:26"/>
    <n v="2"/>
    <n v="3"/>
    <x v="1"/>
    <x v="0"/>
    <s v="Czech Republic"/>
    <n v="49.8037633"/>
    <n v="15.4749126"/>
    <s v="ok"/>
    <s v="ok"/>
    <s v="ok"/>
    <s v="ok"/>
    <s v="ok"/>
    <x v="0"/>
    <n v="44.73673527786741"/>
  </r>
  <r>
    <x v="0"/>
    <n v="3723"/>
    <x v="0"/>
    <x v="0"/>
    <x v="0"/>
    <s v="1st line support"/>
    <x v="2"/>
    <x v="2140"/>
    <d v="2023-12-01T20:07:50"/>
    <d v="2023-11-29T21:07:50"/>
    <d v="2023-11-29T20:21:10"/>
    <s v="Within SLA"/>
    <d v="2023-11-29T21:45:05"/>
    <x v="0"/>
    <d v="2023-12-03T10:03:23"/>
    <n v="9"/>
    <n v="3"/>
    <x v="0"/>
    <x v="0"/>
    <s v="United Kingdom"/>
    <n v="55.378051999999997"/>
    <n v="-3.4359730000000002"/>
    <s v="ok"/>
    <s v="ok"/>
    <s v="ok"/>
    <s v="ok"/>
    <s v="ok"/>
    <x v="0"/>
    <n v="1.6208294444368221"/>
  </r>
  <r>
    <x v="2"/>
    <n v="3724"/>
    <x v="1"/>
    <x v="0"/>
    <x v="2"/>
    <s v="1st line support"/>
    <x v="0"/>
    <x v="2141"/>
    <d v="2023-12-02T07:39:04"/>
    <d v="2023-11-30T08:39:04"/>
    <d v="2023-11-30T08:08:17"/>
    <s v="Within SLA"/>
    <d v="2023-12-02T09:19:52"/>
    <x v="1"/>
    <m/>
    <n v="2"/>
    <m/>
    <x v="0"/>
    <x v="0"/>
    <s v="Greece"/>
    <n v="39.368279000000001"/>
    <n v="21.863140999999999"/>
    <s v="ok"/>
    <s v="ok"/>
    <s v="ok"/>
    <s v="ok"/>
    <s v="ok"/>
    <x v="0"/>
    <n v="49.679997499915771"/>
  </r>
  <r>
    <x v="0"/>
    <n v="3725"/>
    <x v="0"/>
    <x v="1"/>
    <x v="3"/>
    <s v="1st line support"/>
    <x v="2"/>
    <x v="2142"/>
    <d v="2023-12-02T12:40:21"/>
    <d v="2023-11-30T12:42:21"/>
    <d v="2023-11-30T12:41:22"/>
    <s v="Within SLA"/>
    <d v="2023-12-04T18:26:21"/>
    <x v="1"/>
    <d v="2023-12-05T05:59:19"/>
    <n v="4"/>
    <n v="5"/>
    <x v="2"/>
    <x v="0"/>
    <s v="Germany"/>
    <n v="51.165691000000002"/>
    <n v="10.451525999999999"/>
    <s v="ok"/>
    <s v="ok"/>
    <s v="ok"/>
    <s v="ok"/>
    <s v="ok"/>
    <x v="0"/>
    <n v="101.7666386111523"/>
  </r>
  <r>
    <x v="0"/>
    <n v="3726"/>
    <x v="0"/>
    <x v="0"/>
    <x v="3"/>
    <s v="2nd line support"/>
    <x v="1"/>
    <x v="2143"/>
    <d v="2023-12-02T08:39:54"/>
    <d v="2023-11-30T09:39:54"/>
    <d v="2023-11-30T09:15:18"/>
    <s v="Within SLA"/>
    <d v="2023-12-01T11:13:30"/>
    <x v="0"/>
    <d v="2023-12-02T10:41:14"/>
    <n v="1"/>
    <n v="3"/>
    <x v="2"/>
    <x v="1"/>
    <s v="Poland"/>
    <n v="52.536273000000001"/>
    <n v="19.050639"/>
    <s v="ok"/>
    <s v="ok"/>
    <s v="ok"/>
    <s v="ok"/>
    <s v="ok"/>
    <x v="0"/>
    <n v="26.559879444481339"/>
  </r>
  <r>
    <x v="2"/>
    <n v="3727"/>
    <x v="1"/>
    <x v="2"/>
    <x v="0"/>
    <s v="1st line support"/>
    <x v="4"/>
    <x v="2144"/>
    <d v="2023-12-01T15:07:53"/>
    <d v="2023-11-30T15:09:53"/>
    <d v="2023-11-30T15:08:20"/>
    <s v="Within SLA"/>
    <d v="2023-12-01T07:12:04"/>
    <x v="0"/>
    <m/>
    <n v="5"/>
    <m/>
    <x v="2"/>
    <x v="0"/>
    <s v="Greece"/>
    <n v="39.368279000000001"/>
    <n v="21.863140999999999"/>
    <s v="ok"/>
    <s v="ok"/>
    <s v="ok"/>
    <s v="ok"/>
    <s v="ok"/>
    <x v="0"/>
    <n v="16.069710277835838"/>
  </r>
  <r>
    <x v="2"/>
    <n v="3728"/>
    <x v="1"/>
    <x v="0"/>
    <x v="1"/>
    <s v="2nd line support"/>
    <x v="7"/>
    <x v="2145"/>
    <d v="2023-12-02T15:06:50"/>
    <d v="2023-11-30T16:06:50"/>
    <d v="2023-11-30T16:01:09"/>
    <s v="Within SLA"/>
    <d v="2023-12-02T03:32:57"/>
    <x v="0"/>
    <m/>
    <n v="7"/>
    <m/>
    <x v="0"/>
    <x v="1"/>
    <s v="Austria"/>
    <n v="47.696471899999999"/>
    <n v="13.3457347"/>
    <s v="ok"/>
    <s v="ok"/>
    <s v="ok"/>
    <s v="ok"/>
    <s v="ok"/>
    <x v="0"/>
    <n v="36.435356944450177"/>
  </r>
  <r>
    <x v="0"/>
    <n v="3729"/>
    <x v="2"/>
    <x v="0"/>
    <x v="5"/>
    <s v="1st line support"/>
    <x v="4"/>
    <x v="2146"/>
    <d v="2023-12-02T22:24:05"/>
    <d v="2023-11-30T23:24:05"/>
    <d v="2023-11-30T23:03:37"/>
    <s v="Within SLA"/>
    <d v="2023-12-01T15:54:40"/>
    <x v="0"/>
    <d v="2023-12-04T02:37:46"/>
    <n v="1"/>
    <n v="2"/>
    <x v="0"/>
    <x v="0"/>
    <s v="Republic of Ireland"/>
    <n v="53.094023999999997"/>
    <n v="-8.0196749999999994"/>
    <s v="ok"/>
    <s v="ok"/>
    <s v="ok"/>
    <s v="ok"/>
    <s v="ok"/>
    <x v="0"/>
    <n v="17.509589999914169"/>
  </r>
  <r>
    <x v="0"/>
    <n v="3730"/>
    <x v="0"/>
    <x v="2"/>
    <x v="1"/>
    <s v="2nd line support"/>
    <x v="1"/>
    <x v="2147"/>
    <d v="2023-12-01T01:16:32"/>
    <d v="2023-11-30T01:18:32"/>
    <d v="2023-11-30T01:20:32"/>
    <s v="SLA Violated"/>
    <d v="2023-12-02T19:57:31"/>
    <x v="1"/>
    <d v="2023-12-03T06:06:35"/>
    <n v="6"/>
    <n v="4"/>
    <x v="0"/>
    <x v="1"/>
    <s v="Italy"/>
    <n v="43.036776000000003"/>
    <n v="12.678565000000001"/>
    <s v="ok"/>
    <s v="ok"/>
    <s v="ok"/>
    <s v="ok"/>
    <s v="ok"/>
    <x v="0"/>
    <n v="66.683119166758843"/>
  </r>
  <r>
    <x v="0"/>
    <n v="3731"/>
    <x v="0"/>
    <x v="1"/>
    <x v="0"/>
    <s v="1st line support"/>
    <x v="3"/>
    <x v="2148"/>
    <d v="2023-12-02T13:33:41"/>
    <d v="2023-11-30T13:35:41"/>
    <d v="2023-11-30T13:35:35"/>
    <s v="Within SLA"/>
    <d v="2023-12-01T17:06:21"/>
    <x v="0"/>
    <d v="2023-12-04T01:57:48"/>
    <n v="2"/>
    <n v="5"/>
    <x v="2"/>
    <x v="0"/>
    <s v="Czech Republic"/>
    <n v="49.8037633"/>
    <n v="15.4749126"/>
    <s v="ok"/>
    <s v="ok"/>
    <s v="ok"/>
    <s v="ok"/>
    <s v="ok"/>
    <x v="0"/>
    <n v="27.544365833338816"/>
  </r>
  <r>
    <x v="2"/>
    <n v="3732"/>
    <x v="0"/>
    <x v="0"/>
    <x v="3"/>
    <s v="1st line support"/>
    <x v="3"/>
    <x v="2149"/>
    <d v="2023-12-02T01:43:27"/>
    <d v="2023-11-30T02:43:27"/>
    <d v="2023-11-30T02:01:13"/>
    <s v="Within SLA"/>
    <d v="2023-12-01T18:12:03"/>
    <x v="0"/>
    <m/>
    <n v="2"/>
    <m/>
    <x v="2"/>
    <x v="0"/>
    <s v="Germany"/>
    <n v="51.165691000000002"/>
    <n v="10.451525999999999"/>
    <s v="ok"/>
    <s v="ok"/>
    <s v="ok"/>
    <s v="ok"/>
    <s v="ok"/>
    <x v="0"/>
    <n v="40.476762500067707"/>
  </r>
  <r>
    <x v="0"/>
    <n v="3733"/>
    <x v="1"/>
    <x v="0"/>
    <x v="3"/>
    <s v="1st line support"/>
    <x v="2"/>
    <x v="2150"/>
    <d v="2023-12-02T10:52:26"/>
    <d v="2023-11-30T11:52:26"/>
    <d v="2023-11-30T11:08:20"/>
    <s v="Within SLA"/>
    <d v="2023-12-01T18:29:08"/>
    <x v="0"/>
    <d v="2023-12-03T15:48:35"/>
    <n v="7"/>
    <n v="4"/>
    <x v="2"/>
    <x v="0"/>
    <s v="Spain"/>
    <n v="39.673369999999998"/>
    <n v="-4.7677259999999997"/>
    <s v="ok"/>
    <s v="ok"/>
    <s v="ok"/>
    <s v="ok"/>
    <s v="ok"/>
    <x v="0"/>
    <n v="31.611665555625223"/>
  </r>
  <r>
    <x v="0"/>
    <n v="3734"/>
    <x v="0"/>
    <x v="0"/>
    <x v="2"/>
    <s v="1st line support"/>
    <x v="2"/>
    <x v="2151"/>
    <d v="2023-12-02T11:14:08"/>
    <d v="2023-11-30T12:14:08"/>
    <d v="2023-11-30T11:27:48"/>
    <s v="Within SLA"/>
    <d v="2023-12-02T10:47:27"/>
    <x v="0"/>
    <d v="2023-12-06T22:40:46"/>
    <n v="7"/>
    <n v="4"/>
    <x v="3"/>
    <x v="0"/>
    <s v="Poland"/>
    <n v="52.536273000000001"/>
    <n v="19.050639"/>
    <s v="ok"/>
    <s v="ok"/>
    <s v="ok"/>
    <s v="ok"/>
    <s v="ok"/>
    <x v="0"/>
    <n v="47.555170000065118"/>
  </r>
  <r>
    <x v="0"/>
    <n v="3735"/>
    <x v="0"/>
    <x v="2"/>
    <x v="5"/>
    <s v="1st line support"/>
    <x v="6"/>
    <x v="2152"/>
    <d v="2023-12-01T15:41:41"/>
    <d v="2023-11-30T15:43:41"/>
    <d v="2023-11-30T15:43:19"/>
    <s v="Within SLA"/>
    <d v="2023-12-01T09:22:16"/>
    <x v="0"/>
    <d v="2023-12-04T14:20:15"/>
    <n v="2"/>
    <n v="4"/>
    <x v="0"/>
    <x v="0"/>
    <s v="Italy"/>
    <n v="43.036776000000003"/>
    <n v="12.678565000000001"/>
    <s v="ok"/>
    <s v="ok"/>
    <s v="ok"/>
    <s v="ok"/>
    <s v="ok"/>
    <x v="0"/>
    <n v="17.676442500029225"/>
  </r>
  <r>
    <x v="0"/>
    <n v="3736"/>
    <x v="0"/>
    <x v="2"/>
    <x v="1"/>
    <s v="1st line support"/>
    <x v="6"/>
    <x v="2153"/>
    <d v="2023-12-01T12:36:28"/>
    <d v="2023-11-30T12:38:28"/>
    <d v="2023-11-30T12:37:52"/>
    <s v="Within SLA"/>
    <d v="2023-12-02T08:29:03"/>
    <x v="1"/>
    <d v="2023-12-03T11:50:48"/>
    <n v="2"/>
    <n v="1"/>
    <x v="1"/>
    <x v="0"/>
    <s v="Italy"/>
    <n v="43.036776000000003"/>
    <n v="12.678565000000001"/>
    <s v="ok"/>
    <s v="ok"/>
    <s v="ok"/>
    <s v="ok"/>
    <s v="ok"/>
    <x v="0"/>
    <n v="43.876411389035638"/>
  </r>
  <r>
    <x v="1"/>
    <n v="3737"/>
    <x v="0"/>
    <x v="0"/>
    <x v="3"/>
    <s v="1st line support"/>
    <x v="2"/>
    <x v="2154"/>
    <d v="2023-12-03T04:12:24"/>
    <d v="2023-12-01T05:12:24"/>
    <d v="2023-12-01T05:11:26"/>
    <s v="Within SLA"/>
    <m/>
    <x v="1"/>
    <m/>
    <n v="10"/>
    <m/>
    <x v="0"/>
    <x v="0"/>
    <s v="United Kingdom"/>
    <n v="55.378051999999997"/>
    <n v="-3.4359730000000002"/>
    <s v="ok"/>
    <s v="ok"/>
    <s v="ok"/>
    <s v="ok"/>
    <s v="ok"/>
    <x v="1"/>
    <s v=""/>
  </r>
  <r>
    <x v="1"/>
    <n v="3738"/>
    <x v="0"/>
    <x v="0"/>
    <x v="4"/>
    <s v="1st line support"/>
    <x v="6"/>
    <x v="2155"/>
    <d v="2023-12-03T10:27:24"/>
    <d v="2023-12-01T11:27:24"/>
    <d v="2023-12-01T11:06:51"/>
    <s v="Within SLA"/>
    <m/>
    <x v="1"/>
    <m/>
    <n v="5"/>
    <m/>
    <x v="0"/>
    <x v="0"/>
    <s v="Greece"/>
    <n v="39.368279000000001"/>
    <n v="21.863140999999999"/>
    <s v="ok"/>
    <s v="ok"/>
    <s v="ok"/>
    <s v="ok"/>
    <s v="ok"/>
    <x v="1"/>
    <s v=""/>
  </r>
  <r>
    <x v="0"/>
    <n v="3739"/>
    <x v="2"/>
    <x v="0"/>
    <x v="2"/>
    <s v="2nd line support"/>
    <x v="7"/>
    <x v="2156"/>
    <d v="2023-12-03T06:10:41"/>
    <d v="2023-12-01T07:10:41"/>
    <d v="2023-12-01T06:50:06"/>
    <s v="Within SLA"/>
    <d v="2023-12-02T11:33:19"/>
    <x v="0"/>
    <d v="2023-12-02T15:24:12"/>
    <n v="5"/>
    <n v="4"/>
    <x v="2"/>
    <x v="1"/>
    <s v="Bulgaria"/>
    <n v="42.724992499999999"/>
    <n v="25.483303899999999"/>
    <s v="ok"/>
    <s v="ok"/>
    <s v="ok"/>
    <s v="ok"/>
    <s v="ok"/>
    <x v="0"/>
    <n v="29.377212499966845"/>
  </r>
  <r>
    <x v="3"/>
    <n v="3740"/>
    <x v="1"/>
    <x v="2"/>
    <x v="1"/>
    <s v="2nd line support"/>
    <x v="1"/>
    <x v="2157"/>
    <d v="2023-12-02T05:04:05"/>
    <d v="2023-12-01T05:06:05"/>
    <m/>
    <s v="SLA Violated"/>
    <m/>
    <x v="1"/>
    <m/>
    <m/>
    <m/>
    <x v="3"/>
    <x v="1"/>
    <s v="Austria"/>
    <n v="47.696471899999999"/>
    <n v="13.3457347"/>
    <s v="check"/>
    <s v="ok"/>
    <s v="ok"/>
    <s v="ok"/>
    <s v="no response"/>
    <x v="1"/>
    <s v=""/>
  </r>
  <r>
    <x v="3"/>
    <n v="3741"/>
    <x v="0"/>
    <x v="2"/>
    <x v="3"/>
    <s v="1st line support"/>
    <x v="2"/>
    <x v="2158"/>
    <d v="2023-12-02T22:07:45"/>
    <d v="2023-12-01T22:09:45"/>
    <m/>
    <s v="SLA Violated"/>
    <m/>
    <x v="1"/>
    <m/>
    <m/>
    <m/>
    <x v="2"/>
    <x v="0"/>
    <s v="Austria"/>
    <n v="47.696471899999999"/>
    <n v="13.3457347"/>
    <s v="check"/>
    <s v="ok"/>
    <s v="ok"/>
    <s v="ok"/>
    <s v="no response"/>
    <x v="1"/>
    <s v=""/>
  </r>
  <r>
    <x v="0"/>
    <n v="3742"/>
    <x v="2"/>
    <x v="0"/>
    <x v="1"/>
    <s v="1st line support"/>
    <x v="0"/>
    <x v="2159"/>
    <d v="2023-12-03T08:23:02"/>
    <d v="2023-12-01T09:23:02"/>
    <d v="2023-12-01T09:09:51"/>
    <s v="Within SLA"/>
    <d v="2023-12-02T20:56:45"/>
    <x v="0"/>
    <d v="2023-12-03T12:45:19"/>
    <n v="1"/>
    <n v="3"/>
    <x v="2"/>
    <x v="0"/>
    <s v="Austria"/>
    <n v="47.696471899999999"/>
    <n v="13.3457347"/>
    <s v="ok"/>
    <s v="ok"/>
    <s v="ok"/>
    <s v="ok"/>
    <s v="ok"/>
    <x v="0"/>
    <n v="36.562064444355201"/>
  </r>
  <r>
    <x v="1"/>
    <n v="3743"/>
    <x v="2"/>
    <x v="2"/>
    <x v="1"/>
    <s v="2nd line support"/>
    <x v="5"/>
    <x v="2160"/>
    <d v="2023-12-02T22:43:53"/>
    <d v="2023-12-01T22:45:53"/>
    <d v="2023-12-01T22:48:41"/>
    <s v="SLA Violated"/>
    <m/>
    <x v="1"/>
    <m/>
    <n v="6"/>
    <m/>
    <x v="2"/>
    <x v="1"/>
    <s v="Poland"/>
    <n v="52.536273000000001"/>
    <n v="19.050639"/>
    <s v="ok"/>
    <s v="ok"/>
    <s v="ok"/>
    <s v="ok"/>
    <s v="ok"/>
    <x v="1"/>
    <s v=""/>
  </r>
  <r>
    <x v="0"/>
    <n v="3744"/>
    <x v="1"/>
    <x v="2"/>
    <x v="0"/>
    <s v="2nd line support"/>
    <x v="1"/>
    <x v="2161"/>
    <d v="2023-12-03T03:13:09"/>
    <d v="2023-12-02T03:15:09"/>
    <d v="2023-12-02T03:14:10"/>
    <s v="Within SLA"/>
    <d v="2023-12-02T21:38:16"/>
    <x v="0"/>
    <d v="2023-12-03T13:34:01"/>
    <n v="7"/>
    <n v="5"/>
    <x v="2"/>
    <x v="1"/>
    <s v="Austria"/>
    <n v="47.696471899999999"/>
    <n v="13.3457347"/>
    <s v="ok"/>
    <s v="ok"/>
    <s v="ok"/>
    <s v="ok"/>
    <s v="ok"/>
    <x v="0"/>
    <n v="18.418505833251402"/>
  </r>
  <r>
    <x v="0"/>
    <n v="3745"/>
    <x v="0"/>
    <x v="0"/>
    <x v="0"/>
    <s v="1st line support"/>
    <x v="6"/>
    <x v="2162"/>
    <d v="2023-12-04T03:47:24"/>
    <d v="2023-12-02T04:47:24"/>
    <d v="2023-12-02T03:56:47"/>
    <s v="Within SLA"/>
    <d v="2023-12-08T01:00:06"/>
    <x v="1"/>
    <d v="2023-12-08T03:15:28"/>
    <n v="3"/>
    <n v="4"/>
    <x v="2"/>
    <x v="0"/>
    <s v="Spain"/>
    <n v="39.673369999999998"/>
    <n v="-4.7677259999999997"/>
    <s v="ok"/>
    <s v="ok"/>
    <s v="ok"/>
    <s v="ok"/>
    <s v="ok"/>
    <x v="0"/>
    <n v="141.21168305561878"/>
  </r>
  <r>
    <x v="0"/>
    <n v="3746"/>
    <x v="1"/>
    <x v="0"/>
    <x v="5"/>
    <s v="1st line support"/>
    <x v="6"/>
    <x v="2163"/>
    <d v="2023-12-04T17:40:06"/>
    <d v="2023-12-02T18:40:06"/>
    <d v="2023-12-02T18:34:09"/>
    <s v="Within SLA"/>
    <d v="2023-12-03T17:42:02"/>
    <x v="0"/>
    <d v="2023-12-04T17:56:55"/>
    <n v="1"/>
    <n v="2"/>
    <x v="0"/>
    <x v="0"/>
    <s v="Republic of Ireland"/>
    <n v="53.094023999999997"/>
    <n v="-8.0196749999999994"/>
    <s v="ok"/>
    <s v="ok"/>
    <s v="ok"/>
    <s v="ok"/>
    <s v="ok"/>
    <x v="0"/>
    <n v="24.032278055499773"/>
  </r>
  <r>
    <x v="0"/>
    <n v="3752"/>
    <x v="0"/>
    <x v="0"/>
    <x v="2"/>
    <s v="1st line support"/>
    <x v="6"/>
    <x v="2164"/>
    <d v="2023-12-04T15:47:24"/>
    <d v="2023-12-02T16:47:24"/>
    <d v="2023-12-02T18:53:53"/>
    <s v="SLA Violated"/>
    <d v="2023-12-02T20:31:13"/>
    <x v="0"/>
    <d v="2023-12-05T02:36:21"/>
    <n v="5"/>
    <n v="4"/>
    <x v="2"/>
    <x v="0"/>
    <s v="Greece"/>
    <n v="39.368279000000001"/>
    <n v="21.863140999999999"/>
    <s v="ok"/>
    <s v="ok"/>
    <s v="ok"/>
    <s v="ok"/>
    <s v="ok"/>
    <x v="0"/>
    <n v="4.7303919445839711"/>
  </r>
  <r>
    <x v="2"/>
    <n v="3753"/>
    <x v="0"/>
    <x v="2"/>
    <x v="3"/>
    <s v="2nd line support"/>
    <x v="5"/>
    <x v="2165"/>
    <d v="2023-12-03T01:33:34"/>
    <d v="2023-12-02T01:35:34"/>
    <d v="2023-12-02T01:34:00"/>
    <s v="Within SLA"/>
    <d v="2023-12-03T08:36:03"/>
    <x v="1"/>
    <m/>
    <n v="2"/>
    <m/>
    <x v="2"/>
    <x v="1"/>
    <s v="Bulgaria"/>
    <n v="42.724992499999999"/>
    <n v="25.483303899999999"/>
    <s v="ok"/>
    <s v="ok"/>
    <s v="ok"/>
    <s v="ok"/>
    <s v="ok"/>
    <x v="0"/>
    <n v="31.041322777862661"/>
  </r>
  <r>
    <x v="1"/>
    <n v="3755"/>
    <x v="2"/>
    <x v="2"/>
    <x v="1"/>
    <s v="1st line support"/>
    <x v="4"/>
    <x v="2166"/>
    <d v="2023-12-04T07:41:59"/>
    <d v="2023-12-03T07:43:59"/>
    <d v="2023-12-03T07:43:04"/>
    <s v="Within SLA"/>
    <m/>
    <x v="1"/>
    <m/>
    <n v="2"/>
    <m/>
    <x v="0"/>
    <x v="0"/>
    <s v="Italy"/>
    <n v="43.036776000000003"/>
    <n v="12.678565000000001"/>
    <s v="ok"/>
    <s v="ok"/>
    <s v="ok"/>
    <s v="ok"/>
    <s v="ok"/>
    <x v="1"/>
    <s v=""/>
  </r>
  <r>
    <x v="0"/>
    <n v="3756"/>
    <x v="0"/>
    <x v="0"/>
    <x v="3"/>
    <s v="1st line support"/>
    <x v="4"/>
    <x v="2167"/>
    <d v="2023-12-05T23:02:15"/>
    <d v="2023-12-04T00:02:15"/>
    <d v="2023-12-03T23:42:01"/>
    <s v="Within SLA"/>
    <d v="2023-12-04T13:52:26"/>
    <x v="0"/>
    <d v="2023-12-05T10:43:26"/>
    <n v="1"/>
    <n v="4"/>
    <x v="3"/>
    <x v="0"/>
    <s v="Germany"/>
    <n v="51.165691000000002"/>
    <n v="10.451525999999999"/>
    <s v="ok"/>
    <s v="ok"/>
    <s v="ok"/>
    <s v="ok"/>
    <s v="ok"/>
    <x v="0"/>
    <n v="14.836396944592707"/>
  </r>
  <r>
    <x v="0"/>
    <n v="3757"/>
    <x v="1"/>
    <x v="2"/>
    <x v="3"/>
    <s v="1st line support"/>
    <x v="4"/>
    <x v="2168"/>
    <d v="2023-12-04T09:36:37"/>
    <d v="2023-12-03T09:38:37"/>
    <d v="2023-12-03T09:37:45"/>
    <s v="Within SLA"/>
    <d v="2023-12-04T08:43:14"/>
    <x v="0"/>
    <d v="2023-12-04T03:06:42"/>
    <n v="6"/>
    <n v="4"/>
    <x v="2"/>
    <x v="0"/>
    <s v="France"/>
    <n v="48.864716000000001"/>
    <n v="2.3490139999999999"/>
    <s v="ok"/>
    <s v="ok"/>
    <s v="check"/>
    <s v="ok"/>
    <s v="ok"/>
    <x v="0"/>
    <n v="23.110413333401084"/>
  </r>
  <r>
    <x v="0"/>
    <n v="3758"/>
    <x v="0"/>
    <x v="2"/>
    <x v="6"/>
    <s v="1st line support"/>
    <x v="6"/>
    <x v="2169"/>
    <d v="2023-12-04T12:13:20"/>
    <d v="2023-12-03T12:15:20"/>
    <d v="2023-12-03T12:13:25"/>
    <s v="Within SLA"/>
    <d v="2023-12-04T11:00:37"/>
    <x v="0"/>
    <d v="2023-12-04T03:25:54"/>
    <n v="7"/>
    <n v="1"/>
    <x v="3"/>
    <x v="0"/>
    <s v="Czech Republic"/>
    <n v="49.8037633"/>
    <n v="15.4749126"/>
    <s v="ok"/>
    <s v="ok"/>
    <s v="check"/>
    <s v="ok"/>
    <s v="ok"/>
    <x v="0"/>
    <n v="22.788142777746543"/>
  </r>
  <r>
    <x v="2"/>
    <n v="3759"/>
    <x v="0"/>
    <x v="2"/>
    <x v="0"/>
    <s v="1st line support"/>
    <x v="6"/>
    <x v="2170"/>
    <d v="2023-12-04T16:40:24"/>
    <d v="2023-12-03T16:42:24"/>
    <d v="2023-12-03T16:41:17"/>
    <s v="Within SLA"/>
    <d v="2023-12-05T19:04:44"/>
    <x v="1"/>
    <m/>
    <n v="6"/>
    <m/>
    <x v="2"/>
    <x v="0"/>
    <s v="Italy"/>
    <n v="43.036776000000003"/>
    <n v="12.678565000000001"/>
    <s v="ok"/>
    <s v="ok"/>
    <s v="ok"/>
    <s v="ok"/>
    <s v="ok"/>
    <x v="0"/>
    <n v="50.405525000067428"/>
  </r>
  <r>
    <x v="0"/>
    <n v="3760"/>
    <x v="2"/>
    <x v="0"/>
    <x v="3"/>
    <s v="1st line support"/>
    <x v="6"/>
    <x v="2171"/>
    <d v="2023-12-05T08:41:50"/>
    <d v="2023-12-03T09:41:50"/>
    <d v="2023-12-03T08:51:54"/>
    <s v="Within SLA"/>
    <d v="2023-12-05T22:34:02"/>
    <x v="1"/>
    <d v="2023-12-07T16:10:38"/>
    <n v="6"/>
    <n v="4"/>
    <x v="0"/>
    <x v="0"/>
    <s v="Italy"/>
    <n v="43.036776000000003"/>
    <n v="12.678565000000001"/>
    <s v="ok"/>
    <s v="ok"/>
    <s v="ok"/>
    <s v="ok"/>
    <s v="ok"/>
    <x v="0"/>
    <n v="61.870130555529613"/>
  </r>
  <r>
    <x v="0"/>
    <n v="3762"/>
    <x v="0"/>
    <x v="2"/>
    <x v="1"/>
    <s v="1st line support"/>
    <x v="3"/>
    <x v="2172"/>
    <d v="2023-12-05T03:02:19"/>
    <d v="2023-12-04T03:04:19"/>
    <d v="2023-12-04T03:03:24"/>
    <s v="Within SLA"/>
    <d v="2023-12-04T23:07:50"/>
    <x v="0"/>
    <d v="2023-12-04T07:42:27"/>
    <n v="8"/>
    <n v="5"/>
    <x v="0"/>
    <x v="0"/>
    <s v="Poland"/>
    <n v="52.536273000000001"/>
    <n v="19.050639"/>
    <s v="ok"/>
    <s v="ok"/>
    <s v="check"/>
    <s v="ok"/>
    <s v="ok"/>
    <x v="0"/>
    <n v="20.091950277797878"/>
  </r>
  <r>
    <x v="2"/>
    <n v="3763"/>
    <x v="1"/>
    <x v="0"/>
    <x v="1"/>
    <s v="1st line support"/>
    <x v="6"/>
    <x v="2173"/>
    <d v="2023-12-06T14:53:51"/>
    <d v="2023-12-04T15:53:51"/>
    <d v="2023-12-04T15:11:05"/>
    <s v="Within SLA"/>
    <d v="2023-12-06T06:14:22"/>
    <x v="0"/>
    <m/>
    <n v="8"/>
    <m/>
    <x v="2"/>
    <x v="0"/>
    <s v="Germany"/>
    <n v="51.165691000000002"/>
    <n v="10.451525999999999"/>
    <s v="ok"/>
    <s v="ok"/>
    <s v="ok"/>
    <s v="ok"/>
    <s v="ok"/>
    <x v="0"/>
    <n v="39.341910833318252"/>
  </r>
  <r>
    <x v="0"/>
    <n v="3765"/>
    <x v="0"/>
    <x v="0"/>
    <x v="0"/>
    <s v="1st line support"/>
    <x v="3"/>
    <x v="2174"/>
    <d v="2023-12-06T04:44:02"/>
    <d v="2023-12-04T05:44:02"/>
    <d v="2023-12-04T04:58:42"/>
    <s v="Within SLA"/>
    <d v="2023-12-05T06:40:57"/>
    <x v="0"/>
    <d v="2023-12-05T19:56:52"/>
    <n v="1"/>
    <n v="3"/>
    <x v="2"/>
    <x v="0"/>
    <s v="Poland"/>
    <n v="52.536273000000001"/>
    <n v="19.050639"/>
    <s v="ok"/>
    <s v="ok"/>
    <s v="ok"/>
    <s v="ok"/>
    <s v="ok"/>
    <x v="0"/>
    <n v="25.948497499921359"/>
  </r>
  <r>
    <x v="0"/>
    <n v="3766"/>
    <x v="0"/>
    <x v="0"/>
    <x v="3"/>
    <s v="1st line support"/>
    <x v="2"/>
    <x v="2175"/>
    <d v="2023-12-06T17:21:19"/>
    <d v="2023-12-04T18:21:19"/>
    <d v="2023-12-04T18:05:55"/>
    <s v="Within SLA"/>
    <d v="2023-12-06T01:58:38"/>
    <x v="0"/>
    <d v="2023-12-07T17:57:35"/>
    <n v="2"/>
    <n v="5"/>
    <x v="0"/>
    <x v="0"/>
    <s v="Republic of Ireland"/>
    <n v="53.094023999999997"/>
    <n v="-8.0196749999999994"/>
    <s v="ok"/>
    <s v="ok"/>
    <s v="ok"/>
    <s v="ok"/>
    <s v="ok"/>
    <x v="0"/>
    <n v="32.621875277836807"/>
  </r>
  <r>
    <x v="0"/>
    <n v="3767"/>
    <x v="1"/>
    <x v="2"/>
    <x v="3"/>
    <s v="1st line support"/>
    <x v="6"/>
    <x v="2176"/>
    <d v="2023-12-05T20:25:55"/>
    <d v="2023-12-04T20:27:55"/>
    <d v="2023-12-04T20:30:28"/>
    <s v="SLA Violated"/>
    <d v="2023-12-04T20:47:39"/>
    <x v="0"/>
    <d v="2023-12-05T08:44:35"/>
    <n v="5"/>
    <n v="1"/>
    <x v="3"/>
    <x v="0"/>
    <s v="Austria"/>
    <n v="47.696471899999999"/>
    <n v="13.3457347"/>
    <s v="ok"/>
    <s v="ok"/>
    <s v="ok"/>
    <s v="ok"/>
    <s v="ok"/>
    <x v="0"/>
    <n v="0.36216972232796252"/>
  </r>
  <r>
    <x v="0"/>
    <n v="3770"/>
    <x v="2"/>
    <x v="0"/>
    <x v="2"/>
    <s v="1st line support"/>
    <x v="0"/>
    <x v="2177"/>
    <d v="2023-12-06T18:47:16"/>
    <d v="2023-12-04T19:47:16"/>
    <d v="2023-12-04T19:45:57"/>
    <s v="Within SLA"/>
    <d v="2023-12-07T21:46:45"/>
    <x v="1"/>
    <d v="2023-12-08T01:51:55"/>
    <n v="3"/>
    <n v="4"/>
    <x v="1"/>
    <x v="0"/>
    <s v="France"/>
    <n v="48.864716000000001"/>
    <n v="2.3490139999999999"/>
    <s v="ok"/>
    <s v="ok"/>
    <s v="ok"/>
    <s v="ok"/>
    <s v="ok"/>
    <x v="0"/>
    <n v="74.99126888893079"/>
  </r>
  <r>
    <x v="1"/>
    <n v="3771"/>
    <x v="0"/>
    <x v="2"/>
    <x v="4"/>
    <s v="1st line support"/>
    <x v="0"/>
    <x v="2178"/>
    <d v="2023-12-05T04:19:29"/>
    <d v="2023-12-04T04:21:29"/>
    <d v="2023-12-04T04:19:41"/>
    <s v="Within SLA"/>
    <m/>
    <x v="1"/>
    <m/>
    <n v="5"/>
    <m/>
    <x v="2"/>
    <x v="0"/>
    <s v="France"/>
    <n v="48.864716000000001"/>
    <n v="2.3490139999999999"/>
    <s v="ok"/>
    <s v="ok"/>
    <s v="ok"/>
    <s v="ok"/>
    <s v="ok"/>
    <x v="1"/>
    <s v=""/>
  </r>
  <r>
    <x v="0"/>
    <n v="3772"/>
    <x v="0"/>
    <x v="0"/>
    <x v="3"/>
    <s v="1st line support"/>
    <x v="3"/>
    <x v="2179"/>
    <d v="2023-12-06T07:48:05"/>
    <d v="2023-12-04T08:48:05"/>
    <d v="2023-12-04T08:14:18"/>
    <s v="Within SLA"/>
    <d v="2023-12-04T21:30:06"/>
    <x v="0"/>
    <d v="2023-12-06T19:47:50"/>
    <n v="1"/>
    <n v="5"/>
    <x v="0"/>
    <x v="0"/>
    <s v="United Kingdom"/>
    <n v="55.378051999999997"/>
    <n v="-3.4359730000000002"/>
    <s v="ok"/>
    <s v="ok"/>
    <s v="ok"/>
    <s v="ok"/>
    <s v="ok"/>
    <x v="0"/>
    <n v="13.700189999886788"/>
  </r>
  <r>
    <x v="0"/>
    <n v="3773"/>
    <x v="0"/>
    <x v="0"/>
    <x v="5"/>
    <s v="1st line support"/>
    <x v="6"/>
    <x v="2180"/>
    <d v="2023-12-07T09:29:27"/>
    <d v="2023-12-05T10:29:27"/>
    <d v="2023-12-05T09:35:08"/>
    <s v="Within SLA"/>
    <d v="2023-12-06T06:39:57"/>
    <x v="0"/>
    <d v="2023-12-08T03:37:05"/>
    <n v="4"/>
    <n v="1"/>
    <x v="2"/>
    <x v="0"/>
    <s v="Greece"/>
    <n v="39.368279000000001"/>
    <n v="21.863140999999999"/>
    <s v="ok"/>
    <s v="ok"/>
    <s v="ok"/>
    <s v="ok"/>
    <s v="ok"/>
    <x v="0"/>
    <n v="21.174915833340492"/>
  </r>
  <r>
    <x v="0"/>
    <n v="3774"/>
    <x v="1"/>
    <x v="2"/>
    <x v="1"/>
    <s v="1st line support"/>
    <x v="3"/>
    <x v="2181"/>
    <d v="2023-12-06T20:35:11"/>
    <d v="2023-12-05T20:37:11"/>
    <d v="2023-12-05T20:40:19"/>
    <s v="SLA Violated"/>
    <d v="2023-12-06T14:08:19"/>
    <x v="0"/>
    <d v="2023-12-10T12:52:35"/>
    <n v="8"/>
    <n v="5"/>
    <x v="0"/>
    <x v="0"/>
    <s v="Bulgaria"/>
    <n v="42.724992499999999"/>
    <n v="25.483303899999999"/>
    <s v="ok"/>
    <s v="ok"/>
    <s v="ok"/>
    <s v="ok"/>
    <s v="ok"/>
    <x v="0"/>
    <n v="17.552136944315862"/>
  </r>
  <r>
    <x v="0"/>
    <n v="3775"/>
    <x v="2"/>
    <x v="2"/>
    <x v="1"/>
    <s v="2nd line support"/>
    <x v="1"/>
    <x v="2182"/>
    <d v="2023-12-06T17:34:01"/>
    <d v="2023-12-05T17:36:01"/>
    <d v="2023-12-05T17:34:58"/>
    <s v="Within SLA"/>
    <d v="2023-12-06T15:53:36"/>
    <x v="0"/>
    <d v="2023-12-06T23:33:36"/>
    <n v="6"/>
    <n v="5"/>
    <x v="2"/>
    <x v="1"/>
    <s v="Italy"/>
    <n v="43.036776000000003"/>
    <n v="12.678565000000001"/>
    <s v="ok"/>
    <s v="ok"/>
    <s v="ok"/>
    <s v="ok"/>
    <s v="ok"/>
    <x v="0"/>
    <n v="22.326273888756987"/>
  </r>
  <r>
    <x v="2"/>
    <n v="3776"/>
    <x v="0"/>
    <x v="2"/>
    <x v="1"/>
    <s v="1st line support"/>
    <x v="6"/>
    <x v="2183"/>
    <d v="2023-12-06T02:07:14"/>
    <d v="2023-12-05T02:09:14"/>
    <d v="2023-12-05T02:08:41"/>
    <s v="Within SLA"/>
    <d v="2023-12-10T05:19:39"/>
    <x v="1"/>
    <m/>
    <n v="7"/>
    <m/>
    <x v="0"/>
    <x v="0"/>
    <s v="United Kingdom"/>
    <n v="55.378051999999997"/>
    <n v="-3.4359730000000002"/>
    <s v="ok"/>
    <s v="ok"/>
    <s v="ok"/>
    <s v="ok"/>
    <s v="ok"/>
    <x v="0"/>
    <n v="123.2070080555859"/>
  </r>
  <r>
    <x v="0"/>
    <n v="3777"/>
    <x v="2"/>
    <x v="0"/>
    <x v="5"/>
    <s v="1st line support"/>
    <x v="3"/>
    <x v="2184"/>
    <d v="2023-12-07T16:10:33"/>
    <d v="2023-12-05T17:10:33"/>
    <d v="2023-12-05T16:28:49"/>
    <s v="Within SLA"/>
    <d v="2023-12-05T23:40:59"/>
    <x v="0"/>
    <d v="2023-12-09T03:38:52"/>
    <n v="1"/>
    <n v="5"/>
    <x v="2"/>
    <x v="0"/>
    <s v="Poland"/>
    <n v="52.536273000000001"/>
    <n v="19.050639"/>
    <s v="ok"/>
    <s v="ok"/>
    <s v="ok"/>
    <s v="ok"/>
    <s v="ok"/>
    <x v="0"/>
    <n v="7.5072938888333738"/>
  </r>
  <r>
    <x v="0"/>
    <n v="3778"/>
    <x v="0"/>
    <x v="2"/>
    <x v="5"/>
    <s v="1st line support"/>
    <x v="6"/>
    <x v="2185"/>
    <d v="2023-12-06T17:19:35"/>
    <d v="2023-12-05T17:21:35"/>
    <d v="2023-12-05T17:19:48"/>
    <s v="Within SLA"/>
    <d v="2023-12-06T07:59:58"/>
    <x v="0"/>
    <d v="2023-12-09T22:49:01"/>
    <n v="2"/>
    <n v="5"/>
    <x v="3"/>
    <x v="0"/>
    <s v="Slovenia"/>
    <n v="46.149166399999999"/>
    <n v="14.9860106"/>
    <s v="ok"/>
    <s v="ok"/>
    <s v="ok"/>
    <s v="ok"/>
    <s v="ok"/>
    <x v="0"/>
    <n v="14.673147777677514"/>
  </r>
  <r>
    <x v="0"/>
    <n v="3779"/>
    <x v="2"/>
    <x v="0"/>
    <x v="1"/>
    <s v="1st line support"/>
    <x v="3"/>
    <x v="2186"/>
    <d v="2023-12-07T03:25:18"/>
    <d v="2023-12-05T04:25:18"/>
    <d v="2023-12-05T03:38:24"/>
    <s v="Within SLA"/>
    <d v="2023-12-05T18:25:30"/>
    <x v="0"/>
    <d v="2023-12-06T22:42:39"/>
    <n v="6"/>
    <n v="5"/>
    <x v="1"/>
    <x v="0"/>
    <s v="Italy"/>
    <n v="43.036776000000003"/>
    <n v="12.678565000000001"/>
    <s v="ok"/>
    <s v="ok"/>
    <s v="ok"/>
    <s v="ok"/>
    <s v="ok"/>
    <x v="0"/>
    <n v="15.003453888755757"/>
  </r>
  <r>
    <x v="0"/>
    <n v="3780"/>
    <x v="0"/>
    <x v="2"/>
    <x v="0"/>
    <s v="1st line support"/>
    <x v="2"/>
    <x v="2187"/>
    <d v="2023-12-06T16:52:36"/>
    <d v="2023-12-05T16:54:36"/>
    <d v="2023-12-05T16:56:11"/>
    <s v="SLA Violated"/>
    <d v="2023-12-09T01:05:16"/>
    <x v="1"/>
    <d v="2023-12-10T12:33:56"/>
    <n v="6"/>
    <n v="4"/>
    <x v="2"/>
    <x v="0"/>
    <s v="Germany"/>
    <n v="51.165691000000002"/>
    <n v="10.451525999999999"/>
    <s v="ok"/>
    <s v="ok"/>
    <s v="ok"/>
    <s v="ok"/>
    <s v="ok"/>
    <x v="0"/>
    <n v="80.211018611036707"/>
  </r>
  <r>
    <x v="1"/>
    <n v="3781"/>
    <x v="0"/>
    <x v="0"/>
    <x v="1"/>
    <s v="1st line support"/>
    <x v="0"/>
    <x v="2188"/>
    <d v="2023-12-07T09:49:17"/>
    <d v="2023-12-05T10:49:17"/>
    <d v="2023-12-05T10:21:40"/>
    <s v="Within SLA"/>
    <m/>
    <x v="1"/>
    <m/>
    <n v="1"/>
    <m/>
    <x v="1"/>
    <x v="0"/>
    <s v="Italy"/>
    <n v="43.036776000000003"/>
    <n v="12.678565000000001"/>
    <s v="ok"/>
    <s v="ok"/>
    <s v="ok"/>
    <s v="ok"/>
    <s v="ok"/>
    <x v="1"/>
    <s v=""/>
  </r>
  <r>
    <x v="0"/>
    <n v="3782"/>
    <x v="2"/>
    <x v="0"/>
    <x v="3"/>
    <s v="2nd line support"/>
    <x v="5"/>
    <x v="2189"/>
    <d v="2023-12-08T07:16:35"/>
    <d v="2023-12-06T08:16:35"/>
    <d v="2023-12-06T08:13:11"/>
    <s v="Within SLA"/>
    <d v="2023-12-06T09:29:44"/>
    <x v="0"/>
    <d v="2023-12-08T12:38:43"/>
    <n v="2"/>
    <n v="2"/>
    <x v="0"/>
    <x v="1"/>
    <s v="Czech Republic"/>
    <n v="49.8037633"/>
    <n v="15.4749126"/>
    <s v="ok"/>
    <s v="ok"/>
    <s v="ok"/>
    <s v="ok"/>
    <s v="ok"/>
    <x v="0"/>
    <n v="2.219052777858451"/>
  </r>
  <r>
    <x v="0"/>
    <n v="3783"/>
    <x v="0"/>
    <x v="2"/>
    <x v="2"/>
    <s v="1st line support"/>
    <x v="0"/>
    <x v="2190"/>
    <d v="2023-12-07T00:28:18"/>
    <d v="2023-12-06T00:30:18"/>
    <d v="2023-12-06T00:29:15"/>
    <s v="Within SLA"/>
    <d v="2023-12-06T13:55:04"/>
    <x v="0"/>
    <d v="2023-12-11T16:25:40"/>
    <n v="6"/>
    <n v="5"/>
    <x v="0"/>
    <x v="0"/>
    <s v="Italy"/>
    <n v="43.036776000000003"/>
    <n v="12.678565000000001"/>
    <s v="ok"/>
    <s v="ok"/>
    <s v="ok"/>
    <s v="ok"/>
    <s v="ok"/>
    <x v="0"/>
    <n v="13.446153888828121"/>
  </r>
  <r>
    <x v="0"/>
    <n v="3784"/>
    <x v="0"/>
    <x v="2"/>
    <x v="3"/>
    <s v="1st line support"/>
    <x v="4"/>
    <x v="2191"/>
    <d v="2023-12-07T21:29:10"/>
    <d v="2023-12-06T21:31:10"/>
    <d v="2023-12-06T21:29:34"/>
    <s v="Within SLA"/>
    <d v="2023-12-12T19:04:45"/>
    <x v="1"/>
    <d v="2023-12-14T06:10:36"/>
    <n v="6"/>
    <n v="4"/>
    <x v="3"/>
    <x v="0"/>
    <s v="Germany"/>
    <n v="51.165691000000002"/>
    <n v="10.451525999999999"/>
    <s v="ok"/>
    <s v="ok"/>
    <s v="ok"/>
    <s v="ok"/>
    <s v="ok"/>
    <x v="0"/>
    <n v="141.59295972227119"/>
  </r>
  <r>
    <x v="0"/>
    <n v="3785"/>
    <x v="0"/>
    <x v="0"/>
    <x v="1"/>
    <s v="1st line support"/>
    <x v="4"/>
    <x v="2192"/>
    <d v="2023-12-08T13:58:09"/>
    <d v="2023-12-06T14:58:09"/>
    <d v="2023-12-06T14:24:00"/>
    <s v="Within SLA"/>
    <d v="2023-12-12T00:26:39"/>
    <x v="1"/>
    <d v="2023-12-12T05:41:20"/>
    <n v="1"/>
    <n v="3"/>
    <x v="2"/>
    <x v="0"/>
    <s v="Germany"/>
    <n v="51.165691000000002"/>
    <n v="10.451525999999999"/>
    <s v="ok"/>
    <s v="ok"/>
    <s v="ok"/>
    <s v="ok"/>
    <s v="ok"/>
    <x v="0"/>
    <n v="130.47497527784435"/>
  </r>
  <r>
    <x v="2"/>
    <n v="3786"/>
    <x v="2"/>
    <x v="0"/>
    <x v="5"/>
    <s v="1st line support"/>
    <x v="4"/>
    <x v="2193"/>
    <d v="2023-12-08T09:54:13"/>
    <d v="2023-12-06T10:54:13"/>
    <d v="2023-12-06T10:51:23"/>
    <s v="Within SLA"/>
    <d v="2023-12-07T22:10:11"/>
    <x v="0"/>
    <m/>
    <n v="8"/>
    <m/>
    <x v="2"/>
    <x v="0"/>
    <s v="Poland"/>
    <n v="52.536273000000001"/>
    <n v="19.050639"/>
    <s v="ok"/>
    <s v="ok"/>
    <s v="ok"/>
    <s v="ok"/>
    <s v="ok"/>
    <x v="0"/>
    <n v="36.266176388890017"/>
  </r>
  <r>
    <x v="3"/>
    <n v="3787"/>
    <x v="2"/>
    <x v="0"/>
    <x v="2"/>
    <s v="1st line support"/>
    <x v="6"/>
    <x v="2194"/>
    <d v="2023-12-08T03:52:38"/>
    <d v="2023-12-06T04:52:38"/>
    <m/>
    <s v="SLA Violated"/>
    <m/>
    <x v="1"/>
    <m/>
    <m/>
    <m/>
    <x v="0"/>
    <x v="0"/>
    <s v="Poland"/>
    <n v="52.536273000000001"/>
    <n v="19.050639"/>
    <s v="check"/>
    <s v="ok"/>
    <s v="ok"/>
    <s v="ok"/>
    <s v="no response"/>
    <x v="1"/>
    <s v=""/>
  </r>
  <r>
    <x v="0"/>
    <n v="3788"/>
    <x v="2"/>
    <x v="0"/>
    <x v="1"/>
    <s v="1st line support"/>
    <x v="4"/>
    <x v="2195"/>
    <d v="2023-12-08T17:56:14"/>
    <d v="2023-12-06T18:56:14"/>
    <d v="2023-12-06T18:32:59"/>
    <s v="Within SLA"/>
    <d v="2023-12-07T22:24:48"/>
    <x v="0"/>
    <d v="2023-12-10T18:35:49"/>
    <n v="1"/>
    <n v="4"/>
    <x v="0"/>
    <x v="0"/>
    <s v="Poland"/>
    <n v="52.536273000000001"/>
    <n v="19.050639"/>
    <s v="ok"/>
    <s v="ok"/>
    <s v="ok"/>
    <s v="ok"/>
    <s v="ok"/>
    <x v="0"/>
    <n v="28.47611555561889"/>
  </r>
  <r>
    <x v="2"/>
    <n v="3789"/>
    <x v="0"/>
    <x v="2"/>
    <x v="0"/>
    <s v="1st line support"/>
    <x v="3"/>
    <x v="2196"/>
    <d v="2023-12-08T18:49:15"/>
    <d v="2023-12-07T18:51:15"/>
    <d v="2023-12-07T18:50:56"/>
    <s v="Within SLA"/>
    <d v="2023-12-08T04:22:45"/>
    <x v="0"/>
    <m/>
    <n v="2"/>
    <m/>
    <x v="2"/>
    <x v="0"/>
    <s v="United Kingdom"/>
    <n v="55.378051999999997"/>
    <n v="-3.4359730000000002"/>
    <s v="ok"/>
    <s v="ok"/>
    <s v="ok"/>
    <s v="ok"/>
    <s v="ok"/>
    <x v="0"/>
    <n v="9.5582488888758235"/>
  </r>
  <r>
    <x v="0"/>
    <n v="3790"/>
    <x v="2"/>
    <x v="2"/>
    <x v="0"/>
    <s v="1st line support"/>
    <x v="3"/>
    <x v="2197"/>
    <d v="2023-12-08T22:00:48"/>
    <d v="2023-12-07T22:02:48"/>
    <d v="2023-12-07T22:02:03"/>
    <s v="Within SLA"/>
    <d v="2023-12-09T15:19:40"/>
    <x v="1"/>
    <d v="2023-12-10T23:17:25"/>
    <n v="6"/>
    <n v="3"/>
    <x v="1"/>
    <x v="0"/>
    <s v="Bulgaria"/>
    <n v="42.724992499999999"/>
    <n v="25.483303899999999"/>
    <s v="ok"/>
    <s v="ok"/>
    <s v="ok"/>
    <s v="ok"/>
    <s v="ok"/>
    <x v="0"/>
    <n v="41.314355000155047"/>
  </r>
  <r>
    <x v="1"/>
    <n v="3791"/>
    <x v="1"/>
    <x v="0"/>
    <x v="3"/>
    <s v="1st line support"/>
    <x v="4"/>
    <x v="2198"/>
    <d v="2023-12-09T02:56:44"/>
    <d v="2023-12-07T03:56:44"/>
    <d v="2023-12-07T03:43:40"/>
    <s v="Within SLA"/>
    <m/>
    <x v="1"/>
    <m/>
    <n v="1"/>
    <m/>
    <x v="2"/>
    <x v="0"/>
    <s v="Austria"/>
    <n v="47.696471899999999"/>
    <n v="13.3457347"/>
    <s v="ok"/>
    <s v="ok"/>
    <s v="ok"/>
    <s v="ok"/>
    <s v="ok"/>
    <x v="1"/>
    <s v=""/>
  </r>
  <r>
    <x v="0"/>
    <n v="3792"/>
    <x v="2"/>
    <x v="0"/>
    <x v="5"/>
    <s v="1st line support"/>
    <x v="2"/>
    <x v="2199"/>
    <d v="2023-12-09T03:27:04"/>
    <d v="2023-12-07T04:27:04"/>
    <d v="2023-12-07T04:11:17"/>
    <s v="Within SLA"/>
    <d v="2023-12-07T06:57:33"/>
    <x v="0"/>
    <d v="2023-12-09T17:28:08"/>
    <n v="2"/>
    <n v="4"/>
    <x v="3"/>
    <x v="0"/>
    <s v="United Kingdom"/>
    <n v="55.378051999999997"/>
    <n v="-3.4359730000000002"/>
    <s v="ok"/>
    <s v="ok"/>
    <s v="ok"/>
    <s v="ok"/>
    <s v="ok"/>
    <x v="0"/>
    <n v="3.5080830555525608"/>
  </r>
  <r>
    <x v="3"/>
    <n v="3793"/>
    <x v="0"/>
    <x v="2"/>
    <x v="1"/>
    <s v="1st line support"/>
    <x v="4"/>
    <x v="2200"/>
    <d v="2023-12-08T20:45:23"/>
    <d v="2023-12-07T20:47:23"/>
    <m/>
    <s v="SLA Violated"/>
    <m/>
    <x v="1"/>
    <m/>
    <m/>
    <m/>
    <x v="1"/>
    <x v="0"/>
    <s v="Bulgaria"/>
    <n v="42.724992499999999"/>
    <n v="25.483303899999999"/>
    <s v="check"/>
    <s v="ok"/>
    <s v="ok"/>
    <s v="ok"/>
    <s v="no response"/>
    <x v="1"/>
    <s v=""/>
  </r>
  <r>
    <x v="2"/>
    <n v="3794"/>
    <x v="0"/>
    <x v="0"/>
    <x v="3"/>
    <s v="1st line support"/>
    <x v="6"/>
    <x v="2201"/>
    <d v="2023-12-09T01:47:33"/>
    <d v="2023-12-07T02:47:33"/>
    <d v="2023-12-07T03:53:34"/>
    <s v="SLA Violated"/>
    <d v="2023-12-10T12:04:48"/>
    <x v="1"/>
    <m/>
    <n v="2"/>
    <m/>
    <x v="3"/>
    <x v="0"/>
    <s v="Greece"/>
    <n v="39.368279000000001"/>
    <n v="21.863140999999999"/>
    <s v="ok"/>
    <s v="ok"/>
    <s v="ok"/>
    <s v="ok"/>
    <s v="ok"/>
    <x v="0"/>
    <n v="82.287506666674744"/>
  </r>
  <r>
    <x v="0"/>
    <n v="3795"/>
    <x v="2"/>
    <x v="2"/>
    <x v="3"/>
    <s v="1st line support"/>
    <x v="2"/>
    <x v="2202"/>
    <d v="2023-12-08T22:35:46"/>
    <d v="2023-12-07T22:37:46"/>
    <d v="2023-12-07T22:36:39"/>
    <s v="Within SLA"/>
    <d v="2023-12-08T20:04:54"/>
    <x v="0"/>
    <d v="2023-12-13T01:34:20"/>
    <n v="2"/>
    <n v="2"/>
    <x v="1"/>
    <x v="0"/>
    <s v="France"/>
    <n v="48.864716000000001"/>
    <n v="2.3490139999999999"/>
    <s v="ok"/>
    <s v="ok"/>
    <s v="ok"/>
    <s v="ok"/>
    <s v="ok"/>
    <x v="0"/>
    <n v="21.485467777820304"/>
  </r>
  <r>
    <x v="0"/>
    <n v="3797"/>
    <x v="0"/>
    <x v="0"/>
    <x v="3"/>
    <s v="1st line support"/>
    <x v="3"/>
    <x v="2203"/>
    <d v="2023-12-09T01:02:40"/>
    <d v="2023-12-07T02:02:40"/>
    <d v="2023-12-07T01:38:45"/>
    <s v="Within SLA"/>
    <d v="2023-12-07T18:03:04"/>
    <x v="0"/>
    <d v="2023-12-09T00:41:37"/>
    <n v="6"/>
    <n v="5"/>
    <x v="1"/>
    <x v="0"/>
    <s v="Poland"/>
    <n v="52.536273000000001"/>
    <n v="19.050639"/>
    <s v="ok"/>
    <s v="ok"/>
    <s v="ok"/>
    <s v="ok"/>
    <s v="ok"/>
    <x v="0"/>
    <n v="17.006577777676284"/>
  </r>
  <r>
    <x v="0"/>
    <n v="3798"/>
    <x v="0"/>
    <x v="0"/>
    <x v="2"/>
    <s v="1st line support"/>
    <x v="6"/>
    <x v="2204"/>
    <d v="2023-12-10T19:29:32"/>
    <d v="2023-12-08T20:29:32"/>
    <d v="2023-12-08T20:24:21"/>
    <s v="Within SLA"/>
    <d v="2023-12-08T20:58:51"/>
    <x v="0"/>
    <d v="2023-12-11T11:43:59"/>
    <n v="3"/>
    <n v="4"/>
    <x v="1"/>
    <x v="0"/>
    <s v="Italy"/>
    <n v="43.036776000000003"/>
    <n v="12.678565000000001"/>
    <s v="ok"/>
    <s v="ok"/>
    <s v="ok"/>
    <s v="ok"/>
    <s v="ok"/>
    <x v="0"/>
    <n v="1.4886675001471303"/>
  </r>
  <r>
    <x v="2"/>
    <n v="3799"/>
    <x v="2"/>
    <x v="2"/>
    <x v="2"/>
    <s v="1st line support"/>
    <x v="2"/>
    <x v="2205"/>
    <d v="2023-12-09T22:29:50"/>
    <d v="2023-12-08T22:31:50"/>
    <d v="2023-12-08T22:29:57"/>
    <s v="Within SLA"/>
    <d v="2023-12-13T18:47:34"/>
    <x v="1"/>
    <m/>
    <n v="5"/>
    <m/>
    <x v="2"/>
    <x v="0"/>
    <s v="Italy"/>
    <n v="43.036776000000003"/>
    <n v="12.678565000000001"/>
    <s v="ok"/>
    <s v="ok"/>
    <s v="ok"/>
    <s v="ok"/>
    <s v="ok"/>
    <x v="0"/>
    <n v="116.29566638875986"/>
  </r>
  <r>
    <x v="0"/>
    <n v="3801"/>
    <x v="2"/>
    <x v="0"/>
    <x v="3"/>
    <s v="2nd line support"/>
    <x v="1"/>
    <x v="2206"/>
    <d v="2023-12-10T21:05:54"/>
    <d v="2023-12-08T22:05:54"/>
    <d v="2023-12-08T21:51:50"/>
    <s v="Within SLA"/>
    <d v="2023-12-09T16:13:07"/>
    <x v="0"/>
    <d v="2023-12-10T12:38:58"/>
    <n v="1"/>
    <n v="5"/>
    <x v="2"/>
    <x v="1"/>
    <s v="Spain"/>
    <n v="39.673369999999998"/>
    <n v="-4.7677259999999997"/>
    <s v="ok"/>
    <s v="ok"/>
    <s v="ok"/>
    <s v="ok"/>
    <s v="ok"/>
    <x v="0"/>
    <n v="19.120173055620398"/>
  </r>
  <r>
    <x v="0"/>
    <n v="3802"/>
    <x v="0"/>
    <x v="2"/>
    <x v="1"/>
    <s v="1st line support"/>
    <x v="0"/>
    <x v="2207"/>
    <d v="2023-12-09T15:21:56"/>
    <d v="2023-12-08T15:23:56"/>
    <d v="2023-12-08T15:23:01"/>
    <s v="Within SLA"/>
    <d v="2023-12-09T04:56:31"/>
    <x v="0"/>
    <d v="2023-12-14T00:13:09"/>
    <n v="2"/>
    <n v="1"/>
    <x v="0"/>
    <x v="0"/>
    <s v="United Kingdom"/>
    <n v="55.378051999999997"/>
    <n v="-3.4359730000000002"/>
    <s v="ok"/>
    <s v="ok"/>
    <s v="ok"/>
    <s v="ok"/>
    <s v="ok"/>
    <x v="0"/>
    <n v="13.576249999925494"/>
  </r>
  <r>
    <x v="0"/>
    <n v="3803"/>
    <x v="0"/>
    <x v="0"/>
    <x v="3"/>
    <s v="2nd line support"/>
    <x v="5"/>
    <x v="2208"/>
    <d v="2023-12-10T11:28:58"/>
    <d v="2023-12-08T12:28:58"/>
    <d v="2023-12-08T12:19:11"/>
    <s v="Within SLA"/>
    <d v="2023-12-09T07:19:22"/>
    <x v="0"/>
    <d v="2023-12-11T07:23:29"/>
    <n v="3"/>
    <n v="4"/>
    <x v="2"/>
    <x v="1"/>
    <s v="Czech Republic"/>
    <n v="49.8037633"/>
    <n v="15.4749126"/>
    <s v="ok"/>
    <s v="ok"/>
    <s v="ok"/>
    <s v="ok"/>
    <s v="ok"/>
    <x v="0"/>
    <n v="19.839991389017086"/>
  </r>
  <r>
    <x v="0"/>
    <n v="3804"/>
    <x v="0"/>
    <x v="0"/>
    <x v="3"/>
    <s v="1st line support"/>
    <x v="2"/>
    <x v="2209"/>
    <d v="2023-12-10T16:08:01"/>
    <d v="2023-12-08T17:08:01"/>
    <d v="2023-12-08T16:16:25"/>
    <s v="Within SLA"/>
    <d v="2023-12-10T15:17:11"/>
    <x v="0"/>
    <d v="2023-12-11T10:59:45"/>
    <n v="1"/>
    <n v="2"/>
    <x v="0"/>
    <x v="0"/>
    <s v="Republic of Ireland"/>
    <n v="53.094023999999997"/>
    <n v="-8.0196749999999994"/>
    <s v="ok"/>
    <s v="ok"/>
    <s v="ok"/>
    <s v="ok"/>
    <s v="ok"/>
    <x v="0"/>
    <n v="47.152785277809016"/>
  </r>
  <r>
    <x v="0"/>
    <n v="3805"/>
    <x v="0"/>
    <x v="0"/>
    <x v="1"/>
    <s v="2nd line support"/>
    <x v="5"/>
    <x v="2210"/>
    <d v="2023-12-10T10:42:36"/>
    <d v="2023-12-08T11:42:36"/>
    <d v="2023-12-08T10:57:17"/>
    <s v="Within SLA"/>
    <d v="2023-12-08T13:25:30"/>
    <x v="0"/>
    <d v="2023-12-16T04:29:51"/>
    <n v="2"/>
    <n v="4"/>
    <x v="2"/>
    <x v="1"/>
    <s v="Poland"/>
    <n v="52.536273000000001"/>
    <n v="19.050639"/>
    <s v="ok"/>
    <s v="ok"/>
    <s v="ok"/>
    <s v="ok"/>
    <s v="ok"/>
    <x v="0"/>
    <n v="2.7150283333612606"/>
  </r>
  <r>
    <x v="0"/>
    <n v="3806"/>
    <x v="0"/>
    <x v="1"/>
    <x v="1"/>
    <s v="2nd line support"/>
    <x v="1"/>
    <x v="2211"/>
    <d v="2023-12-10T13:42:26"/>
    <d v="2023-12-08T13:44:26"/>
    <d v="2023-12-08T13:43:25"/>
    <s v="Within SLA"/>
    <d v="2023-12-09T05:45:39"/>
    <x v="0"/>
    <d v="2023-12-13T15:43:06"/>
    <n v="4"/>
    <n v="4"/>
    <x v="2"/>
    <x v="1"/>
    <s v="United Kingdom"/>
    <n v="55.378051999999997"/>
    <n v="-3.4359730000000002"/>
    <s v="ok"/>
    <s v="ok"/>
    <s v="ok"/>
    <s v="ok"/>
    <s v="ok"/>
    <x v="0"/>
    <n v="16.053564722067676"/>
  </r>
  <r>
    <x v="0"/>
    <n v="3812"/>
    <x v="2"/>
    <x v="2"/>
    <x v="3"/>
    <s v="1st line support"/>
    <x v="2"/>
    <x v="2212"/>
    <d v="2023-12-10T18:12:30"/>
    <d v="2023-12-09T18:14:30"/>
    <d v="2023-12-09T18:13:32"/>
    <s v="Within SLA"/>
    <d v="2023-12-10T13:56:24"/>
    <x v="0"/>
    <d v="2023-12-13T08:49:25"/>
    <n v="8"/>
    <n v="4"/>
    <x v="2"/>
    <x v="0"/>
    <s v="Greece"/>
    <n v="39.368279000000001"/>
    <n v="21.863140999999999"/>
    <s v="ok"/>
    <s v="ok"/>
    <s v="ok"/>
    <s v="ok"/>
    <s v="ok"/>
    <x v="0"/>
    <n v="19.731800555542577"/>
  </r>
  <r>
    <x v="0"/>
    <n v="3813"/>
    <x v="2"/>
    <x v="0"/>
    <x v="2"/>
    <s v="1st line support"/>
    <x v="2"/>
    <x v="2213"/>
    <d v="2023-12-11T02:41:17"/>
    <d v="2023-12-09T03:41:17"/>
    <d v="2023-12-09T03:11:00"/>
    <s v="Within SLA"/>
    <d v="2023-12-12T17:44:37"/>
    <x v="1"/>
    <d v="2023-12-14T01:17:24"/>
    <n v="1"/>
    <n v="3"/>
    <x v="3"/>
    <x v="0"/>
    <s v="Germany"/>
    <n v="51.165691000000002"/>
    <n v="10.451525999999999"/>
    <s v="ok"/>
    <s v="ok"/>
    <s v="ok"/>
    <s v="ok"/>
    <s v="ok"/>
    <x v="0"/>
    <n v="87.055433610978071"/>
  </r>
  <r>
    <x v="0"/>
    <n v="3814"/>
    <x v="2"/>
    <x v="0"/>
    <x v="6"/>
    <s v="1st line support"/>
    <x v="6"/>
    <x v="2214"/>
    <d v="2023-12-11T09:47:02"/>
    <d v="2023-12-09T10:47:02"/>
    <d v="2023-12-09T10:08:51"/>
    <s v="Within SLA"/>
    <d v="2023-12-10T15:18:43"/>
    <x v="0"/>
    <d v="2023-12-11T15:50:57"/>
    <n v="3"/>
    <n v="3"/>
    <x v="3"/>
    <x v="0"/>
    <s v="Germany"/>
    <n v="51.165691000000002"/>
    <n v="10.451525999999999"/>
    <s v="ok"/>
    <s v="ok"/>
    <s v="ok"/>
    <s v="ok"/>
    <s v="ok"/>
    <x v="0"/>
    <n v="29.528174444334581"/>
  </r>
  <r>
    <x v="0"/>
    <n v="3815"/>
    <x v="0"/>
    <x v="2"/>
    <x v="4"/>
    <s v="2nd line support"/>
    <x v="1"/>
    <x v="2215"/>
    <d v="2023-12-10T09:30:21"/>
    <d v="2023-12-09T09:32:21"/>
    <d v="2023-12-09T09:30:25"/>
    <s v="Within SLA"/>
    <d v="2023-12-10T09:02:06"/>
    <x v="0"/>
    <d v="2023-12-14T17:41:42"/>
    <n v="2"/>
    <n v="5"/>
    <x v="3"/>
    <x v="1"/>
    <s v="Poland"/>
    <n v="52.536273000000001"/>
    <n v="19.050639"/>
    <s v="ok"/>
    <s v="ok"/>
    <s v="ok"/>
    <s v="ok"/>
    <s v="ok"/>
    <x v="0"/>
    <n v="23.52930222224677"/>
  </r>
  <r>
    <x v="2"/>
    <n v="3816"/>
    <x v="1"/>
    <x v="1"/>
    <x v="4"/>
    <s v="1st line support"/>
    <x v="3"/>
    <x v="2216"/>
    <d v="2023-12-11T20:53:54"/>
    <d v="2023-12-09T20:55:54"/>
    <d v="2023-12-09T20:54:15"/>
    <s v="Within SLA"/>
    <d v="2023-12-11T13:25:51"/>
    <x v="0"/>
    <m/>
    <n v="1"/>
    <m/>
    <x v="2"/>
    <x v="0"/>
    <s v="Slovenia"/>
    <n v="46.149166399999999"/>
    <n v="14.9860106"/>
    <s v="ok"/>
    <s v="ok"/>
    <s v="ok"/>
    <s v="ok"/>
    <s v="ok"/>
    <x v="0"/>
    <n v="40.532492222206201"/>
  </r>
  <r>
    <x v="0"/>
    <n v="3817"/>
    <x v="0"/>
    <x v="2"/>
    <x v="0"/>
    <s v="1st line support"/>
    <x v="4"/>
    <x v="2217"/>
    <d v="2023-12-11T00:08:27"/>
    <d v="2023-12-10T00:10:27"/>
    <d v="2023-12-10T00:08:34"/>
    <s v="Within SLA"/>
    <d v="2023-12-10T04:41:20"/>
    <x v="0"/>
    <d v="2023-12-16T21:39:53"/>
    <n v="2"/>
    <n v="4"/>
    <x v="0"/>
    <x v="0"/>
    <s v="United Kingdom"/>
    <n v="55.378051999999997"/>
    <n v="-3.4359730000000002"/>
    <s v="ok"/>
    <s v="ok"/>
    <s v="ok"/>
    <s v="ok"/>
    <s v="ok"/>
    <x v="0"/>
    <n v="4.5481930556707084"/>
  </r>
  <r>
    <x v="3"/>
    <n v="3818"/>
    <x v="0"/>
    <x v="2"/>
    <x v="3"/>
    <s v="1st line support"/>
    <x v="4"/>
    <x v="2218"/>
    <d v="2023-12-11T22:40:41"/>
    <d v="2023-12-10T22:42:41"/>
    <m/>
    <s v="SLA Violated"/>
    <m/>
    <x v="1"/>
    <m/>
    <m/>
    <m/>
    <x v="0"/>
    <x v="0"/>
    <s v="Italy"/>
    <n v="43.036776000000003"/>
    <n v="12.678565000000001"/>
    <s v="check"/>
    <s v="ok"/>
    <s v="ok"/>
    <s v="ok"/>
    <s v="no response"/>
    <x v="1"/>
    <s v=""/>
  </r>
  <r>
    <x v="0"/>
    <n v="3819"/>
    <x v="0"/>
    <x v="0"/>
    <x v="6"/>
    <s v="2nd line support"/>
    <x v="7"/>
    <x v="2219"/>
    <d v="2023-12-12T17:29:44"/>
    <d v="2023-12-10T18:29:44"/>
    <d v="2023-12-10T17:40:02"/>
    <s v="Within SLA"/>
    <d v="2023-12-13T07:23:43"/>
    <x v="1"/>
    <d v="2023-12-14T13:06:03"/>
    <n v="6"/>
    <n v="5"/>
    <x v="3"/>
    <x v="1"/>
    <s v="Italy"/>
    <n v="43.036776000000003"/>
    <n v="12.678565000000001"/>
    <s v="ok"/>
    <s v="ok"/>
    <s v="ok"/>
    <s v="ok"/>
    <s v="ok"/>
    <x v="0"/>
    <n v="61.899646111240145"/>
  </r>
  <r>
    <x v="0"/>
    <n v="3820"/>
    <x v="2"/>
    <x v="0"/>
    <x v="4"/>
    <s v="2nd line support"/>
    <x v="1"/>
    <x v="2220"/>
    <d v="2023-12-12T20:12:57"/>
    <d v="2023-12-10T21:12:57"/>
    <d v="2023-12-11T00:25:40"/>
    <s v="SLA Violated"/>
    <d v="2023-12-15T01:23:52"/>
    <x v="1"/>
    <d v="2023-12-16T13:00:44"/>
    <n v="3"/>
    <n v="5"/>
    <x v="3"/>
    <x v="1"/>
    <s v="Czech Republic"/>
    <n v="49.8037633"/>
    <n v="15.4749126"/>
    <s v="ok"/>
    <s v="ok"/>
    <s v="ok"/>
    <s v="ok"/>
    <s v="ok"/>
    <x v="0"/>
    <n v="101.18184194440255"/>
  </r>
  <r>
    <x v="0"/>
    <n v="3821"/>
    <x v="0"/>
    <x v="2"/>
    <x v="0"/>
    <s v="2nd line support"/>
    <x v="7"/>
    <x v="2221"/>
    <d v="2023-12-11T19:12:58"/>
    <d v="2023-12-10T19:14:58"/>
    <d v="2023-12-10T19:13:33"/>
    <s v="Within SLA"/>
    <d v="2023-12-12T09:36:38"/>
    <x v="1"/>
    <d v="2023-12-12T23:50:03"/>
    <n v="6"/>
    <n v="2"/>
    <x v="0"/>
    <x v="1"/>
    <s v="Greece"/>
    <n v="39.368279000000001"/>
    <n v="21.863140999999999"/>
    <s v="ok"/>
    <s v="ok"/>
    <s v="ok"/>
    <s v="ok"/>
    <s v="ok"/>
    <x v="0"/>
    <n v="38.394333888951223"/>
  </r>
  <r>
    <x v="1"/>
    <n v="3822"/>
    <x v="0"/>
    <x v="0"/>
    <x v="1"/>
    <s v="1st line support"/>
    <x v="2"/>
    <x v="2222"/>
    <d v="2023-12-12T15:47:58"/>
    <d v="2023-12-10T16:47:58"/>
    <d v="2023-12-10T16:27:46"/>
    <s v="Within SLA"/>
    <m/>
    <x v="1"/>
    <m/>
    <n v="3"/>
    <m/>
    <x v="2"/>
    <x v="0"/>
    <s v="Poland"/>
    <n v="52.536273000000001"/>
    <n v="19.050639"/>
    <s v="ok"/>
    <s v="ok"/>
    <s v="ok"/>
    <s v="ok"/>
    <s v="ok"/>
    <x v="1"/>
    <s v=""/>
  </r>
  <r>
    <x v="0"/>
    <n v="3828"/>
    <x v="0"/>
    <x v="0"/>
    <x v="1"/>
    <s v="2nd line support"/>
    <x v="1"/>
    <x v="2223"/>
    <d v="2023-12-13T06:10:27"/>
    <d v="2023-12-11T07:10:27"/>
    <d v="2023-12-11T07:10:27"/>
    <s v="Within SLA"/>
    <d v="2023-12-15T19:12:16"/>
    <x v="1"/>
    <d v="2023-12-16T16:42:19"/>
    <n v="2"/>
    <n v="5"/>
    <x v="2"/>
    <x v="1"/>
    <s v="Czech Republic"/>
    <n v="49.8037633"/>
    <n v="15.4749126"/>
    <s v="ok"/>
    <s v="ok"/>
    <s v="ok"/>
    <s v="ok"/>
    <s v="ok"/>
    <x v="0"/>
    <n v="109.03034194442444"/>
  </r>
  <r>
    <x v="1"/>
    <n v="3829"/>
    <x v="0"/>
    <x v="0"/>
    <x v="1"/>
    <s v="1st line support"/>
    <x v="3"/>
    <x v="2224"/>
    <d v="2023-12-13T22:06:52"/>
    <d v="2023-12-11T23:06:52"/>
    <d v="2023-12-11T22:08:26"/>
    <s v="Within SLA"/>
    <m/>
    <x v="1"/>
    <m/>
    <n v="8"/>
    <m/>
    <x v="1"/>
    <x v="0"/>
    <s v="United Kingdom"/>
    <n v="55.378051999999997"/>
    <n v="-3.4359730000000002"/>
    <s v="ok"/>
    <s v="ok"/>
    <s v="ok"/>
    <s v="ok"/>
    <s v="ok"/>
    <x v="1"/>
    <s v=""/>
  </r>
  <r>
    <x v="3"/>
    <n v="3830"/>
    <x v="0"/>
    <x v="0"/>
    <x v="0"/>
    <s v="1st line support"/>
    <x v="0"/>
    <x v="2225"/>
    <d v="2023-12-13T01:00:06"/>
    <d v="2023-12-11T02:00:06"/>
    <m/>
    <s v="SLA Violated"/>
    <m/>
    <x v="1"/>
    <m/>
    <m/>
    <m/>
    <x v="0"/>
    <x v="0"/>
    <s v="Republic of Ireland"/>
    <n v="53.094023999999997"/>
    <n v="-8.0196749999999994"/>
    <s v="check"/>
    <s v="ok"/>
    <s v="ok"/>
    <s v="ok"/>
    <s v="no response"/>
    <x v="1"/>
    <s v=""/>
  </r>
  <r>
    <x v="2"/>
    <n v="3831"/>
    <x v="0"/>
    <x v="2"/>
    <x v="2"/>
    <s v="1st line support"/>
    <x v="3"/>
    <x v="2226"/>
    <d v="2023-12-12T07:52:40"/>
    <d v="2023-12-11T07:54:40"/>
    <d v="2023-12-11T07:53:53"/>
    <s v="Within SLA"/>
    <d v="2023-12-11T16:46:33"/>
    <x v="0"/>
    <m/>
    <n v="6"/>
    <m/>
    <x v="0"/>
    <x v="0"/>
    <s v="Spain"/>
    <n v="39.673369999999998"/>
    <n v="-4.7677259999999997"/>
    <s v="ok"/>
    <s v="ok"/>
    <s v="ok"/>
    <s v="ok"/>
    <s v="ok"/>
    <x v="0"/>
    <n v="8.8979663889622316"/>
  </r>
  <r>
    <x v="0"/>
    <n v="3832"/>
    <x v="2"/>
    <x v="1"/>
    <x v="1"/>
    <s v="1st line support"/>
    <x v="4"/>
    <x v="2227"/>
    <d v="2023-12-13T01:16:44"/>
    <d v="2023-12-11T01:18:44"/>
    <d v="2023-12-11T01:17:14"/>
    <s v="Within SLA"/>
    <d v="2023-12-11T20:26:14"/>
    <x v="0"/>
    <d v="2023-12-14T13:50:50"/>
    <n v="4"/>
    <n v="2"/>
    <x v="0"/>
    <x v="0"/>
    <s v="Germany"/>
    <n v="51.165691000000002"/>
    <n v="10.451525999999999"/>
    <s v="ok"/>
    <s v="ok"/>
    <s v="ok"/>
    <s v="ok"/>
    <s v="ok"/>
    <x v="0"/>
    <n v="19.158376111183316"/>
  </r>
  <r>
    <x v="0"/>
    <n v="3833"/>
    <x v="1"/>
    <x v="0"/>
    <x v="0"/>
    <s v="2nd line support"/>
    <x v="1"/>
    <x v="2228"/>
    <d v="2023-12-13T19:50:54"/>
    <d v="2023-12-11T20:50:54"/>
    <d v="2023-12-11T20:43:51"/>
    <s v="Within SLA"/>
    <d v="2023-12-12T17:39:03"/>
    <x v="0"/>
    <d v="2023-12-15T08:36:41"/>
    <n v="5"/>
    <n v="4"/>
    <x v="0"/>
    <x v="1"/>
    <s v="Slovenia"/>
    <n v="46.149166399999999"/>
    <n v="14.9860106"/>
    <s v="ok"/>
    <s v="ok"/>
    <s v="ok"/>
    <s v="ok"/>
    <s v="ok"/>
    <x v="0"/>
    <n v="21.802608055528253"/>
  </r>
  <r>
    <x v="0"/>
    <n v="3834"/>
    <x v="2"/>
    <x v="0"/>
    <x v="0"/>
    <s v="1st line support"/>
    <x v="2"/>
    <x v="2229"/>
    <d v="2023-12-13T04:32:49"/>
    <d v="2023-12-11T05:32:49"/>
    <d v="2023-12-11T05:25:09"/>
    <s v="Within SLA"/>
    <d v="2023-12-11T14:24:38"/>
    <x v="0"/>
    <d v="2023-12-18T04:09:37"/>
    <n v="5"/>
    <n v="2"/>
    <x v="2"/>
    <x v="0"/>
    <s v="United Kingdom"/>
    <n v="55.378051999999997"/>
    <n v="-3.4359730000000002"/>
    <s v="ok"/>
    <s v="ok"/>
    <s v="ok"/>
    <s v="ok"/>
    <s v="ok"/>
    <x v="0"/>
    <n v="9.8635238888673484"/>
  </r>
  <r>
    <x v="1"/>
    <n v="3835"/>
    <x v="0"/>
    <x v="2"/>
    <x v="4"/>
    <s v="1st line support"/>
    <x v="3"/>
    <x v="2230"/>
    <d v="2023-12-12T14:58:22"/>
    <d v="2023-12-11T15:00:22"/>
    <d v="2023-12-11T14:58:53"/>
    <s v="Within SLA"/>
    <m/>
    <x v="1"/>
    <m/>
    <n v="4"/>
    <m/>
    <x v="1"/>
    <x v="0"/>
    <s v="Germany"/>
    <n v="51.165691000000002"/>
    <n v="10.451525999999999"/>
    <s v="ok"/>
    <s v="ok"/>
    <s v="ok"/>
    <s v="ok"/>
    <s v="ok"/>
    <x v="1"/>
    <s v=""/>
  </r>
  <r>
    <x v="0"/>
    <n v="3837"/>
    <x v="0"/>
    <x v="0"/>
    <x v="3"/>
    <s v="1st line support"/>
    <x v="2"/>
    <x v="2231"/>
    <d v="2023-12-14T06:24:10"/>
    <d v="2023-12-12T07:24:10"/>
    <d v="2023-12-12T07:09:44"/>
    <s v="Within SLA"/>
    <d v="2023-12-13T21:39:16"/>
    <x v="0"/>
    <d v="2023-12-14T02:37:15"/>
    <n v="3"/>
    <n v="3"/>
    <x v="3"/>
    <x v="0"/>
    <s v="France"/>
    <n v="48.864716000000001"/>
    <n v="2.3490139999999999"/>
    <s v="ok"/>
    <s v="ok"/>
    <s v="ok"/>
    <s v="ok"/>
    <s v="ok"/>
    <x v="0"/>
    <n v="39.251556111092214"/>
  </r>
  <r>
    <x v="2"/>
    <n v="3838"/>
    <x v="2"/>
    <x v="2"/>
    <x v="0"/>
    <s v="2nd line support"/>
    <x v="5"/>
    <x v="2232"/>
    <d v="2023-12-13T15:38:11"/>
    <d v="2023-12-12T15:40:11"/>
    <d v="2023-12-12T15:39:25"/>
    <s v="Within SLA"/>
    <d v="2023-12-14T22:10:48"/>
    <x v="1"/>
    <m/>
    <n v="7"/>
    <m/>
    <x v="2"/>
    <x v="1"/>
    <s v="Greece"/>
    <n v="39.368279000000001"/>
    <n v="21.863140999999999"/>
    <s v="ok"/>
    <s v="ok"/>
    <s v="ok"/>
    <s v="ok"/>
    <s v="ok"/>
    <x v="0"/>
    <n v="54.543657500005793"/>
  </r>
  <r>
    <x v="2"/>
    <n v="3839"/>
    <x v="0"/>
    <x v="0"/>
    <x v="5"/>
    <s v="1st line support"/>
    <x v="4"/>
    <x v="2233"/>
    <d v="2023-12-14T08:40:16"/>
    <d v="2023-12-12T09:40:16"/>
    <d v="2023-12-12T08:42:48"/>
    <s v="Within SLA"/>
    <d v="2023-12-13T05:40:15"/>
    <x v="0"/>
    <m/>
    <n v="10"/>
    <m/>
    <x v="2"/>
    <x v="0"/>
    <s v="Slovenia"/>
    <n v="46.149166399999999"/>
    <n v="14.9860106"/>
    <s v="ok"/>
    <s v="ok"/>
    <s v="ok"/>
    <s v="ok"/>
    <s v="ok"/>
    <x v="0"/>
    <n v="20.999786111118738"/>
  </r>
  <r>
    <x v="0"/>
    <n v="3840"/>
    <x v="2"/>
    <x v="2"/>
    <x v="1"/>
    <s v="1st line support"/>
    <x v="2"/>
    <x v="2234"/>
    <d v="2023-12-13T18:31:41"/>
    <d v="2023-12-12T18:33:41"/>
    <d v="2023-12-12T18:32:40"/>
    <s v="Within SLA"/>
    <d v="2023-12-13T07:55:43"/>
    <x v="0"/>
    <d v="2023-12-19T02:18:05"/>
    <n v="4"/>
    <n v="5"/>
    <x v="2"/>
    <x v="0"/>
    <s v="France"/>
    <n v="48.864716000000001"/>
    <n v="2.3490139999999999"/>
    <s v="ok"/>
    <s v="ok"/>
    <s v="ok"/>
    <s v="ok"/>
    <s v="ok"/>
    <x v="0"/>
    <n v="13.400678055651952"/>
  </r>
  <r>
    <x v="0"/>
    <n v="3841"/>
    <x v="0"/>
    <x v="0"/>
    <x v="1"/>
    <s v="1st line support"/>
    <x v="0"/>
    <x v="2235"/>
    <d v="2023-12-14T06:13:31"/>
    <d v="2023-12-12T07:13:31"/>
    <d v="2023-12-12T06:27:55"/>
    <s v="Within SLA"/>
    <d v="2023-12-14T04:53:33"/>
    <x v="0"/>
    <d v="2023-12-13T08:00:06"/>
    <n v="8"/>
    <n v="4"/>
    <x v="2"/>
    <x v="0"/>
    <s v="Austria"/>
    <n v="47.696471899999999"/>
    <n v="13.3457347"/>
    <s v="ok"/>
    <s v="ok"/>
    <s v="check"/>
    <s v="ok"/>
    <s v="ok"/>
    <x v="0"/>
    <n v="46.667260277783498"/>
  </r>
  <r>
    <x v="2"/>
    <n v="3842"/>
    <x v="0"/>
    <x v="2"/>
    <x v="1"/>
    <s v="1st line support"/>
    <x v="2"/>
    <x v="2236"/>
    <d v="2023-12-13T00:10:31"/>
    <d v="2023-12-12T00:12:31"/>
    <d v="2023-12-12T00:10:36"/>
    <s v="Within SLA"/>
    <d v="2023-12-12T10:23:26"/>
    <x v="0"/>
    <m/>
    <n v="9"/>
    <m/>
    <x v="0"/>
    <x v="0"/>
    <s v="Republic of Ireland"/>
    <n v="53.094023999999997"/>
    <n v="-8.0196749999999994"/>
    <s v="ok"/>
    <s v="ok"/>
    <s v="ok"/>
    <s v="ok"/>
    <s v="ok"/>
    <x v="0"/>
    <n v="10.215250555600505"/>
  </r>
  <r>
    <x v="0"/>
    <n v="3843"/>
    <x v="2"/>
    <x v="0"/>
    <x v="2"/>
    <s v="2nd line support"/>
    <x v="1"/>
    <x v="2237"/>
    <d v="2023-12-15T08:49:29"/>
    <d v="2023-12-13T09:49:29"/>
    <d v="2023-12-13T09:04:25"/>
    <s v="Within SLA"/>
    <d v="2023-12-16T10:56:25"/>
    <x v="1"/>
    <d v="2023-12-17T23:28:04"/>
    <n v="2"/>
    <n v="4"/>
    <x v="0"/>
    <x v="1"/>
    <s v="Germany"/>
    <n v="51.165691000000002"/>
    <n v="10.451525999999999"/>
    <s v="ok"/>
    <s v="ok"/>
    <s v="ok"/>
    <s v="ok"/>
    <s v="ok"/>
    <x v="0"/>
    <n v="74.115475277707446"/>
  </r>
  <r>
    <x v="0"/>
    <n v="3844"/>
    <x v="1"/>
    <x v="0"/>
    <x v="1"/>
    <s v="1st line support"/>
    <x v="0"/>
    <x v="2238"/>
    <d v="2023-12-15T19:06:23"/>
    <d v="2023-12-13T20:06:23"/>
    <d v="2023-12-13T19:53:41"/>
    <s v="Within SLA"/>
    <d v="2023-12-15T02:17:55"/>
    <x v="0"/>
    <d v="2023-12-16T19:01:35"/>
    <n v="6"/>
    <n v="2"/>
    <x v="2"/>
    <x v="0"/>
    <s v="Germany"/>
    <n v="51.165691000000002"/>
    <n v="10.451525999999999"/>
    <s v="ok"/>
    <s v="ok"/>
    <s v="ok"/>
    <s v="ok"/>
    <s v="ok"/>
    <x v="0"/>
    <n v="31.19213750003837"/>
  </r>
  <r>
    <x v="0"/>
    <n v="3845"/>
    <x v="2"/>
    <x v="0"/>
    <x v="0"/>
    <s v="1st line support"/>
    <x v="4"/>
    <x v="2239"/>
    <d v="2023-12-15T18:00:56"/>
    <d v="2023-12-13T19:00:56"/>
    <d v="2023-12-13T18:23:57"/>
    <s v="Within SLA"/>
    <d v="2023-12-14T09:10:26"/>
    <x v="0"/>
    <d v="2023-12-15T00:52:05"/>
    <n v="1"/>
    <n v="5"/>
    <x v="2"/>
    <x v="0"/>
    <s v="Italy"/>
    <n v="43.036776000000003"/>
    <n v="12.678565000000001"/>
    <s v="ok"/>
    <s v="ok"/>
    <s v="ok"/>
    <s v="ok"/>
    <s v="ok"/>
    <x v="0"/>
    <n v="15.158206666703336"/>
  </r>
  <r>
    <x v="1"/>
    <n v="3846"/>
    <x v="1"/>
    <x v="0"/>
    <x v="2"/>
    <s v="1st line support"/>
    <x v="3"/>
    <x v="2240"/>
    <d v="2023-12-15T05:24:35"/>
    <d v="2023-12-13T06:24:35"/>
    <d v="2023-12-13T05:38:47"/>
    <s v="Within SLA"/>
    <m/>
    <x v="1"/>
    <m/>
    <n v="1"/>
    <m/>
    <x v="0"/>
    <x v="0"/>
    <s v="Italy"/>
    <n v="43.036776000000003"/>
    <n v="12.678565000000001"/>
    <s v="ok"/>
    <s v="ok"/>
    <s v="ok"/>
    <s v="ok"/>
    <s v="ok"/>
    <x v="1"/>
    <s v=""/>
  </r>
  <r>
    <x v="2"/>
    <n v="3847"/>
    <x v="2"/>
    <x v="0"/>
    <x v="3"/>
    <s v="2nd line support"/>
    <x v="5"/>
    <x v="2241"/>
    <d v="2023-12-15T10:53:21"/>
    <d v="2023-12-13T11:53:21"/>
    <d v="2023-12-13T11:18:28"/>
    <s v="Within SLA"/>
    <d v="2023-12-14T02:20:27"/>
    <x v="0"/>
    <m/>
    <n v="1"/>
    <m/>
    <x v="3"/>
    <x v="1"/>
    <s v="Slovenia"/>
    <n v="46.149166399999999"/>
    <n v="14.9860106"/>
    <s v="ok"/>
    <s v="ok"/>
    <s v="ok"/>
    <s v="ok"/>
    <s v="ok"/>
    <x v="0"/>
    <n v="15.45153388887411"/>
  </r>
  <r>
    <x v="0"/>
    <n v="3849"/>
    <x v="2"/>
    <x v="0"/>
    <x v="0"/>
    <s v="2nd line support"/>
    <x v="5"/>
    <x v="2242"/>
    <d v="2023-12-15T21:04:05"/>
    <d v="2023-12-13T22:04:05"/>
    <d v="2023-12-13T21:58:42"/>
    <s v="Within SLA"/>
    <d v="2023-12-14T02:43:16"/>
    <x v="0"/>
    <d v="2023-12-17T02:02:16"/>
    <n v="3"/>
    <n v="3"/>
    <x v="0"/>
    <x v="1"/>
    <s v="Germany"/>
    <n v="51.165691000000002"/>
    <n v="10.451525999999999"/>
    <s v="ok"/>
    <s v="ok"/>
    <s v="ok"/>
    <s v="ok"/>
    <s v="ok"/>
    <x v="0"/>
    <n v="5.6529688888695091"/>
  </r>
  <r>
    <x v="0"/>
    <n v="3850"/>
    <x v="0"/>
    <x v="2"/>
    <x v="3"/>
    <s v="1st line support"/>
    <x v="4"/>
    <x v="2243"/>
    <d v="2023-12-14T05:54:19"/>
    <d v="2023-12-13T05:56:19"/>
    <d v="2023-12-13T05:54:32"/>
    <s v="Within SLA"/>
    <d v="2023-12-13T09:05:22"/>
    <x v="0"/>
    <d v="2023-12-18T13:25:58"/>
    <n v="60"/>
    <n v="4"/>
    <x v="2"/>
    <x v="0"/>
    <s v="Poland"/>
    <n v="52.536273000000001"/>
    <n v="19.050639"/>
    <s v="ok"/>
    <s v="ok"/>
    <s v="ok"/>
    <s v="ok"/>
    <s v="ok"/>
    <x v="0"/>
    <n v="3.1842591666500084"/>
  </r>
  <r>
    <x v="2"/>
    <n v="3851"/>
    <x v="2"/>
    <x v="0"/>
    <x v="4"/>
    <s v="1st line support"/>
    <x v="4"/>
    <x v="2244"/>
    <d v="2023-12-15T09:15:55"/>
    <d v="2023-12-13T10:15:55"/>
    <d v="2023-12-13T09:39:51"/>
    <s v="Within SLA"/>
    <d v="2023-12-13T22:38:27"/>
    <x v="0"/>
    <m/>
    <n v="5"/>
    <m/>
    <x v="0"/>
    <x v="0"/>
    <s v="Czech Republic"/>
    <n v="49.8037633"/>
    <n v="15.4749126"/>
    <s v="ok"/>
    <s v="ok"/>
    <s v="ok"/>
    <s v="ok"/>
    <s v="ok"/>
    <x v="0"/>
    <n v="13.375507499906234"/>
  </r>
  <r>
    <x v="2"/>
    <n v="3852"/>
    <x v="2"/>
    <x v="0"/>
    <x v="1"/>
    <s v="1st line support"/>
    <x v="2"/>
    <x v="2245"/>
    <d v="2023-12-16T17:49:40"/>
    <d v="2023-12-14T18:49:40"/>
    <d v="2023-12-14T18:26:45"/>
    <s v="Within SLA"/>
    <d v="2023-12-15T01:58:23"/>
    <x v="0"/>
    <m/>
    <n v="8"/>
    <m/>
    <x v="3"/>
    <x v="0"/>
    <s v="United Kingdom"/>
    <n v="55.378051999999997"/>
    <n v="-3.4359730000000002"/>
    <s v="ok"/>
    <s v="ok"/>
    <s v="ok"/>
    <s v="ok"/>
    <s v="ok"/>
    <x v="0"/>
    <n v="8.145363055402413"/>
  </r>
  <r>
    <x v="0"/>
    <n v="3854"/>
    <x v="0"/>
    <x v="0"/>
    <x v="1"/>
    <s v="1st line support"/>
    <x v="6"/>
    <x v="2246"/>
    <d v="2023-12-16T04:06:46"/>
    <d v="2023-12-14T05:06:46"/>
    <d v="2023-12-14T05:00:34"/>
    <s v="Within SLA"/>
    <d v="2023-12-16T14:44:29"/>
    <x v="1"/>
    <d v="2023-12-18T10:39:29"/>
    <n v="3"/>
    <n v="1"/>
    <x v="1"/>
    <x v="0"/>
    <s v="Spain"/>
    <n v="39.673369999999998"/>
    <n v="-4.7677259999999997"/>
    <s v="ok"/>
    <s v="ok"/>
    <s v="ok"/>
    <s v="ok"/>
    <s v="ok"/>
    <x v="0"/>
    <n v="58.62868944456568"/>
  </r>
  <r>
    <x v="0"/>
    <n v="3855"/>
    <x v="0"/>
    <x v="2"/>
    <x v="0"/>
    <s v="1st line support"/>
    <x v="3"/>
    <x v="2247"/>
    <d v="2023-12-15T17:09:24"/>
    <d v="2023-12-14T17:11:24"/>
    <d v="2023-12-14T17:09:46"/>
    <s v="Within SLA"/>
    <d v="2023-12-16T11:23:29"/>
    <x v="1"/>
    <d v="2023-12-16T17:57:30"/>
    <n v="8"/>
    <n v="3"/>
    <x v="2"/>
    <x v="0"/>
    <s v="Spain"/>
    <n v="39.673369999999998"/>
    <n v="-4.7677259999999997"/>
    <s v="ok"/>
    <s v="ok"/>
    <s v="ok"/>
    <s v="ok"/>
    <s v="ok"/>
    <x v="0"/>
    <n v="42.234625555516686"/>
  </r>
  <r>
    <x v="0"/>
    <n v="3856"/>
    <x v="2"/>
    <x v="0"/>
    <x v="1"/>
    <s v="2nd line support"/>
    <x v="7"/>
    <x v="2248"/>
    <d v="2023-12-16T15:45:25"/>
    <d v="2023-12-14T16:45:25"/>
    <d v="2023-12-14T15:55:25"/>
    <s v="Within SLA"/>
    <d v="2023-12-15T10:49:45"/>
    <x v="0"/>
    <d v="2023-12-16T11:32:48"/>
    <n v="2"/>
    <n v="4"/>
    <x v="2"/>
    <x v="1"/>
    <s v="France"/>
    <n v="48.864716000000001"/>
    <n v="2.3490139999999999"/>
    <s v="ok"/>
    <s v="ok"/>
    <s v="ok"/>
    <s v="ok"/>
    <s v="ok"/>
    <x v="0"/>
    <n v="19.072302222135477"/>
  </r>
  <r>
    <x v="2"/>
    <n v="3857"/>
    <x v="2"/>
    <x v="2"/>
    <x v="5"/>
    <s v="2nd line support"/>
    <x v="1"/>
    <x v="2249"/>
    <d v="2023-12-15T15:07:48"/>
    <d v="2023-12-14T15:09:48"/>
    <d v="2023-12-14T15:08:41"/>
    <s v="Within SLA"/>
    <d v="2023-12-15T00:03:41"/>
    <x v="0"/>
    <m/>
    <n v="6"/>
    <m/>
    <x v="1"/>
    <x v="1"/>
    <s v="Slovenia"/>
    <n v="46.149166399999999"/>
    <n v="14.9860106"/>
    <s v="ok"/>
    <s v="ok"/>
    <s v="ok"/>
    <s v="ok"/>
    <s v="ok"/>
    <x v="0"/>
    <n v="8.9313666667439975"/>
  </r>
  <r>
    <x v="0"/>
    <n v="3858"/>
    <x v="2"/>
    <x v="2"/>
    <x v="4"/>
    <s v="1st line support"/>
    <x v="3"/>
    <x v="2250"/>
    <d v="2023-12-15T17:23:53"/>
    <d v="2023-12-14T17:25:53"/>
    <d v="2023-12-14T17:26:55"/>
    <s v="SLA Violated"/>
    <d v="2023-12-18T03:49:47"/>
    <x v="1"/>
    <d v="2023-12-18T05:25:06"/>
    <n v="8"/>
    <n v="5"/>
    <x v="2"/>
    <x v="0"/>
    <s v="Austria"/>
    <n v="47.696471899999999"/>
    <n v="13.3457347"/>
    <s v="ok"/>
    <s v="ok"/>
    <s v="ok"/>
    <s v="ok"/>
    <s v="ok"/>
    <x v="0"/>
    <n v="82.431568611063994"/>
  </r>
  <r>
    <x v="0"/>
    <n v="3860"/>
    <x v="0"/>
    <x v="0"/>
    <x v="3"/>
    <s v="1st line support"/>
    <x v="2"/>
    <x v="2251"/>
    <d v="2023-12-17T20:30:21"/>
    <d v="2023-12-15T21:30:21"/>
    <d v="2023-12-15T21:07:09"/>
    <s v="Within SLA"/>
    <d v="2023-12-15T22:37:56"/>
    <x v="0"/>
    <d v="2023-12-18T02:44:56"/>
    <n v="3"/>
    <n v="5"/>
    <x v="1"/>
    <x v="0"/>
    <s v="France"/>
    <n v="48.864716000000001"/>
    <n v="2.3490139999999999"/>
    <s v="ok"/>
    <s v="ok"/>
    <s v="ok"/>
    <s v="ok"/>
    <s v="ok"/>
    <x v="0"/>
    <n v="2.1262599999317899"/>
  </r>
  <r>
    <x v="3"/>
    <n v="3862"/>
    <x v="0"/>
    <x v="0"/>
    <x v="1"/>
    <s v="2nd line support"/>
    <x v="1"/>
    <x v="2252"/>
    <d v="2023-12-17T10:06:09"/>
    <d v="2023-12-15T11:06:09"/>
    <m/>
    <s v="SLA Violated"/>
    <m/>
    <x v="1"/>
    <m/>
    <m/>
    <m/>
    <x v="2"/>
    <x v="1"/>
    <s v="Slovenia"/>
    <n v="46.149166399999999"/>
    <n v="14.9860106"/>
    <s v="check"/>
    <s v="ok"/>
    <s v="ok"/>
    <s v="ok"/>
    <s v="no response"/>
    <x v="1"/>
    <s v=""/>
  </r>
  <r>
    <x v="1"/>
    <n v="3863"/>
    <x v="0"/>
    <x v="0"/>
    <x v="1"/>
    <s v="1st line support"/>
    <x v="2"/>
    <x v="2253"/>
    <d v="2023-12-17T13:19:40"/>
    <d v="2023-12-15T14:19:40"/>
    <d v="2023-12-15T13:46:30"/>
    <s v="Within SLA"/>
    <m/>
    <x v="1"/>
    <m/>
    <n v="4"/>
    <m/>
    <x v="2"/>
    <x v="0"/>
    <s v="Republic of Ireland"/>
    <n v="53.094023999999997"/>
    <n v="-8.0196749999999994"/>
    <s v="ok"/>
    <s v="ok"/>
    <s v="ok"/>
    <s v="ok"/>
    <s v="ok"/>
    <x v="1"/>
    <s v=""/>
  </r>
  <r>
    <x v="3"/>
    <n v="3870"/>
    <x v="0"/>
    <x v="0"/>
    <x v="0"/>
    <s v="2nd line support"/>
    <x v="1"/>
    <x v="2254"/>
    <d v="2023-12-18T06:13:16"/>
    <d v="2023-12-16T07:13:16"/>
    <m/>
    <s v="SLA Violated"/>
    <m/>
    <x v="1"/>
    <m/>
    <m/>
    <m/>
    <x v="0"/>
    <x v="1"/>
    <s v="Austria"/>
    <n v="47.696471899999999"/>
    <n v="13.3457347"/>
    <s v="check"/>
    <s v="ok"/>
    <s v="ok"/>
    <s v="ok"/>
    <s v="no response"/>
    <x v="1"/>
    <s v=""/>
  </r>
  <r>
    <x v="0"/>
    <n v="3871"/>
    <x v="0"/>
    <x v="2"/>
    <x v="1"/>
    <s v="1st line support"/>
    <x v="0"/>
    <x v="2255"/>
    <d v="2023-12-17T20:08:02"/>
    <d v="2023-12-16T20:10:02"/>
    <d v="2023-12-16T20:12:07"/>
    <s v="SLA Violated"/>
    <d v="2023-12-16T23:36:11"/>
    <x v="0"/>
    <d v="2023-12-22T09:44:27"/>
    <n v="60"/>
    <n v="3"/>
    <x v="0"/>
    <x v="0"/>
    <s v="Germany"/>
    <n v="51.165691000000002"/>
    <n v="10.451525999999999"/>
    <s v="ok"/>
    <s v="ok"/>
    <s v="ok"/>
    <s v="ok"/>
    <s v="ok"/>
    <x v="0"/>
    <n v="3.4690933334059082"/>
  </r>
  <r>
    <x v="0"/>
    <n v="3872"/>
    <x v="1"/>
    <x v="2"/>
    <x v="4"/>
    <s v="1st line support"/>
    <x v="2"/>
    <x v="2256"/>
    <d v="2023-12-18T21:01:13"/>
    <d v="2023-12-17T21:03:13"/>
    <d v="2023-12-17T21:02:49"/>
    <s v="Within SLA"/>
    <d v="2023-12-18T09:28:34"/>
    <x v="0"/>
    <d v="2023-12-24T10:32:12"/>
    <n v="6"/>
    <n v="1"/>
    <x v="0"/>
    <x v="0"/>
    <s v="United Kingdom"/>
    <n v="55.378051999999997"/>
    <n v="-3.4359730000000002"/>
    <s v="ok"/>
    <s v="ok"/>
    <s v="ok"/>
    <s v="ok"/>
    <s v="ok"/>
    <x v="0"/>
    <n v="12.455850277736317"/>
  </r>
  <r>
    <x v="0"/>
    <n v="3873"/>
    <x v="0"/>
    <x v="0"/>
    <x v="2"/>
    <s v="2nd line support"/>
    <x v="5"/>
    <x v="2257"/>
    <d v="2023-12-19T08:24:18"/>
    <d v="2023-12-17T09:24:18"/>
    <d v="2023-12-17T08:58:15"/>
    <s v="Within SLA"/>
    <d v="2023-12-18T11:16:45"/>
    <x v="0"/>
    <d v="2023-12-19T22:17:45"/>
    <n v="6"/>
    <n v="4"/>
    <x v="3"/>
    <x v="1"/>
    <s v="Slovenia"/>
    <n v="46.149166399999999"/>
    <n v="14.9860106"/>
    <s v="ok"/>
    <s v="ok"/>
    <s v="ok"/>
    <s v="ok"/>
    <s v="ok"/>
    <x v="0"/>
    <n v="26.874119999993127"/>
  </r>
  <r>
    <x v="1"/>
    <n v="3874"/>
    <x v="0"/>
    <x v="2"/>
    <x v="3"/>
    <s v="1st line support"/>
    <x v="0"/>
    <x v="2258"/>
    <d v="2023-12-18T03:40:04"/>
    <d v="2023-12-17T03:42:04"/>
    <d v="2023-12-17T03:41:03"/>
    <s v="Within SLA"/>
    <m/>
    <x v="1"/>
    <m/>
    <n v="5"/>
    <m/>
    <x v="1"/>
    <x v="0"/>
    <s v="Czech Republic"/>
    <n v="49.8037633"/>
    <n v="15.4749126"/>
    <s v="ok"/>
    <s v="ok"/>
    <s v="ok"/>
    <s v="ok"/>
    <s v="ok"/>
    <x v="1"/>
    <s v=""/>
  </r>
  <r>
    <x v="0"/>
    <n v="3880"/>
    <x v="0"/>
    <x v="2"/>
    <x v="4"/>
    <s v="1st line support"/>
    <x v="3"/>
    <x v="2259"/>
    <d v="2023-12-18T10:12:25"/>
    <d v="2023-12-17T10:14:25"/>
    <d v="2023-12-17T10:12:39"/>
    <s v="Within SLA"/>
    <d v="2023-12-22T01:45:36"/>
    <x v="1"/>
    <d v="2023-12-23T11:49:37"/>
    <n v="8"/>
    <n v="3"/>
    <x v="2"/>
    <x v="0"/>
    <s v="Republic of Ireland"/>
    <n v="53.094023999999997"/>
    <n v="-8.0196749999999994"/>
    <s v="ok"/>
    <s v="ok"/>
    <s v="ok"/>
    <s v="ok"/>
    <s v="ok"/>
    <x v="0"/>
    <n v="111.55316277779639"/>
  </r>
  <r>
    <x v="0"/>
    <n v="3881"/>
    <x v="1"/>
    <x v="2"/>
    <x v="0"/>
    <s v="1st line support"/>
    <x v="2"/>
    <x v="2260"/>
    <d v="2023-12-18T03:01:30"/>
    <d v="2023-12-17T03:03:30"/>
    <d v="2023-12-17T03:03:17"/>
    <s v="Within SLA"/>
    <d v="2023-12-17T07:59:43"/>
    <x v="0"/>
    <d v="2023-12-19T05:11:52"/>
    <n v="60"/>
    <n v="5"/>
    <x v="0"/>
    <x v="0"/>
    <s v="Germany"/>
    <n v="51.165691000000002"/>
    <n v="10.451525999999999"/>
    <s v="ok"/>
    <s v="ok"/>
    <s v="ok"/>
    <s v="ok"/>
    <s v="ok"/>
    <x v="0"/>
    <n v="4.9702072221552953"/>
  </r>
  <r>
    <x v="1"/>
    <n v="3882"/>
    <x v="0"/>
    <x v="1"/>
    <x v="0"/>
    <s v="1st line support"/>
    <x v="3"/>
    <x v="2261"/>
    <d v="2023-12-19T01:45:34"/>
    <d v="2023-12-17T01:47:34"/>
    <d v="2023-12-17T01:48:00"/>
    <s v="SLA Violated"/>
    <m/>
    <x v="1"/>
    <m/>
    <n v="4"/>
    <m/>
    <x v="0"/>
    <x v="0"/>
    <s v="Austria"/>
    <n v="47.696471899999999"/>
    <n v="13.3457347"/>
    <s v="ok"/>
    <s v="ok"/>
    <s v="ok"/>
    <s v="ok"/>
    <s v="ok"/>
    <x v="1"/>
    <s v=""/>
  </r>
  <r>
    <x v="2"/>
    <n v="3883"/>
    <x v="2"/>
    <x v="0"/>
    <x v="1"/>
    <s v="1st line support"/>
    <x v="0"/>
    <x v="2262"/>
    <d v="2023-12-19T22:44:09"/>
    <d v="2023-12-17T23:44:09"/>
    <d v="2023-12-17T23:03:11"/>
    <s v="Within SLA"/>
    <d v="2023-12-22T19:57:11"/>
    <x v="1"/>
    <m/>
    <n v="3"/>
    <m/>
    <x v="2"/>
    <x v="0"/>
    <s v="France"/>
    <n v="48.864716000000001"/>
    <n v="2.3490139999999999"/>
    <s v="ok"/>
    <s v="ok"/>
    <s v="ok"/>
    <s v="ok"/>
    <s v="ok"/>
    <x v="0"/>
    <n v="117.21717305568745"/>
  </r>
  <r>
    <x v="0"/>
    <n v="3884"/>
    <x v="0"/>
    <x v="1"/>
    <x v="2"/>
    <s v="1st line support"/>
    <x v="6"/>
    <x v="2263"/>
    <d v="2023-12-20T23:41:27"/>
    <d v="2023-12-18T23:43:27"/>
    <d v="2023-12-18T23:42:36"/>
    <s v="Within SLA"/>
    <d v="2023-12-19T05:37:52"/>
    <x v="0"/>
    <d v="2023-12-22T04:50:07"/>
    <n v="1"/>
    <n v="4"/>
    <x v="2"/>
    <x v="0"/>
    <s v="Czech Republic"/>
    <n v="49.8037633"/>
    <n v="15.4749126"/>
    <s v="ok"/>
    <s v="ok"/>
    <s v="ok"/>
    <s v="ok"/>
    <s v="ok"/>
    <x v="0"/>
    <n v="5.9402427777531557"/>
  </r>
  <r>
    <x v="1"/>
    <n v="3885"/>
    <x v="2"/>
    <x v="0"/>
    <x v="1"/>
    <s v="1st line support"/>
    <x v="4"/>
    <x v="2264"/>
    <d v="2023-12-20T08:45:38"/>
    <d v="2023-12-18T09:45:38"/>
    <d v="2023-12-18T09:02:40"/>
    <s v="Within SLA"/>
    <m/>
    <x v="1"/>
    <m/>
    <n v="2"/>
    <m/>
    <x v="3"/>
    <x v="0"/>
    <s v="Germany"/>
    <n v="51.165691000000002"/>
    <n v="10.451525999999999"/>
    <s v="ok"/>
    <s v="ok"/>
    <s v="ok"/>
    <s v="ok"/>
    <s v="ok"/>
    <x v="1"/>
    <s v=""/>
  </r>
  <r>
    <x v="1"/>
    <n v="3886"/>
    <x v="0"/>
    <x v="1"/>
    <x v="3"/>
    <s v="1st line support"/>
    <x v="3"/>
    <x v="2265"/>
    <d v="2023-12-20T06:00:25"/>
    <d v="2023-12-18T06:02:25"/>
    <d v="2023-12-18T06:01:39"/>
    <s v="Within SLA"/>
    <m/>
    <x v="1"/>
    <m/>
    <n v="6"/>
    <m/>
    <x v="0"/>
    <x v="0"/>
    <s v="Republic of Ireland"/>
    <n v="53.094023999999997"/>
    <n v="-8.0196749999999994"/>
    <s v="ok"/>
    <s v="ok"/>
    <s v="ok"/>
    <s v="ok"/>
    <s v="ok"/>
    <x v="1"/>
    <s v=""/>
  </r>
  <r>
    <x v="0"/>
    <n v="3887"/>
    <x v="2"/>
    <x v="0"/>
    <x v="5"/>
    <s v="1st line support"/>
    <x v="0"/>
    <x v="2266"/>
    <d v="2023-12-20T23:25:00"/>
    <d v="2023-12-19T00:25:00"/>
    <d v="2023-12-19T00:20:42"/>
    <s v="Within SLA"/>
    <d v="2023-12-19T03:42:14"/>
    <x v="0"/>
    <d v="2023-12-22T12:33:03"/>
    <n v="1"/>
    <n v="4"/>
    <x v="0"/>
    <x v="0"/>
    <s v="Germany"/>
    <n v="51.165691000000002"/>
    <n v="10.451525999999999"/>
    <s v="ok"/>
    <s v="ok"/>
    <s v="ok"/>
    <s v="ok"/>
    <s v="ok"/>
    <x v="0"/>
    <n v="4.2872427778202109"/>
  </r>
  <r>
    <x v="2"/>
    <n v="3888"/>
    <x v="2"/>
    <x v="1"/>
    <x v="3"/>
    <s v="1st line support"/>
    <x v="0"/>
    <x v="2267"/>
    <d v="2023-12-20T17:02:21"/>
    <d v="2023-12-18T17:04:21"/>
    <d v="2023-12-18T17:03:08"/>
    <s v="Within SLA"/>
    <d v="2023-12-20T07:06:03"/>
    <x v="0"/>
    <m/>
    <n v="4"/>
    <m/>
    <x v="3"/>
    <x v="0"/>
    <s v="Poland"/>
    <n v="52.536273000000001"/>
    <n v="19.050639"/>
    <s v="ok"/>
    <s v="ok"/>
    <s v="ok"/>
    <s v="ok"/>
    <s v="ok"/>
    <x v="0"/>
    <n v="38.061738055665046"/>
  </r>
  <r>
    <x v="0"/>
    <n v="3889"/>
    <x v="2"/>
    <x v="2"/>
    <x v="1"/>
    <s v="1st line support"/>
    <x v="4"/>
    <x v="2268"/>
    <d v="2023-12-19T17:25:51"/>
    <d v="2023-12-18T17:27:51"/>
    <d v="2023-12-18T17:27:44"/>
    <s v="Within SLA"/>
    <d v="2023-12-19T17:04:41"/>
    <x v="0"/>
    <d v="2023-12-20T09:08:29"/>
    <n v="5"/>
    <n v="4"/>
    <x v="3"/>
    <x v="0"/>
    <s v="United Kingdom"/>
    <n v="55.378051999999997"/>
    <n v="-3.4359730000000002"/>
    <s v="ok"/>
    <s v="ok"/>
    <s v="ok"/>
    <s v="ok"/>
    <s v="ok"/>
    <x v="0"/>
    <n v="23.647307500010356"/>
  </r>
  <r>
    <x v="0"/>
    <n v="3890"/>
    <x v="0"/>
    <x v="2"/>
    <x v="1"/>
    <s v="2nd line support"/>
    <x v="5"/>
    <x v="2269"/>
    <d v="2023-12-19T08:25:11"/>
    <d v="2023-12-18T08:27:11"/>
    <d v="2023-12-18T08:26:18"/>
    <s v="Within SLA"/>
    <d v="2023-12-18T14:19:28"/>
    <x v="0"/>
    <d v="2023-12-19T17:19:16"/>
    <n v="6"/>
    <n v="3"/>
    <x v="3"/>
    <x v="1"/>
    <s v="Slovenia"/>
    <n v="46.149166399999999"/>
    <n v="14.9860106"/>
    <s v="ok"/>
    <s v="ok"/>
    <s v="ok"/>
    <s v="ok"/>
    <s v="ok"/>
    <x v="0"/>
    <n v="5.9047222221270204"/>
  </r>
  <r>
    <x v="2"/>
    <n v="3891"/>
    <x v="0"/>
    <x v="0"/>
    <x v="5"/>
    <s v="1st line support"/>
    <x v="0"/>
    <x v="2270"/>
    <d v="2023-12-20T10:20:16"/>
    <d v="2023-12-18T11:20:16"/>
    <d v="2023-12-18T10:22:07"/>
    <s v="Within SLA"/>
    <d v="2023-12-22T22:32:31"/>
    <x v="1"/>
    <m/>
    <n v="2"/>
    <m/>
    <x v="0"/>
    <x v="0"/>
    <s v="Italy"/>
    <n v="43.036776000000003"/>
    <n v="12.678565000000001"/>
    <s v="ok"/>
    <s v="ok"/>
    <s v="ok"/>
    <s v="ok"/>
    <s v="ok"/>
    <x v="0"/>
    <n v="108.20422583335312"/>
  </r>
  <r>
    <x v="1"/>
    <n v="3892"/>
    <x v="2"/>
    <x v="0"/>
    <x v="1"/>
    <s v="2nd line support"/>
    <x v="1"/>
    <x v="2271"/>
    <d v="2023-12-20T13:29:29"/>
    <d v="2023-12-18T14:29:29"/>
    <d v="2023-12-18T13:52:40"/>
    <s v="Within SLA"/>
    <m/>
    <x v="1"/>
    <m/>
    <n v="3"/>
    <m/>
    <x v="2"/>
    <x v="1"/>
    <s v="Poland"/>
    <n v="52.536273000000001"/>
    <n v="19.050639"/>
    <s v="ok"/>
    <s v="ok"/>
    <s v="ok"/>
    <s v="ok"/>
    <s v="ok"/>
    <x v="1"/>
    <s v=""/>
  </r>
  <r>
    <x v="0"/>
    <n v="3893"/>
    <x v="2"/>
    <x v="2"/>
    <x v="1"/>
    <s v="1st line support"/>
    <x v="0"/>
    <x v="2272"/>
    <d v="2023-12-20T11:34:41"/>
    <d v="2023-12-19T11:36:41"/>
    <d v="2023-12-19T11:35:13"/>
    <s v="Within SLA"/>
    <d v="2023-12-22T07:48:26"/>
    <x v="1"/>
    <d v="2023-12-24T04:39:30"/>
    <n v="5"/>
    <n v="4"/>
    <x v="2"/>
    <x v="0"/>
    <s v="Slovenia"/>
    <n v="46.149166399999999"/>
    <n v="14.9860106"/>
    <s v="ok"/>
    <s v="ok"/>
    <s v="ok"/>
    <s v="ok"/>
    <s v="ok"/>
    <x v="0"/>
    <n v="68.229085000057239"/>
  </r>
  <r>
    <x v="2"/>
    <n v="3895"/>
    <x v="2"/>
    <x v="2"/>
    <x v="1"/>
    <s v="2nd line support"/>
    <x v="7"/>
    <x v="2273"/>
    <d v="2023-12-20T05:55:21"/>
    <d v="2023-12-19T05:57:21"/>
    <d v="2023-12-19T05:55:26"/>
    <s v="Within SLA"/>
    <d v="2023-12-19T12:29:43"/>
    <x v="0"/>
    <m/>
    <n v="6"/>
    <m/>
    <x v="0"/>
    <x v="1"/>
    <s v="France"/>
    <n v="48.864716000000001"/>
    <n v="2.3490139999999999"/>
    <s v="ok"/>
    <s v="ok"/>
    <s v="ok"/>
    <s v="ok"/>
    <s v="ok"/>
    <x v="0"/>
    <n v="6.5727102777455002"/>
  </r>
  <r>
    <x v="2"/>
    <n v="3898"/>
    <x v="0"/>
    <x v="2"/>
    <x v="3"/>
    <s v="2nd line support"/>
    <x v="1"/>
    <x v="2274"/>
    <d v="2023-12-20T05:13:51"/>
    <d v="2023-12-19T05:15:51"/>
    <d v="2023-12-19T05:14:16"/>
    <s v="Within SLA"/>
    <d v="2023-12-22T17:41:42"/>
    <x v="1"/>
    <m/>
    <n v="5"/>
    <m/>
    <x v="3"/>
    <x v="1"/>
    <s v="Italy"/>
    <n v="43.036776000000003"/>
    <n v="12.678565000000001"/>
    <s v="ok"/>
    <s v="ok"/>
    <s v="ok"/>
    <s v="ok"/>
    <s v="ok"/>
    <x v="0"/>
    <n v="84.464230833342299"/>
  </r>
  <r>
    <x v="0"/>
    <n v="3900"/>
    <x v="0"/>
    <x v="2"/>
    <x v="1"/>
    <s v="1st line support"/>
    <x v="3"/>
    <x v="2275"/>
    <d v="2023-12-20T00:47:28"/>
    <d v="2023-12-19T00:49:28"/>
    <d v="2023-12-19T00:48:51"/>
    <s v="Within SLA"/>
    <d v="2023-12-19T11:02:37"/>
    <x v="0"/>
    <d v="2023-12-23T21:14:47"/>
    <n v="5"/>
    <n v="3"/>
    <x v="0"/>
    <x v="0"/>
    <s v="France"/>
    <n v="48.864716000000001"/>
    <n v="2.3490139999999999"/>
    <s v="ok"/>
    <s v="ok"/>
    <s v="ok"/>
    <s v="ok"/>
    <s v="ok"/>
    <x v="0"/>
    <n v="10.252471666666679"/>
  </r>
  <r>
    <x v="2"/>
    <n v="3901"/>
    <x v="0"/>
    <x v="0"/>
    <x v="2"/>
    <s v="1st line support"/>
    <x v="0"/>
    <x v="2276"/>
    <d v="2023-12-21T19:57:37"/>
    <d v="2023-12-19T20:57:37"/>
    <d v="2023-12-19T20:34:37"/>
    <s v="Within SLA"/>
    <d v="2023-12-20T10:22:34"/>
    <x v="0"/>
    <m/>
    <n v="2"/>
    <m/>
    <x v="2"/>
    <x v="0"/>
    <s v="Republic of Ireland"/>
    <n v="53.094023999999997"/>
    <n v="-8.0196749999999994"/>
    <s v="ok"/>
    <s v="ok"/>
    <s v="ok"/>
    <s v="ok"/>
    <s v="ok"/>
    <x v="0"/>
    <n v="14.415810555510689"/>
  </r>
  <r>
    <x v="0"/>
    <n v="3902"/>
    <x v="2"/>
    <x v="0"/>
    <x v="1"/>
    <s v="2nd line support"/>
    <x v="5"/>
    <x v="2277"/>
    <d v="2023-12-21T23:05:20"/>
    <d v="2023-12-20T00:05:20"/>
    <d v="2023-12-19T23:35:08"/>
    <s v="Within SLA"/>
    <d v="2023-12-21T20:42:00"/>
    <x v="0"/>
    <d v="2023-12-24T10:51:41"/>
    <n v="9"/>
    <n v="4"/>
    <x v="0"/>
    <x v="1"/>
    <s v="Italy"/>
    <n v="43.036776000000003"/>
    <n v="12.678565000000001"/>
    <s v="ok"/>
    <s v="ok"/>
    <s v="ok"/>
    <s v="ok"/>
    <s v="ok"/>
    <x v="0"/>
    <n v="45.6111461109831"/>
  </r>
  <r>
    <x v="3"/>
    <n v="3903"/>
    <x v="1"/>
    <x v="0"/>
    <x v="4"/>
    <s v="1st line support"/>
    <x v="3"/>
    <x v="2278"/>
    <d v="2023-12-21T08:47:16"/>
    <d v="2023-12-19T09:47:16"/>
    <m/>
    <s v="SLA Violated"/>
    <m/>
    <x v="1"/>
    <m/>
    <m/>
    <m/>
    <x v="2"/>
    <x v="0"/>
    <s v="United Kingdom"/>
    <n v="55.378051999999997"/>
    <n v="-3.4359730000000002"/>
    <s v="check"/>
    <s v="ok"/>
    <s v="ok"/>
    <s v="ok"/>
    <s v="no response"/>
    <x v="1"/>
    <s v=""/>
  </r>
  <r>
    <x v="2"/>
    <n v="3904"/>
    <x v="0"/>
    <x v="0"/>
    <x v="1"/>
    <s v="1st line support"/>
    <x v="2"/>
    <x v="2279"/>
    <d v="2023-12-21T05:32:23"/>
    <d v="2023-12-19T06:32:23"/>
    <d v="2023-12-19T05:44:22"/>
    <s v="Within SLA"/>
    <d v="2023-12-20T06:46:46"/>
    <x v="0"/>
    <m/>
    <n v="6"/>
    <m/>
    <x v="1"/>
    <x v="0"/>
    <s v="Poland"/>
    <n v="52.536273000000001"/>
    <n v="19.050639"/>
    <s v="ok"/>
    <s v="ok"/>
    <s v="ok"/>
    <s v="ok"/>
    <s v="ok"/>
    <x v="0"/>
    <n v="25.239731666631997"/>
  </r>
  <r>
    <x v="2"/>
    <n v="3905"/>
    <x v="0"/>
    <x v="0"/>
    <x v="6"/>
    <s v="2nd line support"/>
    <x v="7"/>
    <x v="2280"/>
    <d v="2023-12-22T03:14:23"/>
    <d v="2023-12-20T04:14:23"/>
    <d v="2023-12-20T10:03:37"/>
    <s v="SLA Violated"/>
    <d v="2023-12-21T01:19:12"/>
    <x v="0"/>
    <m/>
    <n v="7"/>
    <m/>
    <x v="3"/>
    <x v="1"/>
    <s v="Poland"/>
    <n v="52.536273000000001"/>
    <n v="19.050639"/>
    <s v="ok"/>
    <s v="ok"/>
    <s v="ok"/>
    <s v="ok"/>
    <s v="ok"/>
    <x v="0"/>
    <n v="22.08029361104127"/>
  </r>
  <r>
    <x v="0"/>
    <n v="3906"/>
    <x v="0"/>
    <x v="2"/>
    <x v="3"/>
    <s v="2nd line support"/>
    <x v="7"/>
    <x v="2281"/>
    <d v="2023-12-21T06:19:31"/>
    <d v="2023-12-20T06:21:31"/>
    <d v="2023-12-20T06:22:35"/>
    <s v="SLA Violated"/>
    <d v="2023-12-20T10:17:19"/>
    <x v="0"/>
    <d v="2023-12-21T10:31:48"/>
    <n v="2"/>
    <n v="5"/>
    <x v="2"/>
    <x v="1"/>
    <s v="Italy"/>
    <n v="43.036776000000003"/>
    <n v="12.678565000000001"/>
    <s v="ok"/>
    <s v="ok"/>
    <s v="ok"/>
    <s v="ok"/>
    <s v="ok"/>
    <x v="0"/>
    <n v="3.9631949999020435"/>
  </r>
  <r>
    <x v="3"/>
    <n v="3907"/>
    <x v="0"/>
    <x v="0"/>
    <x v="4"/>
    <s v="1st line support"/>
    <x v="6"/>
    <x v="2282"/>
    <d v="2023-12-22T22:08:52"/>
    <d v="2023-12-20T23:08:52"/>
    <m/>
    <s v="SLA Violated"/>
    <m/>
    <x v="1"/>
    <m/>
    <m/>
    <m/>
    <x v="2"/>
    <x v="0"/>
    <s v="Italy"/>
    <n v="43.036776000000003"/>
    <n v="12.678565000000001"/>
    <s v="check"/>
    <s v="ok"/>
    <s v="ok"/>
    <s v="ok"/>
    <s v="no response"/>
    <x v="1"/>
    <s v=""/>
  </r>
  <r>
    <x v="2"/>
    <n v="3908"/>
    <x v="1"/>
    <x v="0"/>
    <x v="3"/>
    <s v="1st line support"/>
    <x v="0"/>
    <x v="2283"/>
    <d v="2023-12-22T18:03:42"/>
    <d v="2023-12-20T19:03:42"/>
    <d v="2023-12-20T18:44:07"/>
    <s v="Within SLA"/>
    <d v="2023-12-22T12:43:57"/>
    <x v="0"/>
    <m/>
    <n v="10"/>
    <m/>
    <x v="3"/>
    <x v="0"/>
    <s v="Poland"/>
    <n v="52.536273000000001"/>
    <n v="19.050639"/>
    <s v="ok"/>
    <s v="ok"/>
    <s v="ok"/>
    <s v="ok"/>
    <s v="ok"/>
    <x v="0"/>
    <n v="42.670883888960816"/>
  </r>
  <r>
    <x v="2"/>
    <n v="3909"/>
    <x v="0"/>
    <x v="2"/>
    <x v="3"/>
    <s v="1st line support"/>
    <x v="0"/>
    <x v="2284"/>
    <d v="2023-12-21T02:51:25"/>
    <d v="2023-12-20T02:53:25"/>
    <d v="2023-12-20T02:52:57"/>
    <s v="Within SLA"/>
    <d v="2023-12-24T18:54:03"/>
    <x v="1"/>
    <m/>
    <n v="5"/>
    <m/>
    <x v="2"/>
    <x v="0"/>
    <s v="Republic of Ireland"/>
    <n v="53.094023999999997"/>
    <n v="-8.0196749999999994"/>
    <s v="ok"/>
    <s v="ok"/>
    <s v="ok"/>
    <s v="ok"/>
    <s v="ok"/>
    <x v="0"/>
    <n v="112.04393444443122"/>
  </r>
  <r>
    <x v="0"/>
    <n v="3910"/>
    <x v="0"/>
    <x v="2"/>
    <x v="3"/>
    <s v="1st line support"/>
    <x v="2"/>
    <x v="2285"/>
    <d v="2023-12-21T23:24:36"/>
    <d v="2023-12-20T23:26:36"/>
    <d v="2023-12-20T23:29:54"/>
    <s v="SLA Violated"/>
    <d v="2023-12-25T09:22:07"/>
    <x v="1"/>
    <d v="2023-12-25T12:13:17"/>
    <n v="6"/>
    <n v="1"/>
    <x v="1"/>
    <x v="0"/>
    <s v="Slovenia"/>
    <n v="46.149166399999999"/>
    <n v="14.9860106"/>
    <s v="ok"/>
    <s v="ok"/>
    <s v="ok"/>
    <s v="ok"/>
    <s v="ok"/>
    <x v="0"/>
    <n v="105.95855444442714"/>
  </r>
  <r>
    <x v="1"/>
    <n v="3911"/>
    <x v="0"/>
    <x v="2"/>
    <x v="0"/>
    <s v="1st line support"/>
    <x v="6"/>
    <x v="2286"/>
    <d v="2023-12-21T12:04:35"/>
    <d v="2023-12-20T12:06:35"/>
    <d v="2023-12-20T12:04:42"/>
    <s v="Within SLA"/>
    <m/>
    <x v="1"/>
    <m/>
    <n v="2"/>
    <m/>
    <x v="2"/>
    <x v="0"/>
    <s v="Greece"/>
    <n v="39.368279000000001"/>
    <n v="21.863140999999999"/>
    <s v="ok"/>
    <s v="ok"/>
    <s v="ok"/>
    <s v="ok"/>
    <s v="ok"/>
    <x v="1"/>
    <s v=""/>
  </r>
  <r>
    <x v="2"/>
    <n v="3912"/>
    <x v="0"/>
    <x v="1"/>
    <x v="3"/>
    <s v="1st line support"/>
    <x v="0"/>
    <x v="2287"/>
    <d v="2023-12-22T19:52:48"/>
    <d v="2023-12-20T19:54:48"/>
    <d v="2023-12-20T19:52:56"/>
    <s v="Within SLA"/>
    <d v="2023-12-21T02:53:08"/>
    <x v="0"/>
    <m/>
    <n v="5"/>
    <m/>
    <x v="3"/>
    <x v="0"/>
    <s v="Poland"/>
    <n v="52.536273000000001"/>
    <n v="19.050639"/>
    <s v="ok"/>
    <s v="ok"/>
    <s v="ok"/>
    <s v="ok"/>
    <s v="ok"/>
    <x v="0"/>
    <n v="7.0055511112441309"/>
  </r>
  <r>
    <x v="0"/>
    <n v="3913"/>
    <x v="1"/>
    <x v="2"/>
    <x v="1"/>
    <s v="2nd line support"/>
    <x v="7"/>
    <x v="2288"/>
    <d v="2023-12-22T15:58:23"/>
    <d v="2023-12-21T16:00:23"/>
    <d v="2023-12-21T15:59:37"/>
    <s v="Within SLA"/>
    <d v="2023-12-22T08:41:46"/>
    <x v="0"/>
    <d v="2023-12-28T07:18:39"/>
    <n v="6"/>
    <n v="3"/>
    <x v="0"/>
    <x v="1"/>
    <s v="Germany"/>
    <n v="51.165691000000002"/>
    <n v="10.451525999999999"/>
    <s v="ok"/>
    <s v="ok"/>
    <s v="ok"/>
    <s v="ok"/>
    <s v="ok"/>
    <x v="0"/>
    <n v="16.723062777891755"/>
  </r>
  <r>
    <x v="3"/>
    <n v="3914"/>
    <x v="2"/>
    <x v="0"/>
    <x v="1"/>
    <s v="1st line support"/>
    <x v="6"/>
    <x v="2289"/>
    <d v="2023-12-23T20:19:02"/>
    <d v="2023-12-21T21:19:02"/>
    <m/>
    <s v="SLA Violated"/>
    <m/>
    <x v="1"/>
    <m/>
    <m/>
    <m/>
    <x v="3"/>
    <x v="0"/>
    <s v="Czech Republic"/>
    <n v="49.8037633"/>
    <n v="15.4749126"/>
    <s v="check"/>
    <s v="ok"/>
    <s v="ok"/>
    <s v="ok"/>
    <s v="no response"/>
    <x v="1"/>
    <s v=""/>
  </r>
  <r>
    <x v="0"/>
    <n v="3915"/>
    <x v="1"/>
    <x v="0"/>
    <x v="5"/>
    <s v="1st line support"/>
    <x v="4"/>
    <x v="2290"/>
    <d v="2023-12-23T20:46:12"/>
    <d v="2023-12-21T21:46:12"/>
    <d v="2023-12-21T21:34:51"/>
    <s v="Within SLA"/>
    <d v="2023-12-22T00:38:41"/>
    <x v="0"/>
    <d v="2023-12-23T21:44:18"/>
    <n v="2"/>
    <n v="4"/>
    <x v="2"/>
    <x v="0"/>
    <s v="Italy"/>
    <n v="43.036776000000003"/>
    <n v="12.678565000000001"/>
    <s v="ok"/>
    <s v="ok"/>
    <s v="ok"/>
    <s v="ok"/>
    <s v="ok"/>
    <x v="0"/>
    <n v="3.8746433333144523"/>
  </r>
  <r>
    <x v="0"/>
    <n v="3916"/>
    <x v="2"/>
    <x v="0"/>
    <x v="4"/>
    <s v="1st line support"/>
    <x v="4"/>
    <x v="2291"/>
    <d v="2023-12-23T09:23:15"/>
    <d v="2023-12-21T10:23:15"/>
    <d v="2023-12-21T09:52:34"/>
    <s v="Within SLA"/>
    <d v="2023-12-26T18:00:51"/>
    <x v="1"/>
    <d v="2023-12-27T22:14:35"/>
    <n v="1"/>
    <n v="3"/>
    <x v="3"/>
    <x v="0"/>
    <s v="Germany"/>
    <n v="51.165691000000002"/>
    <n v="10.451525999999999"/>
    <s v="ok"/>
    <s v="ok"/>
    <s v="ok"/>
    <s v="ok"/>
    <s v="ok"/>
    <x v="0"/>
    <n v="128.62657111109002"/>
  </r>
  <r>
    <x v="2"/>
    <n v="3917"/>
    <x v="2"/>
    <x v="2"/>
    <x v="2"/>
    <s v="1st line support"/>
    <x v="2"/>
    <x v="2292"/>
    <d v="2023-12-22T18:53:16"/>
    <d v="2023-12-21T18:55:16"/>
    <d v="2023-12-21T18:53:53"/>
    <s v="Within SLA"/>
    <d v="2023-12-22T08:13:13"/>
    <x v="0"/>
    <m/>
    <n v="2"/>
    <m/>
    <x v="1"/>
    <x v="0"/>
    <s v="United Kingdom"/>
    <n v="55.378051999999997"/>
    <n v="-3.4359730000000002"/>
    <s v="ok"/>
    <s v="ok"/>
    <s v="ok"/>
    <s v="ok"/>
    <s v="ok"/>
    <x v="0"/>
    <n v="13.332561111019459"/>
  </r>
  <r>
    <x v="0"/>
    <n v="3918"/>
    <x v="0"/>
    <x v="2"/>
    <x v="1"/>
    <s v="2nd line support"/>
    <x v="1"/>
    <x v="2293"/>
    <d v="2023-12-23T08:37:49"/>
    <d v="2023-12-22T08:39:49"/>
    <d v="2023-12-22T08:38:31"/>
    <s v="Within SLA"/>
    <d v="2023-12-22T14:11:58"/>
    <x v="0"/>
    <d v="2023-12-23T11:17:04"/>
    <n v="2"/>
    <n v="3"/>
    <x v="2"/>
    <x v="1"/>
    <s v="Slovenia"/>
    <n v="46.149166399999999"/>
    <n v="14.9860106"/>
    <s v="ok"/>
    <s v="ok"/>
    <s v="ok"/>
    <s v="ok"/>
    <s v="ok"/>
    <x v="0"/>
    <n v="5.5692716666380875"/>
  </r>
  <r>
    <x v="0"/>
    <n v="3919"/>
    <x v="0"/>
    <x v="2"/>
    <x v="0"/>
    <s v="1st line support"/>
    <x v="2"/>
    <x v="2294"/>
    <d v="2023-12-23T04:43:16"/>
    <d v="2023-12-22T04:45:16"/>
    <d v="2023-12-22T04:43:27"/>
    <s v="Within SLA"/>
    <d v="2023-12-25T21:26:48"/>
    <x v="1"/>
    <d v="2023-12-26T09:22:05"/>
    <n v="5"/>
    <n v="5"/>
    <x v="0"/>
    <x v="0"/>
    <s v="Slovenia"/>
    <n v="46.149166399999999"/>
    <n v="14.9860106"/>
    <s v="ok"/>
    <s v="ok"/>
    <s v="ok"/>
    <s v="ok"/>
    <s v="ok"/>
    <x v="0"/>
    <n v="88.725492222234607"/>
  </r>
  <r>
    <x v="2"/>
    <n v="3920"/>
    <x v="2"/>
    <x v="1"/>
    <x v="1"/>
    <s v="1st line support"/>
    <x v="0"/>
    <x v="2295"/>
    <d v="2023-12-24T15:36:22"/>
    <d v="2023-12-22T15:38:22"/>
    <d v="2023-12-22T15:37:12"/>
    <s v="Within SLA"/>
    <d v="2023-12-23T02:31:56"/>
    <x v="0"/>
    <m/>
    <n v="7"/>
    <m/>
    <x v="2"/>
    <x v="0"/>
    <s v="Bulgaria"/>
    <n v="42.724992499999999"/>
    <n v="25.483303899999999"/>
    <s v="ok"/>
    <s v="ok"/>
    <s v="ok"/>
    <s v="ok"/>
    <s v="ok"/>
    <x v="0"/>
    <n v="10.926141944364645"/>
  </r>
  <r>
    <x v="2"/>
    <n v="3921"/>
    <x v="1"/>
    <x v="0"/>
    <x v="5"/>
    <s v="2nd line support"/>
    <x v="7"/>
    <x v="2296"/>
    <d v="2023-12-24T02:52:27"/>
    <d v="2023-12-22T03:52:27"/>
    <d v="2023-12-22T03:02:51"/>
    <s v="Within SLA"/>
    <d v="2023-12-22T17:27:11"/>
    <x v="0"/>
    <m/>
    <n v="2"/>
    <m/>
    <x v="2"/>
    <x v="1"/>
    <s v="Italy"/>
    <n v="43.036776000000003"/>
    <n v="12.678565000000001"/>
    <s v="ok"/>
    <s v="ok"/>
    <s v="ok"/>
    <s v="ok"/>
    <s v="ok"/>
    <x v="0"/>
    <n v="14.578811111161485"/>
  </r>
  <r>
    <x v="0"/>
    <n v="3922"/>
    <x v="0"/>
    <x v="2"/>
    <x v="0"/>
    <s v="1st line support"/>
    <x v="2"/>
    <x v="2297"/>
    <d v="2023-12-23T13:17:01"/>
    <d v="2023-12-22T13:19:01"/>
    <d v="2023-12-22T13:17:39"/>
    <s v="Within SLA"/>
    <d v="2023-12-28T12:58:08"/>
    <x v="1"/>
    <d v="2023-12-29T19:25:45"/>
    <n v="5"/>
    <n v="3"/>
    <x v="2"/>
    <x v="0"/>
    <s v="Germany"/>
    <n v="51.165691000000002"/>
    <n v="10.451525999999999"/>
    <s v="ok"/>
    <s v="ok"/>
    <s v="ok"/>
    <s v="ok"/>
    <s v="ok"/>
    <x v="0"/>
    <n v="143.68531388888368"/>
  </r>
  <r>
    <x v="2"/>
    <n v="3923"/>
    <x v="0"/>
    <x v="2"/>
    <x v="1"/>
    <s v="1st line support"/>
    <x v="4"/>
    <x v="2298"/>
    <d v="2023-12-23T13:30:59"/>
    <d v="2023-12-22T13:32:59"/>
    <d v="2023-12-22T13:31:20"/>
    <s v="Within SLA"/>
    <d v="2023-12-24T23:42:52"/>
    <x v="1"/>
    <m/>
    <n v="8"/>
    <m/>
    <x v="2"/>
    <x v="0"/>
    <s v="Czech Republic"/>
    <n v="49.8037633"/>
    <n v="15.4749126"/>
    <s v="ok"/>
    <s v="ok"/>
    <s v="ok"/>
    <s v="ok"/>
    <s v="ok"/>
    <x v="0"/>
    <n v="58.198108055570628"/>
  </r>
  <r>
    <x v="0"/>
    <n v="3924"/>
    <x v="2"/>
    <x v="0"/>
    <x v="0"/>
    <s v="1st line support"/>
    <x v="3"/>
    <x v="2299"/>
    <d v="2023-12-24T17:12:34"/>
    <d v="2023-12-22T18:12:34"/>
    <d v="2023-12-22T17:51:35"/>
    <s v="Within SLA"/>
    <d v="2023-12-23T15:17:19"/>
    <x v="0"/>
    <d v="2023-12-26T06:18:56"/>
    <n v="3"/>
    <n v="5"/>
    <x v="2"/>
    <x v="0"/>
    <s v="France"/>
    <n v="48.864716000000001"/>
    <n v="2.3490139999999999"/>
    <s v="ok"/>
    <s v="ok"/>
    <s v="ok"/>
    <s v="ok"/>
    <s v="ok"/>
    <x v="0"/>
    <n v="22.07923361111898"/>
  </r>
  <r>
    <x v="0"/>
    <n v="3925"/>
    <x v="0"/>
    <x v="0"/>
    <x v="1"/>
    <s v="1st line support"/>
    <x v="4"/>
    <x v="2300"/>
    <d v="2023-12-24T22:04:33"/>
    <d v="2023-12-22T23:04:33"/>
    <d v="2023-12-22T22:40:04"/>
    <s v="Within SLA"/>
    <d v="2023-12-22T22:40:29"/>
    <x v="0"/>
    <d v="2023-12-24T19:21:46"/>
    <n v="3"/>
    <n v="4"/>
    <x v="2"/>
    <x v="0"/>
    <s v="Germany"/>
    <n v="51.165691000000002"/>
    <n v="10.451525999999999"/>
    <s v="ok"/>
    <s v="ok"/>
    <s v="ok"/>
    <s v="ok"/>
    <s v="ok"/>
    <x v="0"/>
    <n v="0.5988630554638803"/>
  </r>
  <r>
    <x v="0"/>
    <n v="3926"/>
    <x v="0"/>
    <x v="0"/>
    <x v="1"/>
    <s v="1st line support"/>
    <x v="2"/>
    <x v="2301"/>
    <d v="2023-12-24T07:38:22"/>
    <d v="2023-12-22T08:38:22"/>
    <d v="2023-12-22T08:27:21"/>
    <s v="Within SLA"/>
    <d v="2023-12-23T09:42:15"/>
    <x v="0"/>
    <d v="2023-12-26T02:25:59"/>
    <n v="1"/>
    <n v="5"/>
    <x v="1"/>
    <x v="0"/>
    <s v="Bulgaria"/>
    <n v="42.724992499999999"/>
    <n v="25.483303899999999"/>
    <s v="ok"/>
    <s v="ok"/>
    <s v="ok"/>
    <s v="ok"/>
    <s v="ok"/>
    <x v="0"/>
    <n v="26.064765277784318"/>
  </r>
  <r>
    <x v="0"/>
    <n v="3927"/>
    <x v="0"/>
    <x v="0"/>
    <x v="2"/>
    <s v="1st line support"/>
    <x v="2"/>
    <x v="2302"/>
    <d v="2023-12-24T11:16:19"/>
    <d v="2023-12-22T12:16:19"/>
    <d v="2023-12-22T11:50:51"/>
    <s v="Within SLA"/>
    <d v="2023-12-23T02:27:36"/>
    <x v="0"/>
    <d v="2023-12-29T00:45:40"/>
    <n v="6"/>
    <n v="4"/>
    <x v="2"/>
    <x v="0"/>
    <s v="Germany"/>
    <n v="51.165691000000002"/>
    <n v="10.451525999999999"/>
    <s v="ok"/>
    <s v="ok"/>
    <s v="ok"/>
    <s v="ok"/>
    <s v="ok"/>
    <x v="0"/>
    <n v="15.188105277658906"/>
  </r>
  <r>
    <x v="2"/>
    <n v="3928"/>
    <x v="2"/>
    <x v="0"/>
    <x v="0"/>
    <s v="1st line support"/>
    <x v="3"/>
    <x v="2303"/>
    <d v="2023-12-25T09:16:43"/>
    <d v="2023-12-23T10:16:43"/>
    <d v="2023-12-23T09:21:00"/>
    <s v="Within SLA"/>
    <d v="2023-12-24T13:55:14"/>
    <x v="0"/>
    <m/>
    <n v="3"/>
    <m/>
    <x v="1"/>
    <x v="0"/>
    <s v="Czech Republic"/>
    <n v="49.8037633"/>
    <n v="15.4749126"/>
    <s v="ok"/>
    <s v="ok"/>
    <s v="ok"/>
    <s v="ok"/>
    <s v="ok"/>
    <x v="0"/>
    <n v="28.641846944403369"/>
  </r>
  <r>
    <x v="0"/>
    <n v="3929"/>
    <x v="2"/>
    <x v="2"/>
    <x v="2"/>
    <s v="1st line support"/>
    <x v="0"/>
    <x v="2304"/>
    <d v="2023-12-24T00:25:38"/>
    <d v="2023-12-23T00:27:38"/>
    <d v="2023-12-23T00:25:46"/>
    <s v="Within SLA"/>
    <d v="2023-12-23T15:42:40"/>
    <x v="0"/>
    <d v="2023-12-23T14:10:53"/>
    <n v="6"/>
    <n v="4"/>
    <x v="2"/>
    <x v="0"/>
    <s v="United Kingdom"/>
    <n v="55.378051999999997"/>
    <n v="-3.4359730000000002"/>
    <s v="ok"/>
    <s v="ok"/>
    <s v="check"/>
    <s v="ok"/>
    <s v="ok"/>
    <x v="0"/>
    <n v="15.28392944438383"/>
  </r>
  <r>
    <x v="0"/>
    <n v="3930"/>
    <x v="1"/>
    <x v="2"/>
    <x v="0"/>
    <s v="2nd line support"/>
    <x v="5"/>
    <x v="2305"/>
    <d v="2023-12-24T04:29:19"/>
    <d v="2023-12-23T04:31:19"/>
    <d v="2023-12-23T04:30:53"/>
    <s v="Within SLA"/>
    <d v="2023-12-25T09:21:42"/>
    <x v="1"/>
    <d v="2023-12-26T14:55:26"/>
    <n v="4"/>
    <n v="2"/>
    <x v="1"/>
    <x v="1"/>
    <s v="Republic of Ireland"/>
    <n v="53.094023999999997"/>
    <n v="-8.0196749999999994"/>
    <s v="ok"/>
    <s v="ok"/>
    <s v="ok"/>
    <s v="ok"/>
    <s v="ok"/>
    <x v="0"/>
    <n v="52.873119444411714"/>
  </r>
  <r>
    <x v="2"/>
    <n v="3965"/>
    <x v="2"/>
    <x v="2"/>
    <x v="3"/>
    <s v="1st line support"/>
    <x v="3"/>
    <x v="2306"/>
    <d v="2023-12-28T15:48:43"/>
    <d v="2023-12-27T15:50:43"/>
    <d v="2023-12-27T15:49:37"/>
    <s v="Within SLA"/>
    <d v="2023-12-28T09:28:00"/>
    <x v="0"/>
    <m/>
    <n v="8"/>
    <m/>
    <x v="2"/>
    <x v="0"/>
    <s v="Republic of Ireland"/>
    <n v="53.094023999999997"/>
    <n v="-8.0196749999999994"/>
    <s v="ok"/>
    <s v="ok"/>
    <s v="ok"/>
    <s v="ok"/>
    <s v="ok"/>
    <x v="0"/>
    <n v="17.654661944427062"/>
  </r>
  <r>
    <x v="2"/>
    <n v="3966"/>
    <x v="1"/>
    <x v="0"/>
    <x v="5"/>
    <s v="1st line support"/>
    <x v="6"/>
    <x v="2307"/>
    <d v="2023-12-29T11:10:03"/>
    <d v="2023-12-27T12:10:03"/>
    <d v="2023-12-27T12:08:55"/>
    <s v="Within SLA"/>
    <d v="2024-01-01T12:19:06"/>
    <x v="1"/>
    <m/>
    <n v="7"/>
    <m/>
    <x v="0"/>
    <x v="0"/>
    <s v="Germany"/>
    <n v="51.165691000000002"/>
    <n v="10.451525999999999"/>
    <s v="ok"/>
    <s v="ok"/>
    <s v="ok"/>
    <s v="ok"/>
    <s v="ok"/>
    <x v="0"/>
    <n v="121.15079611114925"/>
  </r>
  <r>
    <x v="2"/>
    <n v="3967"/>
    <x v="0"/>
    <x v="0"/>
    <x v="1"/>
    <s v="2nd line support"/>
    <x v="1"/>
    <x v="2308"/>
    <d v="2023-12-29T20:16:47"/>
    <d v="2023-12-27T21:16:47"/>
    <d v="2023-12-27T21:02:44"/>
    <s v="Within SLA"/>
    <d v="2023-12-29T06:38:04"/>
    <x v="0"/>
    <m/>
    <n v="6"/>
    <m/>
    <x v="0"/>
    <x v="1"/>
    <s v="United Kingdom"/>
    <n v="55.378051999999997"/>
    <n v="-3.4359730000000002"/>
    <s v="ok"/>
    <s v="ok"/>
    <s v="ok"/>
    <s v="ok"/>
    <s v="ok"/>
    <x v="0"/>
    <n v="34.35470555559732"/>
  </r>
  <r>
    <x v="0"/>
    <n v="3968"/>
    <x v="0"/>
    <x v="0"/>
    <x v="1"/>
    <s v="1st line support"/>
    <x v="0"/>
    <x v="2309"/>
    <d v="2023-12-29T04:33:46"/>
    <d v="2023-12-27T05:33:46"/>
    <d v="2023-12-27T04:43:33"/>
    <s v="Within SLA"/>
    <d v="2023-12-29T04:04:44"/>
    <x v="0"/>
    <d v="2023-12-28T14:27:50"/>
    <n v="9"/>
    <n v="3"/>
    <x v="2"/>
    <x v="0"/>
    <s v="Austria"/>
    <n v="47.696471899999999"/>
    <n v="13.3457347"/>
    <s v="ok"/>
    <s v="ok"/>
    <s v="check"/>
    <s v="ok"/>
    <s v="ok"/>
    <x v="0"/>
    <n v="47.516044722287916"/>
  </r>
  <r>
    <x v="3"/>
    <n v="3970"/>
    <x v="0"/>
    <x v="0"/>
    <x v="1"/>
    <s v="2nd line support"/>
    <x v="1"/>
    <x v="2310"/>
    <d v="2023-12-29T00:37:16"/>
    <d v="2023-12-27T01:37:16"/>
    <m/>
    <s v="SLA Violated"/>
    <m/>
    <x v="1"/>
    <m/>
    <m/>
    <m/>
    <x v="0"/>
    <x v="1"/>
    <s v="France"/>
    <n v="48.864716000000001"/>
    <n v="2.3490139999999999"/>
    <s v="check"/>
    <s v="ok"/>
    <s v="ok"/>
    <s v="ok"/>
    <s v="no response"/>
    <x v="1"/>
    <s v=""/>
  </r>
  <r>
    <x v="2"/>
    <n v="3971"/>
    <x v="1"/>
    <x v="2"/>
    <x v="1"/>
    <s v="1st line support"/>
    <x v="4"/>
    <x v="2311"/>
    <d v="2023-12-28T19:22:36"/>
    <d v="2023-12-27T19:24:36"/>
    <d v="2023-12-27T19:24:55"/>
    <s v="SLA Violated"/>
    <d v="2023-12-31T03:55:49"/>
    <x v="1"/>
    <m/>
    <n v="2"/>
    <m/>
    <x v="0"/>
    <x v="0"/>
    <s v="Italy"/>
    <n v="43.036776000000003"/>
    <n v="12.678565000000001"/>
    <s v="ok"/>
    <s v="ok"/>
    <s v="ok"/>
    <s v="ok"/>
    <s v="ok"/>
    <x v="0"/>
    <n v="80.553584722161759"/>
  </r>
  <r>
    <x v="2"/>
    <n v="3972"/>
    <x v="1"/>
    <x v="2"/>
    <x v="1"/>
    <s v="2nd line support"/>
    <x v="1"/>
    <x v="2312"/>
    <d v="2023-12-28T18:55:02"/>
    <d v="2023-12-27T18:57:02"/>
    <d v="2023-12-27T18:56:29"/>
    <s v="Within SLA"/>
    <d v="2023-12-27T19:43:53"/>
    <x v="0"/>
    <m/>
    <n v="2"/>
    <m/>
    <x v="2"/>
    <x v="1"/>
    <s v="Austria"/>
    <n v="47.696471899999999"/>
    <n v="13.3457347"/>
    <s v="ok"/>
    <s v="ok"/>
    <s v="ok"/>
    <s v="ok"/>
    <s v="ok"/>
    <x v="0"/>
    <n v="0.8141808332875371"/>
  </r>
  <r>
    <x v="0"/>
    <n v="3973"/>
    <x v="1"/>
    <x v="0"/>
    <x v="3"/>
    <s v="1st line support"/>
    <x v="6"/>
    <x v="2313"/>
    <d v="2023-12-29T15:22:32"/>
    <d v="2023-12-27T16:22:32"/>
    <d v="2023-12-27T15:42:16"/>
    <s v="Within SLA"/>
    <d v="2023-12-28T03:26:43"/>
    <x v="0"/>
    <d v="2023-12-29T23:38:37"/>
    <n v="5"/>
    <n v="2"/>
    <x v="1"/>
    <x v="0"/>
    <s v="Italy"/>
    <n v="43.036776000000003"/>
    <n v="12.678565000000001"/>
    <s v="ok"/>
    <s v="ok"/>
    <s v="ok"/>
    <s v="ok"/>
    <s v="ok"/>
    <x v="0"/>
    <n v="12.069628888915759"/>
  </r>
  <r>
    <x v="0"/>
    <n v="3975"/>
    <x v="1"/>
    <x v="0"/>
    <x v="1"/>
    <s v="2nd line support"/>
    <x v="5"/>
    <x v="2314"/>
    <d v="2023-12-30T19:21:47"/>
    <d v="2023-12-28T20:21:47"/>
    <d v="2023-12-28T20:01:13"/>
    <s v="Within SLA"/>
    <d v="2023-12-30T12:00:19"/>
    <x v="0"/>
    <d v="2023-12-30T04:11:11"/>
    <n v="10"/>
    <n v="5"/>
    <x v="2"/>
    <x v="1"/>
    <s v="United Kingdom"/>
    <n v="55.378051999999997"/>
    <n v="-3.4359730000000002"/>
    <s v="ok"/>
    <s v="ok"/>
    <s v="check"/>
    <s v="ok"/>
    <s v="ok"/>
    <x v="0"/>
    <n v="40.642238333355635"/>
  </r>
  <r>
    <x v="2"/>
    <n v="3976"/>
    <x v="2"/>
    <x v="2"/>
    <x v="0"/>
    <s v="1st line support"/>
    <x v="2"/>
    <x v="2315"/>
    <d v="2023-12-29T12:19:41"/>
    <d v="2023-12-28T12:21:41"/>
    <d v="2023-12-28T12:21:15"/>
    <s v="Within SLA"/>
    <d v="2023-12-29T20:10:30"/>
    <x v="1"/>
    <m/>
    <n v="6"/>
    <m/>
    <x v="0"/>
    <x v="0"/>
    <s v="Germany"/>
    <n v="51.165691000000002"/>
    <n v="10.451525999999999"/>
    <s v="ok"/>
    <s v="ok"/>
    <s v="ok"/>
    <s v="ok"/>
    <s v="ok"/>
    <x v="0"/>
    <n v="31.846943611046299"/>
  </r>
  <r>
    <x v="0"/>
    <n v="3978"/>
    <x v="0"/>
    <x v="0"/>
    <x v="0"/>
    <s v="1st line support"/>
    <x v="2"/>
    <x v="2316"/>
    <d v="2023-12-31T21:30:01"/>
    <d v="2023-12-29T22:30:01"/>
    <d v="2023-12-29T22:28:35"/>
    <s v="Within SLA"/>
    <d v="2023-12-30T03:38:05"/>
    <x v="0"/>
    <d v="2024-01-01T22:24:56"/>
    <n v="1"/>
    <n v="2"/>
    <x v="0"/>
    <x v="0"/>
    <s v="Poland"/>
    <n v="52.536273000000001"/>
    <n v="19.050639"/>
    <s v="ok"/>
    <s v="ok"/>
    <s v="ok"/>
    <s v="ok"/>
    <s v="ok"/>
    <x v="0"/>
    <n v="6.134408611105755"/>
  </r>
  <r>
    <x v="0"/>
    <n v="3979"/>
    <x v="0"/>
    <x v="0"/>
    <x v="3"/>
    <s v="2nd line support"/>
    <x v="5"/>
    <x v="2317"/>
    <d v="2023-12-31T14:27:25"/>
    <d v="2023-12-29T15:27:25"/>
    <d v="2023-12-29T14:40:41"/>
    <s v="Within SLA"/>
    <d v="2023-12-29T22:06:24"/>
    <x v="0"/>
    <d v="2023-12-31T23:55:57"/>
    <n v="1"/>
    <n v="3"/>
    <x v="2"/>
    <x v="1"/>
    <s v="United Kingdom"/>
    <n v="55.378051999999997"/>
    <n v="-3.4359730000000002"/>
    <s v="ok"/>
    <s v="ok"/>
    <s v="ok"/>
    <s v="ok"/>
    <s v="ok"/>
    <x v="0"/>
    <n v="7.6498086110805161"/>
  </r>
  <r>
    <x v="2"/>
    <n v="3981"/>
    <x v="0"/>
    <x v="2"/>
    <x v="5"/>
    <s v="1st line support"/>
    <x v="4"/>
    <x v="2318"/>
    <d v="2023-12-30T14:59:36"/>
    <d v="2023-12-29T15:01:36"/>
    <d v="2023-12-29T15:00:30"/>
    <s v="Within SLA"/>
    <d v="2023-12-31T15:48:35"/>
    <x v="1"/>
    <m/>
    <n v="6"/>
    <m/>
    <x v="2"/>
    <x v="0"/>
    <s v="United Kingdom"/>
    <n v="55.378051999999997"/>
    <n v="-3.4359730000000002"/>
    <s v="ok"/>
    <s v="ok"/>
    <s v="ok"/>
    <s v="ok"/>
    <s v="ok"/>
    <x v="0"/>
    <n v="48.816461111011449"/>
  </r>
  <r>
    <x v="0"/>
    <n v="3982"/>
    <x v="1"/>
    <x v="0"/>
    <x v="0"/>
    <s v="1st line support"/>
    <x v="2"/>
    <x v="2319"/>
    <d v="2023-12-31T16:43:21"/>
    <d v="2023-12-29T17:43:21"/>
    <d v="2023-12-29T17:11:24"/>
    <s v="Within SLA"/>
    <d v="2024-01-01T16:20:51"/>
    <x v="1"/>
    <d v="2024-01-02T15:41:49"/>
    <n v="1"/>
    <n v="4"/>
    <x v="2"/>
    <x v="0"/>
    <s v="Germany"/>
    <n v="51.165691000000002"/>
    <n v="10.451525999999999"/>
    <s v="ok"/>
    <s v="ok"/>
    <s v="ok"/>
    <s v="ok"/>
    <s v="ok"/>
    <x v="0"/>
    <n v="71.624942222319078"/>
  </r>
  <r>
    <x v="2"/>
    <n v="3983"/>
    <x v="1"/>
    <x v="0"/>
    <x v="1"/>
    <s v="1st line support"/>
    <x v="2"/>
    <x v="2320"/>
    <d v="2023-12-31T12:16:43"/>
    <d v="2023-12-29T13:16:43"/>
    <d v="2023-12-29T12:59:59"/>
    <s v="Within SLA"/>
    <d v="2023-12-30T14:40:53"/>
    <x v="0"/>
    <m/>
    <n v="7"/>
    <m/>
    <x v="2"/>
    <x v="0"/>
    <s v="Greece"/>
    <n v="39.368279000000001"/>
    <n v="21.863140999999999"/>
    <s v="ok"/>
    <s v="ok"/>
    <s v="ok"/>
    <s v="ok"/>
    <s v="ok"/>
    <x v="0"/>
    <n v="26.402662777807564"/>
  </r>
  <r>
    <x v="2"/>
    <n v="3984"/>
    <x v="2"/>
    <x v="2"/>
    <x v="5"/>
    <s v="1st line support"/>
    <x v="2"/>
    <x v="2321"/>
    <d v="2023-12-30T14:00:44"/>
    <d v="2023-12-29T14:02:44"/>
    <d v="2023-12-29T14:02:11"/>
    <s v="Within SLA"/>
    <d v="2023-12-30T13:29:17"/>
    <x v="0"/>
    <m/>
    <n v="5"/>
    <m/>
    <x v="2"/>
    <x v="0"/>
    <s v="Spain"/>
    <n v="39.673369999999998"/>
    <n v="-4.7677259999999997"/>
    <s v="ok"/>
    <s v="ok"/>
    <s v="ok"/>
    <s v="ok"/>
    <s v="ok"/>
    <x v="0"/>
    <n v="23.475712777872104"/>
  </r>
  <r>
    <x v="0"/>
    <n v="3985"/>
    <x v="0"/>
    <x v="2"/>
    <x v="0"/>
    <s v="2nd line support"/>
    <x v="1"/>
    <x v="2322"/>
    <d v="2023-12-30T16:29:15"/>
    <d v="2023-12-29T16:31:15"/>
    <d v="2023-12-29T16:31:38"/>
    <s v="SLA Violated"/>
    <d v="2023-12-30T12:10:38"/>
    <x v="0"/>
    <d v="2024-01-02T07:38:00"/>
    <n v="6"/>
    <n v="4"/>
    <x v="0"/>
    <x v="1"/>
    <s v="Slovenia"/>
    <n v="46.149166399999999"/>
    <n v="14.9860106"/>
    <s v="ok"/>
    <s v="ok"/>
    <s v="ok"/>
    <s v="ok"/>
    <s v="ok"/>
    <x v="0"/>
    <n v="19.689783888927195"/>
  </r>
  <r>
    <x v="1"/>
    <n v="3986"/>
    <x v="1"/>
    <x v="0"/>
    <x v="2"/>
    <s v="1st line support"/>
    <x v="4"/>
    <x v="2323"/>
    <d v="2023-12-31T21:52:38"/>
    <d v="2023-12-29T22:52:38"/>
    <d v="2023-12-29T22:46:58"/>
    <s v="Within SLA"/>
    <m/>
    <x v="0"/>
    <m/>
    <n v="1"/>
    <m/>
    <x v="3"/>
    <x v="0"/>
    <s v="Slovenia"/>
    <n v="46.149166399999999"/>
    <n v="14.9860106"/>
    <s v="ok"/>
    <s v="ok"/>
    <s v="ok"/>
    <s v="ok"/>
    <s v="ok"/>
    <x v="1"/>
    <s v=""/>
  </r>
  <r>
    <x v="2"/>
    <n v="3987"/>
    <x v="0"/>
    <x v="2"/>
    <x v="1"/>
    <s v="2nd line support"/>
    <x v="7"/>
    <x v="2324"/>
    <d v="2023-12-30T15:20:30"/>
    <d v="2023-12-29T15:22:30"/>
    <d v="2023-12-29T15:22:17"/>
    <s v="Within SLA"/>
    <d v="2023-12-30T09:05:38"/>
    <x v="0"/>
    <m/>
    <n v="6"/>
    <m/>
    <x v="0"/>
    <x v="1"/>
    <s v="France"/>
    <n v="48.864716000000001"/>
    <n v="2.3490139999999999"/>
    <s v="ok"/>
    <s v="ok"/>
    <s v="ok"/>
    <s v="ok"/>
    <s v="ok"/>
    <x v="0"/>
    <n v="17.752336944337003"/>
  </r>
  <r>
    <x v="2"/>
    <n v="3988"/>
    <x v="0"/>
    <x v="0"/>
    <x v="1"/>
    <s v="1st line support"/>
    <x v="3"/>
    <x v="2325"/>
    <d v="2023-12-31T03:33:04"/>
    <d v="2023-12-29T04:33:04"/>
    <d v="2023-12-29T04:29:37"/>
    <s v="Within SLA"/>
    <d v="2023-12-30T18:38:55"/>
    <x v="0"/>
    <m/>
    <n v="1"/>
    <m/>
    <x v="2"/>
    <x v="0"/>
    <s v="Spain"/>
    <n v="39.673369999999998"/>
    <n v="-4.7677259999999997"/>
    <s v="ok"/>
    <s v="ok"/>
    <s v="ok"/>
    <s v="ok"/>
    <s v="ok"/>
    <x v="0"/>
    <n v="39.097411666705739"/>
  </r>
  <r>
    <x v="2"/>
    <n v="3996"/>
    <x v="2"/>
    <x v="0"/>
    <x v="3"/>
    <s v="1st line support"/>
    <x v="3"/>
    <x v="2326"/>
    <d v="2024-01-01T03:11:44"/>
    <d v="2023-12-30T04:11:44"/>
    <d v="2023-12-30T04:09:59"/>
    <s v="Within SLA"/>
    <d v="2023-12-30T20:49:05"/>
    <x v="0"/>
    <m/>
    <n v="1"/>
    <m/>
    <x v="0"/>
    <x v="0"/>
    <s v="Slovenia"/>
    <n v="46.149166399999999"/>
    <n v="14.9860106"/>
    <s v="ok"/>
    <s v="ok"/>
    <s v="ok"/>
    <s v="ok"/>
    <s v="ok"/>
    <x v="0"/>
    <n v="17.622536666749511"/>
  </r>
  <r>
    <x v="2"/>
    <n v="3997"/>
    <x v="1"/>
    <x v="0"/>
    <x v="0"/>
    <s v="2nd line support"/>
    <x v="5"/>
    <x v="2327"/>
    <d v="2024-01-01T04:51:54"/>
    <d v="2023-12-30T05:51:54"/>
    <d v="2023-12-30T04:54:27"/>
    <s v="Within SLA"/>
    <d v="2024-01-04T05:39:41"/>
    <x v="1"/>
    <m/>
    <n v="1"/>
    <m/>
    <x v="1"/>
    <x v="1"/>
    <s v="Republic of Ireland"/>
    <n v="53.094023999999997"/>
    <n v="-8.0196749999999994"/>
    <s v="ok"/>
    <s v="ok"/>
    <s v="ok"/>
    <s v="ok"/>
    <s v="ok"/>
    <x v="0"/>
    <n v="120.79642583336681"/>
  </r>
  <r>
    <x v="2"/>
    <n v="3998"/>
    <x v="0"/>
    <x v="0"/>
    <x v="1"/>
    <s v="1st line support"/>
    <x v="0"/>
    <x v="2328"/>
    <d v="2024-01-01T13:16:56"/>
    <d v="2023-12-30T14:16:56"/>
    <d v="2023-12-30T13:53:21"/>
    <s v="Within SLA"/>
    <d v="2023-12-31T23:25:17"/>
    <x v="0"/>
    <m/>
    <n v="10"/>
    <m/>
    <x v="0"/>
    <x v="0"/>
    <s v="Republic of Ireland"/>
    <n v="53.094023999999997"/>
    <n v="-8.0196749999999994"/>
    <s v="ok"/>
    <s v="ok"/>
    <s v="ok"/>
    <s v="ok"/>
    <s v="ok"/>
    <x v="0"/>
    <n v="34.139115555561148"/>
  </r>
  <r>
    <x v="2"/>
    <n v="3999"/>
    <x v="1"/>
    <x v="0"/>
    <x v="0"/>
    <s v="1st line support"/>
    <x v="4"/>
    <x v="2329"/>
    <d v="2024-01-01T19:49:51"/>
    <d v="2023-12-30T20:49:51"/>
    <d v="2023-12-30T20:18:08"/>
    <s v="Within SLA"/>
    <d v="2024-01-01T10:17:15"/>
    <x v="0"/>
    <m/>
    <n v="2"/>
    <m/>
    <x v="0"/>
    <x v="0"/>
    <s v="Germany"/>
    <n v="51.165691000000002"/>
    <n v="10.451525999999999"/>
    <s v="ok"/>
    <s v="ok"/>
    <s v="ok"/>
    <s v="ok"/>
    <s v="ok"/>
    <x v="0"/>
    <n v="38.4567211110843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6C4384-F8A7-4C88-9E1B-6895B36AD2CF}" name="PivotTable29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32:J246" firstHeaderRow="1" firstDataRow="2" firstDataCol="1"/>
  <pivotFields count="31">
    <pivotField showAll="0"/>
    <pivotField dataField="1" showAll="0"/>
    <pivotField showAll="0"/>
    <pivotField showAll="0"/>
    <pivotField showAll="0"/>
    <pivotField showAll="0"/>
    <pivotField axis="axisCol" showAll="0">
      <items count="9">
        <item x="1"/>
        <item x="2"/>
        <item x="3"/>
        <item x="7"/>
        <item x="0"/>
        <item x="5"/>
        <item x="6"/>
        <item x="4"/>
        <item t="default"/>
      </items>
    </pivotField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3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6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Ticket ID" fld="1" subtotal="count" baseField="3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0A9AB1-605F-4B4D-AD8A-B128579A0B3F}" name="PivotTable28" cacheId="6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212:H226" firstHeaderRow="1" firstDataRow="2" firstDataCol="1"/>
  <pivotFields count="31">
    <pivotField showAll="0"/>
    <pivotField dataField="1" showAll="0"/>
    <pivotField showAll="0"/>
    <pivotField showAll="0"/>
    <pivotField axis="axisCol" showAll="0">
      <items count="8">
        <item x="5"/>
        <item x="0"/>
        <item x="4"/>
        <item x="3"/>
        <item x="1"/>
        <item x="2"/>
        <item x="6"/>
        <item t="default"/>
      </items>
    </pivotField>
    <pivotField showAll="0"/>
    <pivotField showAll="0"/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3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Count of Ticket ID" fld="1" subtotal="count" showDataAs="percentOfRow" baseField="30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6F4E1B-462F-4F05-AED4-8F8AFFE6330E}" name="PivotTable27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93:I206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3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Agent interactions" fld="15" subtotal="average" baseField="30" baseItem="1" numFmtId="2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4106F-0078-4CBA-955B-F2FD92658F17}" name="PivotTable26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93:F206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3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of Resolution Hours" fld="28" subtotal="average" baseField="30" baseItem="1" numFmtId="2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67E894-0767-4968-8D09-5DCABD9FCB49}" name="PivotTable25" cacheId="6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193:C207" firstHeaderRow="1" firstDataRow="2" firstDataCol="1"/>
  <pivotFields count="31">
    <pivotField showAll="0"/>
    <pivotField dataField="1" showAll="0"/>
    <pivotField showAll="0"/>
    <pivotField showAll="0"/>
    <pivotField showAll="0"/>
    <pivotField showAll="0"/>
    <pivotField showAll="0"/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axis="axisCol" showAll="0" sortType="ascending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3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3"/>
  </colFields>
  <colItems count="2">
    <i>
      <x/>
    </i>
    <i>
      <x v="1"/>
    </i>
  </colItems>
  <dataFields count="1">
    <dataField name="Count of Ticket ID" fld="1" subtotal="count" showDataAs="percentOfRow" baseField="30" baseItem="1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102D4D-B0DA-4C6D-ACAF-C3A5ACCB2D15}" name="PivotTable24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74:H187" firstHeaderRow="1" firstDataRow="1" firstDataCol="1"/>
  <pivotFields count="31">
    <pivotField showAll="0"/>
    <pivotField dataField="1" showAll="0"/>
    <pivotField showAll="0"/>
    <pivotField showAll="0"/>
    <pivotField showAll="0"/>
    <pivotField showAll="0"/>
    <pivotField showAll="0"/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Count of Ticket ID" fld="1" subtotal="count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4C1B45-6A1F-4F74-8576-99AEB01A5915}" name="PivotTable23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76:E180" firstHeaderRow="1" firstDataRow="1" firstDataCol="1" rowPageCount="1" colPageCount="1"/>
  <pivotFields count="31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Page" showAll="0">
      <items count="8">
        <item x="5"/>
        <item x="0"/>
        <item x="4"/>
        <item x="3"/>
        <item x="1"/>
        <item x="2"/>
        <item x="6"/>
        <item t="default"/>
      </items>
    </pivotField>
    <pivotField showAll="0"/>
    <pivotField showAll="0"/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4" item="4" hier="-1"/>
  </pageFields>
  <dataFields count="1">
    <dataField name="Average of Agent interactions" fld="15" subtotal="average" baseField="3" baseItem="0" numFmtId="2"/>
  </dataFields>
  <formats count="1">
    <format dxfId="1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E8DEC9-2FA9-420A-BEB0-8D4EF0DDB863}" name="PivotTable22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8:B182" firstHeaderRow="1" firstDataRow="1" firstDataCol="1" rowPageCount="1" colPageCount="1"/>
  <pivotFields count="31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Page" showAll="0">
      <items count="8">
        <item x="5"/>
        <item x="0"/>
        <item x="4"/>
        <item x="3"/>
        <item x="1"/>
        <item x="2"/>
        <item x="6"/>
        <item t="default"/>
      </items>
    </pivotField>
    <pivotField showAll="0"/>
    <pivotField showAll="0"/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4" item="4" hier="-1"/>
  </pageFields>
  <dataFields count="1">
    <dataField name="Average of Resolution Hours" fld="28" subtotal="average" baseField="3" baseItem="0" numFmtId="2"/>
  </dataFields>
  <formats count="2">
    <format dxfId="18">
      <pivotArea outline="0" collapsedLevelsAreSubtotals="1" fieldPosition="0"/>
    </format>
    <format dxfId="1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D819E7-7BBA-4037-B0B8-ECF9703E29B9}" name="PivotTable21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65:F169" firstHeaderRow="0" firstDataRow="1" firstDataCol="1" rowPageCount="1" colPageCount="1"/>
  <pivotFields count="31"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axis="axisPage" showAll="0">
      <items count="8">
        <item x="5"/>
        <item x="0"/>
        <item x="4"/>
        <item x="3"/>
        <item x="1"/>
        <item x="2"/>
        <item x="6"/>
        <item t="default"/>
      </items>
    </pivotField>
    <pivotField showAll="0"/>
    <pivotField showAll="0"/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4" item="4" hier="-1"/>
  </pageFields>
  <dataFields count="2">
    <dataField name="Average of Survey results" fld="16" subtotal="average" baseField="3" baseItem="0" numFmtId="2"/>
    <dataField name="Count of Survey results" fld="16" subtotal="count" baseField="3" baseItem="1"/>
  </dataFields>
  <formats count="2">
    <format dxfId="25">
      <pivotArea outline="0" collapsedLevelsAreSubtotals="1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4C049-9430-4A52-83DF-0BC77189DB31}" name="PivotTable20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5:B173" firstHeaderRow="1" firstDataRow="1" firstDataCol="1"/>
  <pivotFields count="31">
    <pivotField showAll="0"/>
    <pivotField showAll="0"/>
    <pivotField showAll="0"/>
    <pivotField showAll="0"/>
    <pivotField axis="axisRow" showAll="0" sortType="descending">
      <items count="8">
        <item x="5"/>
        <item x="0"/>
        <item x="4"/>
        <item x="3"/>
        <item x="1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8">
    <i>
      <x v="5"/>
    </i>
    <i>
      <x/>
    </i>
    <i>
      <x v="1"/>
    </i>
    <i>
      <x v="2"/>
    </i>
    <i>
      <x v="3"/>
    </i>
    <i>
      <x v="6"/>
    </i>
    <i>
      <x v="4"/>
    </i>
    <i t="grand">
      <x/>
    </i>
  </rowItems>
  <colItems count="1">
    <i/>
  </colItems>
  <dataFields count="1">
    <dataField name="Average of Survey results" fld="16" subtotal="average" baseField="4" baseItem="0" numFmtId="2"/>
  </dataFields>
  <formats count="2">
    <format dxfId="30">
      <pivotArea outline="0" collapsedLevelsAreSubtotals="1" fieldPosition="0"/>
    </format>
    <format dxfId="2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9C5D4-84B8-404D-80F0-A16A8B8B659A}" name="PivotTable19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57:F160" firstHeaderRow="0" firstDataRow="1" firstDataCol="1"/>
  <pivotFields count="31">
    <pivotField showAll="0"/>
    <pivotField dataField="1" showAll="0"/>
    <pivotField showAll="0"/>
    <pivotField showAll="0"/>
    <pivotField showAll="0"/>
    <pivotField showAll="0"/>
    <pivotField showAll="0"/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icket ID" fld="1" subtotal="count" baseField="13" baseItem="0"/>
    <dataField name="Count of Survey results" fld="16" subtotal="count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7E7C65-ABEA-4281-8FD2-1B31FB7C7274}" name="PivotTable18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57:B160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Average of Survey results" fld="16" subtotal="average" baseField="13" baseItem="0" numFmtId="2"/>
  </dataFields>
  <formats count="2">
    <format dxfId="32">
      <pivotArea outline="0" collapsedLevelsAreSubtotals="1" fieldPosition="0"/>
    </format>
    <format dxfId="3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A2A86A-F8F8-4D1B-9628-6396877D0CB0}" name="PivotTable17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41:E146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/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Resolution Hours" fld="28" subtotal="average" baseField="17" baseItem="0" numFmtId="2"/>
  </dataFields>
  <formats count="2">
    <format dxfId="34">
      <pivotArea outline="0" collapsedLevelsAreSubtotals="1" fieldPosition="0"/>
    </format>
    <format dxfId="3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90BEA4-F40C-4BAC-9B11-BA5A483F4706}" name="ResolutionHour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1:B149" firstHeaderRow="1" firstDataRow="1" firstDataCol="1"/>
  <pivotFields count="31">
    <pivotField showAll="0"/>
    <pivotField showAll="0"/>
    <pivotField showAll="0"/>
    <pivotField showAll="0"/>
    <pivotField axis="axisRow" showAll="0">
      <items count="8">
        <item x="5"/>
        <item x="0"/>
        <item x="4"/>
        <item x="3"/>
        <item x="1"/>
        <item x="2"/>
        <item x="6"/>
        <item t="default"/>
      </items>
    </pivotField>
    <pivotField showAll="0"/>
    <pivotField showAll="0"/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Resolution Hours" fld="28" subtotal="average" baseField="4" baseItem="0" numFmtId="2"/>
  </dataFields>
  <formats count="2">
    <format dxfId="36">
      <pivotArea outline="0" collapsedLevelsAreSubtotals="1" fieldPosition="0"/>
    </format>
    <format dxfId="3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FA1E0-3CD5-48B2-9761-188D63B837E9}" name="SLAByProduct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3:G132" firstHeaderRow="1" firstDataRow="3" firstDataCol="1" rowPageCount="1" colPageCount="1"/>
  <pivotFields count="31">
    <pivotField showAll="0"/>
    <pivotField dataField="1" showAll="0"/>
    <pivotField showAll="0"/>
    <pivotField showAll="0"/>
    <pivotField axis="axisRow" showAll="0">
      <items count="8">
        <item x="5"/>
        <item x="0"/>
        <item x="4"/>
        <item x="3"/>
        <item x="1"/>
        <item x="2"/>
        <item x="6"/>
        <item t="default"/>
      </items>
    </pivotField>
    <pivotField showAll="0"/>
    <pivotField showAll="0"/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17" item="0" hier="-1"/>
  </pageFields>
  <dataFields count="2">
    <dataField name="Count of Ticket ID" fld="1" subtotal="count" baseField="4" baseItem="0"/>
    <dataField name="Count of Ticket ID2" fld="1" subtotal="count" showDataAs="percentOfRow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718C5-A74E-48ED-BBDB-45ADE0F703DD}" name="SourceSLAByAgent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1:G111" firstHeaderRow="1" firstDataRow="3" firstDataCol="1" rowPageCount="2" colPageCount="1"/>
  <pivotFields count="31">
    <pivotField showAll="0"/>
    <pivotField dataField="1" showAll="0"/>
    <pivotField showAll="0"/>
    <pivotField axis="axisPage" showAll="0">
      <items count="4">
        <item x="2"/>
        <item x="0"/>
        <item x="1"/>
        <item t="default"/>
      </items>
    </pivotField>
    <pivotField axis="axisPage" showAll="0">
      <items count="8">
        <item x="5"/>
        <item x="0"/>
        <item x="4"/>
        <item x="3"/>
        <item x="1"/>
        <item x="2"/>
        <item x="6"/>
        <item t="default"/>
      </items>
    </pivotField>
    <pivotField showAll="0"/>
    <pivotField axis="axisRow" showAll="0">
      <items count="9">
        <item x="1"/>
        <item x="2"/>
        <item x="3"/>
        <item x="7"/>
        <item x="0"/>
        <item x="5"/>
        <item x="6"/>
        <item x="4"/>
        <item t="default"/>
      </items>
    </pivotField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2">
    <field x="-2"/>
    <field x="13"/>
  </colFields>
  <colItems count="6">
    <i>
      <x/>
      <x/>
    </i>
    <i r="1">
      <x v="1"/>
    </i>
    <i i="1">
      <x v="1"/>
      <x/>
    </i>
    <i r="1" i="1">
      <x v="1"/>
    </i>
    <i t="grand">
      <x/>
    </i>
    <i t="grand" i="1">
      <x/>
    </i>
  </colItems>
  <pageFields count="2">
    <pageField fld="3" item="1" hier="-1"/>
    <pageField fld="4" item="6" hier="-1"/>
  </pageFields>
  <dataFields count="2">
    <dataField name="Count of Ticket ID" fld="1" subtotal="count" baseField="6" baseItem="0"/>
    <dataField name="Count of Ticket ID2" fld="1" subtotal="count" showDataAs="percentOfRow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DD91D-77AF-4BB9-8FB8-1753292A674A}" name="TraningSLABySource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3:G89" firstHeaderRow="1" firstDataRow="3" firstDataCol="1" rowPageCount="1" colPageCount="1"/>
  <pivotFields count="31">
    <pivotField showAll="0"/>
    <pivotField dataField="1" showAll="0"/>
    <pivotField showAll="0"/>
    <pivotField axis="axisRow" showAll="0">
      <items count="4">
        <item x="2"/>
        <item x="0"/>
        <item x="1"/>
        <item t="default"/>
      </items>
    </pivotField>
    <pivotField axis="axisPage" showAll="0">
      <items count="8">
        <item x="5"/>
        <item x="0"/>
        <item x="4"/>
        <item x="3"/>
        <item x="1"/>
        <item x="2"/>
        <item x="6"/>
        <item t="default"/>
      </items>
    </pivotField>
    <pivotField showAll="0"/>
    <pivotField showAll="0"/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2">
    <field x="1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pageFields count="1">
    <pageField fld="4" item="6" hier="-1"/>
  </pageFields>
  <dataFields count="2">
    <dataField name="Count of Ticket ID" fld="1" subtotal="count" baseField="3" baseItem="0"/>
    <dataField name="Count of Ticket ID2" fld="1" subtotal="count" showDataAs="percentOfRow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B5B2B-1100-4330-A87A-1D1E0402054C}" name="SLA by Agent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6:G77" firstHeaderRow="1" firstDataRow="3" firstDataCol="1"/>
  <pivotFields count="31">
    <pivotField showAll="0"/>
    <pivotField dataField="1" showAll="0"/>
    <pivotField showAll="0"/>
    <pivotField showAll="0"/>
    <pivotField showAll="0"/>
    <pivotField showAll="0"/>
    <pivotField axis="axisRow" showAll="0">
      <items count="9">
        <item x="1"/>
        <item x="2"/>
        <item x="3"/>
        <item x="7"/>
        <item x="0"/>
        <item x="5"/>
        <item x="6"/>
        <item x="4"/>
        <item t="default"/>
      </items>
    </pivotField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axis="axisCol" showAll="0" sortType="ascending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2">
    <field x="1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Ticket ID2" fld="1" subtotal="count" showDataAs="percentOfRow" baseField="6" baseItem="0" numFmtId="10"/>
    <dataField name="Count of Ticket ID" fld="1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8E2B9-E89C-4A48-9860-E66835CF125F}" name="SLA by support level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5:G60" firstHeaderRow="1" firstDataRow="3" firstDataCol="1"/>
  <pivotFields count="31">
    <pivotField showAll="0"/>
    <pivotField dataField="1" showAll="0"/>
    <pivotField showAll="0"/>
    <pivotField showAll="0"/>
    <pivotField showAll="0"/>
    <pivotField showAll="0"/>
    <pivotField showAll="0"/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8"/>
  </rowFields>
  <rowItems count="3">
    <i>
      <x/>
    </i>
    <i>
      <x v="1"/>
    </i>
    <i t="grand">
      <x/>
    </i>
  </rowItems>
  <colFields count="2">
    <field x="1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Ticket ID" fld="1" subtotal="count" baseField="18" baseItem="0"/>
    <dataField name="Count of Ticket ID2" fld="1" subtotal="count" showDataAs="percentOfRow" baseField="1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F5846B-367D-48E7-9F7E-967FF0F8B286}" name="SLA by Product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3:G50" firstHeaderRow="1" firstDataRow="3" firstDataCol="1"/>
  <pivotFields count="31">
    <pivotField showAll="0"/>
    <pivotField dataField="1" showAll="0"/>
    <pivotField showAll="0"/>
    <pivotField showAll="0"/>
    <pivotField showAll="0"/>
    <pivotField showAll="0"/>
    <pivotField showAll="0"/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2">
    <field x="1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Ticket ID" fld="1" subtotal="count" baseField="17" baseItem="0"/>
    <dataField name="Count of Ticket ID2" fld="1" subtotal="count" showDataAs="percentOfRow" baseField="1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07A54-0DCE-43BA-9CA4-1936FE0AB358}" name="SLA by Source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G37" firstHeaderRow="1" firstDataRow="3" firstDataCol="1"/>
  <pivotFields count="31">
    <pivotField showAll="0"/>
    <pivotField dataField="1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2">
    <field x="1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ount of Ticket ID" fld="1" subtotal="count" baseField="3" baseItem="0"/>
    <dataField name="Count of Ticket ID2" fld="1" subtotal="count" showDataAs="percentOfRow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3E5AD-2D3F-4208-9AD9-6A40731274A1}" name="SLA by Priority" cacheId="6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E19:I25" firstHeaderRow="1" firstDataRow="3" firstDataCol="1"/>
  <pivotFields count="31">
    <pivotField showAll="0"/>
    <pivotField dataField="1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13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Count of Ticket ID" fld="1" subtotal="count" showDataAs="percentOfRow" baseField="2" baseItem="0" numFmtId="10"/>
    <dataField name="Count of Ticket ID2" fld="1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E58C1B-A978-4BA6-AC89-32E1EC57D33E}" name="SLA BY TOPIC" cacheId="6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>
  <location ref="A19:C28" firstHeaderRow="1" firstDataRow="2" firstDataCol="1"/>
  <pivotFields count="31">
    <pivotField showAll="0"/>
    <pivotField dataField="1" showAll="0"/>
    <pivotField showAll="0"/>
    <pivotField showAll="0"/>
    <pivotField axis="axisRow" showAll="0">
      <items count="8">
        <item x="5"/>
        <item x="0"/>
        <item x="4"/>
        <item x="3"/>
        <item x="1"/>
        <item x="2"/>
        <item x="6"/>
        <item t="default"/>
      </items>
    </pivotField>
    <pivotField showAll="0"/>
    <pivotField showAll="0"/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axis="axisCol" showAll="0" sortType="ascending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3"/>
  </colFields>
  <colItems count="2">
    <i>
      <x/>
    </i>
    <i>
      <x v="1"/>
    </i>
  </colItems>
  <dataFields count="1">
    <dataField name="Count of Ticket ID" fld="1" subtotal="count" showDataAs="percentOfRow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8F213-98F0-436E-86F3-5CF06AB11284}" name="Topic Volume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3:J11" firstHeaderRow="0" firstDataRow="1" firstDataCol="1"/>
  <pivotFields count="31">
    <pivotField showAll="0"/>
    <pivotField dataField="1" showAll="0"/>
    <pivotField showAll="0"/>
    <pivotField showAll="0"/>
    <pivotField axis="axisRow" showAll="0" sortType="descending">
      <items count="8">
        <item x="5"/>
        <item x="0"/>
        <item x="4"/>
        <item x="3"/>
        <item x="1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8">
    <i>
      <x v="4"/>
    </i>
    <i>
      <x v="3"/>
    </i>
    <i>
      <x v="1"/>
    </i>
    <i>
      <x v="5"/>
    </i>
    <i>
      <x/>
    </i>
    <i>
      <x v="2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icket ID2" fld="1" subtotal="count" showDataAs="percentOfTotal" baseField="4" baseItem="0" numFmtId="10"/>
    <dataField name="Count of Ticket ID" fld="1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959A84-4075-4C8E-B823-E031E33452D7}" name="Resolution SLA check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6" firstHeaderRow="1" firstDataRow="1" firstDataCol="1"/>
  <pivotFields count="31">
    <pivotField showAll="0"/>
    <pivotField dataField="1" showAll="0"/>
    <pivotField showAll="0"/>
    <pivotField showAll="0"/>
    <pivotField showAll="0"/>
    <pivotField showAll="0"/>
    <pivotField showAll="0"/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7"/>
  </rowFields>
  <rowItems count="3">
    <i>
      <x/>
    </i>
    <i>
      <x v="1"/>
    </i>
    <i t="grand">
      <x/>
    </i>
  </rowItems>
  <colItems count="1">
    <i/>
  </colItems>
  <dataFields count="1">
    <dataField name="Count of Ticket ID" fld="1" subtotal="count" baseField="2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D1AF53-A67A-46DE-91EF-BCCF401078DA}" name="Status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31">
    <pivotField axis="axisRow" showAll="0">
      <items count="5">
        <item x="0"/>
        <item x="1"/>
        <item x="3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numFmtId="22" showAll="0">
      <items count="2331">
        <item x="0"/>
        <item x="2"/>
        <item x="1"/>
        <item x="4"/>
        <item x="7"/>
        <item x="3"/>
        <item x="11"/>
        <item x="9"/>
        <item x="8"/>
        <item x="5"/>
        <item x="6"/>
        <item x="10"/>
        <item x="20"/>
        <item x="13"/>
        <item x="15"/>
        <item x="12"/>
        <item x="18"/>
        <item x="17"/>
        <item x="19"/>
        <item x="16"/>
        <item x="14"/>
        <item x="25"/>
        <item x="26"/>
        <item x="22"/>
        <item x="23"/>
        <item x="21"/>
        <item x="24"/>
        <item x="30"/>
        <item x="32"/>
        <item x="29"/>
        <item x="28"/>
        <item x="27"/>
        <item x="31"/>
        <item x="36"/>
        <item x="33"/>
        <item x="34"/>
        <item x="37"/>
        <item x="35"/>
        <item x="42"/>
        <item x="40"/>
        <item x="41"/>
        <item x="38"/>
        <item x="39"/>
        <item x="53"/>
        <item x="51"/>
        <item x="50"/>
        <item x="48"/>
        <item x="45"/>
        <item x="43"/>
        <item x="44"/>
        <item x="46"/>
        <item x="47"/>
        <item x="49"/>
        <item x="52"/>
        <item x="54"/>
        <item x="57"/>
        <item x="58"/>
        <item x="62"/>
        <item x="56"/>
        <item x="61"/>
        <item x="55"/>
        <item x="63"/>
        <item x="59"/>
        <item x="60"/>
        <item x="66"/>
        <item x="69"/>
        <item x="71"/>
        <item x="65"/>
        <item x="67"/>
        <item x="70"/>
        <item x="68"/>
        <item x="64"/>
        <item x="72"/>
        <item x="73"/>
        <item x="86"/>
        <item x="81"/>
        <item x="85"/>
        <item x="84"/>
        <item x="78"/>
        <item x="87"/>
        <item x="80"/>
        <item x="76"/>
        <item x="77"/>
        <item x="82"/>
        <item x="74"/>
        <item x="75"/>
        <item x="83"/>
        <item x="79"/>
        <item x="88"/>
        <item x="89"/>
        <item x="93"/>
        <item x="91"/>
        <item x="92"/>
        <item x="90"/>
        <item x="94"/>
        <item x="101"/>
        <item x="98"/>
        <item x="99"/>
        <item x="100"/>
        <item x="96"/>
        <item x="97"/>
        <item x="95"/>
        <item x="105"/>
        <item x="102"/>
        <item x="103"/>
        <item x="104"/>
        <item x="109"/>
        <item x="106"/>
        <item x="108"/>
        <item x="107"/>
        <item x="116"/>
        <item x="110"/>
        <item x="117"/>
        <item x="113"/>
        <item x="114"/>
        <item x="120"/>
        <item x="115"/>
        <item x="118"/>
        <item x="112"/>
        <item x="111"/>
        <item x="119"/>
        <item x="122"/>
        <item x="121"/>
        <item x="126"/>
        <item x="129"/>
        <item x="127"/>
        <item x="134"/>
        <item x="131"/>
        <item x="128"/>
        <item x="124"/>
        <item x="125"/>
        <item x="130"/>
        <item x="133"/>
        <item x="132"/>
        <item x="123"/>
        <item x="141"/>
        <item x="135"/>
        <item x="144"/>
        <item x="142"/>
        <item x="145"/>
        <item x="140"/>
        <item x="143"/>
        <item x="136"/>
        <item x="138"/>
        <item x="137"/>
        <item x="139"/>
        <item x="150"/>
        <item x="147"/>
        <item x="146"/>
        <item x="149"/>
        <item x="148"/>
        <item x="152"/>
        <item x="153"/>
        <item x="151"/>
        <item x="155"/>
        <item x="156"/>
        <item x="154"/>
        <item x="159"/>
        <item x="157"/>
        <item x="158"/>
        <item x="163"/>
        <item x="162"/>
        <item x="161"/>
        <item x="160"/>
        <item x="166"/>
        <item x="165"/>
        <item x="169"/>
        <item x="164"/>
        <item x="168"/>
        <item x="170"/>
        <item x="167"/>
        <item x="176"/>
        <item x="175"/>
        <item x="173"/>
        <item x="177"/>
        <item x="172"/>
        <item x="171"/>
        <item x="174"/>
        <item x="184"/>
        <item x="178"/>
        <item x="181"/>
        <item x="183"/>
        <item x="180"/>
        <item x="179"/>
        <item x="182"/>
        <item x="185"/>
        <item x="192"/>
        <item x="187"/>
        <item x="191"/>
        <item x="195"/>
        <item x="193"/>
        <item x="189"/>
        <item x="186"/>
        <item x="197"/>
        <item x="194"/>
        <item x="190"/>
        <item x="196"/>
        <item x="188"/>
        <item x="200"/>
        <item x="198"/>
        <item x="199"/>
        <item x="201"/>
        <item x="202"/>
        <item x="205"/>
        <item x="208"/>
        <item x="204"/>
        <item x="203"/>
        <item x="206"/>
        <item x="207"/>
        <item x="211"/>
        <item x="216"/>
        <item x="209"/>
        <item x="210"/>
        <item x="212"/>
        <item x="214"/>
        <item x="217"/>
        <item x="215"/>
        <item x="213"/>
        <item x="219"/>
        <item x="218"/>
        <item x="221"/>
        <item x="222"/>
        <item x="223"/>
        <item x="220"/>
        <item x="226"/>
        <item x="231"/>
        <item x="232"/>
        <item x="230"/>
        <item x="225"/>
        <item x="224"/>
        <item x="227"/>
        <item x="229"/>
        <item x="228"/>
        <item x="234"/>
        <item x="235"/>
        <item x="238"/>
        <item x="233"/>
        <item x="237"/>
        <item x="236"/>
        <item x="244"/>
        <item x="239"/>
        <item x="242"/>
        <item x="243"/>
        <item x="241"/>
        <item x="240"/>
        <item x="245"/>
        <item x="246"/>
        <item x="247"/>
        <item x="248"/>
        <item x="249"/>
        <item x="250"/>
        <item x="253"/>
        <item x="255"/>
        <item x="252"/>
        <item x="254"/>
        <item x="256"/>
        <item x="258"/>
        <item x="257"/>
        <item x="251"/>
        <item x="262"/>
        <item x="263"/>
        <item x="261"/>
        <item x="260"/>
        <item x="259"/>
        <item x="264"/>
        <item x="268"/>
        <item x="265"/>
        <item x="269"/>
        <item x="267"/>
        <item x="266"/>
        <item x="277"/>
        <item x="274"/>
        <item x="271"/>
        <item x="272"/>
        <item x="270"/>
        <item x="278"/>
        <item x="279"/>
        <item x="273"/>
        <item x="276"/>
        <item x="275"/>
        <item x="282"/>
        <item x="284"/>
        <item x="283"/>
        <item x="281"/>
        <item x="280"/>
        <item x="286"/>
        <item x="287"/>
        <item x="285"/>
        <item x="290"/>
        <item x="288"/>
        <item x="289"/>
        <item x="292"/>
        <item x="295"/>
        <item x="294"/>
        <item x="291"/>
        <item x="293"/>
        <item x="300"/>
        <item x="303"/>
        <item x="302"/>
        <item x="298"/>
        <item x="297"/>
        <item x="301"/>
        <item x="296"/>
        <item x="299"/>
        <item x="308"/>
        <item x="310"/>
        <item x="307"/>
        <item x="313"/>
        <item x="312"/>
        <item x="309"/>
        <item x="311"/>
        <item x="306"/>
        <item x="305"/>
        <item x="304"/>
        <item x="314"/>
        <item x="318"/>
        <item x="315"/>
        <item x="316"/>
        <item x="317"/>
        <item x="322"/>
        <item x="325"/>
        <item x="323"/>
        <item x="320"/>
        <item x="327"/>
        <item x="326"/>
        <item x="321"/>
        <item x="324"/>
        <item x="319"/>
        <item x="329"/>
        <item x="328"/>
        <item x="330"/>
        <item x="335"/>
        <item x="331"/>
        <item x="336"/>
        <item x="334"/>
        <item x="333"/>
        <item x="332"/>
        <item x="343"/>
        <item x="337"/>
        <item x="338"/>
        <item x="339"/>
        <item x="345"/>
        <item x="340"/>
        <item x="341"/>
        <item x="344"/>
        <item x="342"/>
        <item x="347"/>
        <item x="348"/>
        <item x="349"/>
        <item x="346"/>
        <item x="350"/>
        <item x="351"/>
        <item x="354"/>
        <item x="352"/>
        <item x="353"/>
        <item x="355"/>
        <item x="358"/>
        <item x="356"/>
        <item x="357"/>
        <item x="359"/>
        <item x="363"/>
        <item x="360"/>
        <item x="362"/>
        <item x="361"/>
        <item x="364"/>
        <item x="365"/>
        <item x="366"/>
        <item x="368"/>
        <item x="367"/>
        <item x="370"/>
        <item x="369"/>
        <item x="372"/>
        <item x="373"/>
        <item x="371"/>
        <item x="374"/>
        <item x="380"/>
        <item x="375"/>
        <item x="381"/>
        <item x="376"/>
        <item x="382"/>
        <item x="379"/>
        <item x="378"/>
        <item x="377"/>
        <item x="387"/>
        <item x="385"/>
        <item x="386"/>
        <item x="383"/>
        <item x="384"/>
        <item x="392"/>
        <item x="389"/>
        <item x="394"/>
        <item x="390"/>
        <item x="393"/>
        <item x="395"/>
        <item x="396"/>
        <item x="391"/>
        <item x="397"/>
        <item x="388"/>
        <item x="401"/>
        <item x="399"/>
        <item x="398"/>
        <item x="400"/>
        <item x="402"/>
        <item x="404"/>
        <item x="405"/>
        <item x="403"/>
        <item x="407"/>
        <item x="409"/>
        <item x="408"/>
        <item x="410"/>
        <item x="406"/>
        <item x="423"/>
        <item x="422"/>
        <item x="416"/>
        <item x="413"/>
        <item x="420"/>
        <item x="418"/>
        <item x="415"/>
        <item x="411"/>
        <item x="412"/>
        <item x="417"/>
        <item x="419"/>
        <item x="421"/>
        <item x="414"/>
        <item x="430"/>
        <item x="426"/>
        <item x="424"/>
        <item x="429"/>
        <item x="428"/>
        <item x="425"/>
        <item x="427"/>
        <item x="431"/>
        <item x="440"/>
        <item x="434"/>
        <item x="436"/>
        <item x="442"/>
        <item x="432"/>
        <item x="441"/>
        <item x="437"/>
        <item x="433"/>
        <item x="443"/>
        <item x="439"/>
        <item x="435"/>
        <item x="438"/>
        <item x="449"/>
        <item x="446"/>
        <item x="444"/>
        <item x="445"/>
        <item x="448"/>
        <item x="447"/>
        <item x="452"/>
        <item x="453"/>
        <item x="450"/>
        <item x="454"/>
        <item x="451"/>
        <item x="457"/>
        <item x="456"/>
        <item x="458"/>
        <item x="455"/>
        <item x="460"/>
        <item x="459"/>
        <item x="461"/>
        <item x="464"/>
        <item x="473"/>
        <item x="468"/>
        <item x="471"/>
        <item x="472"/>
        <item x="463"/>
        <item x="465"/>
        <item x="462"/>
        <item x="469"/>
        <item x="467"/>
        <item x="470"/>
        <item x="466"/>
        <item x="477"/>
        <item x="474"/>
        <item x="475"/>
        <item x="480"/>
        <item x="481"/>
        <item x="479"/>
        <item x="476"/>
        <item x="478"/>
        <item x="482"/>
        <item x="483"/>
        <item x="485"/>
        <item x="486"/>
        <item x="487"/>
        <item x="484"/>
        <item x="488"/>
        <item x="493"/>
        <item x="491"/>
        <item x="497"/>
        <item x="498"/>
        <item x="496"/>
        <item x="494"/>
        <item x="489"/>
        <item x="495"/>
        <item x="492"/>
        <item x="490"/>
        <item x="499"/>
        <item x="500"/>
        <item x="501"/>
        <item x="502"/>
        <item x="503"/>
        <item x="505"/>
        <item x="504"/>
        <item x="512"/>
        <item x="508"/>
        <item x="506"/>
        <item x="507"/>
        <item x="510"/>
        <item x="511"/>
        <item x="509"/>
        <item x="519"/>
        <item x="515"/>
        <item x="513"/>
        <item x="517"/>
        <item x="520"/>
        <item x="514"/>
        <item x="518"/>
        <item x="516"/>
        <item x="522"/>
        <item x="523"/>
        <item x="524"/>
        <item x="521"/>
        <item x="526"/>
        <item x="528"/>
        <item x="525"/>
        <item x="527"/>
        <item x="529"/>
        <item x="530"/>
        <item x="536"/>
        <item x="531"/>
        <item x="532"/>
        <item x="533"/>
        <item x="534"/>
        <item x="535"/>
        <item x="539"/>
        <item x="544"/>
        <item x="537"/>
        <item x="540"/>
        <item x="542"/>
        <item x="541"/>
        <item x="543"/>
        <item x="538"/>
        <item x="547"/>
        <item x="545"/>
        <item x="546"/>
        <item x="549"/>
        <item x="548"/>
        <item x="553"/>
        <item x="551"/>
        <item x="554"/>
        <item x="550"/>
        <item x="552"/>
        <item x="555"/>
        <item x="556"/>
        <item x="560"/>
        <item x="557"/>
        <item x="558"/>
        <item x="559"/>
        <item x="562"/>
        <item x="563"/>
        <item x="566"/>
        <item x="565"/>
        <item x="561"/>
        <item x="564"/>
        <item x="567"/>
        <item x="574"/>
        <item x="576"/>
        <item x="571"/>
        <item x="577"/>
        <item x="570"/>
        <item x="578"/>
        <item x="569"/>
        <item x="572"/>
        <item x="568"/>
        <item x="579"/>
        <item x="575"/>
        <item x="573"/>
        <item x="581"/>
        <item x="580"/>
        <item x="583"/>
        <item x="582"/>
        <item x="584"/>
        <item x="585"/>
        <item x="586"/>
        <item x="589"/>
        <item x="587"/>
        <item x="588"/>
        <item x="591"/>
        <item x="590"/>
        <item x="593"/>
        <item x="592"/>
        <item x="594"/>
        <item x="596"/>
        <item x="597"/>
        <item x="598"/>
        <item x="595"/>
        <item x="599"/>
        <item x="600"/>
        <item x="604"/>
        <item x="605"/>
        <item x="603"/>
        <item x="601"/>
        <item x="602"/>
        <item x="606"/>
        <item x="611"/>
        <item x="607"/>
        <item x="609"/>
        <item x="610"/>
        <item x="608"/>
        <item x="614"/>
        <item x="612"/>
        <item x="616"/>
        <item x="613"/>
        <item x="615"/>
        <item x="617"/>
        <item x="618"/>
        <item x="621"/>
        <item x="622"/>
        <item x="620"/>
        <item x="619"/>
        <item x="628"/>
        <item x="625"/>
        <item x="623"/>
        <item x="627"/>
        <item x="626"/>
        <item x="624"/>
        <item x="631"/>
        <item x="632"/>
        <item x="629"/>
        <item x="633"/>
        <item x="634"/>
        <item x="630"/>
        <item x="635"/>
        <item x="646"/>
        <item x="639"/>
        <item x="638"/>
        <item x="645"/>
        <item x="636"/>
        <item x="640"/>
        <item x="641"/>
        <item x="647"/>
        <item x="642"/>
        <item x="644"/>
        <item x="643"/>
        <item x="637"/>
        <item x="649"/>
        <item x="648"/>
        <item x="653"/>
        <item x="654"/>
        <item x="655"/>
        <item x="650"/>
        <item x="651"/>
        <item x="652"/>
        <item x="661"/>
        <item x="659"/>
        <item x="662"/>
        <item x="656"/>
        <item x="657"/>
        <item x="660"/>
        <item x="658"/>
        <item x="664"/>
        <item x="663"/>
        <item x="665"/>
        <item x="668"/>
        <item x="667"/>
        <item x="666"/>
        <item x="669"/>
        <item x="672"/>
        <item x="671"/>
        <item x="670"/>
        <item x="673"/>
        <item x="680"/>
        <item x="676"/>
        <item x="679"/>
        <item x="674"/>
        <item x="678"/>
        <item x="675"/>
        <item x="677"/>
        <item x="685"/>
        <item x="686"/>
        <item x="689"/>
        <item x="683"/>
        <item x="684"/>
        <item x="688"/>
        <item x="682"/>
        <item x="687"/>
        <item x="681"/>
        <item x="690"/>
        <item x="696"/>
        <item x="693"/>
        <item x="697"/>
        <item x="698"/>
        <item x="695"/>
        <item x="691"/>
        <item x="694"/>
        <item x="692"/>
        <item x="706"/>
        <item x="701"/>
        <item x="700"/>
        <item x="702"/>
        <item x="699"/>
        <item x="704"/>
        <item x="703"/>
        <item x="707"/>
        <item x="705"/>
        <item x="712"/>
        <item x="715"/>
        <item x="708"/>
        <item x="710"/>
        <item x="714"/>
        <item x="711"/>
        <item x="709"/>
        <item x="713"/>
        <item x="716"/>
        <item x="717"/>
        <item x="718"/>
        <item x="719"/>
        <item x="728"/>
        <item x="724"/>
        <item x="725"/>
        <item x="721"/>
        <item x="722"/>
        <item x="723"/>
        <item x="720"/>
        <item x="727"/>
        <item x="726"/>
        <item x="733"/>
        <item x="731"/>
        <item x="732"/>
        <item x="735"/>
        <item x="729"/>
        <item x="730"/>
        <item x="734"/>
        <item x="736"/>
        <item x="737"/>
        <item x="739"/>
        <item x="738"/>
        <item x="744"/>
        <item x="742"/>
        <item x="740"/>
        <item x="743"/>
        <item x="741"/>
        <item x="745"/>
        <item x="749"/>
        <item x="748"/>
        <item x="751"/>
        <item x="747"/>
        <item x="746"/>
        <item x="750"/>
        <item x="757"/>
        <item x="752"/>
        <item x="758"/>
        <item x="753"/>
        <item x="754"/>
        <item x="756"/>
        <item x="755"/>
        <item x="760"/>
        <item x="759"/>
        <item x="765"/>
        <item x="766"/>
        <item x="769"/>
        <item x="763"/>
        <item x="768"/>
        <item x="761"/>
        <item x="767"/>
        <item x="762"/>
        <item x="764"/>
        <item x="775"/>
        <item x="772"/>
        <item x="770"/>
        <item x="776"/>
        <item x="773"/>
        <item x="777"/>
        <item x="778"/>
        <item x="774"/>
        <item x="779"/>
        <item x="771"/>
        <item x="780"/>
        <item x="791"/>
        <item x="787"/>
        <item x="786"/>
        <item x="789"/>
        <item x="785"/>
        <item x="782"/>
        <item x="781"/>
        <item x="783"/>
        <item x="784"/>
        <item x="790"/>
        <item x="788"/>
        <item x="793"/>
        <item x="794"/>
        <item x="792"/>
        <item x="800"/>
        <item x="798"/>
        <item x="802"/>
        <item x="805"/>
        <item x="806"/>
        <item x="803"/>
        <item x="797"/>
        <item x="795"/>
        <item x="801"/>
        <item x="804"/>
        <item x="799"/>
        <item x="796"/>
        <item x="808"/>
        <item x="809"/>
        <item x="807"/>
        <item x="812"/>
        <item x="813"/>
        <item x="811"/>
        <item x="810"/>
        <item x="816"/>
        <item x="817"/>
        <item x="814"/>
        <item x="815"/>
        <item x="818"/>
        <item x="826"/>
        <item x="819"/>
        <item x="821"/>
        <item x="825"/>
        <item x="822"/>
        <item x="820"/>
        <item x="823"/>
        <item x="824"/>
        <item x="828"/>
        <item x="831"/>
        <item x="830"/>
        <item x="827"/>
        <item x="829"/>
        <item x="835"/>
        <item x="833"/>
        <item x="834"/>
        <item x="832"/>
        <item x="836"/>
        <item x="837"/>
        <item x="843"/>
        <item x="846"/>
        <item x="849"/>
        <item x="844"/>
        <item x="839"/>
        <item x="842"/>
        <item x="847"/>
        <item x="841"/>
        <item x="845"/>
        <item x="838"/>
        <item x="850"/>
        <item x="840"/>
        <item x="848"/>
        <item x="851"/>
        <item x="852"/>
        <item x="855"/>
        <item x="854"/>
        <item x="853"/>
        <item x="856"/>
        <item x="857"/>
        <item x="860"/>
        <item x="859"/>
        <item x="858"/>
        <item x="861"/>
        <item x="862"/>
        <item x="863"/>
        <item x="867"/>
        <item x="864"/>
        <item x="868"/>
        <item x="866"/>
        <item x="865"/>
        <item x="875"/>
        <item x="873"/>
        <item x="871"/>
        <item x="870"/>
        <item x="869"/>
        <item x="872"/>
        <item x="874"/>
        <item x="876"/>
        <item x="879"/>
        <item x="885"/>
        <item x="883"/>
        <item x="882"/>
        <item x="877"/>
        <item x="880"/>
        <item x="887"/>
        <item x="881"/>
        <item x="886"/>
        <item x="888"/>
        <item x="878"/>
        <item x="889"/>
        <item x="884"/>
        <item x="896"/>
        <item x="895"/>
        <item x="891"/>
        <item x="890"/>
        <item x="892"/>
        <item x="894"/>
        <item x="893"/>
        <item x="897"/>
        <item x="898"/>
        <item x="903"/>
        <item x="900"/>
        <item x="899"/>
        <item x="901"/>
        <item x="902"/>
        <item x="904"/>
        <item x="906"/>
        <item x="905"/>
        <item x="907"/>
        <item x="909"/>
        <item x="908"/>
        <item x="910"/>
        <item x="924"/>
        <item x="917"/>
        <item x="925"/>
        <item x="912"/>
        <item x="918"/>
        <item x="921"/>
        <item x="920"/>
        <item x="915"/>
        <item x="919"/>
        <item x="922"/>
        <item x="911"/>
        <item x="916"/>
        <item x="913"/>
        <item x="923"/>
        <item x="914"/>
        <item x="928"/>
        <item x="931"/>
        <item x="927"/>
        <item x="930"/>
        <item x="929"/>
        <item x="926"/>
        <item x="938"/>
        <item x="937"/>
        <item x="932"/>
        <item x="939"/>
        <item x="933"/>
        <item x="936"/>
        <item x="934"/>
        <item x="935"/>
        <item x="940"/>
        <item x="941"/>
        <item x="944"/>
        <item x="949"/>
        <item x="947"/>
        <item x="945"/>
        <item x="942"/>
        <item x="948"/>
        <item x="946"/>
        <item x="943"/>
        <item x="953"/>
        <item x="952"/>
        <item x="955"/>
        <item x="950"/>
        <item x="951"/>
        <item x="954"/>
        <item x="959"/>
        <item x="957"/>
        <item x="956"/>
        <item x="958"/>
        <item x="961"/>
        <item x="960"/>
        <item x="962"/>
        <item x="965"/>
        <item x="966"/>
        <item x="963"/>
        <item x="964"/>
        <item x="973"/>
        <item x="971"/>
        <item x="974"/>
        <item x="976"/>
        <item x="970"/>
        <item x="967"/>
        <item x="975"/>
        <item x="972"/>
        <item x="968"/>
        <item x="977"/>
        <item x="969"/>
        <item x="979"/>
        <item x="980"/>
        <item x="978"/>
        <item x="982"/>
        <item x="981"/>
        <item x="984"/>
        <item x="987"/>
        <item x="988"/>
        <item x="983"/>
        <item x="985"/>
        <item x="986"/>
        <item x="991"/>
        <item x="992"/>
        <item x="989"/>
        <item x="990"/>
        <item x="993"/>
        <item x="995"/>
        <item x="994"/>
        <item x="1003"/>
        <item x="999"/>
        <item x="1000"/>
        <item x="1001"/>
        <item x="997"/>
        <item x="1002"/>
        <item x="998"/>
        <item x="996"/>
        <item x="1006"/>
        <item x="1005"/>
        <item x="1011"/>
        <item x="1013"/>
        <item x="1007"/>
        <item x="1012"/>
        <item x="1004"/>
        <item x="1009"/>
        <item x="1008"/>
        <item x="1010"/>
        <item x="1021"/>
        <item x="1022"/>
        <item x="1019"/>
        <item x="1020"/>
        <item x="1017"/>
        <item x="1015"/>
        <item x="1014"/>
        <item x="1016"/>
        <item x="1018"/>
        <item x="1026"/>
        <item x="1024"/>
        <item x="1023"/>
        <item x="1025"/>
        <item x="1030"/>
        <item x="1032"/>
        <item x="1033"/>
        <item x="1031"/>
        <item x="1028"/>
        <item x="1027"/>
        <item x="1029"/>
        <item x="1037"/>
        <item x="1034"/>
        <item x="1038"/>
        <item x="1035"/>
        <item x="1036"/>
        <item x="1039"/>
        <item x="1047"/>
        <item x="1044"/>
        <item x="1041"/>
        <item x="1043"/>
        <item x="1046"/>
        <item x="1042"/>
        <item x="1040"/>
        <item x="1045"/>
        <item x="1055"/>
        <item x="1050"/>
        <item x="1051"/>
        <item x="1053"/>
        <item x="1048"/>
        <item x="1054"/>
        <item x="1049"/>
        <item x="1052"/>
        <item x="1062"/>
        <item x="1056"/>
        <item x="1057"/>
        <item x="1059"/>
        <item x="1061"/>
        <item x="1058"/>
        <item x="1060"/>
        <item x="1071"/>
        <item x="1069"/>
        <item x="1065"/>
        <item x="1067"/>
        <item x="1063"/>
        <item x="1064"/>
        <item x="1068"/>
        <item x="1066"/>
        <item x="1070"/>
        <item x="1081"/>
        <item x="1077"/>
        <item x="1075"/>
        <item x="1073"/>
        <item x="1078"/>
        <item x="1074"/>
        <item x="1076"/>
        <item x="1080"/>
        <item x="1079"/>
        <item x="1072"/>
        <item x="1083"/>
        <item x="1084"/>
        <item x="1082"/>
        <item x="1086"/>
        <item x="1085"/>
        <item x="1089"/>
        <item x="1087"/>
        <item x="1090"/>
        <item x="1088"/>
        <item x="1093"/>
        <item x="1091"/>
        <item x="1092"/>
        <item x="1096"/>
        <item x="1097"/>
        <item x="1095"/>
        <item x="1098"/>
        <item x="1094"/>
        <item x="1101"/>
        <item x="1113"/>
        <item x="1108"/>
        <item x="1103"/>
        <item x="1107"/>
        <item x="1114"/>
        <item x="1111"/>
        <item x="1110"/>
        <item x="1112"/>
        <item x="1100"/>
        <item x="1105"/>
        <item x="1109"/>
        <item x="1099"/>
        <item x="1102"/>
        <item x="1104"/>
        <item x="1106"/>
        <item x="1120"/>
        <item x="1121"/>
        <item x="1116"/>
        <item x="1119"/>
        <item x="1124"/>
        <item x="1118"/>
        <item x="1123"/>
        <item x="1122"/>
        <item x="1117"/>
        <item x="1115"/>
        <item x="1126"/>
        <item x="1125"/>
        <item x="1127"/>
        <item x="1128"/>
        <item x="1129"/>
        <item x="1130"/>
        <item x="1131"/>
        <item x="1132"/>
        <item x="1134"/>
        <item x="1133"/>
        <item x="1145"/>
        <item x="1137"/>
        <item x="1139"/>
        <item x="1143"/>
        <item x="1144"/>
        <item x="1136"/>
        <item x="1140"/>
        <item x="1141"/>
        <item x="1138"/>
        <item x="1142"/>
        <item x="1135"/>
        <item x="1153"/>
        <item x="1151"/>
        <item x="1152"/>
        <item x="1148"/>
        <item x="1147"/>
        <item x="1154"/>
        <item x="1150"/>
        <item x="1149"/>
        <item x="1146"/>
        <item x="1159"/>
        <item x="1164"/>
        <item x="1160"/>
        <item x="1155"/>
        <item x="1156"/>
        <item x="1161"/>
        <item x="1158"/>
        <item x="1157"/>
        <item x="1162"/>
        <item x="1163"/>
        <item x="1169"/>
        <item x="1166"/>
        <item x="1167"/>
        <item x="1165"/>
        <item x="1168"/>
        <item x="1172"/>
        <item x="1171"/>
        <item x="1176"/>
        <item x="1174"/>
        <item x="1180"/>
        <item x="1177"/>
        <item x="1175"/>
        <item x="1170"/>
        <item x="1179"/>
        <item x="1173"/>
        <item x="1178"/>
        <item x="1182"/>
        <item x="1181"/>
        <item x="1183"/>
        <item x="1185"/>
        <item x="1184"/>
        <item x="1189"/>
        <item x="1187"/>
        <item x="1186"/>
        <item x="1190"/>
        <item x="1188"/>
        <item x="1193"/>
        <item x="1196"/>
        <item x="1192"/>
        <item x="1197"/>
        <item x="1194"/>
        <item x="1195"/>
        <item x="1198"/>
        <item x="1191"/>
        <item x="1199"/>
        <item x="1205"/>
        <item x="1200"/>
        <item x="1204"/>
        <item x="1202"/>
        <item x="1203"/>
        <item x="1201"/>
        <item x="1210"/>
        <item x="1214"/>
        <item x="1206"/>
        <item x="1212"/>
        <item x="1208"/>
        <item x="1209"/>
        <item x="1213"/>
        <item x="1211"/>
        <item x="1207"/>
        <item x="1215"/>
        <item x="1216"/>
        <item x="1225"/>
        <item x="1224"/>
        <item x="1218"/>
        <item x="1220"/>
        <item x="1217"/>
        <item x="1219"/>
        <item x="1223"/>
        <item x="1222"/>
        <item x="1221"/>
        <item x="1226"/>
        <item x="1227"/>
        <item x="1230"/>
        <item x="1229"/>
        <item x="1228"/>
        <item x="1231"/>
        <item x="1237"/>
        <item x="1238"/>
        <item x="1235"/>
        <item x="1232"/>
        <item x="1240"/>
        <item x="1242"/>
        <item x="1243"/>
        <item x="1236"/>
        <item x="1239"/>
        <item x="1234"/>
        <item x="1233"/>
        <item x="1241"/>
        <item x="1248"/>
        <item x="1251"/>
        <item x="1249"/>
        <item x="1252"/>
        <item x="1250"/>
        <item x="1245"/>
        <item x="1244"/>
        <item x="1246"/>
        <item x="1247"/>
        <item x="1256"/>
        <item x="1254"/>
        <item x="1260"/>
        <item x="1255"/>
        <item x="1253"/>
        <item x="1261"/>
        <item x="1257"/>
        <item x="1258"/>
        <item x="1259"/>
        <item x="1265"/>
        <item x="1263"/>
        <item x="1264"/>
        <item x="1266"/>
        <item x="1262"/>
        <item x="1274"/>
        <item x="1275"/>
        <item x="1273"/>
        <item x="1271"/>
        <item x="1267"/>
        <item x="1270"/>
        <item x="1269"/>
        <item x="1268"/>
        <item x="1272"/>
        <item x="1276"/>
        <item x="1277"/>
        <item x="1278"/>
        <item x="1280"/>
        <item x="1279"/>
        <item x="1285"/>
        <item x="1283"/>
        <item x="1281"/>
        <item x="1282"/>
        <item x="1288"/>
        <item x="1287"/>
        <item x="1289"/>
        <item x="1286"/>
        <item x="1284"/>
        <item x="1290"/>
        <item x="1296"/>
        <item x="1297"/>
        <item x="1294"/>
        <item x="1298"/>
        <item x="1293"/>
        <item x="1291"/>
        <item x="1292"/>
        <item x="1295"/>
        <item x="1301"/>
        <item x="1304"/>
        <item x="1300"/>
        <item x="1302"/>
        <item x="1306"/>
        <item x="1309"/>
        <item x="1305"/>
        <item x="1303"/>
        <item x="1299"/>
        <item x="1308"/>
        <item x="1307"/>
        <item x="1314"/>
        <item x="1318"/>
        <item x="1315"/>
        <item x="1310"/>
        <item x="1312"/>
        <item x="1316"/>
        <item x="1311"/>
        <item x="1317"/>
        <item x="1319"/>
        <item x="1313"/>
        <item x="1324"/>
        <item x="1321"/>
        <item x="1325"/>
        <item x="1320"/>
        <item x="1322"/>
        <item x="1323"/>
        <item x="1328"/>
        <item x="1327"/>
        <item x="1326"/>
        <item x="1330"/>
        <item x="1329"/>
        <item x="1331"/>
        <item x="1335"/>
        <item x="1338"/>
        <item x="1337"/>
        <item x="1334"/>
        <item x="1339"/>
        <item x="1332"/>
        <item x="1336"/>
        <item x="1333"/>
        <item x="1341"/>
        <item x="1342"/>
        <item x="1343"/>
        <item x="1344"/>
        <item x="1345"/>
        <item x="1340"/>
        <item x="1346"/>
        <item x="1347"/>
        <item x="1351"/>
        <item x="1352"/>
        <item x="1353"/>
        <item x="1350"/>
        <item x="1354"/>
        <item x="1349"/>
        <item x="1348"/>
        <item x="1359"/>
        <item x="1355"/>
        <item x="1356"/>
        <item x="1358"/>
        <item x="1357"/>
        <item x="1364"/>
        <item x="1362"/>
        <item x="1363"/>
        <item x="1360"/>
        <item x="1361"/>
        <item x="1367"/>
        <item x="1366"/>
        <item x="1365"/>
        <item x="1368"/>
        <item x="1370"/>
        <item x="1369"/>
        <item x="1372"/>
        <item x="1375"/>
        <item x="1381"/>
        <item x="1382"/>
        <item x="1373"/>
        <item x="1378"/>
        <item x="1377"/>
        <item x="1380"/>
        <item x="1379"/>
        <item x="1376"/>
        <item x="1374"/>
        <item x="1371"/>
        <item x="1387"/>
        <item x="1383"/>
        <item x="1388"/>
        <item x="1386"/>
        <item x="1384"/>
        <item x="1385"/>
        <item x="1394"/>
        <item x="1391"/>
        <item x="1389"/>
        <item x="1390"/>
        <item x="1396"/>
        <item x="1395"/>
        <item x="1392"/>
        <item x="1393"/>
        <item x="1399"/>
        <item x="1402"/>
        <item x="1401"/>
        <item x="1400"/>
        <item x="1398"/>
        <item x="1404"/>
        <item x="1403"/>
        <item x="1397"/>
        <item x="1409"/>
        <item x="1408"/>
        <item x="1406"/>
        <item x="1405"/>
        <item x="1407"/>
        <item x="1410"/>
        <item x="1412"/>
        <item x="1411"/>
        <item x="1415"/>
        <item x="1413"/>
        <item x="1414"/>
        <item x="1418"/>
        <item x="1416"/>
        <item x="1417"/>
        <item x="1420"/>
        <item x="1419"/>
        <item x="1423"/>
        <item x="1421"/>
        <item x="1424"/>
        <item x="1422"/>
        <item x="1428"/>
        <item x="1430"/>
        <item x="1431"/>
        <item x="1429"/>
        <item x="1425"/>
        <item x="1426"/>
        <item x="1427"/>
        <item x="1440"/>
        <item x="1439"/>
        <item x="1436"/>
        <item x="1433"/>
        <item x="1437"/>
        <item x="1434"/>
        <item x="1438"/>
        <item x="1435"/>
        <item x="1432"/>
        <item x="1441"/>
        <item x="1442"/>
        <item x="1443"/>
        <item x="1445"/>
        <item x="1448"/>
        <item x="1444"/>
        <item x="1446"/>
        <item x="1447"/>
        <item x="1452"/>
        <item x="1450"/>
        <item x="1449"/>
        <item x="1451"/>
        <item x="1453"/>
        <item x="1460"/>
        <item x="1456"/>
        <item x="1459"/>
        <item x="1454"/>
        <item x="1462"/>
        <item x="1458"/>
        <item x="1457"/>
        <item x="1455"/>
        <item x="1461"/>
        <item x="1472"/>
        <item x="1476"/>
        <item x="1471"/>
        <item x="1467"/>
        <item x="1463"/>
        <item x="1473"/>
        <item x="1469"/>
        <item x="1465"/>
        <item x="1464"/>
        <item x="1468"/>
        <item x="1470"/>
        <item x="1477"/>
        <item x="1475"/>
        <item x="1474"/>
        <item x="1466"/>
        <item x="1479"/>
        <item x="1480"/>
        <item x="1481"/>
        <item x="1478"/>
        <item x="1482"/>
        <item x="1485"/>
        <item x="1483"/>
        <item x="1486"/>
        <item x="1484"/>
        <item x="1488"/>
        <item x="1492"/>
        <item x="1487"/>
        <item x="1490"/>
        <item x="1489"/>
        <item x="1491"/>
        <item x="1494"/>
        <item x="1493"/>
        <item x="1495"/>
        <item x="1496"/>
        <item x="1501"/>
        <item x="1500"/>
        <item x="1499"/>
        <item x="1497"/>
        <item x="1502"/>
        <item x="1503"/>
        <item x="1498"/>
        <item x="1509"/>
        <item x="1511"/>
        <item x="1504"/>
        <item x="1514"/>
        <item x="1508"/>
        <item x="1506"/>
        <item x="1507"/>
        <item x="1513"/>
        <item x="1512"/>
        <item x="1505"/>
        <item x="1510"/>
        <item x="1523"/>
        <item x="1521"/>
        <item x="1520"/>
        <item x="1518"/>
        <item x="1522"/>
        <item x="1519"/>
        <item x="1517"/>
        <item x="1515"/>
        <item x="1516"/>
        <item x="1525"/>
        <item x="1524"/>
        <item x="1534"/>
        <item x="1526"/>
        <item x="1536"/>
        <item x="1535"/>
        <item x="1533"/>
        <item x="1532"/>
        <item x="1530"/>
        <item x="1529"/>
        <item x="1528"/>
        <item x="1527"/>
        <item x="1531"/>
        <item x="1537"/>
        <item x="1538"/>
        <item x="1540"/>
        <item x="1539"/>
        <item x="1541"/>
        <item x="1542"/>
        <item x="1544"/>
        <item x="1543"/>
        <item x="1549"/>
        <item x="1548"/>
        <item x="1550"/>
        <item x="1551"/>
        <item x="1547"/>
        <item x="1545"/>
        <item x="1552"/>
        <item x="1546"/>
        <item x="1556"/>
        <item x="1558"/>
        <item x="1554"/>
        <item x="1557"/>
        <item x="1553"/>
        <item x="1555"/>
        <item x="1559"/>
        <item x="1567"/>
        <item x="1568"/>
        <item x="1565"/>
        <item x="1562"/>
        <item x="1564"/>
        <item x="1561"/>
        <item x="1566"/>
        <item x="1560"/>
        <item x="1563"/>
        <item x="1569"/>
        <item x="1574"/>
        <item x="1575"/>
        <item x="1572"/>
        <item x="1570"/>
        <item x="1573"/>
        <item x="1576"/>
        <item x="1571"/>
        <item x="1582"/>
        <item x="1581"/>
        <item x="1580"/>
        <item x="1583"/>
        <item x="1584"/>
        <item x="1579"/>
        <item x="1577"/>
        <item x="1578"/>
        <item x="1586"/>
        <item x="1585"/>
        <item x="1588"/>
        <item x="1590"/>
        <item x="1589"/>
        <item x="1587"/>
        <item x="1593"/>
        <item x="1596"/>
        <item x="1595"/>
        <item x="1597"/>
        <item x="1591"/>
        <item x="1592"/>
        <item x="1594"/>
        <item x="1599"/>
        <item x="1598"/>
        <item x="1600"/>
        <item x="1603"/>
        <item x="1606"/>
        <item x="1607"/>
        <item x="1604"/>
        <item x="1601"/>
        <item x="1602"/>
        <item x="1605"/>
        <item x="1609"/>
        <item x="1612"/>
        <item x="1613"/>
        <item x="1608"/>
        <item x="1610"/>
        <item x="1614"/>
        <item x="1611"/>
        <item x="1615"/>
        <item x="1617"/>
        <item x="1616"/>
        <item x="1619"/>
        <item x="1618"/>
        <item x="1623"/>
        <item x="1622"/>
        <item x="1620"/>
        <item x="1621"/>
        <item x="1625"/>
        <item x="1627"/>
        <item x="1624"/>
        <item x="1626"/>
        <item x="1633"/>
        <item x="1634"/>
        <item x="1630"/>
        <item x="1629"/>
        <item x="1632"/>
        <item x="1628"/>
        <item x="1635"/>
        <item x="1631"/>
        <item x="1639"/>
        <item x="1641"/>
        <item x="1642"/>
        <item x="1638"/>
        <item x="1636"/>
        <item x="1640"/>
        <item x="1637"/>
        <item x="1647"/>
        <item x="1644"/>
        <item x="1643"/>
        <item x="1646"/>
        <item x="1645"/>
        <item x="1650"/>
        <item x="1648"/>
        <item x="1651"/>
        <item x="1649"/>
        <item x="1652"/>
        <item x="1655"/>
        <item x="1657"/>
        <item x="1658"/>
        <item x="1654"/>
        <item x="1656"/>
        <item x="1659"/>
        <item x="1653"/>
        <item x="1661"/>
        <item x="1660"/>
        <item x="1662"/>
        <item x="1663"/>
        <item x="1666"/>
        <item x="1670"/>
        <item x="1667"/>
        <item x="1671"/>
        <item x="1672"/>
        <item x="1665"/>
        <item x="1668"/>
        <item x="1664"/>
        <item x="1669"/>
        <item x="1675"/>
        <item x="1674"/>
        <item x="1673"/>
        <item x="1680"/>
        <item x="1676"/>
        <item x="1677"/>
        <item x="1678"/>
        <item x="1679"/>
        <item x="1685"/>
        <item x="1688"/>
        <item x="1684"/>
        <item x="1681"/>
        <item x="1687"/>
        <item x="1686"/>
        <item x="1682"/>
        <item x="1683"/>
        <item x="1698"/>
        <item x="1689"/>
        <item x="1696"/>
        <item x="1691"/>
        <item x="1692"/>
        <item x="1697"/>
        <item x="1690"/>
        <item x="1695"/>
        <item x="1694"/>
        <item x="1693"/>
        <item x="1700"/>
        <item x="1701"/>
        <item x="1699"/>
        <item x="1703"/>
        <item x="1702"/>
        <item x="1704"/>
        <item x="1707"/>
        <item x="1708"/>
        <item x="1709"/>
        <item x="1710"/>
        <item x="1712"/>
        <item x="1705"/>
        <item x="1711"/>
        <item x="1706"/>
        <item x="1713"/>
        <item x="1717"/>
        <item x="1718"/>
        <item x="1715"/>
        <item x="1716"/>
        <item x="1714"/>
        <item x="1726"/>
        <item x="1719"/>
        <item x="1721"/>
        <item x="1723"/>
        <item x="1722"/>
        <item x="1724"/>
        <item x="1725"/>
        <item x="1727"/>
        <item x="1720"/>
        <item x="1729"/>
        <item x="1733"/>
        <item x="1730"/>
        <item x="1728"/>
        <item x="1731"/>
        <item x="1734"/>
        <item x="1732"/>
        <item x="1735"/>
        <item x="1737"/>
        <item x="1736"/>
        <item x="1738"/>
        <item x="1739"/>
        <item x="1740"/>
        <item x="1741"/>
        <item x="1742"/>
        <item x="1748"/>
        <item x="1746"/>
        <item x="1744"/>
        <item x="1743"/>
        <item x="1745"/>
        <item x="1747"/>
        <item x="1749"/>
        <item x="1752"/>
        <item x="1751"/>
        <item x="1750"/>
        <item x="1755"/>
        <item x="1754"/>
        <item x="1753"/>
        <item x="1760"/>
        <item x="1756"/>
        <item x="1758"/>
        <item x="1761"/>
        <item x="1762"/>
        <item x="1759"/>
        <item x="1757"/>
        <item x="1765"/>
        <item x="1763"/>
        <item x="1768"/>
        <item x="1769"/>
        <item x="1766"/>
        <item x="1764"/>
        <item x="1767"/>
        <item x="1777"/>
        <item x="1776"/>
        <item x="1770"/>
        <item x="1775"/>
        <item x="1774"/>
        <item x="1771"/>
        <item x="1773"/>
        <item x="1779"/>
        <item x="1772"/>
        <item x="1778"/>
        <item x="1782"/>
        <item x="1781"/>
        <item x="1783"/>
        <item x="1780"/>
        <item x="1784"/>
        <item x="1788"/>
        <item x="1791"/>
        <item x="1785"/>
        <item x="1790"/>
        <item x="1787"/>
        <item x="1786"/>
        <item x="1792"/>
        <item x="1789"/>
        <item x="1793"/>
        <item x="1794"/>
        <item x="1796"/>
        <item x="1797"/>
        <item x="1795"/>
        <item x="1804"/>
        <item x="1805"/>
        <item x="1802"/>
        <item x="1800"/>
        <item x="1801"/>
        <item x="1798"/>
        <item x="1799"/>
        <item x="1803"/>
        <item x="1807"/>
        <item x="1808"/>
        <item x="1812"/>
        <item x="1809"/>
        <item x="1806"/>
        <item x="1813"/>
        <item x="1811"/>
        <item x="1810"/>
        <item x="1816"/>
        <item x="1814"/>
        <item x="1817"/>
        <item x="1815"/>
        <item x="1822"/>
        <item x="1819"/>
        <item x="1821"/>
        <item x="1818"/>
        <item x="1820"/>
        <item x="1832"/>
        <item x="1833"/>
        <item x="1834"/>
        <item x="1828"/>
        <item x="1823"/>
        <item x="1826"/>
        <item x="1829"/>
        <item x="1825"/>
        <item x="1824"/>
        <item x="1830"/>
        <item x="1831"/>
        <item x="1827"/>
        <item x="1835"/>
        <item x="1840"/>
        <item x="1837"/>
        <item x="1838"/>
        <item x="1839"/>
        <item x="1836"/>
        <item x="1855"/>
        <item x="1847"/>
        <item x="1853"/>
        <item x="1844"/>
        <item x="1841"/>
        <item x="1842"/>
        <item x="1850"/>
        <item x="1851"/>
        <item x="1845"/>
        <item x="1846"/>
        <item x="1852"/>
        <item x="1848"/>
        <item x="1854"/>
        <item x="1843"/>
        <item x="1849"/>
        <item x="1860"/>
        <item x="1865"/>
        <item x="1866"/>
        <item x="1862"/>
        <item x="1858"/>
        <item x="1856"/>
        <item x="1859"/>
        <item x="1864"/>
        <item x="1863"/>
        <item x="1857"/>
        <item x="1861"/>
        <item x="1869"/>
        <item x="1870"/>
        <item x="1868"/>
        <item x="1867"/>
        <item x="1871"/>
        <item x="1873"/>
        <item x="1874"/>
        <item x="1872"/>
        <item x="1875"/>
        <item x="1879"/>
        <item x="1880"/>
        <item x="1878"/>
        <item x="1877"/>
        <item x="1876"/>
        <item x="1881"/>
        <item x="1884"/>
        <item x="1883"/>
        <item x="1882"/>
        <item x="1885"/>
        <item x="1887"/>
        <item x="1888"/>
        <item x="1891"/>
        <item x="1886"/>
        <item x="1889"/>
        <item x="1890"/>
        <item x="1897"/>
        <item x="1895"/>
        <item x="1893"/>
        <item x="1894"/>
        <item x="1892"/>
        <item x="1896"/>
        <item x="1901"/>
        <item x="1899"/>
        <item x="1900"/>
        <item x="1898"/>
        <item x="1902"/>
        <item x="1904"/>
        <item x="1905"/>
        <item x="1906"/>
        <item x="1903"/>
        <item x="1907"/>
        <item x="1915"/>
        <item x="1918"/>
        <item x="1909"/>
        <item x="1910"/>
        <item x="1914"/>
        <item x="1908"/>
        <item x="1911"/>
        <item x="1912"/>
        <item x="1919"/>
        <item x="1913"/>
        <item x="1917"/>
        <item x="1916"/>
        <item x="1921"/>
        <item x="1922"/>
        <item x="1920"/>
        <item x="1923"/>
        <item x="1925"/>
        <item x="1924"/>
        <item x="1931"/>
        <item x="1927"/>
        <item x="1932"/>
        <item x="1926"/>
        <item x="1928"/>
        <item x="1929"/>
        <item x="1930"/>
        <item x="1939"/>
        <item x="1940"/>
        <item x="1936"/>
        <item x="1937"/>
        <item x="1934"/>
        <item x="1933"/>
        <item x="1938"/>
        <item x="1935"/>
        <item x="1941"/>
        <item x="1951"/>
        <item x="1950"/>
        <item x="1943"/>
        <item x="1948"/>
        <item x="1946"/>
        <item x="1949"/>
        <item x="1945"/>
        <item x="1944"/>
        <item x="1942"/>
        <item x="1947"/>
        <item x="1954"/>
        <item x="1956"/>
        <item x="1953"/>
        <item x="1961"/>
        <item x="1959"/>
        <item x="1955"/>
        <item x="1957"/>
        <item x="1960"/>
        <item x="1958"/>
        <item x="1952"/>
        <item x="1967"/>
        <item x="1971"/>
        <item x="1970"/>
        <item x="1969"/>
        <item x="1965"/>
        <item x="1966"/>
        <item x="1968"/>
        <item x="1962"/>
        <item x="1963"/>
        <item x="1964"/>
        <item x="1972"/>
        <item x="1973"/>
        <item x="1974"/>
        <item x="1975"/>
        <item x="1977"/>
        <item x="1976"/>
        <item x="1985"/>
        <item x="1981"/>
        <item x="1979"/>
        <item x="1978"/>
        <item x="1980"/>
        <item x="1983"/>
        <item x="1984"/>
        <item x="1982"/>
        <item x="1987"/>
        <item x="1992"/>
        <item x="1989"/>
        <item x="1988"/>
        <item x="1991"/>
        <item x="1986"/>
        <item x="1990"/>
        <item x="1996"/>
        <item x="1997"/>
        <item x="1999"/>
        <item x="1993"/>
        <item x="1998"/>
        <item x="2003"/>
        <item x="2000"/>
        <item x="2001"/>
        <item x="1994"/>
        <item x="2002"/>
        <item x="1995"/>
        <item x="2011"/>
        <item x="2009"/>
        <item x="2004"/>
        <item x="2010"/>
        <item x="2008"/>
        <item x="2005"/>
        <item x="2006"/>
        <item x="2007"/>
        <item x="2013"/>
        <item x="2017"/>
        <item x="2016"/>
        <item x="2014"/>
        <item x="2012"/>
        <item x="2015"/>
        <item x="2022"/>
        <item x="2020"/>
        <item x="2018"/>
        <item x="2019"/>
        <item x="2021"/>
        <item x="2024"/>
        <item x="2023"/>
        <item x="2025"/>
        <item x="2032"/>
        <item x="2028"/>
        <item x="2029"/>
        <item x="2031"/>
        <item x="2027"/>
        <item x="2026"/>
        <item x="2030"/>
        <item x="2040"/>
        <item x="2035"/>
        <item x="2039"/>
        <item x="2041"/>
        <item x="2037"/>
        <item x="2033"/>
        <item x="2034"/>
        <item x="2036"/>
        <item x="2038"/>
        <item x="2047"/>
        <item x="2042"/>
        <item x="2045"/>
        <item x="2044"/>
        <item x="2049"/>
        <item x="2043"/>
        <item x="2048"/>
        <item x="2046"/>
        <item x="2056"/>
        <item x="2051"/>
        <item x="2055"/>
        <item x="2053"/>
        <item x="2052"/>
        <item x="2050"/>
        <item x="2054"/>
        <item x="2058"/>
        <item x="2059"/>
        <item x="2061"/>
        <item x="2064"/>
        <item x="2063"/>
        <item x="2060"/>
        <item x="2062"/>
        <item x="2057"/>
        <item x="2065"/>
        <item x="2066"/>
        <item x="2067"/>
        <item x="2070"/>
        <item x="2069"/>
        <item x="2071"/>
        <item x="2072"/>
        <item x="2068"/>
        <item x="2075"/>
        <item x="2078"/>
        <item x="2076"/>
        <item x="2074"/>
        <item x="2077"/>
        <item x="2079"/>
        <item x="2073"/>
        <item x="2081"/>
        <item x="2086"/>
        <item x="2083"/>
        <item x="2080"/>
        <item x="2087"/>
        <item x="2084"/>
        <item x="2082"/>
        <item x="2085"/>
        <item x="2089"/>
        <item x="2093"/>
        <item x="2088"/>
        <item x="2091"/>
        <item x="2092"/>
        <item x="2095"/>
        <item x="2090"/>
        <item x="2094"/>
        <item x="2098"/>
        <item x="2096"/>
        <item x="2099"/>
        <item x="2100"/>
        <item x="2097"/>
        <item x="2101"/>
        <item x="2103"/>
        <item x="2105"/>
        <item x="2109"/>
        <item x="2110"/>
        <item x="2107"/>
        <item x="2102"/>
        <item x="2108"/>
        <item x="2104"/>
        <item x="2111"/>
        <item x="2106"/>
        <item x="2113"/>
        <item x="2112"/>
        <item x="2115"/>
        <item x="2114"/>
        <item x="2124"/>
        <item x="2118"/>
        <item x="2123"/>
        <item x="2122"/>
        <item x="2119"/>
        <item x="2117"/>
        <item x="2120"/>
        <item x="2116"/>
        <item x="2121"/>
        <item x="2125"/>
        <item x="2126"/>
        <item x="2128"/>
        <item x="2127"/>
        <item x="2129"/>
        <item x="2138"/>
        <item x="2136"/>
        <item x="2130"/>
        <item x="2133"/>
        <item x="2137"/>
        <item x="2132"/>
        <item x="2135"/>
        <item x="2139"/>
        <item x="2134"/>
        <item x="2131"/>
        <item x="2140"/>
        <item x="2147"/>
        <item x="2149"/>
        <item x="2141"/>
        <item x="2143"/>
        <item x="2150"/>
        <item x="2151"/>
        <item x="2153"/>
        <item x="2142"/>
        <item x="2148"/>
        <item x="2145"/>
        <item x="2144"/>
        <item x="2152"/>
        <item x="2146"/>
        <item x="2154"/>
        <item x="2157"/>
        <item x="2156"/>
        <item x="2159"/>
        <item x="2155"/>
        <item x="2158"/>
        <item x="2160"/>
        <item x="2165"/>
        <item x="2161"/>
        <item x="2162"/>
        <item x="2164"/>
        <item x="2163"/>
        <item x="2166"/>
        <item x="2171"/>
        <item x="2168"/>
        <item x="2169"/>
        <item x="2170"/>
        <item x="2167"/>
        <item x="2172"/>
        <item x="2178"/>
        <item x="2174"/>
        <item x="2179"/>
        <item x="2173"/>
        <item x="2175"/>
        <item x="2177"/>
        <item x="2176"/>
        <item x="2183"/>
        <item x="2186"/>
        <item x="2180"/>
        <item x="2188"/>
        <item x="2184"/>
        <item x="2187"/>
        <item x="2185"/>
        <item x="2182"/>
        <item x="2181"/>
        <item x="2190"/>
        <item x="2194"/>
        <item x="2189"/>
        <item x="2193"/>
        <item x="2192"/>
        <item x="2195"/>
        <item x="2191"/>
        <item x="2203"/>
        <item x="2201"/>
        <item x="2198"/>
        <item x="2199"/>
        <item x="2196"/>
        <item x="2200"/>
        <item x="2197"/>
        <item x="2202"/>
        <item x="2210"/>
        <item x="2208"/>
        <item x="2211"/>
        <item x="2207"/>
        <item x="2209"/>
        <item x="2204"/>
        <item x="2206"/>
        <item x="2205"/>
        <item x="2213"/>
        <item x="2215"/>
        <item x="2214"/>
        <item x="2212"/>
        <item x="2216"/>
        <item x="2217"/>
        <item x="2222"/>
        <item x="2219"/>
        <item x="2221"/>
        <item x="2220"/>
        <item x="2218"/>
        <item x="2225"/>
        <item x="2227"/>
        <item x="2229"/>
        <item x="2223"/>
        <item x="2226"/>
        <item x="2230"/>
        <item x="2228"/>
        <item x="2224"/>
        <item x="2236"/>
        <item x="2235"/>
        <item x="2231"/>
        <item x="2233"/>
        <item x="2232"/>
        <item x="2234"/>
        <item x="2240"/>
        <item x="2243"/>
        <item x="2237"/>
        <item x="2244"/>
        <item x="2241"/>
        <item x="2239"/>
        <item x="2238"/>
        <item x="2242"/>
        <item x="2246"/>
        <item x="2249"/>
        <item x="2248"/>
        <item x="2247"/>
        <item x="2250"/>
        <item x="2245"/>
        <item x="2252"/>
        <item x="2253"/>
        <item x="2251"/>
        <item x="2254"/>
        <item x="2255"/>
        <item x="2261"/>
        <item x="2260"/>
        <item x="2258"/>
        <item x="2257"/>
        <item x="2259"/>
        <item x="2256"/>
        <item x="2262"/>
        <item x="2265"/>
        <item x="2269"/>
        <item x="2264"/>
        <item x="2270"/>
        <item x="2271"/>
        <item x="2267"/>
        <item x="2268"/>
        <item x="2266"/>
        <item x="2263"/>
        <item x="2275"/>
        <item x="2274"/>
        <item x="2279"/>
        <item x="2273"/>
        <item x="2278"/>
        <item x="2272"/>
        <item x="2276"/>
        <item x="2277"/>
        <item x="2284"/>
        <item x="2280"/>
        <item x="2281"/>
        <item x="2286"/>
        <item x="2283"/>
        <item x="2287"/>
        <item x="2282"/>
        <item x="2285"/>
        <item x="2291"/>
        <item x="2288"/>
        <item x="2292"/>
        <item x="2289"/>
        <item x="2290"/>
        <item x="2296"/>
        <item x="2294"/>
        <item x="2301"/>
        <item x="2293"/>
        <item x="2302"/>
        <item x="2297"/>
        <item x="2298"/>
        <item x="2295"/>
        <item x="2299"/>
        <item x="2300"/>
        <item x="2304"/>
        <item x="2305"/>
        <item x="2303"/>
        <item x="2310"/>
        <item x="2309"/>
        <item x="2307"/>
        <item x="2313"/>
        <item x="2306"/>
        <item x="2312"/>
        <item x="2311"/>
        <item x="2308"/>
        <item x="2315"/>
        <item x="2314"/>
        <item x="2325"/>
        <item x="2320"/>
        <item x="2321"/>
        <item x="2317"/>
        <item x="2318"/>
        <item x="2324"/>
        <item x="2322"/>
        <item x="2319"/>
        <item x="2316"/>
        <item x="2323"/>
        <item x="2326"/>
        <item x="2327"/>
        <item x="2328"/>
        <item x="2329"/>
        <item t="default"/>
      </items>
    </pivotField>
    <pivotField numFmtId="22"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icket ID" fld="1" subtotal="count" baseField="0" baseItem="0"/>
    <dataField name="Count of Ticket ID2" fld="1" subtotal="count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A5C1CB-E526-4E66-AD64-E7DC9DC88B87}" name="SupportTickets" displayName="SupportTickets" ref="A1:AC2332" totalsRowCount="1">
  <autoFilter ref="A1:AC2331" xr:uid="{AFA5C1CB-E526-4E66-AD64-E7DC9DC88B87}"/>
  <tableColumns count="29">
    <tableColumn id="1" xr3:uid="{1C5FED5D-A702-4C41-B561-7BBA89E2AC2A}" name="Status"/>
    <tableColumn id="2" xr3:uid="{81B78CA9-34BA-4F73-B0D5-70FBF1F9E094}" name="Ticket ID"/>
    <tableColumn id="3" xr3:uid="{0B9D4FAE-A692-43C6-AF12-873A1E6580B8}" name="Priority"/>
    <tableColumn id="4" xr3:uid="{EDE8CD33-898E-4F77-8FC5-162DB741B7F1}" name="Source"/>
    <tableColumn id="5" xr3:uid="{E3ED9728-22E7-4699-997B-77D01277A87A}" name="Topic"/>
    <tableColumn id="6" xr3:uid="{B3630764-BFC1-409A-A524-0CC6DA268987}" name="Agent Group"/>
    <tableColumn id="7" xr3:uid="{848193D8-6D02-4C46-B64B-A8400CCEE0AC}" name="Agent Name"/>
    <tableColumn id="8" xr3:uid="{25D38DCA-0992-43CF-9E5B-66F1E8796530}" name="Created time" totalsRowFunction="custom" dataDxfId="51" totalsRowDxfId="52">
      <totalsRowFormula>ISNUMBER(H2)</totalsRowFormula>
    </tableColumn>
    <tableColumn id="9" xr3:uid="{4BD8B681-374C-45AD-9334-F5F6B7292C9E}" name="Expected SLA to resolve" totalsRowFunction="custom" dataDxfId="49" totalsRowDxfId="50">
      <totalsRowFormula>ISNUMBER(I2)</totalsRowFormula>
    </tableColumn>
    <tableColumn id="10" xr3:uid="{77290DF3-8A61-41B3-894A-E303995F8A9B}" name="Expected SLA to first response" totalsRowFunction="custom" dataDxfId="47" totalsRowDxfId="48">
      <totalsRowFormula>ISNUMBER(J2)</totalsRowFormula>
    </tableColumn>
    <tableColumn id="11" xr3:uid="{84F0FCF7-4A01-42C0-A6C0-C34C3B4F7ED7}" name="First response time" totalsRowFunction="custom" dataDxfId="45" totalsRowDxfId="46">
      <totalsRowFormula>ISNUMBER(K2)</totalsRowFormula>
    </tableColumn>
    <tableColumn id="12" xr3:uid="{8D663052-E681-4BFA-B1F2-3636318AB2CE}" name="SLA For first response"/>
    <tableColumn id="13" xr3:uid="{AC5B8333-979C-48F5-B40B-31E299755ECE}" name="Resolution time" totalsRowFunction="custom" dataDxfId="43" totalsRowDxfId="44">
      <totalsRowFormula>ISNUMBER(M2)</totalsRowFormula>
    </tableColumn>
    <tableColumn id="14" xr3:uid="{82E1DCBF-1458-423C-8FAB-97463B844196}" name="SLA For Resolution"/>
    <tableColumn id="15" xr3:uid="{811826F7-90F9-489A-A91B-A1DB3BF7901B}" name="Close time" totalsRowFunction="custom">
      <totalsRowFormula>ISNUMBER(O2)</totalsRowFormula>
    </tableColumn>
    <tableColumn id="16" xr3:uid="{D7A24DE1-1B54-4671-9BF2-459E8828272F}" name="Agent interactions"/>
    <tableColumn id="17" xr3:uid="{63084E48-0292-4750-878A-1ABD9356C716}" name="Survey results" totalsRowFunction="custom">
      <totalsRowFormula>ISNUMBER(Q2)</totalsRowFormula>
    </tableColumn>
    <tableColumn id="18" xr3:uid="{F53BA52C-402F-446C-AC94-67FF66D887F8}" name="Product group"/>
    <tableColumn id="19" xr3:uid="{CD0A11D6-5427-4B31-97C0-9731F00263A7}" name="Support Level"/>
    <tableColumn id="20" xr3:uid="{D7793D1F-A971-41B5-B3E3-6DC5F4360426}" name="Country"/>
    <tableColumn id="21" xr3:uid="{81DA549B-DE4A-4620-B0EC-A89BF030E49E}" name="Latitude"/>
    <tableColumn id="22" xr3:uid="{9DFA829D-1065-464F-8BEC-1A44DFB56E27}" name="Longitude"/>
    <tableColumn id="24" xr3:uid="{7442562C-5A4B-4551-8D2A-D156094FAF6B}" name="Response Time check" dataDxfId="42">
      <calculatedColumnFormula>IF(K2&lt;H2,"check","ok")</calculatedColumnFormula>
    </tableColumn>
    <tableColumn id="25" xr3:uid="{1B9CC396-00D0-4420-AC56-5536B2CDBDB6}" name="Resolution time before created time"/>
    <tableColumn id="26" xr3:uid="{412F8E35-9A22-455C-87D7-02A31B28C135}" name="Close Time check" dataDxfId="41">
      <calculatedColumnFormula>IF(AND(M2&lt;&gt;"",O2&lt;&gt;"",O2&lt;M2),"check","ok")</calculatedColumnFormula>
    </tableColumn>
    <tableColumn id="27" xr3:uid="{8C2F19EE-A51C-4F4F-8B2D-05D88EC81B33}" name="Resolved/closed but missing resolution time" dataDxfId="40">
      <calculatedColumnFormula>IF(AND(OR(CA2="Closed",A2="Resolved"),M2=""),"check","ok")</calculatedColumnFormula>
    </tableColumn>
    <tableColumn id="28" xr3:uid="{D0941C0D-1692-4054-90F1-02B7F9407593}" name="First response SLA check" dataDxfId="39">
      <calculatedColumnFormula>IF(K2="","no response",IF(OR(AND(K2&lt;=J2,L2="Within SLA"),AND(K2&gt;J2,L2="SLA Violated")),"ok","check"))</calculatedColumnFormula>
    </tableColumn>
    <tableColumn id="29" xr3:uid="{2B4AA786-EA7F-4D24-9B72-BDE05B906337}" name="Resolution SLA check" dataDxfId="38">
      <calculatedColumnFormula>IF(M2="","no resolution",IF(OR(AND(M2&lt;=I2,N2="Within SLA"),AND(M2&gt;I2,N2="SLA Violated")),"ok","check"))</calculatedColumnFormula>
    </tableColumn>
    <tableColumn id="30" xr3:uid="{16755E3A-5A25-4176-888C-238F45ABD6AC}" name="Resolution Hours" dataDxfId="37">
      <calculatedColumnFormula>IF(M2="","",(M2-H2)*24)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26" Type="http://schemas.openxmlformats.org/officeDocument/2006/relationships/pivotTable" Target="../pivotTables/pivotTable26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5" Type="http://schemas.openxmlformats.org/officeDocument/2006/relationships/pivotTable" Target="../pivotTables/pivotTable25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24" Type="http://schemas.openxmlformats.org/officeDocument/2006/relationships/pivotTable" Target="../pivotTables/pivotTable24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23" Type="http://schemas.openxmlformats.org/officeDocument/2006/relationships/pivotTable" Target="../pivotTables/pivotTable23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ivotTable" Target="../pivotTables/pivotTable2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C896-ACC1-449E-BDA8-855F4234F59F}">
  <dimension ref="A3:J246"/>
  <sheetViews>
    <sheetView tabSelected="1" topLeftCell="A222" workbookViewId="0">
      <selection activeCell="J230" sqref="J230"/>
    </sheetView>
  </sheetViews>
  <sheetFormatPr defaultRowHeight="14.4" x14ac:dyDescent="0.3"/>
  <cols>
    <col min="1" max="1" width="15.44140625" bestFit="1" customWidth="1"/>
    <col min="2" max="2" width="18.77734375" bestFit="1" customWidth="1"/>
    <col min="3" max="3" width="14.5546875" bestFit="1" customWidth="1"/>
    <col min="4" max="4" width="17.88671875" bestFit="1" customWidth="1"/>
    <col min="5" max="5" width="11.44140625" bestFit="1" customWidth="1"/>
    <col min="6" max="6" width="13.5546875" bestFit="1" customWidth="1"/>
    <col min="7" max="7" width="13.88671875" bestFit="1" customWidth="1"/>
    <col min="8" max="8" width="11.44140625" bestFit="1" customWidth="1"/>
    <col min="9" max="9" width="12.5546875" bestFit="1" customWidth="1"/>
    <col min="10" max="10" width="10.5546875" bestFit="1" customWidth="1"/>
    <col min="11" max="11" width="16.44140625" bestFit="1" customWidth="1"/>
  </cols>
  <sheetData>
    <row r="3" spans="1:10" x14ac:dyDescent="0.3">
      <c r="A3" s="7" t="s">
        <v>102</v>
      </c>
      <c r="B3" t="s">
        <v>104</v>
      </c>
      <c r="C3" t="s">
        <v>105</v>
      </c>
      <c r="E3" s="7" t="s">
        <v>102</v>
      </c>
      <c r="F3" t="s">
        <v>104</v>
      </c>
      <c r="H3" s="7" t="s">
        <v>102</v>
      </c>
      <c r="I3" t="s">
        <v>105</v>
      </c>
      <c r="J3" t="s">
        <v>104</v>
      </c>
    </row>
    <row r="4" spans="1:10" x14ac:dyDescent="0.3">
      <c r="A4" s="8" t="s">
        <v>22</v>
      </c>
      <c r="B4" s="4">
        <v>1173</v>
      </c>
      <c r="C4" s="3">
        <v>0.50343347639484981</v>
      </c>
      <c r="E4" s="8" t="s">
        <v>107</v>
      </c>
      <c r="F4" s="4">
        <v>418</v>
      </c>
      <c r="H4" s="8" t="s">
        <v>35</v>
      </c>
      <c r="I4" s="3">
        <v>0.27038626609442062</v>
      </c>
      <c r="J4" s="4">
        <v>630</v>
      </c>
    </row>
    <row r="5" spans="1:10" x14ac:dyDescent="0.3">
      <c r="A5" s="8" t="s">
        <v>32</v>
      </c>
      <c r="B5" s="4">
        <v>400</v>
      </c>
      <c r="C5" s="3">
        <v>0.17167381974248927</v>
      </c>
      <c r="E5" s="8" t="s">
        <v>108</v>
      </c>
      <c r="F5" s="4">
        <v>1912</v>
      </c>
      <c r="H5" s="8" t="s">
        <v>48</v>
      </c>
      <c r="I5" s="3">
        <v>0.22532188841201717</v>
      </c>
      <c r="J5" s="4">
        <v>525</v>
      </c>
    </row>
    <row r="6" spans="1:10" x14ac:dyDescent="0.3">
      <c r="A6" s="8" t="s">
        <v>68</v>
      </c>
      <c r="B6" s="4">
        <v>18</v>
      </c>
      <c r="C6" s="3">
        <v>7.725321888412017E-3</v>
      </c>
      <c r="E6" s="8" t="s">
        <v>103</v>
      </c>
      <c r="F6" s="4">
        <v>2330</v>
      </c>
      <c r="H6" s="8" t="s">
        <v>25</v>
      </c>
      <c r="I6" s="3">
        <v>0.17896995708154506</v>
      </c>
      <c r="J6" s="4">
        <v>417</v>
      </c>
    </row>
    <row r="7" spans="1:10" x14ac:dyDescent="0.3">
      <c r="A7" s="8" t="s">
        <v>42</v>
      </c>
      <c r="B7" s="4">
        <v>739</v>
      </c>
      <c r="C7" s="3">
        <v>0.31716738197424893</v>
      </c>
      <c r="H7" s="8" t="s">
        <v>44</v>
      </c>
      <c r="I7" s="3">
        <v>0.11330472103004292</v>
      </c>
      <c r="J7" s="4">
        <v>264</v>
      </c>
    </row>
    <row r="8" spans="1:10" x14ac:dyDescent="0.3">
      <c r="A8" s="8" t="s">
        <v>103</v>
      </c>
      <c r="B8" s="4">
        <v>2330</v>
      </c>
      <c r="C8" s="3">
        <v>1</v>
      </c>
      <c r="H8" s="8" t="s">
        <v>59</v>
      </c>
      <c r="I8" s="3">
        <v>9.6566523605150209E-2</v>
      </c>
      <c r="J8" s="4">
        <v>225</v>
      </c>
    </row>
    <row r="9" spans="1:10" x14ac:dyDescent="0.3">
      <c r="H9" s="8" t="s">
        <v>39</v>
      </c>
      <c r="I9" s="3">
        <v>8.71244635193133E-2</v>
      </c>
      <c r="J9" s="4">
        <v>203</v>
      </c>
    </row>
    <row r="10" spans="1:10" x14ac:dyDescent="0.3">
      <c r="H10" s="8" t="s">
        <v>62</v>
      </c>
      <c r="I10" s="3">
        <v>2.8326180257510731E-2</v>
      </c>
      <c r="J10" s="4">
        <v>66</v>
      </c>
    </row>
    <row r="11" spans="1:10" x14ac:dyDescent="0.3">
      <c r="H11" s="8" t="s">
        <v>103</v>
      </c>
      <c r="I11" s="3">
        <v>1</v>
      </c>
      <c r="J11" s="4">
        <v>2330</v>
      </c>
    </row>
    <row r="19" spans="1:9" x14ac:dyDescent="0.3">
      <c r="A19" s="7" t="s">
        <v>104</v>
      </c>
      <c r="B19" s="7" t="s">
        <v>118</v>
      </c>
      <c r="F19" s="7" t="s">
        <v>118</v>
      </c>
    </row>
    <row r="20" spans="1:9" x14ac:dyDescent="0.3">
      <c r="A20" s="7" t="s">
        <v>102</v>
      </c>
      <c r="B20" t="s">
        <v>38</v>
      </c>
      <c r="C20" t="s">
        <v>28</v>
      </c>
      <c r="F20" t="s">
        <v>38</v>
      </c>
      <c r="H20" t="s">
        <v>28</v>
      </c>
    </row>
    <row r="21" spans="1:9" x14ac:dyDescent="0.3">
      <c r="A21" s="8" t="s">
        <v>59</v>
      </c>
      <c r="B21" s="3">
        <v>0.30222222222222223</v>
      </c>
      <c r="C21" s="3">
        <v>0.69777777777777783</v>
      </c>
      <c r="E21" s="7" t="s">
        <v>102</v>
      </c>
      <c r="F21" t="s">
        <v>104</v>
      </c>
      <c r="G21" t="s">
        <v>105</v>
      </c>
      <c r="H21" t="s">
        <v>104</v>
      </c>
      <c r="I21" t="s">
        <v>105</v>
      </c>
    </row>
    <row r="22" spans="1:9" x14ac:dyDescent="0.3">
      <c r="A22" s="8" t="s">
        <v>25</v>
      </c>
      <c r="B22" s="3">
        <v>0.32134292565947242</v>
      </c>
      <c r="C22" s="3">
        <v>0.67865707434052758</v>
      </c>
      <c r="E22" s="8" t="s">
        <v>33</v>
      </c>
      <c r="F22" s="3">
        <v>0.30288461538461536</v>
      </c>
      <c r="G22" s="4">
        <v>126</v>
      </c>
      <c r="H22" s="3">
        <v>0.69711538461538458</v>
      </c>
      <c r="I22" s="4">
        <v>290</v>
      </c>
    </row>
    <row r="23" spans="1:9" x14ac:dyDescent="0.3">
      <c r="A23" s="8" t="s">
        <v>39</v>
      </c>
      <c r="B23" s="3">
        <v>0.34482758620689657</v>
      </c>
      <c r="C23" s="3">
        <v>0.65517241379310343</v>
      </c>
      <c r="E23" s="8" t="s">
        <v>23</v>
      </c>
      <c r="F23" s="3">
        <v>0.33892617449664431</v>
      </c>
      <c r="G23" s="4">
        <v>404</v>
      </c>
      <c r="H23" s="3">
        <v>0.66107382550335569</v>
      </c>
      <c r="I23" s="4">
        <v>788</v>
      </c>
    </row>
    <row r="24" spans="1:9" x14ac:dyDescent="0.3">
      <c r="A24" s="8" t="s">
        <v>48</v>
      </c>
      <c r="B24" s="3">
        <v>0.35428571428571426</v>
      </c>
      <c r="C24" s="3">
        <v>0.64571428571428569</v>
      </c>
      <c r="E24" s="8" t="s">
        <v>47</v>
      </c>
      <c r="F24" s="3">
        <v>0.35041551246537395</v>
      </c>
      <c r="G24" s="4">
        <v>253</v>
      </c>
      <c r="H24" s="3">
        <v>0.64958448753462605</v>
      </c>
      <c r="I24" s="4">
        <v>469</v>
      </c>
    </row>
    <row r="25" spans="1:9" x14ac:dyDescent="0.3">
      <c r="A25" s="8" t="s">
        <v>35</v>
      </c>
      <c r="B25" s="3">
        <v>0.34126984126984128</v>
      </c>
      <c r="C25" s="3">
        <v>0.65873015873015872</v>
      </c>
      <c r="E25" s="8" t="s">
        <v>103</v>
      </c>
      <c r="F25" s="3">
        <v>0.33605150214592272</v>
      </c>
      <c r="G25" s="4">
        <v>783</v>
      </c>
      <c r="H25" s="3">
        <v>0.66394849785407728</v>
      </c>
      <c r="I25" s="4">
        <v>1547</v>
      </c>
    </row>
    <row r="26" spans="1:9" x14ac:dyDescent="0.3">
      <c r="A26" s="8" t="s">
        <v>44</v>
      </c>
      <c r="B26" s="3">
        <v>0.31060606060606061</v>
      </c>
      <c r="C26" s="3">
        <v>0.68939393939393945</v>
      </c>
    </row>
    <row r="27" spans="1:9" x14ac:dyDescent="0.3">
      <c r="A27" s="8" t="s">
        <v>62</v>
      </c>
      <c r="B27" s="3">
        <v>0.42424242424242425</v>
      </c>
      <c r="C27" s="3">
        <v>0.5757575757575758</v>
      </c>
    </row>
    <row r="28" spans="1:9" x14ac:dyDescent="0.3">
      <c r="A28" s="8" t="s">
        <v>103</v>
      </c>
      <c r="B28" s="3">
        <v>0.33605150214592272</v>
      </c>
      <c r="C28" s="3">
        <v>0.66394849785407728</v>
      </c>
    </row>
    <row r="31" spans="1:9" x14ac:dyDescent="0.3">
      <c r="B31" s="7" t="s">
        <v>118</v>
      </c>
    </row>
    <row r="32" spans="1:9" x14ac:dyDescent="0.3">
      <c r="B32" t="s">
        <v>38</v>
      </c>
      <c r="D32" t="s">
        <v>28</v>
      </c>
      <c r="F32" t="s">
        <v>119</v>
      </c>
      <c r="G32" t="s">
        <v>120</v>
      </c>
    </row>
    <row r="33" spans="1:7" x14ac:dyDescent="0.3">
      <c r="A33" s="7" t="s">
        <v>102</v>
      </c>
      <c r="B33" t="s">
        <v>104</v>
      </c>
      <c r="C33" t="s">
        <v>105</v>
      </c>
      <c r="D33" t="s">
        <v>104</v>
      </c>
      <c r="E33" t="s">
        <v>105</v>
      </c>
    </row>
    <row r="34" spans="1:7" x14ac:dyDescent="0.3">
      <c r="A34" s="8" t="s">
        <v>43</v>
      </c>
      <c r="B34" s="4">
        <v>310</v>
      </c>
      <c r="C34" s="3">
        <v>0.36470588235294116</v>
      </c>
      <c r="D34" s="4">
        <v>540</v>
      </c>
      <c r="E34" s="3">
        <v>0.63529411764705879</v>
      </c>
      <c r="F34" s="4">
        <v>850</v>
      </c>
      <c r="G34" s="3">
        <v>1</v>
      </c>
    </row>
    <row r="35" spans="1:7" x14ac:dyDescent="0.3">
      <c r="A35" s="8" t="s">
        <v>24</v>
      </c>
      <c r="B35" s="4">
        <v>386</v>
      </c>
      <c r="C35" s="3">
        <v>0.31280388978930307</v>
      </c>
      <c r="D35" s="4">
        <v>848</v>
      </c>
      <c r="E35" s="3">
        <v>0.68719611021069693</v>
      </c>
      <c r="F35" s="4">
        <v>1234</v>
      </c>
      <c r="G35" s="3">
        <v>1</v>
      </c>
    </row>
    <row r="36" spans="1:7" x14ac:dyDescent="0.3">
      <c r="A36" s="8" t="s">
        <v>34</v>
      </c>
      <c r="B36" s="4">
        <v>87</v>
      </c>
      <c r="C36" s="3">
        <v>0.35365853658536583</v>
      </c>
      <c r="D36" s="4">
        <v>159</v>
      </c>
      <c r="E36" s="3">
        <v>0.64634146341463417</v>
      </c>
      <c r="F36" s="4">
        <v>246</v>
      </c>
      <c r="G36" s="3">
        <v>1</v>
      </c>
    </row>
    <row r="37" spans="1:7" x14ac:dyDescent="0.3">
      <c r="A37" s="8" t="s">
        <v>103</v>
      </c>
      <c r="B37" s="4">
        <v>783</v>
      </c>
      <c r="C37" s="3">
        <v>0.33605150214592272</v>
      </c>
      <c r="D37" s="4">
        <v>1547</v>
      </c>
      <c r="E37" s="3">
        <v>0.66394849785407728</v>
      </c>
      <c r="F37" s="4">
        <v>2330</v>
      </c>
      <c r="G37" s="3">
        <v>1</v>
      </c>
    </row>
    <row r="43" spans="1:7" x14ac:dyDescent="0.3">
      <c r="B43" s="7" t="s">
        <v>118</v>
      </c>
    </row>
    <row r="44" spans="1:7" x14ac:dyDescent="0.3">
      <c r="B44" t="s">
        <v>38</v>
      </c>
      <c r="D44" t="s">
        <v>28</v>
      </c>
      <c r="F44" t="s">
        <v>119</v>
      </c>
      <c r="G44" t="s">
        <v>120</v>
      </c>
    </row>
    <row r="45" spans="1:7" x14ac:dyDescent="0.3">
      <c r="A45" s="7" t="s">
        <v>102</v>
      </c>
      <c r="B45" t="s">
        <v>104</v>
      </c>
      <c r="C45" t="s">
        <v>105</v>
      </c>
      <c r="D45" t="s">
        <v>104</v>
      </c>
      <c r="E45" t="s">
        <v>105</v>
      </c>
    </row>
    <row r="46" spans="1:7" x14ac:dyDescent="0.3">
      <c r="A46" s="8" t="s">
        <v>29</v>
      </c>
      <c r="B46" s="4">
        <v>241</v>
      </c>
      <c r="C46" s="3">
        <v>0.37422360248447206</v>
      </c>
      <c r="D46" s="4">
        <v>403</v>
      </c>
      <c r="E46" s="3">
        <v>0.62577639751552794</v>
      </c>
      <c r="F46" s="4">
        <v>644</v>
      </c>
      <c r="G46" s="3">
        <v>1</v>
      </c>
    </row>
    <row r="47" spans="1:7" x14ac:dyDescent="0.3">
      <c r="A47" s="8" t="s">
        <v>39</v>
      </c>
      <c r="B47" s="4">
        <v>116</v>
      </c>
      <c r="C47" s="3">
        <v>0.336231884057971</v>
      </c>
      <c r="D47" s="4">
        <v>229</v>
      </c>
      <c r="E47" s="3">
        <v>0.663768115942029</v>
      </c>
      <c r="F47" s="4">
        <v>345</v>
      </c>
      <c r="G47" s="3">
        <v>1</v>
      </c>
    </row>
    <row r="48" spans="1:7" x14ac:dyDescent="0.3">
      <c r="A48" s="8" t="s">
        <v>50</v>
      </c>
      <c r="B48" s="4">
        <v>322</v>
      </c>
      <c r="C48" s="3">
        <v>0.31881188118811882</v>
      </c>
      <c r="D48" s="4">
        <v>688</v>
      </c>
      <c r="E48" s="3">
        <v>0.68118811881188124</v>
      </c>
      <c r="F48" s="4">
        <v>1010</v>
      </c>
      <c r="G48" s="3">
        <v>1</v>
      </c>
    </row>
    <row r="49" spans="1:7" x14ac:dyDescent="0.3">
      <c r="A49" s="8" t="s">
        <v>55</v>
      </c>
      <c r="B49" s="4">
        <v>104</v>
      </c>
      <c r="C49" s="3">
        <v>0.31419939577039274</v>
      </c>
      <c r="D49" s="4">
        <v>227</v>
      </c>
      <c r="E49" s="3">
        <v>0.6858006042296072</v>
      </c>
      <c r="F49" s="4">
        <v>331</v>
      </c>
      <c r="G49" s="3">
        <v>1</v>
      </c>
    </row>
    <row r="50" spans="1:7" x14ac:dyDescent="0.3">
      <c r="A50" s="8" t="s">
        <v>103</v>
      </c>
      <c r="B50" s="4">
        <v>783</v>
      </c>
      <c r="C50" s="3">
        <v>0.33605150214592272</v>
      </c>
      <c r="D50" s="4">
        <v>1547</v>
      </c>
      <c r="E50" s="3">
        <v>0.66394849785407728</v>
      </c>
      <c r="F50" s="4">
        <v>2330</v>
      </c>
      <c r="G50" s="3">
        <v>1</v>
      </c>
    </row>
    <row r="55" spans="1:7" x14ac:dyDescent="0.3">
      <c r="B55" s="7" t="s">
        <v>118</v>
      </c>
    </row>
    <row r="56" spans="1:7" x14ac:dyDescent="0.3">
      <c r="B56" t="s">
        <v>38</v>
      </c>
      <c r="D56" t="s">
        <v>28</v>
      </c>
      <c r="F56" t="s">
        <v>119</v>
      </c>
      <c r="G56" t="s">
        <v>120</v>
      </c>
    </row>
    <row r="57" spans="1:7" x14ac:dyDescent="0.3">
      <c r="A57" s="7" t="s">
        <v>102</v>
      </c>
      <c r="B57" t="s">
        <v>104</v>
      </c>
      <c r="C57" t="s">
        <v>105</v>
      </c>
      <c r="D57" t="s">
        <v>104</v>
      </c>
      <c r="E57" t="s">
        <v>105</v>
      </c>
    </row>
    <row r="58" spans="1:7" x14ac:dyDescent="0.3">
      <c r="A58" s="8" t="s">
        <v>30</v>
      </c>
      <c r="B58" s="4">
        <v>611</v>
      </c>
      <c r="C58" s="3">
        <v>0.34519774011299437</v>
      </c>
      <c r="D58" s="4">
        <v>1159</v>
      </c>
      <c r="E58" s="3">
        <v>0.65480225988700569</v>
      </c>
      <c r="F58" s="4">
        <v>1770</v>
      </c>
      <c r="G58" s="3">
        <v>1</v>
      </c>
    </row>
    <row r="59" spans="1:7" x14ac:dyDescent="0.3">
      <c r="A59" s="8" t="s">
        <v>40</v>
      </c>
      <c r="B59" s="4">
        <v>172</v>
      </c>
      <c r="C59" s="3">
        <v>0.30714285714285716</v>
      </c>
      <c r="D59" s="4">
        <v>388</v>
      </c>
      <c r="E59" s="3">
        <v>0.69285714285714284</v>
      </c>
      <c r="F59" s="4">
        <v>560</v>
      </c>
      <c r="G59" s="3">
        <v>1</v>
      </c>
    </row>
    <row r="60" spans="1:7" x14ac:dyDescent="0.3">
      <c r="A60" s="8" t="s">
        <v>103</v>
      </c>
      <c r="B60" s="4">
        <v>783</v>
      </c>
      <c r="C60" s="3">
        <v>0.33605150214592272</v>
      </c>
      <c r="D60" s="4">
        <v>1547</v>
      </c>
      <c r="E60" s="3">
        <v>0.66394849785407728</v>
      </c>
      <c r="F60" s="4">
        <v>2330</v>
      </c>
      <c r="G60" s="3">
        <v>1</v>
      </c>
    </row>
    <row r="66" spans="1:7" x14ac:dyDescent="0.3">
      <c r="B66" s="7" t="s">
        <v>118</v>
      </c>
    </row>
    <row r="67" spans="1:7" x14ac:dyDescent="0.3">
      <c r="B67" t="s">
        <v>38</v>
      </c>
      <c r="D67" t="s">
        <v>28</v>
      </c>
      <c r="F67" t="s">
        <v>120</v>
      </c>
      <c r="G67" t="s">
        <v>119</v>
      </c>
    </row>
    <row r="68" spans="1:7" x14ac:dyDescent="0.3">
      <c r="A68" s="7" t="s">
        <v>102</v>
      </c>
      <c r="B68" t="s">
        <v>105</v>
      </c>
      <c r="C68" t="s">
        <v>104</v>
      </c>
      <c r="D68" t="s">
        <v>105</v>
      </c>
      <c r="E68" t="s">
        <v>104</v>
      </c>
    </row>
    <row r="69" spans="1:7" x14ac:dyDescent="0.3">
      <c r="A69" s="8" t="s">
        <v>37</v>
      </c>
      <c r="B69" s="3">
        <v>0.35532994923857869</v>
      </c>
      <c r="C69" s="4">
        <v>70</v>
      </c>
      <c r="D69" s="3">
        <v>0.64467005076142136</v>
      </c>
      <c r="E69" s="4">
        <v>127</v>
      </c>
      <c r="F69" s="3">
        <v>1</v>
      </c>
      <c r="G69" s="4">
        <v>197</v>
      </c>
    </row>
    <row r="70" spans="1:7" x14ac:dyDescent="0.3">
      <c r="A70" s="8" t="s">
        <v>45</v>
      </c>
      <c r="B70" s="3">
        <v>0.33983286908077992</v>
      </c>
      <c r="C70" s="4">
        <v>122</v>
      </c>
      <c r="D70" s="3">
        <v>0.66016713091922008</v>
      </c>
      <c r="E70" s="4">
        <v>237</v>
      </c>
      <c r="F70" s="3">
        <v>1</v>
      </c>
      <c r="G70" s="4">
        <v>359</v>
      </c>
    </row>
    <row r="71" spans="1:7" x14ac:dyDescent="0.3">
      <c r="A71" s="8" t="s">
        <v>49</v>
      </c>
      <c r="B71" s="3">
        <v>0.38328530259365995</v>
      </c>
      <c r="C71" s="4">
        <v>133</v>
      </c>
      <c r="D71" s="3">
        <v>0.61671469740634011</v>
      </c>
      <c r="E71" s="4">
        <v>214</v>
      </c>
      <c r="F71" s="3">
        <v>1</v>
      </c>
      <c r="G71" s="4">
        <v>347</v>
      </c>
    </row>
    <row r="72" spans="1:7" x14ac:dyDescent="0.3">
      <c r="A72" s="8" t="s">
        <v>64</v>
      </c>
      <c r="B72" s="3">
        <v>0.23728813559322035</v>
      </c>
      <c r="C72" s="4">
        <v>42</v>
      </c>
      <c r="D72" s="3">
        <v>0.76271186440677963</v>
      </c>
      <c r="E72" s="4">
        <v>135</v>
      </c>
      <c r="F72" s="3">
        <v>1</v>
      </c>
      <c r="G72" s="4">
        <v>177</v>
      </c>
    </row>
    <row r="73" spans="1:7" x14ac:dyDescent="0.3">
      <c r="A73" s="8" t="s">
        <v>27</v>
      </c>
      <c r="B73" s="3">
        <v>0.33933933933933935</v>
      </c>
      <c r="C73" s="4">
        <v>113</v>
      </c>
      <c r="D73" s="3">
        <v>0.66066066066066065</v>
      </c>
      <c r="E73" s="4">
        <v>220</v>
      </c>
      <c r="F73" s="3">
        <v>1</v>
      </c>
      <c r="G73" s="4">
        <v>333</v>
      </c>
    </row>
    <row r="74" spans="1:7" x14ac:dyDescent="0.3">
      <c r="A74" s="8" t="s">
        <v>54</v>
      </c>
      <c r="B74" s="3">
        <v>0.32258064516129031</v>
      </c>
      <c r="C74" s="4">
        <v>60</v>
      </c>
      <c r="D74" s="3">
        <v>0.67741935483870963</v>
      </c>
      <c r="E74" s="4">
        <v>126</v>
      </c>
      <c r="F74" s="3">
        <v>1</v>
      </c>
      <c r="G74" s="4">
        <v>186</v>
      </c>
    </row>
    <row r="75" spans="1:7" x14ac:dyDescent="0.3">
      <c r="A75" s="8" t="s">
        <v>60</v>
      </c>
      <c r="B75" s="3">
        <v>0.36239782016348776</v>
      </c>
      <c r="C75" s="4">
        <v>133</v>
      </c>
      <c r="D75" s="3">
        <v>0.63760217983651224</v>
      </c>
      <c r="E75" s="4">
        <v>234</v>
      </c>
      <c r="F75" s="3">
        <v>1</v>
      </c>
      <c r="G75" s="4">
        <v>367</v>
      </c>
    </row>
    <row r="76" spans="1:7" x14ac:dyDescent="0.3">
      <c r="A76" s="8" t="s">
        <v>52</v>
      </c>
      <c r="B76" s="3">
        <v>0.30219780219780218</v>
      </c>
      <c r="C76" s="4">
        <v>110</v>
      </c>
      <c r="D76" s="3">
        <v>0.69780219780219777</v>
      </c>
      <c r="E76" s="4">
        <v>254</v>
      </c>
      <c r="F76" s="3">
        <v>1</v>
      </c>
      <c r="G76" s="4">
        <v>364</v>
      </c>
    </row>
    <row r="77" spans="1:7" x14ac:dyDescent="0.3">
      <c r="A77" s="8" t="s">
        <v>103</v>
      </c>
      <c r="B77" s="3">
        <v>0.33605150214592272</v>
      </c>
      <c r="C77" s="4">
        <v>783</v>
      </c>
      <c r="D77" s="3">
        <v>0.66394849785407728</v>
      </c>
      <c r="E77" s="4">
        <v>1547</v>
      </c>
      <c r="F77" s="3">
        <v>1</v>
      </c>
      <c r="G77" s="4">
        <v>2330</v>
      </c>
    </row>
    <row r="81" spans="1:7" x14ac:dyDescent="0.3">
      <c r="A81" s="7" t="s">
        <v>4</v>
      </c>
      <c r="B81" t="s">
        <v>62</v>
      </c>
    </row>
    <row r="83" spans="1:7" x14ac:dyDescent="0.3">
      <c r="B83" s="7" t="s">
        <v>118</v>
      </c>
    </row>
    <row r="84" spans="1:7" x14ac:dyDescent="0.3">
      <c r="B84" t="s">
        <v>38</v>
      </c>
      <c r="D84" t="s">
        <v>28</v>
      </c>
      <c r="F84" t="s">
        <v>119</v>
      </c>
      <c r="G84" t="s">
        <v>120</v>
      </c>
    </row>
    <row r="85" spans="1:7" x14ac:dyDescent="0.3">
      <c r="A85" s="7" t="s">
        <v>102</v>
      </c>
      <c r="B85" t="s">
        <v>104</v>
      </c>
      <c r="C85" t="s">
        <v>105</v>
      </c>
      <c r="D85" t="s">
        <v>104</v>
      </c>
      <c r="E85" t="s">
        <v>105</v>
      </c>
    </row>
    <row r="86" spans="1:7" x14ac:dyDescent="0.3">
      <c r="A86" s="8" t="s">
        <v>43</v>
      </c>
      <c r="B86" s="4">
        <v>9</v>
      </c>
      <c r="C86" s="3">
        <v>0.33333333333333331</v>
      </c>
      <c r="D86" s="4">
        <v>18</v>
      </c>
      <c r="E86" s="3">
        <v>0.66666666666666663</v>
      </c>
      <c r="F86" s="4">
        <v>27</v>
      </c>
      <c r="G86" s="3">
        <v>1</v>
      </c>
    </row>
    <row r="87" spans="1:7" x14ac:dyDescent="0.3">
      <c r="A87" s="8" t="s">
        <v>24</v>
      </c>
      <c r="B87" s="4">
        <v>18</v>
      </c>
      <c r="C87" s="3">
        <v>0.51428571428571423</v>
      </c>
      <c r="D87" s="4">
        <v>17</v>
      </c>
      <c r="E87" s="3">
        <v>0.48571428571428571</v>
      </c>
      <c r="F87" s="4">
        <v>35</v>
      </c>
      <c r="G87" s="3">
        <v>1</v>
      </c>
    </row>
    <row r="88" spans="1:7" x14ac:dyDescent="0.3">
      <c r="A88" s="8" t="s">
        <v>34</v>
      </c>
      <c r="B88" s="4">
        <v>1</v>
      </c>
      <c r="C88" s="3">
        <v>0.25</v>
      </c>
      <c r="D88" s="4">
        <v>3</v>
      </c>
      <c r="E88" s="3">
        <v>0.75</v>
      </c>
      <c r="F88" s="4">
        <v>4</v>
      </c>
      <c r="G88" s="3">
        <v>1</v>
      </c>
    </row>
    <row r="89" spans="1:7" x14ac:dyDescent="0.3">
      <c r="A89" s="8" t="s">
        <v>103</v>
      </c>
      <c r="B89" s="4">
        <v>28</v>
      </c>
      <c r="C89" s="3">
        <v>0.42424242424242425</v>
      </c>
      <c r="D89" s="4">
        <v>38</v>
      </c>
      <c r="E89" s="3">
        <v>0.5757575757575758</v>
      </c>
      <c r="F89" s="4">
        <v>66</v>
      </c>
      <c r="G89" s="3">
        <v>1</v>
      </c>
    </row>
    <row r="98" spans="1:7" x14ac:dyDescent="0.3">
      <c r="A98" s="7" t="s">
        <v>3</v>
      </c>
      <c r="B98" t="s">
        <v>24</v>
      </c>
    </row>
    <row r="99" spans="1:7" x14ac:dyDescent="0.3">
      <c r="A99" s="7" t="s">
        <v>4</v>
      </c>
      <c r="B99" t="s">
        <v>62</v>
      </c>
    </row>
    <row r="101" spans="1:7" x14ac:dyDescent="0.3">
      <c r="B101" s="7" t="s">
        <v>118</v>
      </c>
    </row>
    <row r="102" spans="1:7" x14ac:dyDescent="0.3">
      <c r="B102" t="s">
        <v>104</v>
      </c>
      <c r="D102" t="s">
        <v>105</v>
      </c>
      <c r="F102" t="s">
        <v>119</v>
      </c>
      <c r="G102" t="s">
        <v>120</v>
      </c>
    </row>
    <row r="103" spans="1:7" x14ac:dyDescent="0.3">
      <c r="A103" s="7" t="s">
        <v>102</v>
      </c>
      <c r="B103" t="s">
        <v>38</v>
      </c>
      <c r="C103" t="s">
        <v>28</v>
      </c>
      <c r="D103" t="s">
        <v>38</v>
      </c>
      <c r="E103" t="s">
        <v>28</v>
      </c>
    </row>
    <row r="104" spans="1:7" x14ac:dyDescent="0.3">
      <c r="A104" s="8" t="s">
        <v>37</v>
      </c>
      <c r="B104" s="4">
        <v>1</v>
      </c>
      <c r="C104" s="4">
        <v>1</v>
      </c>
      <c r="D104" s="3">
        <v>0.5</v>
      </c>
      <c r="E104" s="3">
        <v>0.5</v>
      </c>
      <c r="F104" s="4">
        <v>2</v>
      </c>
      <c r="G104" s="3">
        <v>1</v>
      </c>
    </row>
    <row r="105" spans="1:7" x14ac:dyDescent="0.3">
      <c r="A105" s="8" t="s">
        <v>45</v>
      </c>
      <c r="B105" s="4">
        <v>3</v>
      </c>
      <c r="C105" s="4">
        <v>2</v>
      </c>
      <c r="D105" s="3">
        <v>0.6</v>
      </c>
      <c r="E105" s="3">
        <v>0.4</v>
      </c>
      <c r="F105" s="4">
        <v>5</v>
      </c>
      <c r="G105" s="3">
        <v>1</v>
      </c>
    </row>
    <row r="106" spans="1:7" x14ac:dyDescent="0.3">
      <c r="A106" s="8" t="s">
        <v>49</v>
      </c>
      <c r="B106" s="4">
        <v>3</v>
      </c>
      <c r="C106" s="4">
        <v>3</v>
      </c>
      <c r="D106" s="3">
        <v>0.5</v>
      </c>
      <c r="E106" s="3">
        <v>0.5</v>
      </c>
      <c r="F106" s="4">
        <v>6</v>
      </c>
      <c r="G106" s="3">
        <v>1</v>
      </c>
    </row>
    <row r="107" spans="1:7" x14ac:dyDescent="0.3">
      <c r="A107" s="8" t="s">
        <v>64</v>
      </c>
      <c r="B107" s="4">
        <v>4</v>
      </c>
      <c r="C107" s="4">
        <v>3</v>
      </c>
      <c r="D107" s="3">
        <v>0.5714285714285714</v>
      </c>
      <c r="E107" s="3">
        <v>0.42857142857142855</v>
      </c>
      <c r="F107" s="4">
        <v>7</v>
      </c>
      <c r="G107" s="3">
        <v>1</v>
      </c>
    </row>
    <row r="108" spans="1:7" x14ac:dyDescent="0.3">
      <c r="A108" s="8" t="s">
        <v>27</v>
      </c>
      <c r="B108" s="4">
        <v>3</v>
      </c>
      <c r="C108" s="4">
        <v>3</v>
      </c>
      <c r="D108" s="3">
        <v>0.5</v>
      </c>
      <c r="E108" s="3">
        <v>0.5</v>
      </c>
      <c r="F108" s="4">
        <v>6</v>
      </c>
      <c r="G108" s="3">
        <v>1</v>
      </c>
    </row>
    <row r="109" spans="1:7" x14ac:dyDescent="0.3">
      <c r="A109" s="8" t="s">
        <v>54</v>
      </c>
      <c r="B109" s="4">
        <v>2</v>
      </c>
      <c r="C109" s="4">
        <v>1</v>
      </c>
      <c r="D109" s="3">
        <v>0.66666666666666663</v>
      </c>
      <c r="E109" s="3">
        <v>0.33333333333333331</v>
      </c>
      <c r="F109" s="4">
        <v>3</v>
      </c>
      <c r="G109" s="3">
        <v>1</v>
      </c>
    </row>
    <row r="110" spans="1:7" x14ac:dyDescent="0.3">
      <c r="A110" s="8" t="s">
        <v>60</v>
      </c>
      <c r="B110" s="4">
        <v>2</v>
      </c>
      <c r="C110" s="4">
        <v>4</v>
      </c>
      <c r="D110" s="3">
        <v>0.33333333333333331</v>
      </c>
      <c r="E110" s="3">
        <v>0.66666666666666663</v>
      </c>
      <c r="F110" s="4">
        <v>6</v>
      </c>
      <c r="G110" s="3">
        <v>1</v>
      </c>
    </row>
    <row r="111" spans="1:7" x14ac:dyDescent="0.3">
      <c r="A111" s="8" t="s">
        <v>103</v>
      </c>
      <c r="B111" s="4">
        <v>18</v>
      </c>
      <c r="C111" s="4">
        <v>17</v>
      </c>
      <c r="D111" s="3">
        <v>0.51428571428571423</v>
      </c>
      <c r="E111" s="3">
        <v>0.48571428571428571</v>
      </c>
      <c r="F111" s="4">
        <v>35</v>
      </c>
      <c r="G111" s="3">
        <v>1</v>
      </c>
    </row>
    <row r="121" spans="1:7" x14ac:dyDescent="0.3">
      <c r="A121" s="7" t="s">
        <v>17</v>
      </c>
      <c r="B121" t="s">
        <v>29</v>
      </c>
    </row>
    <row r="123" spans="1:7" x14ac:dyDescent="0.3">
      <c r="B123" s="7" t="s">
        <v>118</v>
      </c>
    </row>
    <row r="124" spans="1:7" x14ac:dyDescent="0.3">
      <c r="B124" t="s">
        <v>38</v>
      </c>
      <c r="D124" t="s">
        <v>28</v>
      </c>
      <c r="F124" t="s">
        <v>119</v>
      </c>
      <c r="G124" t="s">
        <v>120</v>
      </c>
    </row>
    <row r="125" spans="1:7" x14ac:dyDescent="0.3">
      <c r="A125" s="7" t="s">
        <v>102</v>
      </c>
      <c r="B125" t="s">
        <v>104</v>
      </c>
      <c r="C125" t="s">
        <v>105</v>
      </c>
      <c r="D125" t="s">
        <v>104</v>
      </c>
      <c r="E125" t="s">
        <v>105</v>
      </c>
    </row>
    <row r="126" spans="1:7" x14ac:dyDescent="0.3">
      <c r="A126" s="8" t="s">
        <v>59</v>
      </c>
      <c r="B126" s="4">
        <v>30</v>
      </c>
      <c r="C126" s="3">
        <v>0.42253521126760563</v>
      </c>
      <c r="D126" s="4">
        <v>41</v>
      </c>
      <c r="E126" s="3">
        <v>0.57746478873239437</v>
      </c>
      <c r="F126" s="4">
        <v>71</v>
      </c>
      <c r="G126" s="3">
        <v>1</v>
      </c>
    </row>
    <row r="127" spans="1:7" x14ac:dyDescent="0.3">
      <c r="A127" s="8" t="s">
        <v>25</v>
      </c>
      <c r="B127" s="4">
        <v>50</v>
      </c>
      <c r="C127" s="3">
        <v>0.40322580645161288</v>
      </c>
      <c r="D127" s="4">
        <v>74</v>
      </c>
      <c r="E127" s="3">
        <v>0.59677419354838712</v>
      </c>
      <c r="F127" s="4">
        <v>124</v>
      </c>
      <c r="G127" s="3">
        <v>1</v>
      </c>
    </row>
    <row r="128" spans="1:7" x14ac:dyDescent="0.3">
      <c r="A128" s="8" t="s">
        <v>39</v>
      </c>
      <c r="B128" s="4">
        <v>24</v>
      </c>
      <c r="C128" s="3">
        <v>0.4</v>
      </c>
      <c r="D128" s="4">
        <v>36</v>
      </c>
      <c r="E128" s="3">
        <v>0.6</v>
      </c>
      <c r="F128" s="4">
        <v>60</v>
      </c>
      <c r="G128" s="3">
        <v>1</v>
      </c>
    </row>
    <row r="129" spans="1:7" x14ac:dyDescent="0.3">
      <c r="A129" s="8" t="s">
        <v>48</v>
      </c>
      <c r="B129" s="4">
        <v>74</v>
      </c>
      <c r="C129" s="3">
        <v>0.37563451776649748</v>
      </c>
      <c r="D129" s="4">
        <v>123</v>
      </c>
      <c r="E129" s="3">
        <v>0.62436548223350252</v>
      </c>
      <c r="F129" s="4">
        <v>197</v>
      </c>
      <c r="G129" s="3">
        <v>1</v>
      </c>
    </row>
    <row r="130" spans="1:7" x14ac:dyDescent="0.3">
      <c r="A130" s="8" t="s">
        <v>35</v>
      </c>
      <c r="B130" s="4">
        <v>42</v>
      </c>
      <c r="C130" s="3">
        <v>0.31818181818181818</v>
      </c>
      <c r="D130" s="4">
        <v>90</v>
      </c>
      <c r="E130" s="3">
        <v>0.68181818181818177</v>
      </c>
      <c r="F130" s="4">
        <v>132</v>
      </c>
      <c r="G130" s="3">
        <v>1</v>
      </c>
    </row>
    <row r="131" spans="1:7" x14ac:dyDescent="0.3">
      <c r="A131" s="8" t="s">
        <v>44</v>
      </c>
      <c r="B131" s="4">
        <v>21</v>
      </c>
      <c r="C131" s="3">
        <v>0.35</v>
      </c>
      <c r="D131" s="4">
        <v>39</v>
      </c>
      <c r="E131" s="3">
        <v>0.65</v>
      </c>
      <c r="F131" s="4">
        <v>60</v>
      </c>
      <c r="G131" s="3">
        <v>1</v>
      </c>
    </row>
    <row r="132" spans="1:7" x14ac:dyDescent="0.3">
      <c r="A132" s="8" t="s">
        <v>103</v>
      </c>
      <c r="B132" s="4">
        <v>241</v>
      </c>
      <c r="C132" s="3">
        <v>0.37422360248447206</v>
      </c>
      <c r="D132" s="4">
        <v>403</v>
      </c>
      <c r="E132" s="3">
        <v>0.62577639751552794</v>
      </c>
      <c r="F132" s="4">
        <v>644</v>
      </c>
      <c r="G132" s="3">
        <v>1</v>
      </c>
    </row>
    <row r="141" spans="1:7" x14ac:dyDescent="0.3">
      <c r="A141" s="7" t="s">
        <v>102</v>
      </c>
      <c r="B141" s="6" t="s">
        <v>122</v>
      </c>
      <c r="D141" s="7" t="s">
        <v>102</v>
      </c>
      <c r="E141" s="6" t="s">
        <v>122</v>
      </c>
    </row>
    <row r="142" spans="1:7" x14ac:dyDescent="0.3">
      <c r="A142" s="8" t="s">
        <v>59</v>
      </c>
      <c r="B142" s="6">
        <v>29.90715053095937</v>
      </c>
      <c r="D142" s="8" t="s">
        <v>29</v>
      </c>
      <c r="E142" s="6">
        <v>32.620790172523471</v>
      </c>
    </row>
    <row r="143" spans="1:7" x14ac:dyDescent="0.3">
      <c r="A143" s="8" t="s">
        <v>25</v>
      </c>
      <c r="B143" s="6">
        <v>34.214736653244138</v>
      </c>
      <c r="D143" s="8" t="s">
        <v>39</v>
      </c>
      <c r="E143" s="6">
        <v>32.868951228436124</v>
      </c>
    </row>
    <row r="144" spans="1:7" x14ac:dyDescent="0.3">
      <c r="A144" s="8" t="s">
        <v>39</v>
      </c>
      <c r="B144" s="6">
        <v>31.468652094691279</v>
      </c>
      <c r="D144" s="8" t="s">
        <v>50</v>
      </c>
      <c r="E144" s="6">
        <v>33.679650479799832</v>
      </c>
    </row>
    <row r="145" spans="1:6" x14ac:dyDescent="0.3">
      <c r="A145" s="8" t="s">
        <v>48</v>
      </c>
      <c r="B145" s="6">
        <v>36.666020819956302</v>
      </c>
      <c r="D145" s="8" t="s">
        <v>55</v>
      </c>
      <c r="E145" s="6">
        <v>33.397706307372097</v>
      </c>
    </row>
    <row r="146" spans="1:6" x14ac:dyDescent="0.3">
      <c r="A146" s="8" t="s">
        <v>35</v>
      </c>
      <c r="B146" s="6">
        <v>30.769038812281256</v>
      </c>
      <c r="D146" s="8" t="s">
        <v>103</v>
      </c>
      <c r="E146" s="6">
        <v>33.237957612883882</v>
      </c>
    </row>
    <row r="147" spans="1:6" x14ac:dyDescent="0.3">
      <c r="A147" s="8" t="s">
        <v>44</v>
      </c>
      <c r="B147" s="6">
        <v>33.438572913498383</v>
      </c>
    </row>
    <row r="148" spans="1:6" x14ac:dyDescent="0.3">
      <c r="A148" s="8" t="s">
        <v>62</v>
      </c>
      <c r="B148" s="6">
        <v>38.8934192389017</v>
      </c>
    </row>
    <row r="149" spans="1:6" x14ac:dyDescent="0.3">
      <c r="A149" s="8" t="s">
        <v>103</v>
      </c>
      <c r="B149" s="6">
        <v>33.237957612883882</v>
      </c>
    </row>
    <row r="157" spans="1:6" x14ac:dyDescent="0.3">
      <c r="A157" s="7" t="s">
        <v>102</v>
      </c>
      <c r="B157" s="6" t="s">
        <v>123</v>
      </c>
      <c r="D157" s="7" t="s">
        <v>102</v>
      </c>
      <c r="E157" t="s">
        <v>104</v>
      </c>
      <c r="F157" t="s">
        <v>124</v>
      </c>
    </row>
    <row r="158" spans="1:6" x14ac:dyDescent="0.3">
      <c r="A158" s="8" t="s">
        <v>38</v>
      </c>
      <c r="B158" s="6">
        <v>3.5955555555555554</v>
      </c>
      <c r="D158" s="8" t="s">
        <v>38</v>
      </c>
      <c r="E158" s="4">
        <v>783</v>
      </c>
      <c r="F158" s="4">
        <v>225</v>
      </c>
    </row>
    <row r="159" spans="1:6" x14ac:dyDescent="0.3">
      <c r="A159" s="8" t="s">
        <v>28</v>
      </c>
      <c r="B159" s="6">
        <v>3.490506329113924</v>
      </c>
      <c r="D159" s="8" t="s">
        <v>28</v>
      </c>
      <c r="E159" s="4">
        <v>1547</v>
      </c>
      <c r="F159" s="4">
        <v>948</v>
      </c>
    </row>
    <row r="160" spans="1:6" x14ac:dyDescent="0.3">
      <c r="A160" s="8" t="s">
        <v>103</v>
      </c>
      <c r="B160" s="6">
        <v>3.5106564364876385</v>
      </c>
      <c r="D160" s="8" t="s">
        <v>103</v>
      </c>
      <c r="E160" s="4">
        <v>2330</v>
      </c>
      <c r="F160" s="4">
        <v>1173</v>
      </c>
    </row>
    <row r="163" spans="1:8" x14ac:dyDescent="0.3">
      <c r="D163" s="7" t="s">
        <v>4</v>
      </c>
      <c r="E163" t="s">
        <v>35</v>
      </c>
    </row>
    <row r="165" spans="1:8" x14ac:dyDescent="0.3">
      <c r="A165" s="7" t="s">
        <v>102</v>
      </c>
      <c r="B165" s="6" t="s">
        <v>123</v>
      </c>
      <c r="D165" s="7" t="s">
        <v>102</v>
      </c>
      <c r="E165" t="s">
        <v>123</v>
      </c>
      <c r="F165" t="s">
        <v>124</v>
      </c>
    </row>
    <row r="166" spans="1:8" x14ac:dyDescent="0.3">
      <c r="A166" s="8" t="s">
        <v>44</v>
      </c>
      <c r="B166" s="6">
        <v>3.7518796992481205</v>
      </c>
      <c r="D166" s="8" t="s">
        <v>43</v>
      </c>
      <c r="E166" s="6">
        <v>3.5</v>
      </c>
      <c r="F166" s="6">
        <v>116</v>
      </c>
    </row>
    <row r="167" spans="1:8" x14ac:dyDescent="0.3">
      <c r="A167" s="8" t="s">
        <v>59</v>
      </c>
      <c r="B167" s="6">
        <v>3.5533980582524274</v>
      </c>
      <c r="D167" s="8" t="s">
        <v>24</v>
      </c>
      <c r="E167" s="6">
        <v>3.3619631901840492</v>
      </c>
      <c r="F167" s="6">
        <v>163</v>
      </c>
    </row>
    <row r="168" spans="1:8" x14ac:dyDescent="0.3">
      <c r="A168" s="8" t="s">
        <v>25</v>
      </c>
      <c r="B168" s="6">
        <v>3.5401785714285716</v>
      </c>
      <c r="D168" s="8" t="s">
        <v>34</v>
      </c>
      <c r="E168" s="6">
        <v>3.2121212121212119</v>
      </c>
      <c r="F168" s="6">
        <v>33</v>
      </c>
    </row>
    <row r="169" spans="1:8" x14ac:dyDescent="0.3">
      <c r="A169" s="8" t="s">
        <v>39</v>
      </c>
      <c r="B169" s="6">
        <v>3.4946236559139785</v>
      </c>
      <c r="D169" s="8" t="s">
        <v>103</v>
      </c>
      <c r="E169" s="6">
        <v>3.3974358974358974</v>
      </c>
      <c r="F169" s="6">
        <v>312</v>
      </c>
    </row>
    <row r="170" spans="1:8" x14ac:dyDescent="0.3">
      <c r="A170" s="8" t="s">
        <v>48</v>
      </c>
      <c r="B170" s="6">
        <v>3.4945054945054945</v>
      </c>
    </row>
    <row r="171" spans="1:8" x14ac:dyDescent="0.3">
      <c r="A171" s="8" t="s">
        <v>62</v>
      </c>
      <c r="B171" s="6">
        <v>3.4571428571428573</v>
      </c>
    </row>
    <row r="172" spans="1:8" x14ac:dyDescent="0.3">
      <c r="A172" s="8" t="s">
        <v>35</v>
      </c>
      <c r="B172" s="6">
        <v>3.3974358974358974</v>
      </c>
    </row>
    <row r="173" spans="1:8" x14ac:dyDescent="0.3">
      <c r="A173" s="8" t="s">
        <v>103</v>
      </c>
      <c r="B173" s="6">
        <v>3.5106564364876385</v>
      </c>
    </row>
    <row r="174" spans="1:8" x14ac:dyDescent="0.3">
      <c r="D174" s="7" t="s">
        <v>4</v>
      </c>
      <c r="E174" t="s">
        <v>35</v>
      </c>
      <c r="G174" s="7" t="s">
        <v>102</v>
      </c>
      <c r="H174" t="s">
        <v>104</v>
      </c>
    </row>
    <row r="175" spans="1:8" x14ac:dyDescent="0.3">
      <c r="G175" s="8" t="s">
        <v>126</v>
      </c>
      <c r="H175" s="4">
        <v>224</v>
      </c>
    </row>
    <row r="176" spans="1:8" x14ac:dyDescent="0.3">
      <c r="A176" s="7" t="s">
        <v>4</v>
      </c>
      <c r="B176" t="s">
        <v>35</v>
      </c>
      <c r="D176" s="7" t="s">
        <v>102</v>
      </c>
      <c r="E176" t="s">
        <v>125</v>
      </c>
      <c r="G176" s="8" t="s">
        <v>127</v>
      </c>
      <c r="H176" s="4">
        <v>159</v>
      </c>
    </row>
    <row r="177" spans="1:8" x14ac:dyDescent="0.3">
      <c r="D177" s="8" t="s">
        <v>43</v>
      </c>
      <c r="E177" s="6">
        <v>7.8798283261802577</v>
      </c>
      <c r="G177" s="8" t="s">
        <v>128</v>
      </c>
      <c r="H177" s="4">
        <v>203</v>
      </c>
    </row>
    <row r="178" spans="1:8" x14ac:dyDescent="0.3">
      <c r="A178" s="7" t="s">
        <v>102</v>
      </c>
      <c r="B178" s="6" t="s">
        <v>122</v>
      </c>
      <c r="D178" s="8" t="s">
        <v>24</v>
      </c>
      <c r="E178" s="6">
        <v>4.3250773993808052</v>
      </c>
      <c r="G178" s="8" t="s">
        <v>129</v>
      </c>
      <c r="H178" s="4">
        <v>173</v>
      </c>
    </row>
    <row r="179" spans="1:8" x14ac:dyDescent="0.3">
      <c r="A179" s="8" t="s">
        <v>43</v>
      </c>
      <c r="B179" s="6">
        <v>23.605379221339504</v>
      </c>
      <c r="D179" s="8" t="s">
        <v>34</v>
      </c>
      <c r="E179" s="6">
        <v>3.2238805970149254</v>
      </c>
      <c r="G179" s="8" t="s">
        <v>130</v>
      </c>
      <c r="H179" s="4">
        <v>219</v>
      </c>
    </row>
    <row r="180" spans="1:8" x14ac:dyDescent="0.3">
      <c r="A180" s="8" t="s">
        <v>24</v>
      </c>
      <c r="B180" s="6">
        <v>35.366580480929692</v>
      </c>
      <c r="D180" s="8" t="s">
        <v>103</v>
      </c>
      <c r="E180" s="6">
        <v>5.5361155698234352</v>
      </c>
      <c r="G180" s="8" t="s">
        <v>131</v>
      </c>
      <c r="H180" s="4">
        <v>203</v>
      </c>
    </row>
    <row r="181" spans="1:8" x14ac:dyDescent="0.3">
      <c r="A181" s="8" t="s">
        <v>34</v>
      </c>
      <c r="B181" s="6">
        <v>33.157097893516038</v>
      </c>
      <c r="G181" s="8" t="s">
        <v>132</v>
      </c>
      <c r="H181" s="4">
        <v>202</v>
      </c>
    </row>
    <row r="182" spans="1:8" x14ac:dyDescent="0.3">
      <c r="A182" s="8" t="s">
        <v>103</v>
      </c>
      <c r="B182" s="6">
        <v>30.769038812281256</v>
      </c>
      <c r="G182" s="8" t="s">
        <v>133</v>
      </c>
      <c r="H182" s="4">
        <v>194</v>
      </c>
    </row>
    <row r="183" spans="1:8" x14ac:dyDescent="0.3">
      <c r="G183" s="8" t="s">
        <v>134</v>
      </c>
      <c r="H183" s="4">
        <v>164</v>
      </c>
    </row>
    <row r="184" spans="1:8" x14ac:dyDescent="0.3">
      <c r="G184" s="8" t="s">
        <v>135</v>
      </c>
      <c r="H184" s="4">
        <v>200</v>
      </c>
    </row>
    <row r="185" spans="1:8" x14ac:dyDescent="0.3">
      <c r="G185" s="8" t="s">
        <v>136</v>
      </c>
      <c r="H185" s="4">
        <v>213</v>
      </c>
    </row>
    <row r="186" spans="1:8" x14ac:dyDescent="0.3">
      <c r="G186" s="8" t="s">
        <v>137</v>
      </c>
      <c r="H186" s="4">
        <v>176</v>
      </c>
    </row>
    <row r="187" spans="1:8" x14ac:dyDescent="0.3">
      <c r="G187" s="8" t="s">
        <v>103</v>
      </c>
      <c r="H187" s="4">
        <v>2330</v>
      </c>
    </row>
    <row r="193" spans="1:9" x14ac:dyDescent="0.3">
      <c r="A193" s="7" t="s">
        <v>104</v>
      </c>
      <c r="B193" s="7" t="s">
        <v>118</v>
      </c>
      <c r="E193" s="7" t="s">
        <v>102</v>
      </c>
      <c r="F193" t="s">
        <v>122</v>
      </c>
      <c r="H193" s="7" t="s">
        <v>102</v>
      </c>
      <c r="I193" t="s">
        <v>125</v>
      </c>
    </row>
    <row r="194" spans="1:9" x14ac:dyDescent="0.3">
      <c r="A194" s="7" t="s">
        <v>102</v>
      </c>
      <c r="B194" t="s">
        <v>38</v>
      </c>
      <c r="C194" t="s">
        <v>28</v>
      </c>
      <c r="E194" s="8" t="s">
        <v>126</v>
      </c>
      <c r="F194" s="6">
        <v>26.104006859773015</v>
      </c>
      <c r="H194" s="8" t="s">
        <v>126</v>
      </c>
      <c r="I194" s="6">
        <v>6.3125</v>
      </c>
    </row>
    <row r="195" spans="1:9" x14ac:dyDescent="0.3">
      <c r="A195" s="8" t="s">
        <v>126</v>
      </c>
      <c r="B195" s="3">
        <v>0.23660714285714285</v>
      </c>
      <c r="C195" s="3">
        <v>0.7633928571428571</v>
      </c>
      <c r="E195" s="8" t="s">
        <v>127</v>
      </c>
      <c r="F195" s="6">
        <v>27.167765257447083</v>
      </c>
      <c r="H195" s="8" t="s">
        <v>127</v>
      </c>
      <c r="I195" s="6">
        <v>5.2866242038216562</v>
      </c>
    </row>
    <row r="196" spans="1:9" x14ac:dyDescent="0.3">
      <c r="A196" s="8" t="s">
        <v>127</v>
      </c>
      <c r="B196" s="3">
        <v>0.30188679245283018</v>
      </c>
      <c r="C196" s="3">
        <v>0.69811320754716977</v>
      </c>
      <c r="E196" s="8" t="s">
        <v>128</v>
      </c>
      <c r="F196" s="6">
        <v>30.552108959997504</v>
      </c>
      <c r="H196" s="8" t="s">
        <v>128</v>
      </c>
      <c r="I196" s="6">
        <v>5.4851485148514856</v>
      </c>
    </row>
    <row r="197" spans="1:9" x14ac:dyDescent="0.3">
      <c r="A197" s="8" t="s">
        <v>128</v>
      </c>
      <c r="B197" s="3">
        <v>0.26600985221674878</v>
      </c>
      <c r="C197" s="3">
        <v>0.73399014778325122</v>
      </c>
      <c r="E197" s="8" t="s">
        <v>129</v>
      </c>
      <c r="F197" s="6">
        <v>27.028473141982168</v>
      </c>
      <c r="H197" s="8" t="s">
        <v>129</v>
      </c>
      <c r="I197" s="6">
        <v>6.4853801169590639</v>
      </c>
    </row>
    <row r="198" spans="1:9" x14ac:dyDescent="0.3">
      <c r="A198" s="8" t="s">
        <v>129</v>
      </c>
      <c r="B198" s="3">
        <v>0.33526011560693642</v>
      </c>
      <c r="C198" s="3">
        <v>0.66473988439306353</v>
      </c>
      <c r="E198" s="8" t="s">
        <v>130</v>
      </c>
      <c r="F198" s="6">
        <v>28.186553925596947</v>
      </c>
      <c r="H198" s="8" t="s">
        <v>130</v>
      </c>
      <c r="I198" s="6">
        <v>5.1050228310502286</v>
      </c>
    </row>
    <row r="199" spans="1:9" x14ac:dyDescent="0.3">
      <c r="A199" s="8" t="s">
        <v>130</v>
      </c>
      <c r="B199" s="3">
        <v>0.30136986301369861</v>
      </c>
      <c r="C199" s="3">
        <v>0.69863013698630139</v>
      </c>
      <c r="E199" s="8" t="s">
        <v>131</v>
      </c>
      <c r="F199" s="6">
        <v>31.848326443425275</v>
      </c>
      <c r="H199" s="8" t="s">
        <v>131</v>
      </c>
      <c r="I199" s="6">
        <v>5.7980295566502464</v>
      </c>
    </row>
    <row r="200" spans="1:9" x14ac:dyDescent="0.3">
      <c r="A200" s="8" t="s">
        <v>131</v>
      </c>
      <c r="B200" s="3">
        <v>0.33497536945812806</v>
      </c>
      <c r="C200" s="3">
        <v>0.66502463054187189</v>
      </c>
      <c r="E200" s="8" t="s">
        <v>132</v>
      </c>
      <c r="F200" s="6">
        <v>35.815216930893321</v>
      </c>
      <c r="H200" s="8" t="s">
        <v>132</v>
      </c>
      <c r="I200" s="6">
        <v>5.0990099009900991</v>
      </c>
    </row>
    <row r="201" spans="1:9" x14ac:dyDescent="0.3">
      <c r="A201" s="8" t="s">
        <v>132</v>
      </c>
      <c r="B201" s="3">
        <v>0.36633663366336633</v>
      </c>
      <c r="C201" s="3">
        <v>0.63366336633663367</v>
      </c>
      <c r="E201" s="8" t="s">
        <v>133</v>
      </c>
      <c r="F201" s="6">
        <v>38.212183198815801</v>
      </c>
      <c r="H201" s="8" t="s">
        <v>133</v>
      </c>
      <c r="I201" s="6">
        <v>5.3834196891191706</v>
      </c>
    </row>
    <row r="202" spans="1:9" x14ac:dyDescent="0.3">
      <c r="A202" s="8" t="s">
        <v>133</v>
      </c>
      <c r="B202" s="3">
        <v>0.37628865979381443</v>
      </c>
      <c r="C202" s="3">
        <v>0.62371134020618557</v>
      </c>
      <c r="E202" s="8" t="s">
        <v>134</v>
      </c>
      <c r="F202" s="6">
        <v>39.144554349260446</v>
      </c>
      <c r="H202" s="8" t="s">
        <v>134</v>
      </c>
      <c r="I202" s="6">
        <v>5.6158536585365857</v>
      </c>
    </row>
    <row r="203" spans="1:9" x14ac:dyDescent="0.3">
      <c r="A203" s="8" t="s">
        <v>134</v>
      </c>
      <c r="B203" s="3">
        <v>0.35365853658536583</v>
      </c>
      <c r="C203" s="3">
        <v>0.64634146341463417</v>
      </c>
      <c r="E203" s="8" t="s">
        <v>135</v>
      </c>
      <c r="F203" s="6">
        <v>39.187935053604747</v>
      </c>
      <c r="H203" s="8" t="s">
        <v>135</v>
      </c>
      <c r="I203" s="6">
        <v>4.585</v>
      </c>
    </row>
    <row r="204" spans="1:9" x14ac:dyDescent="0.3">
      <c r="A204" s="8" t="s">
        <v>135</v>
      </c>
      <c r="B204" s="3">
        <v>0.38500000000000001</v>
      </c>
      <c r="C204" s="3">
        <v>0.61499999999999999</v>
      </c>
      <c r="E204" s="8" t="s">
        <v>136</v>
      </c>
      <c r="F204" s="6">
        <v>37.872682219137396</v>
      </c>
      <c r="H204" s="8" t="s">
        <v>136</v>
      </c>
      <c r="I204" s="6">
        <v>5.225352112676056</v>
      </c>
    </row>
    <row r="205" spans="1:9" x14ac:dyDescent="0.3">
      <c r="A205" s="8" t="s">
        <v>136</v>
      </c>
      <c r="B205" s="3">
        <v>0.39436619718309857</v>
      </c>
      <c r="C205" s="3">
        <v>0.60563380281690138</v>
      </c>
      <c r="E205" s="8" t="s">
        <v>137</v>
      </c>
      <c r="F205" s="6">
        <v>37.139524846741175</v>
      </c>
      <c r="H205" s="8" t="s">
        <v>137</v>
      </c>
      <c r="I205" s="6">
        <v>5.3109756097560972</v>
      </c>
    </row>
    <row r="206" spans="1:9" x14ac:dyDescent="0.3">
      <c r="A206" s="8" t="s">
        <v>137</v>
      </c>
      <c r="B206" s="3">
        <v>0.39772727272727271</v>
      </c>
      <c r="C206" s="3">
        <v>0.60227272727272729</v>
      </c>
      <c r="E206" s="8" t="s">
        <v>103</v>
      </c>
      <c r="F206" s="6">
        <v>33.237957612883882</v>
      </c>
      <c r="H206" s="8" t="s">
        <v>103</v>
      </c>
      <c r="I206" s="6">
        <v>5.4701557093425608</v>
      </c>
    </row>
    <row r="207" spans="1:9" x14ac:dyDescent="0.3">
      <c r="A207" s="8" t="s">
        <v>103</v>
      </c>
      <c r="B207" s="3">
        <v>0.33605150214592272</v>
      </c>
      <c r="C207" s="3">
        <v>0.66394849785407728</v>
      </c>
    </row>
    <row r="212" spans="1:8" x14ac:dyDescent="0.3">
      <c r="A212" s="7" t="s">
        <v>104</v>
      </c>
      <c r="B212" s="7" t="s">
        <v>118</v>
      </c>
    </row>
    <row r="213" spans="1:8" x14ac:dyDescent="0.3">
      <c r="A213" s="7" t="s">
        <v>102</v>
      </c>
      <c r="B213" t="s">
        <v>59</v>
      </c>
      <c r="C213" t="s">
        <v>25</v>
      </c>
      <c r="D213" t="s">
        <v>39</v>
      </c>
      <c r="E213" t="s">
        <v>48</v>
      </c>
      <c r="F213" t="s">
        <v>35</v>
      </c>
      <c r="G213" t="s">
        <v>44</v>
      </c>
      <c r="H213" t="s">
        <v>62</v>
      </c>
    </row>
    <row r="214" spans="1:8" x14ac:dyDescent="0.3">
      <c r="A214" s="8" t="s">
        <v>126</v>
      </c>
      <c r="B214" s="3">
        <v>8.9285714285714288E-2</v>
      </c>
      <c r="C214" s="3">
        <v>0.15178571428571427</v>
      </c>
      <c r="D214" s="3">
        <v>9.375E-2</v>
      </c>
      <c r="E214" s="3">
        <v>0.22767857142857142</v>
      </c>
      <c r="F214" s="3">
        <v>0.30357142857142855</v>
      </c>
      <c r="G214" s="3">
        <v>0.11160714285714286</v>
      </c>
      <c r="H214" s="3">
        <v>2.2321428571428572E-2</v>
      </c>
    </row>
    <row r="215" spans="1:8" x14ac:dyDescent="0.3">
      <c r="A215" s="8" t="s">
        <v>127</v>
      </c>
      <c r="B215" s="3">
        <v>0.11320754716981132</v>
      </c>
      <c r="C215" s="3">
        <v>0.13836477987421383</v>
      </c>
      <c r="D215" s="3">
        <v>8.1761006289308172E-2</v>
      </c>
      <c r="E215" s="3">
        <v>0.30188679245283018</v>
      </c>
      <c r="F215" s="3">
        <v>0.25157232704402516</v>
      </c>
      <c r="G215" s="3">
        <v>9.4339622641509441E-2</v>
      </c>
      <c r="H215" s="3">
        <v>1.8867924528301886E-2</v>
      </c>
    </row>
    <row r="216" spans="1:8" x14ac:dyDescent="0.3">
      <c r="A216" s="8" t="s">
        <v>128</v>
      </c>
      <c r="B216" s="3">
        <v>9.3596059113300489E-2</v>
      </c>
      <c r="C216" s="3">
        <v>0.24630541871921183</v>
      </c>
      <c r="D216" s="3">
        <v>8.8669950738916259E-2</v>
      </c>
      <c r="E216" s="3">
        <v>0.15763546798029557</v>
      </c>
      <c r="F216" s="3">
        <v>0.29556650246305421</v>
      </c>
      <c r="G216" s="3">
        <v>9.3596059113300489E-2</v>
      </c>
      <c r="H216" s="3">
        <v>2.4630541871921183E-2</v>
      </c>
    </row>
    <row r="217" spans="1:8" x14ac:dyDescent="0.3">
      <c r="A217" s="8" t="s">
        <v>129</v>
      </c>
      <c r="B217" s="3">
        <v>8.6705202312138727E-2</v>
      </c>
      <c r="C217" s="3">
        <v>0.19075144508670519</v>
      </c>
      <c r="D217" s="3">
        <v>0.11560693641618497</v>
      </c>
      <c r="E217" s="3">
        <v>0.18497109826589594</v>
      </c>
      <c r="F217" s="3">
        <v>0.24855491329479767</v>
      </c>
      <c r="G217" s="3">
        <v>0.12138728323699421</v>
      </c>
      <c r="H217" s="3">
        <v>5.2023121387283239E-2</v>
      </c>
    </row>
    <row r="218" spans="1:8" x14ac:dyDescent="0.3">
      <c r="A218" s="8" t="s">
        <v>130</v>
      </c>
      <c r="B218" s="3">
        <v>8.6757990867579904E-2</v>
      </c>
      <c r="C218" s="3">
        <v>0.19178082191780821</v>
      </c>
      <c r="D218" s="3">
        <v>8.6757990867579904E-2</v>
      </c>
      <c r="E218" s="3">
        <v>0.21004566210045661</v>
      </c>
      <c r="F218" s="3">
        <v>0.28310502283105021</v>
      </c>
      <c r="G218" s="3">
        <v>0.11872146118721461</v>
      </c>
      <c r="H218" s="3">
        <v>2.2831050228310501E-2</v>
      </c>
    </row>
    <row r="219" spans="1:8" x14ac:dyDescent="0.3">
      <c r="A219" s="8" t="s">
        <v>131</v>
      </c>
      <c r="B219" s="3">
        <v>8.3743842364532015E-2</v>
      </c>
      <c r="C219" s="3">
        <v>0.18719211822660098</v>
      </c>
      <c r="D219" s="3">
        <v>8.8669950738916259E-2</v>
      </c>
      <c r="E219" s="3">
        <v>0.24630541871921183</v>
      </c>
      <c r="F219" s="3">
        <v>0.22660098522167488</v>
      </c>
      <c r="G219" s="3">
        <v>0.13793103448275862</v>
      </c>
      <c r="H219" s="3">
        <v>2.9556650246305417E-2</v>
      </c>
    </row>
    <row r="220" spans="1:8" x14ac:dyDescent="0.3">
      <c r="A220" s="8" t="s">
        <v>132</v>
      </c>
      <c r="B220" s="3">
        <v>8.9108910891089105E-2</v>
      </c>
      <c r="C220" s="3">
        <v>0.15841584158415842</v>
      </c>
      <c r="D220" s="3">
        <v>0.10891089108910891</v>
      </c>
      <c r="E220" s="3">
        <v>0.18811881188118812</v>
      </c>
      <c r="F220" s="3">
        <v>0.29702970297029702</v>
      </c>
      <c r="G220" s="3">
        <v>0.12376237623762376</v>
      </c>
      <c r="H220" s="3">
        <v>3.4653465346534656E-2</v>
      </c>
    </row>
    <row r="221" spans="1:8" x14ac:dyDescent="0.3">
      <c r="A221" s="8" t="s">
        <v>133</v>
      </c>
      <c r="B221" s="3">
        <v>0.12371134020618557</v>
      </c>
      <c r="C221" s="3">
        <v>0.17525773195876287</v>
      </c>
      <c r="D221" s="3">
        <v>6.7010309278350513E-2</v>
      </c>
      <c r="E221" s="3">
        <v>0.22680412371134021</v>
      </c>
      <c r="F221" s="3">
        <v>0.22680412371134021</v>
      </c>
      <c r="G221" s="3">
        <v>0.13917525773195877</v>
      </c>
      <c r="H221" s="3">
        <v>4.1237113402061855E-2</v>
      </c>
    </row>
    <row r="222" spans="1:8" x14ac:dyDescent="0.3">
      <c r="A222" s="8" t="s">
        <v>134</v>
      </c>
      <c r="B222" s="3">
        <v>7.926829268292683E-2</v>
      </c>
      <c r="C222" s="3">
        <v>0.17682926829268292</v>
      </c>
      <c r="D222" s="3">
        <v>9.1463414634146339E-2</v>
      </c>
      <c r="E222" s="3">
        <v>0.27439024390243905</v>
      </c>
      <c r="F222" s="3">
        <v>0.21951219512195122</v>
      </c>
      <c r="G222" s="3">
        <v>0.1402439024390244</v>
      </c>
      <c r="H222" s="3">
        <v>1.8292682926829267E-2</v>
      </c>
    </row>
    <row r="223" spans="1:8" x14ac:dyDescent="0.3">
      <c r="A223" s="8" t="s">
        <v>135</v>
      </c>
      <c r="B223" s="3">
        <v>0.13</v>
      </c>
      <c r="C223" s="3">
        <v>0.16500000000000001</v>
      </c>
      <c r="D223" s="3">
        <v>0.08</v>
      </c>
      <c r="E223" s="3">
        <v>0.22</v>
      </c>
      <c r="F223" s="3">
        <v>0.28999999999999998</v>
      </c>
      <c r="G223" s="3">
        <v>0.08</v>
      </c>
      <c r="H223" s="3">
        <v>3.5000000000000003E-2</v>
      </c>
    </row>
    <row r="224" spans="1:8" x14ac:dyDescent="0.3">
      <c r="A224" s="8" t="s">
        <v>136</v>
      </c>
      <c r="B224" s="3">
        <v>9.8591549295774641E-2</v>
      </c>
      <c r="C224" s="3">
        <v>0.18309859154929578</v>
      </c>
      <c r="D224" s="3">
        <v>7.0422535211267609E-2</v>
      </c>
      <c r="E224" s="3">
        <v>0.27230046948356806</v>
      </c>
      <c r="F224" s="3">
        <v>0.25821596244131456</v>
      </c>
      <c r="G224" s="3">
        <v>9.8591549295774641E-2</v>
      </c>
      <c r="H224" s="3">
        <v>1.8779342723004695E-2</v>
      </c>
    </row>
    <row r="225" spans="1:10" x14ac:dyDescent="0.3">
      <c r="A225" s="8" t="s">
        <v>137</v>
      </c>
      <c r="B225" s="3">
        <v>8.5227272727272721E-2</v>
      </c>
      <c r="C225" s="3">
        <v>0.17613636363636365</v>
      </c>
      <c r="D225" s="3">
        <v>7.3863636363636367E-2</v>
      </c>
      <c r="E225" s="3">
        <v>0.21022727272727273</v>
      </c>
      <c r="F225" s="3">
        <v>0.32954545454545453</v>
      </c>
      <c r="G225" s="3">
        <v>0.10227272727272728</v>
      </c>
      <c r="H225" s="3">
        <v>2.2727272727272728E-2</v>
      </c>
    </row>
    <row r="226" spans="1:10" x14ac:dyDescent="0.3">
      <c r="A226" s="8" t="s">
        <v>103</v>
      </c>
      <c r="B226" s="3">
        <v>9.6566523605150209E-2</v>
      </c>
      <c r="C226" s="3">
        <v>0.17896995708154506</v>
      </c>
      <c r="D226" s="3">
        <v>8.71244635193133E-2</v>
      </c>
      <c r="E226" s="3">
        <v>0.22532188841201717</v>
      </c>
      <c r="F226" s="3">
        <v>0.27038626609442062</v>
      </c>
      <c r="G226" s="3">
        <v>0.11330472103004292</v>
      </c>
      <c r="H226" s="3">
        <v>2.8326180257510731E-2</v>
      </c>
    </row>
    <row r="232" spans="1:10" x14ac:dyDescent="0.3">
      <c r="A232" s="7" t="s">
        <v>104</v>
      </c>
      <c r="B232" s="7" t="s">
        <v>118</v>
      </c>
    </row>
    <row r="233" spans="1:10" x14ac:dyDescent="0.3">
      <c r="A233" s="7" t="s">
        <v>102</v>
      </c>
      <c r="B233" t="s">
        <v>37</v>
      </c>
      <c r="C233" t="s">
        <v>45</v>
      </c>
      <c r="D233" t="s">
        <v>49</v>
      </c>
      <c r="E233" t="s">
        <v>64</v>
      </c>
      <c r="F233" t="s">
        <v>27</v>
      </c>
      <c r="G233" t="s">
        <v>54</v>
      </c>
      <c r="H233" t="s">
        <v>60</v>
      </c>
      <c r="I233" t="s">
        <v>52</v>
      </c>
      <c r="J233" t="s">
        <v>103</v>
      </c>
    </row>
    <row r="234" spans="1:10" x14ac:dyDescent="0.3">
      <c r="A234" s="8" t="s">
        <v>126</v>
      </c>
      <c r="B234" s="4">
        <v>12</v>
      </c>
      <c r="C234" s="4">
        <v>36</v>
      </c>
      <c r="D234" s="4">
        <v>27</v>
      </c>
      <c r="E234" s="4">
        <v>16</v>
      </c>
      <c r="F234" s="4">
        <v>40</v>
      </c>
      <c r="G234" s="4">
        <v>14</v>
      </c>
      <c r="H234" s="4">
        <v>36</v>
      </c>
      <c r="I234" s="4">
        <v>43</v>
      </c>
      <c r="J234" s="4">
        <v>224</v>
      </c>
    </row>
    <row r="235" spans="1:10" x14ac:dyDescent="0.3">
      <c r="A235" s="8" t="s">
        <v>127</v>
      </c>
      <c r="B235" s="4">
        <v>9</v>
      </c>
      <c r="C235" s="4">
        <v>24</v>
      </c>
      <c r="D235" s="4">
        <v>18</v>
      </c>
      <c r="E235" s="4">
        <v>15</v>
      </c>
      <c r="F235" s="4">
        <v>29</v>
      </c>
      <c r="G235" s="4">
        <v>14</v>
      </c>
      <c r="H235" s="4">
        <v>27</v>
      </c>
      <c r="I235" s="4">
        <v>23</v>
      </c>
      <c r="J235" s="4">
        <v>159</v>
      </c>
    </row>
    <row r="236" spans="1:10" x14ac:dyDescent="0.3">
      <c r="A236" s="8" t="s">
        <v>128</v>
      </c>
      <c r="B236" s="4">
        <v>16</v>
      </c>
      <c r="C236" s="4">
        <v>28</v>
      </c>
      <c r="D236" s="4">
        <v>31</v>
      </c>
      <c r="E236" s="4">
        <v>15</v>
      </c>
      <c r="F236" s="4">
        <v>25</v>
      </c>
      <c r="G236" s="4">
        <v>13</v>
      </c>
      <c r="H236" s="4">
        <v>37</v>
      </c>
      <c r="I236" s="4">
        <v>38</v>
      </c>
      <c r="J236" s="4">
        <v>203</v>
      </c>
    </row>
    <row r="237" spans="1:10" x14ac:dyDescent="0.3">
      <c r="A237" s="8" t="s">
        <v>129</v>
      </c>
      <c r="B237" s="4">
        <v>18</v>
      </c>
      <c r="C237" s="4">
        <v>24</v>
      </c>
      <c r="D237" s="4">
        <v>28</v>
      </c>
      <c r="E237" s="4">
        <v>18</v>
      </c>
      <c r="F237" s="4">
        <v>26</v>
      </c>
      <c r="G237" s="4">
        <v>10</v>
      </c>
      <c r="H237" s="4">
        <v>24</v>
      </c>
      <c r="I237" s="4">
        <v>25</v>
      </c>
      <c r="J237" s="4">
        <v>173</v>
      </c>
    </row>
    <row r="238" spans="1:10" x14ac:dyDescent="0.3">
      <c r="A238" s="8" t="s">
        <v>130</v>
      </c>
      <c r="B238" s="4">
        <v>17</v>
      </c>
      <c r="C238" s="4">
        <v>35</v>
      </c>
      <c r="D238" s="4">
        <v>34</v>
      </c>
      <c r="E238" s="4">
        <v>17</v>
      </c>
      <c r="F238" s="4">
        <v>29</v>
      </c>
      <c r="G238" s="4">
        <v>16</v>
      </c>
      <c r="H238" s="4">
        <v>35</v>
      </c>
      <c r="I238" s="4">
        <v>36</v>
      </c>
      <c r="J238" s="4">
        <v>219</v>
      </c>
    </row>
    <row r="239" spans="1:10" x14ac:dyDescent="0.3">
      <c r="A239" s="8" t="s">
        <v>131</v>
      </c>
      <c r="B239" s="4">
        <v>21</v>
      </c>
      <c r="C239" s="4">
        <v>30</v>
      </c>
      <c r="D239" s="4">
        <v>36</v>
      </c>
      <c r="E239" s="4">
        <v>25</v>
      </c>
      <c r="F239" s="4">
        <v>23</v>
      </c>
      <c r="G239" s="4">
        <v>16</v>
      </c>
      <c r="H239" s="4">
        <v>21</v>
      </c>
      <c r="I239" s="4">
        <v>31</v>
      </c>
      <c r="J239" s="4">
        <v>203</v>
      </c>
    </row>
    <row r="240" spans="1:10" x14ac:dyDescent="0.3">
      <c r="A240" s="8" t="s">
        <v>132</v>
      </c>
      <c r="B240" s="4">
        <v>12</v>
      </c>
      <c r="C240" s="4">
        <v>29</v>
      </c>
      <c r="D240" s="4">
        <v>30</v>
      </c>
      <c r="E240" s="4">
        <v>14</v>
      </c>
      <c r="F240" s="4">
        <v>29</v>
      </c>
      <c r="G240" s="4">
        <v>19</v>
      </c>
      <c r="H240" s="4">
        <v>36</v>
      </c>
      <c r="I240" s="4">
        <v>33</v>
      </c>
      <c r="J240" s="4">
        <v>202</v>
      </c>
    </row>
    <row r="241" spans="1:10" x14ac:dyDescent="0.3">
      <c r="A241" s="8" t="s">
        <v>133</v>
      </c>
      <c r="B241" s="4">
        <v>20</v>
      </c>
      <c r="C241" s="4">
        <v>32</v>
      </c>
      <c r="D241" s="4">
        <v>29</v>
      </c>
      <c r="E241" s="4">
        <v>9</v>
      </c>
      <c r="F241" s="4">
        <v>27</v>
      </c>
      <c r="G241" s="4">
        <v>18</v>
      </c>
      <c r="H241" s="4">
        <v>35</v>
      </c>
      <c r="I241" s="4">
        <v>24</v>
      </c>
      <c r="J241" s="4">
        <v>194</v>
      </c>
    </row>
    <row r="242" spans="1:10" x14ac:dyDescent="0.3">
      <c r="A242" s="8" t="s">
        <v>134</v>
      </c>
      <c r="B242" s="4">
        <v>12</v>
      </c>
      <c r="C242" s="4">
        <v>21</v>
      </c>
      <c r="D242" s="4">
        <v>29</v>
      </c>
      <c r="E242" s="4">
        <v>15</v>
      </c>
      <c r="F242" s="4">
        <v>27</v>
      </c>
      <c r="G242" s="4">
        <v>19</v>
      </c>
      <c r="H242" s="4">
        <v>23</v>
      </c>
      <c r="I242" s="4">
        <v>18</v>
      </c>
      <c r="J242" s="4">
        <v>164</v>
      </c>
    </row>
    <row r="243" spans="1:10" x14ac:dyDescent="0.3">
      <c r="A243" s="8" t="s">
        <v>135</v>
      </c>
      <c r="B243" s="4">
        <v>18</v>
      </c>
      <c r="C243" s="4">
        <v>32</v>
      </c>
      <c r="D243" s="4">
        <v>28</v>
      </c>
      <c r="E243" s="4">
        <v>14</v>
      </c>
      <c r="F243" s="4">
        <v>27</v>
      </c>
      <c r="G243" s="4">
        <v>20</v>
      </c>
      <c r="H243" s="4">
        <v>31</v>
      </c>
      <c r="I243" s="4">
        <v>30</v>
      </c>
      <c r="J243" s="4">
        <v>200</v>
      </c>
    </row>
    <row r="244" spans="1:10" x14ac:dyDescent="0.3">
      <c r="A244" s="8" t="s">
        <v>136</v>
      </c>
      <c r="B244" s="4">
        <v>22</v>
      </c>
      <c r="C244" s="4">
        <v>36</v>
      </c>
      <c r="D244" s="4">
        <v>31</v>
      </c>
      <c r="E244" s="4">
        <v>9</v>
      </c>
      <c r="F244" s="4">
        <v>27</v>
      </c>
      <c r="G244" s="4">
        <v>12</v>
      </c>
      <c r="H244" s="4">
        <v>39</v>
      </c>
      <c r="I244" s="4">
        <v>37</v>
      </c>
      <c r="J244" s="4">
        <v>213</v>
      </c>
    </row>
    <row r="245" spans="1:10" x14ac:dyDescent="0.3">
      <c r="A245" s="8" t="s">
        <v>137</v>
      </c>
      <c r="B245" s="4">
        <v>20</v>
      </c>
      <c r="C245" s="4">
        <v>32</v>
      </c>
      <c r="D245" s="4">
        <v>26</v>
      </c>
      <c r="E245" s="4">
        <v>10</v>
      </c>
      <c r="F245" s="4">
        <v>24</v>
      </c>
      <c r="G245" s="4">
        <v>15</v>
      </c>
      <c r="H245" s="4">
        <v>23</v>
      </c>
      <c r="I245" s="4">
        <v>26</v>
      </c>
      <c r="J245" s="4">
        <v>176</v>
      </c>
    </row>
    <row r="246" spans="1:10" x14ac:dyDescent="0.3">
      <c r="A246" s="8" t="s">
        <v>103</v>
      </c>
      <c r="B246" s="4">
        <v>197</v>
      </c>
      <c r="C246" s="4">
        <v>359</v>
      </c>
      <c r="D246" s="4">
        <v>347</v>
      </c>
      <c r="E246" s="4">
        <v>177</v>
      </c>
      <c r="F246" s="4">
        <v>333</v>
      </c>
      <c r="G246" s="4">
        <v>186</v>
      </c>
      <c r="H246" s="4">
        <v>367</v>
      </c>
      <c r="I246" s="4">
        <v>364</v>
      </c>
      <c r="J246" s="4">
        <v>2330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730E-C773-4ADC-9918-3CE81B1162C3}">
  <dimension ref="A1:AC2332"/>
  <sheetViews>
    <sheetView topLeftCell="A2" workbookViewId="0">
      <selection activeCell="AC2" sqref="AC2:AC2331"/>
    </sheetView>
  </sheetViews>
  <sheetFormatPr defaultRowHeight="14.4" x14ac:dyDescent="0.3"/>
  <cols>
    <col min="1" max="1" width="21.88671875" customWidth="1"/>
    <col min="2" max="2" width="28.77734375" customWidth="1"/>
    <col min="3" max="3" width="9" customWidth="1"/>
    <col min="4" max="4" width="20.77734375" customWidth="1"/>
    <col min="5" max="5" width="28.5546875" customWidth="1"/>
    <col min="6" max="6" width="34.6640625" customWidth="1"/>
    <col min="7" max="8" width="22.88671875" customWidth="1"/>
    <col min="9" max="9" width="26.5546875" customWidth="1"/>
    <col min="10" max="10" width="35.5546875" customWidth="1"/>
    <col min="11" max="11" width="27.6640625" customWidth="1"/>
    <col min="12" max="12" width="25.33203125" customWidth="1"/>
    <col min="13" max="13" width="29.21875" customWidth="1"/>
    <col min="14" max="14" width="20" customWidth="1"/>
    <col min="15" max="15" width="32.109375" customWidth="1"/>
    <col min="16" max="16" width="20.44140625" customWidth="1"/>
    <col min="17" max="17" width="17.88671875" customWidth="1"/>
    <col min="18" max="18" width="29" customWidth="1"/>
    <col min="19" max="19" width="35.77734375" customWidth="1"/>
    <col min="20" max="20" width="26.6640625" customWidth="1"/>
    <col min="21" max="21" width="21.44140625" customWidth="1"/>
    <col min="22" max="22" width="19" customWidth="1"/>
    <col min="23" max="23" width="20.21875" customWidth="1"/>
    <col min="24" max="24" width="35.5546875" customWidth="1"/>
    <col min="25" max="25" width="33.109375" customWidth="1"/>
    <col min="26" max="26" width="50" customWidth="1"/>
    <col min="27" max="27" width="35.21875" customWidth="1"/>
    <col min="28" max="28" width="44.6640625" customWidth="1"/>
    <col min="29" max="29" width="28.5546875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83</v>
      </c>
      <c r="X1" t="s">
        <v>85</v>
      </c>
      <c r="Y1" t="s">
        <v>87</v>
      </c>
      <c r="Z1" t="s">
        <v>90</v>
      </c>
      <c r="AA1" t="s">
        <v>96</v>
      </c>
      <c r="AB1" t="s">
        <v>106</v>
      </c>
      <c r="AC1" t="s">
        <v>121</v>
      </c>
    </row>
    <row r="2" spans="1:29" x14ac:dyDescent="0.3">
      <c r="A2" t="s">
        <v>22</v>
      </c>
      <c r="B2">
        <v>1012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s="1">
        <v>44928.040694444448</v>
      </c>
      <c r="I2" s="1">
        <v>44930.040694444448</v>
      </c>
      <c r="J2" s="1">
        <v>44928.082361111112</v>
      </c>
      <c r="K2" s="2">
        <v>44928.04395175926</v>
      </c>
      <c r="L2" t="s">
        <v>28</v>
      </c>
      <c r="M2" s="2">
        <v>44930.022126087963</v>
      </c>
      <c r="N2" t="s">
        <v>28</v>
      </c>
      <c r="O2" s="2">
        <v>44930.168738576387</v>
      </c>
      <c r="P2">
        <v>1</v>
      </c>
      <c r="Q2">
        <v>3</v>
      </c>
      <c r="R2" t="s">
        <v>29</v>
      </c>
      <c r="S2" t="s">
        <v>30</v>
      </c>
      <c r="T2" t="s">
        <v>31</v>
      </c>
      <c r="U2">
        <v>53.094023999999997</v>
      </c>
      <c r="V2">
        <v>-8.0196749999999994</v>
      </c>
      <c r="W2" t="str">
        <f t="shared" ref="W2:W65" si="0">IF(K2&lt;H2,"check","ok")</f>
        <v>ok</v>
      </c>
      <c r="X2" t="str">
        <f>IF(AND(M2&lt;&gt;"",M2&lt;H2),"check","ok")</f>
        <v>ok</v>
      </c>
      <c r="Y2" t="str">
        <f t="shared" ref="Y2:Y65" si="1">IF(AND(M2&lt;&gt;"",O2&lt;&gt;"",O2&lt;M2),"check","ok")</f>
        <v>ok</v>
      </c>
      <c r="Z2" t="str">
        <f t="shared" ref="Z2:Z65" si="2">IF(AND(OR(CA2="Closed",A2="Resolved"),M2=""),"check","ok")</f>
        <v>ok</v>
      </c>
      <c r="AA2" s="4" t="str">
        <f t="shared" ref="AA2:AA65" si="3">IF(K2="","no response",IF(OR(AND(K2&lt;=J2,L2="Within SLA"),AND(K2&gt;J2,L2="SLA Violated")),"ok","check"))</f>
        <v>ok</v>
      </c>
      <c r="AB2" s="4" t="str">
        <f t="shared" ref="AB2:AB65" si="4">IF(M2="","no resolution",IF(OR(AND(M2&lt;=I2,N2="Within SLA"),AND(M2&gt;I2,N2="SLA Violated")),"ok","check"))</f>
        <v>ok</v>
      </c>
      <c r="AC2" s="6">
        <f>IF(M2="","",(M2-H2)*24)</f>
        <v>47.554359444358852</v>
      </c>
    </row>
    <row r="3" spans="1:29" x14ac:dyDescent="0.3">
      <c r="A3" t="s">
        <v>32</v>
      </c>
      <c r="B3">
        <v>1013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s="1">
        <v>44928.310706018521</v>
      </c>
      <c r="I3" s="1">
        <v>44930.310706018521</v>
      </c>
      <c r="J3" s="1">
        <v>44928.312094907407</v>
      </c>
      <c r="K3" s="2">
        <v>44928.310917025461</v>
      </c>
      <c r="L3" t="s">
        <v>28</v>
      </c>
      <c r="N3" t="s">
        <v>38</v>
      </c>
      <c r="P3">
        <v>3</v>
      </c>
      <c r="R3" t="s">
        <v>39</v>
      </c>
      <c r="S3" t="s">
        <v>40</v>
      </c>
      <c r="T3" t="s">
        <v>41</v>
      </c>
      <c r="U3">
        <v>43.036776000000003</v>
      </c>
      <c r="V3">
        <v>12.678565000000001</v>
      </c>
      <c r="W3" t="str">
        <f t="shared" si="0"/>
        <v>ok</v>
      </c>
      <c r="X3" t="str">
        <f t="shared" ref="X3:X66" si="5">IF(AND(M3&lt;&gt;"",M3&lt;H3),"check","ok")</f>
        <v>ok</v>
      </c>
      <c r="Y3" t="str">
        <f t="shared" si="1"/>
        <v>ok</v>
      </c>
      <c r="Z3" t="str">
        <f t="shared" si="2"/>
        <v>ok</v>
      </c>
      <c r="AA3" s="4" t="str">
        <f t="shared" si="3"/>
        <v>ok</v>
      </c>
      <c r="AB3" s="4" t="str">
        <f t="shared" si="4"/>
        <v>no resolution</v>
      </c>
      <c r="AC3" s="6" t="str">
        <f>IF(M3="","",(M3-H3)*24)</f>
        <v/>
      </c>
    </row>
    <row r="4" spans="1:29" x14ac:dyDescent="0.3">
      <c r="A4" t="s">
        <v>42</v>
      </c>
      <c r="B4">
        <v>1014</v>
      </c>
      <c r="C4" t="s">
        <v>23</v>
      </c>
      <c r="D4" t="s">
        <v>43</v>
      </c>
      <c r="E4" t="s">
        <v>44</v>
      </c>
      <c r="F4" t="s">
        <v>26</v>
      </c>
      <c r="G4" t="s">
        <v>45</v>
      </c>
      <c r="H4" s="1">
        <v>44928.291018518517</v>
      </c>
      <c r="I4" s="1">
        <v>44929.291018518517</v>
      </c>
      <c r="J4" s="1">
        <v>44928.292407407411</v>
      </c>
      <c r="K4" s="2">
        <v>44928.291637395836</v>
      </c>
      <c r="L4" t="s">
        <v>28</v>
      </c>
      <c r="M4" s="2">
        <v>44928.948298310184</v>
      </c>
      <c r="N4" t="s">
        <v>28</v>
      </c>
      <c r="P4">
        <v>2</v>
      </c>
      <c r="R4" t="s">
        <v>29</v>
      </c>
      <c r="S4" t="s">
        <v>30</v>
      </c>
      <c r="T4" t="s">
        <v>46</v>
      </c>
      <c r="U4">
        <v>47.696471899999999</v>
      </c>
      <c r="V4">
        <v>13.3457347</v>
      </c>
      <c r="W4" t="str">
        <f t="shared" si="0"/>
        <v>ok</v>
      </c>
      <c r="X4" t="str">
        <f t="shared" si="5"/>
        <v>ok</v>
      </c>
      <c r="Y4" t="str">
        <f t="shared" si="1"/>
        <v>ok</v>
      </c>
      <c r="Z4" t="str">
        <f t="shared" si="2"/>
        <v>ok</v>
      </c>
      <c r="AA4" s="4" t="str">
        <f t="shared" si="3"/>
        <v>ok</v>
      </c>
      <c r="AB4" s="4" t="str">
        <f t="shared" si="4"/>
        <v>ok</v>
      </c>
      <c r="AC4" s="6">
        <f>IF(M4="","",(M4-H4)*24)</f>
        <v>15.774715000006836</v>
      </c>
    </row>
    <row r="5" spans="1:29" x14ac:dyDescent="0.3">
      <c r="A5" t="s">
        <v>22</v>
      </c>
      <c r="B5">
        <v>1015</v>
      </c>
      <c r="C5" t="s">
        <v>47</v>
      </c>
      <c r="D5" t="s">
        <v>24</v>
      </c>
      <c r="E5" t="s">
        <v>48</v>
      </c>
      <c r="F5" t="s">
        <v>26</v>
      </c>
      <c r="G5" t="s">
        <v>49</v>
      </c>
      <c r="H5" s="1">
        <v>44929.131701388891</v>
      </c>
      <c r="I5" s="1">
        <v>44931.131701388891</v>
      </c>
      <c r="J5" s="1">
        <v>44929.173368055555</v>
      </c>
      <c r="K5" s="2">
        <v>44929.298099942127</v>
      </c>
      <c r="L5" t="s">
        <v>38</v>
      </c>
      <c r="M5" s="2">
        <v>44930.60596040509</v>
      </c>
      <c r="N5" t="s">
        <v>28</v>
      </c>
      <c r="O5" s="2">
        <v>44934.183967256948</v>
      </c>
      <c r="P5">
        <v>10</v>
      </c>
      <c r="Q5">
        <v>4</v>
      </c>
      <c r="R5" t="s">
        <v>50</v>
      </c>
      <c r="S5" t="s">
        <v>30</v>
      </c>
      <c r="T5" t="s">
        <v>51</v>
      </c>
      <c r="U5">
        <v>39.673369999999998</v>
      </c>
      <c r="V5">
        <v>-4.7677259999999997</v>
      </c>
      <c r="W5" t="str">
        <f t="shared" si="0"/>
        <v>ok</v>
      </c>
      <c r="X5" t="str">
        <f t="shared" si="5"/>
        <v>ok</v>
      </c>
      <c r="Y5" t="str">
        <f t="shared" si="1"/>
        <v>ok</v>
      </c>
      <c r="Z5" t="str">
        <f t="shared" si="2"/>
        <v>ok</v>
      </c>
      <c r="AA5" s="4" t="str">
        <f t="shared" si="3"/>
        <v>ok</v>
      </c>
      <c r="AB5" s="4" t="str">
        <f t="shared" si="4"/>
        <v>ok</v>
      </c>
      <c r="AC5" s="6">
        <f>IF(M5="","",(M5-H5)*24)</f>
        <v>35.382216388767119</v>
      </c>
    </row>
    <row r="6" spans="1:29" x14ac:dyDescent="0.3">
      <c r="A6" t="s">
        <v>22</v>
      </c>
      <c r="B6">
        <v>1016</v>
      </c>
      <c r="C6" t="s">
        <v>23</v>
      </c>
      <c r="D6" t="s">
        <v>24</v>
      </c>
      <c r="E6" t="s">
        <v>35</v>
      </c>
      <c r="F6" t="s">
        <v>26</v>
      </c>
      <c r="G6" t="s">
        <v>27</v>
      </c>
      <c r="H6" s="1">
        <v>44929.002754629626</v>
      </c>
      <c r="I6" s="1">
        <v>44931.002754629626</v>
      </c>
      <c r="J6" s="1">
        <v>44929.044421296298</v>
      </c>
      <c r="K6" s="2">
        <v>44929.0055750463</v>
      </c>
      <c r="L6" t="s">
        <v>28</v>
      </c>
      <c r="M6" s="2">
        <v>44930.502152615743</v>
      </c>
      <c r="N6" t="s">
        <v>28</v>
      </c>
      <c r="O6" s="2">
        <v>44932.253572187503</v>
      </c>
      <c r="P6">
        <v>1</v>
      </c>
      <c r="Q6">
        <v>2</v>
      </c>
      <c r="R6" t="s">
        <v>39</v>
      </c>
      <c r="S6" t="s">
        <v>30</v>
      </c>
      <c r="T6" t="s">
        <v>46</v>
      </c>
      <c r="U6">
        <v>47.696471899999999</v>
      </c>
      <c r="V6">
        <v>13.3457347</v>
      </c>
      <c r="W6" t="str">
        <f t="shared" si="0"/>
        <v>ok</v>
      </c>
      <c r="X6" t="str">
        <f t="shared" si="5"/>
        <v>ok</v>
      </c>
      <c r="Y6" t="str">
        <f t="shared" si="1"/>
        <v>ok</v>
      </c>
      <c r="Z6" t="str">
        <f t="shared" si="2"/>
        <v>ok</v>
      </c>
      <c r="AA6" s="4" t="str">
        <f t="shared" si="3"/>
        <v>ok</v>
      </c>
      <c r="AB6" s="4" t="str">
        <f t="shared" si="4"/>
        <v>ok</v>
      </c>
      <c r="AC6" s="6">
        <f>IF(M6="","",(M6-H6)*24)</f>
        <v>35.985551666817628</v>
      </c>
    </row>
    <row r="7" spans="1:29" x14ac:dyDescent="0.3">
      <c r="A7" t="s">
        <v>22</v>
      </c>
      <c r="B7">
        <v>1017</v>
      </c>
      <c r="C7" t="s">
        <v>23</v>
      </c>
      <c r="D7" t="s">
        <v>24</v>
      </c>
      <c r="E7" t="s">
        <v>44</v>
      </c>
      <c r="F7" t="s">
        <v>26</v>
      </c>
      <c r="G7" t="s">
        <v>52</v>
      </c>
      <c r="H7" s="1">
        <v>44929.601180555554</v>
      </c>
      <c r="I7" s="1">
        <v>44931.601180555554</v>
      </c>
      <c r="J7" s="1">
        <v>44929.642847222225</v>
      </c>
      <c r="K7" s="2">
        <v>44929.614750347224</v>
      </c>
      <c r="L7" t="s">
        <v>28</v>
      </c>
      <c r="M7" s="2">
        <v>44930.080515428243</v>
      </c>
      <c r="N7" t="s">
        <v>28</v>
      </c>
      <c r="O7" s="2">
        <v>44936.69522991898</v>
      </c>
      <c r="P7">
        <v>2</v>
      </c>
      <c r="Q7">
        <v>2</v>
      </c>
      <c r="R7" t="s">
        <v>50</v>
      </c>
      <c r="S7" t="s">
        <v>30</v>
      </c>
      <c r="T7" t="s">
        <v>53</v>
      </c>
      <c r="U7">
        <v>39.368279000000001</v>
      </c>
      <c r="V7">
        <v>21.863140999999999</v>
      </c>
      <c r="W7" t="str">
        <f t="shared" si="0"/>
        <v>ok</v>
      </c>
      <c r="X7" t="str">
        <f t="shared" si="5"/>
        <v>ok</v>
      </c>
      <c r="Y7" t="str">
        <f t="shared" si="1"/>
        <v>ok</v>
      </c>
      <c r="Z7" t="str">
        <f t="shared" si="2"/>
        <v>ok</v>
      </c>
      <c r="AA7" s="4" t="str">
        <f t="shared" si="3"/>
        <v>ok</v>
      </c>
      <c r="AB7" s="4" t="str">
        <f t="shared" si="4"/>
        <v>ok</v>
      </c>
      <c r="AC7" s="6">
        <f>IF(M7="","",(M7-H7)*24)</f>
        <v>11.504036944534164</v>
      </c>
    </row>
    <row r="8" spans="1:29" x14ac:dyDescent="0.3">
      <c r="A8" t="s">
        <v>22</v>
      </c>
      <c r="B8">
        <v>1018</v>
      </c>
      <c r="C8" t="s">
        <v>23</v>
      </c>
      <c r="D8" t="s">
        <v>34</v>
      </c>
      <c r="E8" t="s">
        <v>35</v>
      </c>
      <c r="F8" t="s">
        <v>26</v>
      </c>
      <c r="G8" t="s">
        <v>27</v>
      </c>
      <c r="H8" s="1">
        <v>44929.647245370368</v>
      </c>
      <c r="I8" s="1">
        <v>44931.647245370368</v>
      </c>
      <c r="J8" s="1">
        <v>44929.648634259262</v>
      </c>
      <c r="K8" s="2">
        <v>44929.648614328704</v>
      </c>
      <c r="L8" t="s">
        <v>28</v>
      </c>
      <c r="M8" s="2">
        <v>44931.160845266204</v>
      </c>
      <c r="N8" t="s">
        <v>28</v>
      </c>
      <c r="O8" s="2">
        <v>44933.911518541667</v>
      </c>
      <c r="P8">
        <v>2</v>
      </c>
      <c r="Q8">
        <v>3</v>
      </c>
      <c r="R8" t="s">
        <v>50</v>
      </c>
      <c r="S8" t="s">
        <v>30</v>
      </c>
      <c r="T8" t="s">
        <v>31</v>
      </c>
      <c r="U8">
        <v>53.094023999999997</v>
      </c>
      <c r="V8">
        <v>-8.0196749999999994</v>
      </c>
      <c r="W8" t="str">
        <f t="shared" si="0"/>
        <v>ok</v>
      </c>
      <c r="X8" t="str">
        <f t="shared" si="5"/>
        <v>ok</v>
      </c>
      <c r="Y8" t="str">
        <f t="shared" si="1"/>
        <v>ok</v>
      </c>
      <c r="Z8" t="str">
        <f t="shared" si="2"/>
        <v>ok</v>
      </c>
      <c r="AA8" s="4" t="str">
        <f t="shared" si="3"/>
        <v>ok</v>
      </c>
      <c r="AB8" s="4" t="str">
        <f t="shared" si="4"/>
        <v>ok</v>
      </c>
      <c r="AC8" s="6">
        <f>IF(M8="","",(M8-H8)*24)</f>
        <v>36.326397500059102</v>
      </c>
    </row>
    <row r="9" spans="1:29" x14ac:dyDescent="0.3">
      <c r="A9" t="s">
        <v>42</v>
      </c>
      <c r="B9">
        <v>1019</v>
      </c>
      <c r="C9" t="s">
        <v>47</v>
      </c>
      <c r="D9" t="s">
        <v>43</v>
      </c>
      <c r="E9" t="s">
        <v>48</v>
      </c>
      <c r="F9" t="s">
        <v>36</v>
      </c>
      <c r="G9" t="s">
        <v>54</v>
      </c>
      <c r="H9" s="1">
        <v>44929.026944444442</v>
      </c>
      <c r="I9" s="1">
        <v>44930.026944444442</v>
      </c>
      <c r="J9" s="1">
        <v>44929.028333333335</v>
      </c>
      <c r="K9" s="2">
        <v>44929.027433518517</v>
      </c>
      <c r="L9" t="s">
        <v>28</v>
      </c>
      <c r="M9" s="2">
        <v>44931.533284641206</v>
      </c>
      <c r="N9" t="s">
        <v>38</v>
      </c>
      <c r="P9">
        <v>2</v>
      </c>
      <c r="R9" t="s">
        <v>55</v>
      </c>
      <c r="S9" t="s">
        <v>40</v>
      </c>
      <c r="T9" t="s">
        <v>56</v>
      </c>
      <c r="U9">
        <v>52.536273000000001</v>
      </c>
      <c r="V9">
        <v>19.050639</v>
      </c>
      <c r="W9" t="str">
        <f t="shared" si="0"/>
        <v>ok</v>
      </c>
      <c r="X9" t="str">
        <f t="shared" si="5"/>
        <v>ok</v>
      </c>
      <c r="Y9" t="str">
        <f t="shared" si="1"/>
        <v>ok</v>
      </c>
      <c r="Z9" t="str">
        <f t="shared" si="2"/>
        <v>ok</v>
      </c>
      <c r="AA9" s="4" t="str">
        <f t="shared" si="3"/>
        <v>ok</v>
      </c>
      <c r="AB9" s="4" t="str">
        <f t="shared" si="4"/>
        <v>ok</v>
      </c>
      <c r="AC9" s="6">
        <f>IF(M9="","",(M9-H9)*24)</f>
        <v>60.152164722327143</v>
      </c>
    </row>
    <row r="10" spans="1:29" x14ac:dyDescent="0.3">
      <c r="A10" t="s">
        <v>42</v>
      </c>
      <c r="B10">
        <v>1020</v>
      </c>
      <c r="C10" t="s">
        <v>47</v>
      </c>
      <c r="D10" t="s">
        <v>43</v>
      </c>
      <c r="E10" t="s">
        <v>35</v>
      </c>
      <c r="F10" t="s">
        <v>26</v>
      </c>
      <c r="G10" t="s">
        <v>27</v>
      </c>
      <c r="H10" s="1">
        <v>44929.401319444441</v>
      </c>
      <c r="I10" s="1">
        <v>44930.401319444441</v>
      </c>
      <c r="J10" s="1">
        <v>44929.402708333335</v>
      </c>
      <c r="K10" s="2">
        <v>44929.404114027777</v>
      </c>
      <c r="L10" t="s">
        <v>38</v>
      </c>
      <c r="M10" s="2">
        <v>44929.855299722221</v>
      </c>
      <c r="N10" t="s">
        <v>28</v>
      </c>
      <c r="P10">
        <v>6</v>
      </c>
      <c r="R10" t="s">
        <v>39</v>
      </c>
      <c r="S10" t="s">
        <v>30</v>
      </c>
      <c r="T10" t="s">
        <v>57</v>
      </c>
      <c r="U10">
        <v>51.165691000000002</v>
      </c>
      <c r="V10">
        <v>10.451525999999999</v>
      </c>
      <c r="W10" t="str">
        <f t="shared" si="0"/>
        <v>ok</v>
      </c>
      <c r="X10" t="str">
        <f t="shared" si="5"/>
        <v>ok</v>
      </c>
      <c r="Y10" t="str">
        <f t="shared" si="1"/>
        <v>ok</v>
      </c>
      <c r="Z10" t="str">
        <f t="shared" si="2"/>
        <v>ok</v>
      </c>
      <c r="AA10" s="4" t="str">
        <f t="shared" si="3"/>
        <v>ok</v>
      </c>
      <c r="AB10" s="4" t="str">
        <f t="shared" si="4"/>
        <v>ok</v>
      </c>
      <c r="AC10" s="6">
        <f>IF(M10="","",(M10-H10)*24)</f>
        <v>10.895526666718069</v>
      </c>
    </row>
    <row r="11" spans="1:29" x14ac:dyDescent="0.3">
      <c r="A11" t="s">
        <v>22</v>
      </c>
      <c r="B11">
        <v>1021</v>
      </c>
      <c r="C11" t="s">
        <v>23</v>
      </c>
      <c r="D11" t="s">
        <v>24</v>
      </c>
      <c r="E11" t="s">
        <v>35</v>
      </c>
      <c r="F11" t="s">
        <v>26</v>
      </c>
      <c r="G11" t="s">
        <v>45</v>
      </c>
      <c r="H11" s="1">
        <v>44929.394155092596</v>
      </c>
      <c r="I11" s="1">
        <v>44931.394155092596</v>
      </c>
      <c r="J11" s="1">
        <v>44929.43582175926</v>
      </c>
      <c r="K11" s="2">
        <v>44929.433891006942</v>
      </c>
      <c r="L11" t="s">
        <v>28</v>
      </c>
      <c r="M11" s="2">
        <v>44930.428153842593</v>
      </c>
      <c r="N11" t="s">
        <v>28</v>
      </c>
      <c r="O11" s="2">
        <v>44933.851035729167</v>
      </c>
      <c r="P11">
        <v>1</v>
      </c>
      <c r="Q11">
        <v>4</v>
      </c>
      <c r="R11" t="s">
        <v>55</v>
      </c>
      <c r="S11" t="s">
        <v>30</v>
      </c>
      <c r="T11" t="s">
        <v>58</v>
      </c>
      <c r="U11">
        <v>49.8037633</v>
      </c>
      <c r="V11">
        <v>15.4749126</v>
      </c>
      <c r="W11" t="str">
        <f t="shared" si="0"/>
        <v>ok</v>
      </c>
      <c r="X11" t="str">
        <f t="shared" si="5"/>
        <v>ok</v>
      </c>
      <c r="Y11" t="str">
        <f t="shared" si="1"/>
        <v>ok</v>
      </c>
      <c r="Z11" t="str">
        <f t="shared" si="2"/>
        <v>ok</v>
      </c>
      <c r="AA11" s="4" t="str">
        <f t="shared" si="3"/>
        <v>ok</v>
      </c>
      <c r="AB11" s="4" t="str">
        <f t="shared" si="4"/>
        <v>ok</v>
      </c>
      <c r="AC11" s="6">
        <f>IF(M11="","",(M11-H11)*24)</f>
        <v>24.815969999937806</v>
      </c>
    </row>
    <row r="12" spans="1:29" x14ac:dyDescent="0.3">
      <c r="A12" t="s">
        <v>22</v>
      </c>
      <c r="B12">
        <v>1024</v>
      </c>
      <c r="C12" t="s">
        <v>47</v>
      </c>
      <c r="D12" t="s">
        <v>43</v>
      </c>
      <c r="E12" t="s">
        <v>39</v>
      </c>
      <c r="F12" t="s">
        <v>26</v>
      </c>
      <c r="G12" t="s">
        <v>45</v>
      </c>
      <c r="H12" s="1">
        <v>44929.6952662037</v>
      </c>
      <c r="I12" s="1">
        <v>44930.6952662037</v>
      </c>
      <c r="J12" s="1">
        <v>44929.696655092594</v>
      </c>
      <c r="K12" s="2">
        <v>44929.697001643515</v>
      </c>
      <c r="L12" t="s">
        <v>38</v>
      </c>
      <c r="M12" s="2">
        <v>44929.994656157411</v>
      </c>
      <c r="N12" t="s">
        <v>28</v>
      </c>
      <c r="O12" s="2">
        <v>44932.027068333337</v>
      </c>
      <c r="P12">
        <v>60</v>
      </c>
      <c r="Q12">
        <v>5</v>
      </c>
      <c r="R12" t="s">
        <v>29</v>
      </c>
      <c r="S12" t="s">
        <v>30</v>
      </c>
      <c r="T12" t="s">
        <v>58</v>
      </c>
      <c r="U12">
        <v>49.8037633</v>
      </c>
      <c r="V12">
        <v>15.4749126</v>
      </c>
      <c r="W12" t="str">
        <f t="shared" si="0"/>
        <v>ok</v>
      </c>
      <c r="X12" t="str">
        <f t="shared" si="5"/>
        <v>ok</v>
      </c>
      <c r="Y12" t="str">
        <f t="shared" si="1"/>
        <v>ok</v>
      </c>
      <c r="Z12" t="str">
        <f t="shared" si="2"/>
        <v>ok</v>
      </c>
      <c r="AA12" s="4" t="str">
        <f t="shared" si="3"/>
        <v>ok</v>
      </c>
      <c r="AB12" s="4" t="str">
        <f t="shared" si="4"/>
        <v>ok</v>
      </c>
      <c r="AC12" s="6">
        <f>IF(M12="","",(M12-H12)*24)</f>
        <v>7.185358889051713</v>
      </c>
    </row>
    <row r="13" spans="1:29" x14ac:dyDescent="0.3">
      <c r="A13" t="s">
        <v>22</v>
      </c>
      <c r="B13">
        <v>1025</v>
      </c>
      <c r="C13" t="s">
        <v>23</v>
      </c>
      <c r="D13" t="s">
        <v>43</v>
      </c>
      <c r="E13" t="s">
        <v>59</v>
      </c>
      <c r="F13" t="s">
        <v>26</v>
      </c>
      <c r="G13" t="s">
        <v>52</v>
      </c>
      <c r="H13" s="1">
        <v>44929.201435185183</v>
      </c>
      <c r="I13" s="1">
        <v>44930.201435185183</v>
      </c>
      <c r="J13" s="1">
        <v>44929.202824074076</v>
      </c>
      <c r="K13" s="2">
        <v>44929.20144892361</v>
      </c>
      <c r="L13" t="s">
        <v>28</v>
      </c>
      <c r="M13" s="2">
        <v>44933.553615370372</v>
      </c>
      <c r="N13" t="s">
        <v>38</v>
      </c>
      <c r="O13" s="2">
        <v>44935.234712569443</v>
      </c>
      <c r="P13">
        <v>3</v>
      </c>
      <c r="Q13">
        <v>3</v>
      </c>
      <c r="R13" t="s">
        <v>29</v>
      </c>
      <c r="S13" t="s">
        <v>30</v>
      </c>
      <c r="T13" t="s">
        <v>56</v>
      </c>
      <c r="U13">
        <v>52.536273000000001</v>
      </c>
      <c r="V13">
        <v>19.050639</v>
      </c>
      <c r="W13" t="str">
        <f t="shared" si="0"/>
        <v>ok</v>
      </c>
      <c r="X13" t="str">
        <f t="shared" si="5"/>
        <v>ok</v>
      </c>
      <c r="Y13" t="str">
        <f t="shared" si="1"/>
        <v>ok</v>
      </c>
      <c r="Z13" t="str">
        <f t="shared" si="2"/>
        <v>ok</v>
      </c>
      <c r="AA13" s="4" t="str">
        <f t="shared" si="3"/>
        <v>ok</v>
      </c>
      <c r="AB13" s="4" t="str">
        <f t="shared" si="4"/>
        <v>ok</v>
      </c>
      <c r="AC13" s="6">
        <f>IF(M13="","",(M13-H13)*24)</f>
        <v>104.4523244445445</v>
      </c>
    </row>
    <row r="14" spans="1:29" x14ac:dyDescent="0.3">
      <c r="A14" t="s">
        <v>22</v>
      </c>
      <c r="B14">
        <v>1026</v>
      </c>
      <c r="C14" t="s">
        <v>23</v>
      </c>
      <c r="D14" t="s">
        <v>43</v>
      </c>
      <c r="E14" t="s">
        <v>59</v>
      </c>
      <c r="F14" t="s">
        <v>26</v>
      </c>
      <c r="G14" t="s">
        <v>60</v>
      </c>
      <c r="H14" s="1">
        <v>44930.451006944444</v>
      </c>
      <c r="I14" s="1">
        <v>44931.451006944444</v>
      </c>
      <c r="J14" s="1">
        <v>44930.45239583333</v>
      </c>
      <c r="K14" s="2">
        <v>44930.451869976852</v>
      </c>
      <c r="L14" t="s">
        <v>28</v>
      </c>
      <c r="M14" s="2">
        <v>44930.984459375002</v>
      </c>
      <c r="N14" t="s">
        <v>28</v>
      </c>
      <c r="O14" s="2">
        <v>44931.537419166663</v>
      </c>
      <c r="P14">
        <v>2</v>
      </c>
      <c r="Q14">
        <v>4</v>
      </c>
      <c r="R14" t="s">
        <v>50</v>
      </c>
      <c r="S14" t="s">
        <v>30</v>
      </c>
      <c r="T14" t="s">
        <v>61</v>
      </c>
      <c r="U14">
        <v>42.724992499999999</v>
      </c>
      <c r="V14">
        <v>25.483303899999999</v>
      </c>
      <c r="W14" t="str">
        <f t="shared" si="0"/>
        <v>ok</v>
      </c>
      <c r="X14" t="str">
        <f t="shared" si="5"/>
        <v>ok</v>
      </c>
      <c r="Y14" t="str">
        <f t="shared" si="1"/>
        <v>ok</v>
      </c>
      <c r="Z14" t="str">
        <f t="shared" si="2"/>
        <v>ok</v>
      </c>
      <c r="AA14" s="4" t="str">
        <f t="shared" si="3"/>
        <v>ok</v>
      </c>
      <c r="AB14" s="4" t="str">
        <f t="shared" si="4"/>
        <v>ok</v>
      </c>
      <c r="AC14" s="6">
        <f>IF(M14="","",(M14-H14)*24)</f>
        <v>12.802858333394397</v>
      </c>
    </row>
    <row r="15" spans="1:29" x14ac:dyDescent="0.3">
      <c r="A15" t="s">
        <v>42</v>
      </c>
      <c r="B15">
        <v>1027</v>
      </c>
      <c r="C15" t="s">
        <v>23</v>
      </c>
      <c r="D15" t="s">
        <v>43</v>
      </c>
      <c r="E15" t="s">
        <v>62</v>
      </c>
      <c r="F15" t="s">
        <v>26</v>
      </c>
      <c r="G15" t="s">
        <v>45</v>
      </c>
      <c r="H15" s="1">
        <v>44930.311064814814</v>
      </c>
      <c r="I15" s="1">
        <v>44931.311064814814</v>
      </c>
      <c r="J15" s="1">
        <v>44930.3124537037</v>
      </c>
      <c r="K15" s="2">
        <v>44930.311710462964</v>
      </c>
      <c r="L15" t="s">
        <v>28</v>
      </c>
      <c r="M15" s="2">
        <v>44931.19560770833</v>
      </c>
      <c r="N15" t="s">
        <v>28</v>
      </c>
      <c r="P15">
        <v>3</v>
      </c>
      <c r="R15" t="s">
        <v>55</v>
      </c>
      <c r="S15" t="s">
        <v>30</v>
      </c>
      <c r="T15" t="s">
        <v>63</v>
      </c>
      <c r="U15">
        <v>55.378051999999997</v>
      </c>
      <c r="V15">
        <v>-3.4359730000000002</v>
      </c>
      <c r="W15" t="str">
        <f t="shared" si="0"/>
        <v>ok</v>
      </c>
      <c r="X15" t="str">
        <f t="shared" si="5"/>
        <v>ok</v>
      </c>
      <c r="Y15" t="str">
        <f t="shared" si="1"/>
        <v>ok</v>
      </c>
      <c r="Z15" t="str">
        <f t="shared" si="2"/>
        <v>ok</v>
      </c>
      <c r="AA15" s="4" t="str">
        <f t="shared" si="3"/>
        <v>ok</v>
      </c>
      <c r="AB15" s="4" t="str">
        <f t="shared" si="4"/>
        <v>ok</v>
      </c>
      <c r="AC15" s="6">
        <f>IF(M15="","",(M15-H15)*24)</f>
        <v>21.229029444395564</v>
      </c>
    </row>
    <row r="16" spans="1:29" x14ac:dyDescent="0.3">
      <c r="A16" t="s">
        <v>42</v>
      </c>
      <c r="B16">
        <v>1028</v>
      </c>
      <c r="C16" t="s">
        <v>23</v>
      </c>
      <c r="D16" t="s">
        <v>43</v>
      </c>
      <c r="E16" t="s">
        <v>59</v>
      </c>
      <c r="F16" t="s">
        <v>26</v>
      </c>
      <c r="G16" t="s">
        <v>27</v>
      </c>
      <c r="H16" s="1">
        <v>44930.907083333332</v>
      </c>
      <c r="I16" s="1">
        <v>44931.907083333332</v>
      </c>
      <c r="J16" s="1">
        <v>44930.908472222225</v>
      </c>
      <c r="K16" s="2">
        <v>44930.907537453706</v>
      </c>
      <c r="L16" t="s">
        <v>28</v>
      </c>
      <c r="M16" s="2">
        <v>44931.561346168979</v>
      </c>
      <c r="N16" t="s">
        <v>28</v>
      </c>
      <c r="P16">
        <v>2</v>
      </c>
      <c r="R16" t="s">
        <v>50</v>
      </c>
      <c r="S16" t="s">
        <v>30</v>
      </c>
      <c r="T16" t="s">
        <v>61</v>
      </c>
      <c r="U16">
        <v>42.724992499999999</v>
      </c>
      <c r="V16">
        <v>25.483303899999999</v>
      </c>
      <c r="W16" t="str">
        <f t="shared" si="0"/>
        <v>ok</v>
      </c>
      <c r="X16" t="str">
        <f t="shared" si="5"/>
        <v>ok</v>
      </c>
      <c r="Y16" t="str">
        <f t="shared" si="1"/>
        <v>ok</v>
      </c>
      <c r="Z16" t="str">
        <f t="shared" si="2"/>
        <v>ok</v>
      </c>
      <c r="AA16" s="4" t="str">
        <f t="shared" si="3"/>
        <v>ok</v>
      </c>
      <c r="AB16" s="4" t="str">
        <f t="shared" si="4"/>
        <v>ok</v>
      </c>
      <c r="AC16" s="6">
        <f>IF(M16="","",(M16-H16)*24)</f>
        <v>15.702308055537287</v>
      </c>
    </row>
    <row r="17" spans="1:29" x14ac:dyDescent="0.3">
      <c r="A17" t="s">
        <v>22</v>
      </c>
      <c r="B17">
        <v>1029</v>
      </c>
      <c r="C17" t="s">
        <v>47</v>
      </c>
      <c r="D17" t="s">
        <v>43</v>
      </c>
      <c r="E17" t="s">
        <v>25</v>
      </c>
      <c r="F17" t="s">
        <v>26</v>
      </c>
      <c r="G17" t="s">
        <v>45</v>
      </c>
      <c r="H17" s="1">
        <v>44930.38380787037</v>
      </c>
      <c r="I17" s="1">
        <v>44931.38380787037</v>
      </c>
      <c r="J17" s="1">
        <v>44930.385196759256</v>
      </c>
      <c r="K17" s="2">
        <v>44930.384434745371</v>
      </c>
      <c r="L17" t="s">
        <v>28</v>
      </c>
      <c r="M17" s="2">
        <v>44931.323129004631</v>
      </c>
      <c r="N17" t="s">
        <v>28</v>
      </c>
      <c r="O17" s="2">
        <v>44932.971062048608</v>
      </c>
      <c r="P17">
        <v>60</v>
      </c>
      <c r="Q17">
        <v>5</v>
      </c>
      <c r="R17" t="s">
        <v>29</v>
      </c>
      <c r="S17" t="s">
        <v>30</v>
      </c>
      <c r="T17" t="s">
        <v>57</v>
      </c>
      <c r="U17">
        <v>51.165691000000002</v>
      </c>
      <c r="V17">
        <v>10.451525999999999</v>
      </c>
      <c r="W17" t="str">
        <f t="shared" si="0"/>
        <v>ok</v>
      </c>
      <c r="X17" t="str">
        <f t="shared" si="5"/>
        <v>ok</v>
      </c>
      <c r="Y17" t="str">
        <f t="shared" si="1"/>
        <v>ok</v>
      </c>
      <c r="Z17" t="str">
        <f t="shared" si="2"/>
        <v>ok</v>
      </c>
      <c r="AA17" s="4" t="str">
        <f t="shared" si="3"/>
        <v>ok</v>
      </c>
      <c r="AB17" s="4" t="str">
        <f t="shared" si="4"/>
        <v>ok</v>
      </c>
      <c r="AC17" s="6">
        <f>IF(M17="","",(M17-H17)*24)</f>
        <v>22.543707222270314</v>
      </c>
    </row>
    <row r="18" spans="1:29" x14ac:dyDescent="0.3">
      <c r="A18" t="s">
        <v>22</v>
      </c>
      <c r="B18">
        <v>1030</v>
      </c>
      <c r="C18" t="s">
        <v>47</v>
      </c>
      <c r="D18" t="s">
        <v>43</v>
      </c>
      <c r="E18" t="s">
        <v>25</v>
      </c>
      <c r="F18" t="s">
        <v>26</v>
      </c>
      <c r="G18" t="s">
        <v>49</v>
      </c>
      <c r="H18" s="1">
        <v>44930.817337962966</v>
      </c>
      <c r="I18" s="1">
        <v>44931.817337962966</v>
      </c>
      <c r="J18" s="1">
        <v>44930.818726851852</v>
      </c>
      <c r="K18" s="2">
        <v>44930.81800605324</v>
      </c>
      <c r="L18" t="s">
        <v>28</v>
      </c>
      <c r="M18" s="2">
        <v>44931.100231574077</v>
      </c>
      <c r="N18" t="s">
        <v>28</v>
      </c>
      <c r="O18" s="2">
        <v>44937.26167896991</v>
      </c>
      <c r="P18">
        <v>5</v>
      </c>
      <c r="Q18">
        <v>4</v>
      </c>
      <c r="R18" t="s">
        <v>50</v>
      </c>
      <c r="S18" t="s">
        <v>30</v>
      </c>
      <c r="T18" t="s">
        <v>57</v>
      </c>
      <c r="U18">
        <v>51.165691000000002</v>
      </c>
      <c r="V18">
        <v>10.451525999999999</v>
      </c>
      <c r="W18" t="str">
        <f t="shared" si="0"/>
        <v>ok</v>
      </c>
      <c r="X18" t="str">
        <f t="shared" si="5"/>
        <v>ok</v>
      </c>
      <c r="Y18" t="str">
        <f t="shared" si="1"/>
        <v>ok</v>
      </c>
      <c r="Z18" t="str">
        <f t="shared" si="2"/>
        <v>ok</v>
      </c>
      <c r="AA18" s="4" t="str">
        <f t="shared" si="3"/>
        <v>ok</v>
      </c>
      <c r="AB18" s="4" t="str">
        <f t="shared" si="4"/>
        <v>ok</v>
      </c>
      <c r="AC18" s="6">
        <f>IF(M18="","",(M18-H18)*24)</f>
        <v>6.7894466666621156</v>
      </c>
    </row>
    <row r="19" spans="1:29" x14ac:dyDescent="0.3">
      <c r="A19" t="s">
        <v>32</v>
      </c>
      <c r="B19">
        <v>1031</v>
      </c>
      <c r="C19" t="s">
        <v>23</v>
      </c>
      <c r="D19" t="s">
        <v>24</v>
      </c>
      <c r="E19" t="s">
        <v>25</v>
      </c>
      <c r="F19" t="s">
        <v>26</v>
      </c>
      <c r="G19" t="s">
        <v>27</v>
      </c>
      <c r="H19" s="1">
        <v>44930.755833333336</v>
      </c>
      <c r="I19" s="1">
        <v>44932.755833333336</v>
      </c>
      <c r="J19" s="1">
        <v>44930.797500000001</v>
      </c>
      <c r="K19" s="2">
        <v>44930.759075312497</v>
      </c>
      <c r="L19" t="s">
        <v>28</v>
      </c>
      <c r="N19" t="s">
        <v>38</v>
      </c>
      <c r="P19">
        <v>4</v>
      </c>
      <c r="R19" t="s">
        <v>50</v>
      </c>
      <c r="S19" t="s">
        <v>30</v>
      </c>
      <c r="T19" t="s">
        <v>63</v>
      </c>
      <c r="U19">
        <v>55.378051999999997</v>
      </c>
      <c r="V19">
        <v>-3.4359730000000002</v>
      </c>
      <c r="W19" t="str">
        <f t="shared" si="0"/>
        <v>ok</v>
      </c>
      <c r="X19" t="str">
        <f t="shared" si="5"/>
        <v>ok</v>
      </c>
      <c r="Y19" t="str">
        <f t="shared" si="1"/>
        <v>ok</v>
      </c>
      <c r="Z19" t="str">
        <f t="shared" si="2"/>
        <v>ok</v>
      </c>
      <c r="AA19" s="4" t="str">
        <f t="shared" si="3"/>
        <v>ok</v>
      </c>
      <c r="AB19" s="4" t="str">
        <f t="shared" si="4"/>
        <v>no resolution</v>
      </c>
      <c r="AC19" s="6" t="str">
        <f>IF(M19="","",(M19-H19)*24)</f>
        <v/>
      </c>
    </row>
    <row r="20" spans="1:29" x14ac:dyDescent="0.3">
      <c r="A20" t="s">
        <v>42</v>
      </c>
      <c r="B20">
        <v>1032</v>
      </c>
      <c r="C20" t="s">
        <v>23</v>
      </c>
      <c r="D20" t="s">
        <v>24</v>
      </c>
      <c r="E20" t="s">
        <v>35</v>
      </c>
      <c r="F20" t="s">
        <v>36</v>
      </c>
      <c r="G20" t="s">
        <v>64</v>
      </c>
      <c r="H20" s="1">
        <v>44930.532835648148</v>
      </c>
      <c r="I20" s="1">
        <v>44932.532835648148</v>
      </c>
      <c r="J20" s="1">
        <v>44930.574502314812</v>
      </c>
      <c r="K20" s="2">
        <v>44930.556066458332</v>
      </c>
      <c r="L20" t="s">
        <v>28</v>
      </c>
      <c r="M20" s="2">
        <v>44931.329206574075</v>
      </c>
      <c r="N20" t="s">
        <v>28</v>
      </c>
      <c r="P20">
        <v>2</v>
      </c>
      <c r="R20" t="s">
        <v>39</v>
      </c>
      <c r="S20" t="s">
        <v>40</v>
      </c>
      <c r="T20" t="s">
        <v>57</v>
      </c>
      <c r="U20">
        <v>51.165691000000002</v>
      </c>
      <c r="V20">
        <v>10.451525999999999</v>
      </c>
      <c r="W20" t="str">
        <f t="shared" si="0"/>
        <v>ok</v>
      </c>
      <c r="X20" t="str">
        <f t="shared" si="5"/>
        <v>ok</v>
      </c>
      <c r="Y20" t="str">
        <f t="shared" si="1"/>
        <v>ok</v>
      </c>
      <c r="Z20" t="str">
        <f t="shared" si="2"/>
        <v>ok</v>
      </c>
      <c r="AA20" s="4" t="str">
        <f t="shared" si="3"/>
        <v>ok</v>
      </c>
      <c r="AB20" s="4" t="str">
        <f t="shared" si="4"/>
        <v>ok</v>
      </c>
      <c r="AC20" s="6">
        <f>IF(M20="","",(M20-H20)*24)</f>
        <v>19.112902222259436</v>
      </c>
    </row>
    <row r="21" spans="1:29" x14ac:dyDescent="0.3">
      <c r="A21" t="s">
        <v>32</v>
      </c>
      <c r="B21">
        <v>1034</v>
      </c>
      <c r="C21" t="s">
        <v>23</v>
      </c>
      <c r="D21" t="s">
        <v>43</v>
      </c>
      <c r="E21" t="s">
        <v>39</v>
      </c>
      <c r="F21" t="s">
        <v>26</v>
      </c>
      <c r="G21" t="s">
        <v>49</v>
      </c>
      <c r="H21" s="1">
        <v>44930.796064814815</v>
      </c>
      <c r="I21" s="1">
        <v>44931.796064814815</v>
      </c>
      <c r="J21" s="1">
        <v>44930.797453703701</v>
      </c>
      <c r="K21" s="2">
        <v>44930.796936574072</v>
      </c>
      <c r="L21" t="s">
        <v>28</v>
      </c>
      <c r="N21" t="s">
        <v>38</v>
      </c>
      <c r="P21">
        <v>9</v>
      </c>
      <c r="R21" t="s">
        <v>55</v>
      </c>
      <c r="S21" t="s">
        <v>30</v>
      </c>
      <c r="T21" t="s">
        <v>57</v>
      </c>
      <c r="U21">
        <v>51.165691000000002</v>
      </c>
      <c r="V21">
        <v>10.451525999999999</v>
      </c>
      <c r="W21" t="str">
        <f t="shared" si="0"/>
        <v>ok</v>
      </c>
      <c r="X21" t="str">
        <f t="shared" si="5"/>
        <v>ok</v>
      </c>
      <c r="Y21" t="str">
        <f t="shared" si="1"/>
        <v>ok</v>
      </c>
      <c r="Z21" t="str">
        <f t="shared" si="2"/>
        <v>ok</v>
      </c>
      <c r="AA21" s="4" t="str">
        <f t="shared" si="3"/>
        <v>ok</v>
      </c>
      <c r="AB21" s="4" t="str">
        <f t="shared" si="4"/>
        <v>no resolution</v>
      </c>
      <c r="AC21" s="6" t="str">
        <f>IF(M21="","",(M21-H21)*24)</f>
        <v/>
      </c>
    </row>
    <row r="22" spans="1:29" x14ac:dyDescent="0.3">
      <c r="A22" t="s">
        <v>32</v>
      </c>
      <c r="B22">
        <v>1035</v>
      </c>
      <c r="C22" t="s">
        <v>33</v>
      </c>
      <c r="D22" t="s">
        <v>24</v>
      </c>
      <c r="E22" t="s">
        <v>62</v>
      </c>
      <c r="F22" t="s">
        <v>26</v>
      </c>
      <c r="G22" t="s">
        <v>49</v>
      </c>
      <c r="H22" s="1">
        <v>44930.227743055555</v>
      </c>
      <c r="I22" s="1">
        <v>44932.227743055555</v>
      </c>
      <c r="J22" s="1">
        <v>44930.269409722219</v>
      </c>
      <c r="K22" s="2">
        <v>44930.254863090275</v>
      </c>
      <c r="L22" t="s">
        <v>28</v>
      </c>
      <c r="N22" t="s">
        <v>38</v>
      </c>
      <c r="P22">
        <v>7</v>
      </c>
      <c r="R22" t="s">
        <v>55</v>
      </c>
      <c r="S22" t="s">
        <v>30</v>
      </c>
      <c r="T22" t="s">
        <v>57</v>
      </c>
      <c r="U22">
        <v>51.165691000000002</v>
      </c>
      <c r="V22">
        <v>10.451525999999999</v>
      </c>
      <c r="W22" t="str">
        <f t="shared" si="0"/>
        <v>ok</v>
      </c>
      <c r="X22" t="str">
        <f t="shared" si="5"/>
        <v>ok</v>
      </c>
      <c r="Y22" t="str">
        <f t="shared" si="1"/>
        <v>ok</v>
      </c>
      <c r="Z22" t="str">
        <f t="shared" si="2"/>
        <v>ok</v>
      </c>
      <c r="AA22" s="4" t="str">
        <f t="shared" si="3"/>
        <v>ok</v>
      </c>
      <c r="AB22" s="4" t="str">
        <f t="shared" si="4"/>
        <v>no resolution</v>
      </c>
      <c r="AC22" s="6" t="str">
        <f t="shared" ref="AC22:AC85" si="6">IF(M22="","",(M22-H22)*24)</f>
        <v/>
      </c>
    </row>
    <row r="23" spans="1:29" x14ac:dyDescent="0.3">
      <c r="A23" t="s">
        <v>42</v>
      </c>
      <c r="B23">
        <v>1037</v>
      </c>
      <c r="C23" t="s">
        <v>23</v>
      </c>
      <c r="D23" t="s">
        <v>24</v>
      </c>
      <c r="E23" t="s">
        <v>35</v>
      </c>
      <c r="F23" t="s">
        <v>26</v>
      </c>
      <c r="G23" t="s">
        <v>52</v>
      </c>
      <c r="H23" s="1">
        <v>44931.507256944446</v>
      </c>
      <c r="I23" s="1">
        <v>44933.507256944446</v>
      </c>
      <c r="J23" s="1">
        <v>44931.54892361111</v>
      </c>
      <c r="K23" s="2">
        <v>44931.523845543983</v>
      </c>
      <c r="L23" t="s">
        <v>28</v>
      </c>
      <c r="M23" s="2">
        <v>44933.474479791665</v>
      </c>
      <c r="N23" t="s">
        <v>28</v>
      </c>
      <c r="P23">
        <v>1</v>
      </c>
      <c r="R23" t="s">
        <v>29</v>
      </c>
      <c r="S23" t="s">
        <v>30</v>
      </c>
      <c r="T23" t="s">
        <v>56</v>
      </c>
      <c r="U23">
        <v>52.536273000000001</v>
      </c>
      <c r="V23">
        <v>19.050639</v>
      </c>
      <c r="W23" t="str">
        <f t="shared" si="0"/>
        <v>ok</v>
      </c>
      <c r="X23" t="str">
        <f t="shared" si="5"/>
        <v>ok</v>
      </c>
      <c r="Y23" t="str">
        <f t="shared" si="1"/>
        <v>ok</v>
      </c>
      <c r="Z23" t="str">
        <f t="shared" si="2"/>
        <v>ok</v>
      </c>
      <c r="AA23" s="4" t="str">
        <f t="shared" si="3"/>
        <v>ok</v>
      </c>
      <c r="AB23" s="4" t="str">
        <f t="shared" si="4"/>
        <v>ok</v>
      </c>
      <c r="AC23" s="6">
        <f t="shared" si="6"/>
        <v>47.213348333258182</v>
      </c>
    </row>
    <row r="24" spans="1:29" x14ac:dyDescent="0.3">
      <c r="A24" t="s">
        <v>22</v>
      </c>
      <c r="B24">
        <v>1038</v>
      </c>
      <c r="C24" t="s">
        <v>33</v>
      </c>
      <c r="D24" t="s">
        <v>43</v>
      </c>
      <c r="E24" t="s">
        <v>39</v>
      </c>
      <c r="F24" t="s">
        <v>26</v>
      </c>
      <c r="G24" t="s">
        <v>45</v>
      </c>
      <c r="H24" s="1">
        <v>44931.179803240739</v>
      </c>
      <c r="I24" s="1">
        <v>44932.179803240739</v>
      </c>
      <c r="J24" s="1">
        <v>44931.181192129632</v>
      </c>
      <c r="K24" s="2">
        <v>44931.180347754627</v>
      </c>
      <c r="L24" t="s">
        <v>28</v>
      </c>
      <c r="M24" s="2">
        <v>44931.807143067126</v>
      </c>
      <c r="N24" t="s">
        <v>28</v>
      </c>
      <c r="O24" s="2">
        <v>44938.756175949071</v>
      </c>
      <c r="P24">
        <v>3</v>
      </c>
      <c r="Q24">
        <v>3</v>
      </c>
      <c r="R24" t="s">
        <v>39</v>
      </c>
      <c r="S24" t="s">
        <v>30</v>
      </c>
      <c r="T24" t="s">
        <v>41</v>
      </c>
      <c r="U24">
        <v>43.036776000000003</v>
      </c>
      <c r="V24">
        <v>12.678565000000001</v>
      </c>
      <c r="W24" t="str">
        <f t="shared" si="0"/>
        <v>ok</v>
      </c>
      <c r="X24" t="str">
        <f t="shared" si="5"/>
        <v>ok</v>
      </c>
      <c r="Y24" t="str">
        <f t="shared" si="1"/>
        <v>ok</v>
      </c>
      <c r="Z24" t="str">
        <f t="shared" si="2"/>
        <v>ok</v>
      </c>
      <c r="AA24" s="4" t="str">
        <f t="shared" si="3"/>
        <v>ok</v>
      </c>
      <c r="AB24" s="4" t="str">
        <f t="shared" si="4"/>
        <v>ok</v>
      </c>
      <c r="AC24" s="6">
        <f t="shared" si="6"/>
        <v>15.056155833299272</v>
      </c>
    </row>
    <row r="25" spans="1:29" x14ac:dyDescent="0.3">
      <c r="A25" t="s">
        <v>42</v>
      </c>
      <c r="B25">
        <v>1039</v>
      </c>
      <c r="C25" t="s">
        <v>47</v>
      </c>
      <c r="D25" t="s">
        <v>43</v>
      </c>
      <c r="E25" t="s">
        <v>44</v>
      </c>
      <c r="F25" t="s">
        <v>36</v>
      </c>
      <c r="G25" t="s">
        <v>37</v>
      </c>
      <c r="H25" s="1">
        <v>44931.219664351855</v>
      </c>
      <c r="I25" s="1">
        <v>44932.219664351855</v>
      </c>
      <c r="J25" s="1">
        <v>44931.221053240741</v>
      </c>
      <c r="K25" s="2">
        <v>44931.220839479167</v>
      </c>
      <c r="L25" t="s">
        <v>28</v>
      </c>
      <c r="M25" s="2">
        <v>44931.317486516207</v>
      </c>
      <c r="N25" t="s">
        <v>28</v>
      </c>
      <c r="P25">
        <v>3</v>
      </c>
      <c r="R25" t="s">
        <v>29</v>
      </c>
      <c r="S25" t="s">
        <v>40</v>
      </c>
      <c r="T25" t="s">
        <v>56</v>
      </c>
      <c r="U25">
        <v>52.536273000000001</v>
      </c>
      <c r="V25">
        <v>19.050639</v>
      </c>
      <c r="W25" t="str">
        <f t="shared" si="0"/>
        <v>ok</v>
      </c>
      <c r="X25" t="str">
        <f t="shared" si="5"/>
        <v>ok</v>
      </c>
      <c r="Y25" t="str">
        <f t="shared" si="1"/>
        <v>ok</v>
      </c>
      <c r="Z25" t="str">
        <f t="shared" si="2"/>
        <v>ok</v>
      </c>
      <c r="AA25" s="4" t="str">
        <f t="shared" si="3"/>
        <v>ok</v>
      </c>
      <c r="AB25" s="4" t="str">
        <f t="shared" si="4"/>
        <v>ok</v>
      </c>
      <c r="AC25" s="6">
        <f t="shared" si="6"/>
        <v>2.3477319444646128</v>
      </c>
    </row>
    <row r="26" spans="1:29" x14ac:dyDescent="0.3">
      <c r="A26" t="s">
        <v>32</v>
      </c>
      <c r="B26">
        <v>1040</v>
      </c>
      <c r="C26" t="s">
        <v>33</v>
      </c>
      <c r="D26" t="s">
        <v>43</v>
      </c>
      <c r="E26" t="s">
        <v>59</v>
      </c>
      <c r="F26" t="s">
        <v>36</v>
      </c>
      <c r="G26" t="s">
        <v>64</v>
      </c>
      <c r="H26" s="1">
        <v>44931.604594907411</v>
      </c>
      <c r="I26" s="1">
        <v>44932.604594907411</v>
      </c>
      <c r="J26" s="1">
        <v>44931.605983796297</v>
      </c>
      <c r="K26" s="2">
        <v>44931.604888483795</v>
      </c>
      <c r="L26" t="s">
        <v>28</v>
      </c>
      <c r="N26" t="s">
        <v>38</v>
      </c>
      <c r="P26">
        <v>6</v>
      </c>
      <c r="R26" t="s">
        <v>50</v>
      </c>
      <c r="S26" t="s">
        <v>40</v>
      </c>
      <c r="T26" t="s">
        <v>56</v>
      </c>
      <c r="U26">
        <v>52.536273000000001</v>
      </c>
      <c r="V26">
        <v>19.050639</v>
      </c>
      <c r="W26" t="str">
        <f t="shared" si="0"/>
        <v>ok</v>
      </c>
      <c r="X26" t="str">
        <f t="shared" si="5"/>
        <v>ok</v>
      </c>
      <c r="Y26" t="str">
        <f t="shared" si="1"/>
        <v>ok</v>
      </c>
      <c r="Z26" t="str">
        <f t="shared" si="2"/>
        <v>ok</v>
      </c>
      <c r="AA26" s="4" t="str">
        <f t="shared" si="3"/>
        <v>ok</v>
      </c>
      <c r="AB26" s="4" t="str">
        <f t="shared" si="4"/>
        <v>no resolution</v>
      </c>
      <c r="AC26" s="6" t="str">
        <f t="shared" si="6"/>
        <v/>
      </c>
    </row>
    <row r="27" spans="1:29" x14ac:dyDescent="0.3">
      <c r="A27" t="s">
        <v>22</v>
      </c>
      <c r="B27">
        <v>1041</v>
      </c>
      <c r="C27" t="s">
        <v>23</v>
      </c>
      <c r="D27" t="s">
        <v>43</v>
      </c>
      <c r="E27" t="s">
        <v>35</v>
      </c>
      <c r="F27" t="s">
        <v>26</v>
      </c>
      <c r="G27" t="s">
        <v>45</v>
      </c>
      <c r="H27" s="1">
        <v>44931.124930555554</v>
      </c>
      <c r="I27" s="1">
        <v>44932.124930555554</v>
      </c>
      <c r="J27" s="1">
        <v>44931.126319444447</v>
      </c>
      <c r="K27" s="2">
        <v>44931.128095775464</v>
      </c>
      <c r="L27" t="s">
        <v>38</v>
      </c>
      <c r="M27" s="2">
        <v>44931.910315127316</v>
      </c>
      <c r="N27" t="s">
        <v>28</v>
      </c>
      <c r="O27" s="2">
        <v>44932.484399131943</v>
      </c>
      <c r="P27">
        <v>8</v>
      </c>
      <c r="Q27">
        <v>2</v>
      </c>
      <c r="R27" t="s">
        <v>50</v>
      </c>
      <c r="S27" t="s">
        <v>30</v>
      </c>
      <c r="T27" t="s">
        <v>57</v>
      </c>
      <c r="U27">
        <v>51.165691000000002</v>
      </c>
      <c r="V27">
        <v>10.451525999999999</v>
      </c>
      <c r="W27" t="str">
        <f t="shared" si="0"/>
        <v>ok</v>
      </c>
      <c r="X27" t="str">
        <f t="shared" si="5"/>
        <v>ok</v>
      </c>
      <c r="Y27" t="str">
        <f t="shared" si="1"/>
        <v>ok</v>
      </c>
      <c r="Z27" t="str">
        <f t="shared" si="2"/>
        <v>ok</v>
      </c>
      <c r="AA27" s="4" t="str">
        <f t="shared" si="3"/>
        <v>ok</v>
      </c>
      <c r="AB27" s="4" t="str">
        <f t="shared" si="4"/>
        <v>ok</v>
      </c>
      <c r="AC27" s="6">
        <f t="shared" si="6"/>
        <v>18.849229722283781</v>
      </c>
    </row>
    <row r="28" spans="1:29" x14ac:dyDescent="0.3">
      <c r="A28" t="s">
        <v>22</v>
      </c>
      <c r="B28">
        <v>1043</v>
      </c>
      <c r="C28" t="s">
        <v>33</v>
      </c>
      <c r="D28" t="s">
        <v>24</v>
      </c>
      <c r="E28" t="s">
        <v>48</v>
      </c>
      <c r="F28" t="s">
        <v>26</v>
      </c>
      <c r="G28" t="s">
        <v>49</v>
      </c>
      <c r="H28" s="1">
        <v>44931.147048611114</v>
      </c>
      <c r="I28" s="1">
        <v>44933.147048611114</v>
      </c>
      <c r="J28" s="1">
        <v>44931.188715277778</v>
      </c>
      <c r="K28" s="2">
        <v>44931.168113217595</v>
      </c>
      <c r="L28" t="s">
        <v>28</v>
      </c>
      <c r="M28" s="2">
        <v>44932.718220613424</v>
      </c>
      <c r="N28" t="s">
        <v>28</v>
      </c>
      <c r="O28" s="2">
        <v>44935.778166481483</v>
      </c>
      <c r="P28">
        <v>3</v>
      </c>
      <c r="Q28">
        <v>5</v>
      </c>
      <c r="R28" t="s">
        <v>29</v>
      </c>
      <c r="S28" t="s">
        <v>30</v>
      </c>
      <c r="T28" t="s">
        <v>41</v>
      </c>
      <c r="U28">
        <v>43.036776000000003</v>
      </c>
      <c r="V28">
        <v>12.678565000000001</v>
      </c>
      <c r="W28" t="str">
        <f t="shared" si="0"/>
        <v>ok</v>
      </c>
      <c r="X28" t="str">
        <f t="shared" si="5"/>
        <v>ok</v>
      </c>
      <c r="Y28" t="str">
        <f t="shared" si="1"/>
        <v>ok</v>
      </c>
      <c r="Z28" t="str">
        <f t="shared" si="2"/>
        <v>ok</v>
      </c>
      <c r="AA28" s="4" t="str">
        <f t="shared" si="3"/>
        <v>ok</v>
      </c>
      <c r="AB28" s="4" t="str">
        <f t="shared" si="4"/>
        <v>ok</v>
      </c>
      <c r="AC28" s="6">
        <f t="shared" si="6"/>
        <v>37.708128055441193</v>
      </c>
    </row>
    <row r="29" spans="1:29" x14ac:dyDescent="0.3">
      <c r="A29" t="s">
        <v>22</v>
      </c>
      <c r="B29">
        <v>1044</v>
      </c>
      <c r="C29" t="s">
        <v>23</v>
      </c>
      <c r="D29" t="s">
        <v>43</v>
      </c>
      <c r="E29" t="s">
        <v>35</v>
      </c>
      <c r="F29" t="s">
        <v>26</v>
      </c>
      <c r="G29" t="s">
        <v>27</v>
      </c>
      <c r="H29" s="1">
        <v>44932.865069444444</v>
      </c>
      <c r="I29" s="1">
        <v>44933.865069444444</v>
      </c>
      <c r="J29" s="1">
        <v>44932.86645833333</v>
      </c>
      <c r="K29" s="2">
        <v>44932.866450578702</v>
      </c>
      <c r="L29" t="s">
        <v>28</v>
      </c>
      <c r="M29" s="2">
        <v>44933.005240775463</v>
      </c>
      <c r="N29" t="s">
        <v>28</v>
      </c>
      <c r="O29" s="2">
        <v>44939.986097962967</v>
      </c>
      <c r="P29">
        <v>3</v>
      </c>
      <c r="Q29">
        <v>2</v>
      </c>
      <c r="R29" t="s">
        <v>29</v>
      </c>
      <c r="S29" t="s">
        <v>30</v>
      </c>
      <c r="T29" t="s">
        <v>41</v>
      </c>
      <c r="U29">
        <v>43.036776000000003</v>
      </c>
      <c r="V29">
        <v>12.678565000000001</v>
      </c>
      <c r="W29" t="str">
        <f t="shared" si="0"/>
        <v>ok</v>
      </c>
      <c r="X29" t="str">
        <f t="shared" si="5"/>
        <v>ok</v>
      </c>
      <c r="Y29" t="str">
        <f t="shared" si="1"/>
        <v>ok</v>
      </c>
      <c r="Z29" t="str">
        <f t="shared" si="2"/>
        <v>ok</v>
      </c>
      <c r="AA29" s="4" t="str">
        <f t="shared" si="3"/>
        <v>ok</v>
      </c>
      <c r="AB29" s="4" t="str">
        <f t="shared" si="4"/>
        <v>ok</v>
      </c>
      <c r="AC29" s="6">
        <f t="shared" si="6"/>
        <v>3.3641119444509968</v>
      </c>
    </row>
    <row r="30" spans="1:29" x14ac:dyDescent="0.3">
      <c r="A30" t="s">
        <v>42</v>
      </c>
      <c r="B30">
        <v>1045</v>
      </c>
      <c r="C30" t="s">
        <v>47</v>
      </c>
      <c r="D30" t="s">
        <v>24</v>
      </c>
      <c r="E30" t="s">
        <v>59</v>
      </c>
      <c r="F30" t="s">
        <v>26</v>
      </c>
      <c r="G30" t="s">
        <v>27</v>
      </c>
      <c r="H30" s="1">
        <v>44932.843738425923</v>
      </c>
      <c r="I30" s="1">
        <v>44934.843738425923</v>
      </c>
      <c r="J30" s="1">
        <v>44932.885405092595</v>
      </c>
      <c r="K30" s="2">
        <v>44932.873955856485</v>
      </c>
      <c r="L30" t="s">
        <v>28</v>
      </c>
      <c r="M30" s="2">
        <v>44934.302469467591</v>
      </c>
      <c r="N30" t="s">
        <v>28</v>
      </c>
      <c r="P30">
        <v>4</v>
      </c>
      <c r="R30" t="s">
        <v>50</v>
      </c>
      <c r="S30" t="s">
        <v>30</v>
      </c>
      <c r="T30" t="s">
        <v>65</v>
      </c>
      <c r="U30">
        <v>46.149166399999999</v>
      </c>
      <c r="V30">
        <v>14.9860106</v>
      </c>
      <c r="W30" t="str">
        <f t="shared" si="0"/>
        <v>ok</v>
      </c>
      <c r="X30" t="str">
        <f t="shared" si="5"/>
        <v>ok</v>
      </c>
      <c r="Y30" t="str">
        <f t="shared" si="1"/>
        <v>ok</v>
      </c>
      <c r="Z30" t="str">
        <f t="shared" si="2"/>
        <v>ok</v>
      </c>
      <c r="AA30" s="4" t="str">
        <f t="shared" si="3"/>
        <v>ok</v>
      </c>
      <c r="AB30" s="4" t="str">
        <f t="shared" si="4"/>
        <v>ok</v>
      </c>
      <c r="AC30" s="6">
        <f t="shared" si="6"/>
        <v>35.009545000037178</v>
      </c>
    </row>
    <row r="31" spans="1:29" x14ac:dyDescent="0.3">
      <c r="A31" t="s">
        <v>42</v>
      </c>
      <c r="B31">
        <v>1046</v>
      </c>
      <c r="C31" t="s">
        <v>33</v>
      </c>
      <c r="D31" t="s">
        <v>24</v>
      </c>
      <c r="E31" t="s">
        <v>59</v>
      </c>
      <c r="F31" t="s">
        <v>26</v>
      </c>
      <c r="G31" t="s">
        <v>52</v>
      </c>
      <c r="H31" s="1">
        <v>44932.633113425924</v>
      </c>
      <c r="I31" s="1">
        <v>44934.633113425924</v>
      </c>
      <c r="J31" s="1">
        <v>44932.674780092595</v>
      </c>
      <c r="K31" s="2">
        <v>44932.649943402779</v>
      </c>
      <c r="L31" t="s">
        <v>28</v>
      </c>
      <c r="M31" s="2">
        <v>44933.26582734954</v>
      </c>
      <c r="N31" t="s">
        <v>28</v>
      </c>
      <c r="P31">
        <v>1</v>
      </c>
      <c r="R31" t="s">
        <v>29</v>
      </c>
      <c r="S31" t="s">
        <v>30</v>
      </c>
      <c r="T31" t="s">
        <v>56</v>
      </c>
      <c r="U31">
        <v>52.536273000000001</v>
      </c>
      <c r="V31">
        <v>19.050639</v>
      </c>
      <c r="W31" t="str">
        <f t="shared" si="0"/>
        <v>ok</v>
      </c>
      <c r="X31" t="str">
        <f t="shared" si="5"/>
        <v>ok</v>
      </c>
      <c r="Y31" t="str">
        <f t="shared" si="1"/>
        <v>ok</v>
      </c>
      <c r="Z31" t="str">
        <f t="shared" si="2"/>
        <v>ok</v>
      </c>
      <c r="AA31" s="4" t="str">
        <f t="shared" si="3"/>
        <v>ok</v>
      </c>
      <c r="AB31" s="4" t="str">
        <f t="shared" si="4"/>
        <v>ok</v>
      </c>
      <c r="AC31" s="6">
        <f t="shared" si="6"/>
        <v>15.185134166793432</v>
      </c>
    </row>
    <row r="32" spans="1:29" x14ac:dyDescent="0.3">
      <c r="A32" t="s">
        <v>32</v>
      </c>
      <c r="B32">
        <v>1047</v>
      </c>
      <c r="C32" t="s">
        <v>23</v>
      </c>
      <c r="D32" t="s">
        <v>24</v>
      </c>
      <c r="E32" t="s">
        <v>48</v>
      </c>
      <c r="F32" t="s">
        <v>26</v>
      </c>
      <c r="G32" t="s">
        <v>45</v>
      </c>
      <c r="H32" s="1">
        <v>44932.135659722226</v>
      </c>
      <c r="I32" s="1">
        <v>44934.135659722226</v>
      </c>
      <c r="J32" s="1">
        <v>44932.17732638889</v>
      </c>
      <c r="K32" s="2">
        <v>44932.172195798608</v>
      </c>
      <c r="L32" t="s">
        <v>28</v>
      </c>
      <c r="N32" t="s">
        <v>38</v>
      </c>
      <c r="P32">
        <v>1</v>
      </c>
      <c r="R32" t="s">
        <v>55</v>
      </c>
      <c r="S32" t="s">
        <v>30</v>
      </c>
      <c r="T32" t="s">
        <v>53</v>
      </c>
      <c r="U32">
        <v>39.368279000000001</v>
      </c>
      <c r="V32">
        <v>21.863140999999999</v>
      </c>
      <c r="W32" t="str">
        <f t="shared" si="0"/>
        <v>ok</v>
      </c>
      <c r="X32" t="str">
        <f t="shared" si="5"/>
        <v>ok</v>
      </c>
      <c r="Y32" t="str">
        <f t="shared" si="1"/>
        <v>ok</v>
      </c>
      <c r="Z32" t="str">
        <f t="shared" si="2"/>
        <v>ok</v>
      </c>
      <c r="AA32" s="4" t="str">
        <f t="shared" si="3"/>
        <v>ok</v>
      </c>
      <c r="AB32" s="4" t="str">
        <f t="shared" si="4"/>
        <v>no resolution</v>
      </c>
      <c r="AC32" s="6" t="str">
        <f t="shared" si="6"/>
        <v/>
      </c>
    </row>
    <row r="33" spans="1:29" x14ac:dyDescent="0.3">
      <c r="A33" t="s">
        <v>32</v>
      </c>
      <c r="B33">
        <v>1048</v>
      </c>
      <c r="C33" t="s">
        <v>23</v>
      </c>
      <c r="D33" t="s">
        <v>43</v>
      </c>
      <c r="E33" t="s">
        <v>48</v>
      </c>
      <c r="F33" t="s">
        <v>26</v>
      </c>
      <c r="G33" t="s">
        <v>45</v>
      </c>
      <c r="H33" s="1">
        <v>44932.997187499997</v>
      </c>
      <c r="I33" s="1">
        <v>44933.997187499997</v>
      </c>
      <c r="J33" s="1">
        <v>44932.998576388891</v>
      </c>
      <c r="K33" s="2">
        <v>44932.997397650463</v>
      </c>
      <c r="L33" t="s">
        <v>28</v>
      </c>
      <c r="N33" t="s">
        <v>38</v>
      </c>
      <c r="P33">
        <v>8</v>
      </c>
      <c r="R33" t="s">
        <v>50</v>
      </c>
      <c r="S33" t="s">
        <v>30</v>
      </c>
      <c r="T33" t="s">
        <v>53</v>
      </c>
      <c r="U33">
        <v>39.368279000000001</v>
      </c>
      <c r="V33">
        <v>21.863140999999999</v>
      </c>
      <c r="W33" t="str">
        <f t="shared" si="0"/>
        <v>ok</v>
      </c>
      <c r="X33" t="str">
        <f t="shared" si="5"/>
        <v>ok</v>
      </c>
      <c r="Y33" t="str">
        <f t="shared" si="1"/>
        <v>ok</v>
      </c>
      <c r="Z33" t="str">
        <f t="shared" si="2"/>
        <v>ok</v>
      </c>
      <c r="AA33" s="4" t="str">
        <f t="shared" si="3"/>
        <v>ok</v>
      </c>
      <c r="AB33" s="4" t="str">
        <f t="shared" si="4"/>
        <v>no resolution</v>
      </c>
      <c r="AC33" s="6" t="str">
        <f t="shared" si="6"/>
        <v/>
      </c>
    </row>
    <row r="34" spans="1:29" x14ac:dyDescent="0.3">
      <c r="A34" t="s">
        <v>22</v>
      </c>
      <c r="B34">
        <v>1049</v>
      </c>
      <c r="C34" t="s">
        <v>47</v>
      </c>
      <c r="D34" t="s">
        <v>43</v>
      </c>
      <c r="E34" t="s">
        <v>48</v>
      </c>
      <c r="F34" t="s">
        <v>26</v>
      </c>
      <c r="G34" t="s">
        <v>52</v>
      </c>
      <c r="H34" s="1">
        <v>44932.503472222219</v>
      </c>
      <c r="I34" s="1">
        <v>44933.503472222219</v>
      </c>
      <c r="J34" s="1">
        <v>44932.504861111112</v>
      </c>
      <c r="K34" s="2">
        <v>44932.504597974534</v>
      </c>
      <c r="L34" t="s">
        <v>28</v>
      </c>
      <c r="M34" s="2">
        <v>44937.232005497688</v>
      </c>
      <c r="N34" t="s">
        <v>38</v>
      </c>
      <c r="O34" s="2">
        <v>44937.861784849534</v>
      </c>
      <c r="P34">
        <v>3</v>
      </c>
      <c r="Q34">
        <v>4</v>
      </c>
      <c r="R34" t="s">
        <v>29</v>
      </c>
      <c r="S34" t="s">
        <v>30</v>
      </c>
      <c r="T34" t="s">
        <v>56</v>
      </c>
      <c r="U34">
        <v>52.536273000000001</v>
      </c>
      <c r="V34">
        <v>19.050639</v>
      </c>
      <c r="W34" t="str">
        <f t="shared" si="0"/>
        <v>ok</v>
      </c>
      <c r="X34" t="str">
        <f t="shared" si="5"/>
        <v>ok</v>
      </c>
      <c r="Y34" t="str">
        <f t="shared" si="1"/>
        <v>ok</v>
      </c>
      <c r="Z34" t="str">
        <f t="shared" si="2"/>
        <v>ok</v>
      </c>
      <c r="AA34" s="4" t="str">
        <f t="shared" si="3"/>
        <v>ok</v>
      </c>
      <c r="AB34" s="4" t="str">
        <f t="shared" si="4"/>
        <v>ok</v>
      </c>
      <c r="AC34" s="6">
        <f t="shared" si="6"/>
        <v>113.48479861125816</v>
      </c>
    </row>
    <row r="35" spans="1:29" x14ac:dyDescent="0.3">
      <c r="A35" t="s">
        <v>22</v>
      </c>
      <c r="B35">
        <v>1050</v>
      </c>
      <c r="C35" t="s">
        <v>23</v>
      </c>
      <c r="D35" t="s">
        <v>24</v>
      </c>
      <c r="E35" t="s">
        <v>35</v>
      </c>
      <c r="F35" t="s">
        <v>26</v>
      </c>
      <c r="G35" t="s">
        <v>60</v>
      </c>
      <c r="H35" s="1">
        <v>44933.051296296297</v>
      </c>
      <c r="I35" s="1">
        <v>44935.051296296297</v>
      </c>
      <c r="J35" s="1">
        <v>44933.092962962961</v>
      </c>
      <c r="K35" s="2">
        <v>44933.06471421296</v>
      </c>
      <c r="L35" t="s">
        <v>28</v>
      </c>
      <c r="M35" s="2">
        <v>44938.101411539355</v>
      </c>
      <c r="N35" t="s">
        <v>38</v>
      </c>
      <c r="O35" s="2">
        <v>44940.029381111111</v>
      </c>
      <c r="P35">
        <v>6</v>
      </c>
      <c r="Q35">
        <v>4</v>
      </c>
      <c r="R35" t="s">
        <v>55</v>
      </c>
      <c r="S35" t="s">
        <v>30</v>
      </c>
      <c r="T35" t="s">
        <v>51</v>
      </c>
      <c r="U35">
        <v>39.673369999999998</v>
      </c>
      <c r="V35">
        <v>-4.7677259999999997</v>
      </c>
      <c r="W35" t="str">
        <f t="shared" si="0"/>
        <v>ok</v>
      </c>
      <c r="X35" t="str">
        <f t="shared" si="5"/>
        <v>ok</v>
      </c>
      <c r="Y35" t="str">
        <f t="shared" si="1"/>
        <v>ok</v>
      </c>
      <c r="Z35" t="str">
        <f t="shared" si="2"/>
        <v>ok</v>
      </c>
      <c r="AA35" s="4" t="str">
        <f t="shared" si="3"/>
        <v>ok</v>
      </c>
      <c r="AB35" s="4" t="str">
        <f t="shared" si="4"/>
        <v>ok</v>
      </c>
      <c r="AC35" s="6">
        <f t="shared" si="6"/>
        <v>121.20276583341183</v>
      </c>
    </row>
    <row r="36" spans="1:29" x14ac:dyDescent="0.3">
      <c r="A36" t="s">
        <v>22</v>
      </c>
      <c r="B36">
        <v>1054</v>
      </c>
      <c r="C36" t="s">
        <v>33</v>
      </c>
      <c r="D36" t="s">
        <v>24</v>
      </c>
      <c r="E36" t="s">
        <v>44</v>
      </c>
      <c r="F36" t="s">
        <v>36</v>
      </c>
      <c r="G36" t="s">
        <v>54</v>
      </c>
      <c r="H36" s="1">
        <v>44933.228402777779</v>
      </c>
      <c r="I36" s="1">
        <v>44935.228402777779</v>
      </c>
      <c r="J36" s="1">
        <v>44933.270069444443</v>
      </c>
      <c r="K36" s="2">
        <v>44933.256831354163</v>
      </c>
      <c r="L36" t="s">
        <v>28</v>
      </c>
      <c r="M36" s="2">
        <v>44934.354428622682</v>
      </c>
      <c r="N36" t="s">
        <v>28</v>
      </c>
      <c r="O36" s="2">
        <v>44940.679762222222</v>
      </c>
      <c r="P36">
        <v>2</v>
      </c>
      <c r="Q36">
        <v>5</v>
      </c>
      <c r="R36" t="s">
        <v>29</v>
      </c>
      <c r="S36" t="s">
        <v>40</v>
      </c>
      <c r="T36" t="s">
        <v>41</v>
      </c>
      <c r="U36">
        <v>43.036776000000003</v>
      </c>
      <c r="V36">
        <v>12.678565000000001</v>
      </c>
      <c r="W36" t="str">
        <f t="shared" si="0"/>
        <v>ok</v>
      </c>
      <c r="X36" t="str">
        <f t="shared" si="5"/>
        <v>ok</v>
      </c>
      <c r="Y36" t="str">
        <f t="shared" si="1"/>
        <v>ok</v>
      </c>
      <c r="Z36" t="str">
        <f t="shared" si="2"/>
        <v>ok</v>
      </c>
      <c r="AA36" s="4" t="str">
        <f t="shared" si="3"/>
        <v>ok</v>
      </c>
      <c r="AB36" s="4" t="str">
        <f t="shared" si="4"/>
        <v>ok</v>
      </c>
      <c r="AC36" s="6">
        <f t="shared" si="6"/>
        <v>27.024620277690701</v>
      </c>
    </row>
    <row r="37" spans="1:29" x14ac:dyDescent="0.3">
      <c r="A37" t="s">
        <v>22</v>
      </c>
      <c r="B37">
        <v>1055</v>
      </c>
      <c r="C37" t="s">
        <v>33</v>
      </c>
      <c r="D37" t="s">
        <v>24</v>
      </c>
      <c r="E37" t="s">
        <v>59</v>
      </c>
      <c r="F37" t="s">
        <v>26</v>
      </c>
      <c r="G37" t="s">
        <v>49</v>
      </c>
      <c r="H37" s="1">
        <v>44933.75644675926</v>
      </c>
      <c r="I37" s="1">
        <v>44935.75644675926</v>
      </c>
      <c r="J37" s="1">
        <v>44933.798113425924</v>
      </c>
      <c r="K37" s="2">
        <v>44933.795117326386</v>
      </c>
      <c r="L37" t="s">
        <v>28</v>
      </c>
      <c r="M37" s="2">
        <v>44935.546796666669</v>
      </c>
      <c r="N37" t="s">
        <v>28</v>
      </c>
      <c r="O37" s="2">
        <v>44938.927789884263</v>
      </c>
      <c r="P37">
        <v>8</v>
      </c>
      <c r="Q37">
        <v>4</v>
      </c>
      <c r="R37" t="s">
        <v>50</v>
      </c>
      <c r="S37" t="s">
        <v>30</v>
      </c>
      <c r="T37" t="s">
        <v>31</v>
      </c>
      <c r="U37">
        <v>53.094023999999997</v>
      </c>
      <c r="V37">
        <v>-8.0196749999999994</v>
      </c>
      <c r="W37" t="str">
        <f t="shared" si="0"/>
        <v>ok</v>
      </c>
      <c r="X37" t="str">
        <f t="shared" si="5"/>
        <v>ok</v>
      </c>
      <c r="Y37" t="str">
        <f t="shared" si="1"/>
        <v>ok</v>
      </c>
      <c r="Z37" t="str">
        <f t="shared" si="2"/>
        <v>ok</v>
      </c>
      <c r="AA37" s="4" t="str">
        <f t="shared" si="3"/>
        <v>ok</v>
      </c>
      <c r="AB37" s="4" t="str">
        <f t="shared" si="4"/>
        <v>ok</v>
      </c>
      <c r="AC37" s="6">
        <f t="shared" si="6"/>
        <v>42.968397777818609</v>
      </c>
    </row>
    <row r="38" spans="1:29" x14ac:dyDescent="0.3">
      <c r="A38" t="s">
        <v>42</v>
      </c>
      <c r="B38">
        <v>1056</v>
      </c>
      <c r="C38" t="s">
        <v>23</v>
      </c>
      <c r="D38" t="s">
        <v>24</v>
      </c>
      <c r="E38" t="s">
        <v>59</v>
      </c>
      <c r="F38" t="s">
        <v>26</v>
      </c>
      <c r="G38" t="s">
        <v>27</v>
      </c>
      <c r="H38" s="1">
        <v>44933.009259259263</v>
      </c>
      <c r="I38" s="1">
        <v>44935.009259259263</v>
      </c>
      <c r="J38" s="1">
        <v>44933.050925925927</v>
      </c>
      <c r="K38" s="2">
        <v>44933.013351597219</v>
      </c>
      <c r="L38" t="s">
        <v>28</v>
      </c>
      <c r="M38" s="2">
        <v>44934.58078152778</v>
      </c>
      <c r="N38" t="s">
        <v>28</v>
      </c>
      <c r="P38">
        <v>8</v>
      </c>
      <c r="R38" t="s">
        <v>29</v>
      </c>
      <c r="S38" t="s">
        <v>30</v>
      </c>
      <c r="T38" t="s">
        <v>57</v>
      </c>
      <c r="U38">
        <v>51.165691000000002</v>
      </c>
      <c r="V38">
        <v>10.451525999999999</v>
      </c>
      <c r="W38" t="str">
        <f t="shared" si="0"/>
        <v>ok</v>
      </c>
      <c r="X38" t="str">
        <f t="shared" si="5"/>
        <v>ok</v>
      </c>
      <c r="Y38" t="str">
        <f t="shared" si="1"/>
        <v>ok</v>
      </c>
      <c r="Z38" t="str">
        <f t="shared" si="2"/>
        <v>ok</v>
      </c>
      <c r="AA38" s="4" t="str">
        <f t="shared" si="3"/>
        <v>ok</v>
      </c>
      <c r="AB38" s="4" t="str">
        <f t="shared" si="4"/>
        <v>ok</v>
      </c>
      <c r="AC38" s="6">
        <f t="shared" si="6"/>
        <v>37.716534444421995</v>
      </c>
    </row>
    <row r="39" spans="1:29" x14ac:dyDescent="0.3">
      <c r="A39" t="s">
        <v>22</v>
      </c>
      <c r="B39">
        <v>1057</v>
      </c>
      <c r="C39" t="s">
        <v>47</v>
      </c>
      <c r="D39" t="s">
        <v>24</v>
      </c>
      <c r="E39" t="s">
        <v>25</v>
      </c>
      <c r="F39" t="s">
        <v>26</v>
      </c>
      <c r="G39" t="s">
        <v>45</v>
      </c>
      <c r="H39" s="1">
        <v>44933.413356481484</v>
      </c>
      <c r="I39" s="1">
        <v>44935.413356481484</v>
      </c>
      <c r="J39" s="1">
        <v>44933.455023148148</v>
      </c>
      <c r="K39" s="2">
        <v>44933.441562604166</v>
      </c>
      <c r="L39" t="s">
        <v>28</v>
      </c>
      <c r="M39" s="2">
        <v>44935.06659746528</v>
      </c>
      <c r="N39" t="s">
        <v>28</v>
      </c>
      <c r="O39" s="2">
        <v>44935.394558321757</v>
      </c>
      <c r="P39">
        <v>7</v>
      </c>
      <c r="Q39">
        <v>5</v>
      </c>
      <c r="R39" t="s">
        <v>50</v>
      </c>
      <c r="S39" t="s">
        <v>30</v>
      </c>
      <c r="T39" t="s">
        <v>57</v>
      </c>
      <c r="U39">
        <v>51.165691000000002</v>
      </c>
      <c r="V39">
        <v>10.451525999999999</v>
      </c>
      <c r="W39" t="str">
        <f t="shared" si="0"/>
        <v>ok</v>
      </c>
      <c r="X39" t="str">
        <f t="shared" si="5"/>
        <v>ok</v>
      </c>
      <c r="Y39" t="str">
        <f t="shared" si="1"/>
        <v>ok</v>
      </c>
      <c r="Z39" t="str">
        <f t="shared" si="2"/>
        <v>ok</v>
      </c>
      <c r="AA39" s="4" t="str">
        <f t="shared" si="3"/>
        <v>ok</v>
      </c>
      <c r="AB39" s="4" t="str">
        <f t="shared" si="4"/>
        <v>ok</v>
      </c>
      <c r="AC39" s="6">
        <f t="shared" si="6"/>
        <v>39.677783611114137</v>
      </c>
    </row>
    <row r="40" spans="1:29" x14ac:dyDescent="0.3">
      <c r="A40" t="s">
        <v>32</v>
      </c>
      <c r="B40">
        <v>1058</v>
      </c>
      <c r="C40" t="s">
        <v>47</v>
      </c>
      <c r="D40" t="s">
        <v>24</v>
      </c>
      <c r="E40" t="s">
        <v>48</v>
      </c>
      <c r="F40" t="s">
        <v>26</v>
      </c>
      <c r="G40" t="s">
        <v>45</v>
      </c>
      <c r="H40" s="1">
        <v>44934.569351851853</v>
      </c>
      <c r="I40" s="1">
        <v>44936.569351851853</v>
      </c>
      <c r="J40" s="1">
        <v>44934.611018518517</v>
      </c>
      <c r="K40" s="2">
        <v>44934.608648229165</v>
      </c>
      <c r="L40" t="s">
        <v>28</v>
      </c>
      <c r="N40" t="s">
        <v>38</v>
      </c>
      <c r="P40">
        <v>10</v>
      </c>
      <c r="R40" t="s">
        <v>50</v>
      </c>
      <c r="S40" t="s">
        <v>30</v>
      </c>
      <c r="T40" t="s">
        <v>66</v>
      </c>
      <c r="U40">
        <v>48.864716000000001</v>
      </c>
      <c r="V40">
        <v>2.3490139999999999</v>
      </c>
      <c r="W40" t="str">
        <f t="shared" si="0"/>
        <v>ok</v>
      </c>
      <c r="X40" t="str">
        <f t="shared" si="5"/>
        <v>ok</v>
      </c>
      <c r="Y40" t="str">
        <f t="shared" si="1"/>
        <v>ok</v>
      </c>
      <c r="Z40" t="str">
        <f t="shared" si="2"/>
        <v>ok</v>
      </c>
      <c r="AA40" s="4" t="str">
        <f t="shared" si="3"/>
        <v>ok</v>
      </c>
      <c r="AB40" s="4" t="str">
        <f t="shared" si="4"/>
        <v>no resolution</v>
      </c>
      <c r="AC40" s="6" t="str">
        <f t="shared" si="6"/>
        <v/>
      </c>
    </row>
    <row r="41" spans="1:29" x14ac:dyDescent="0.3">
      <c r="A41" t="s">
        <v>32</v>
      </c>
      <c r="B41">
        <v>1062</v>
      </c>
      <c r="C41" t="s">
        <v>23</v>
      </c>
      <c r="D41" t="s">
        <v>43</v>
      </c>
      <c r="E41" t="s">
        <v>48</v>
      </c>
      <c r="F41" t="s">
        <v>26</v>
      </c>
      <c r="G41" t="s">
        <v>60</v>
      </c>
      <c r="H41" s="1">
        <v>44934.816284722219</v>
      </c>
      <c r="I41" s="1">
        <v>44935.816284722219</v>
      </c>
      <c r="J41" s="1">
        <v>44934.817673611113</v>
      </c>
      <c r="K41" s="2">
        <v>44934.817075057872</v>
      </c>
      <c r="L41" t="s">
        <v>28</v>
      </c>
      <c r="N41" t="s">
        <v>38</v>
      </c>
      <c r="P41">
        <v>60</v>
      </c>
      <c r="R41" t="s">
        <v>29</v>
      </c>
      <c r="S41" t="s">
        <v>30</v>
      </c>
      <c r="T41" t="s">
        <v>31</v>
      </c>
      <c r="U41">
        <v>53.094023999999997</v>
      </c>
      <c r="V41">
        <v>-8.0196749999999994</v>
      </c>
      <c r="W41" t="str">
        <f t="shared" si="0"/>
        <v>ok</v>
      </c>
      <c r="X41" t="str">
        <f t="shared" si="5"/>
        <v>ok</v>
      </c>
      <c r="Y41" t="str">
        <f t="shared" si="1"/>
        <v>ok</v>
      </c>
      <c r="Z41" t="str">
        <f t="shared" si="2"/>
        <v>ok</v>
      </c>
      <c r="AA41" s="4" t="str">
        <f t="shared" si="3"/>
        <v>ok</v>
      </c>
      <c r="AB41" s="4" t="str">
        <f t="shared" si="4"/>
        <v>no resolution</v>
      </c>
      <c r="AC41" s="6" t="str">
        <f t="shared" si="6"/>
        <v/>
      </c>
    </row>
    <row r="42" spans="1:29" x14ac:dyDescent="0.3">
      <c r="A42" t="s">
        <v>22</v>
      </c>
      <c r="B42">
        <v>1063</v>
      </c>
      <c r="C42" t="s">
        <v>23</v>
      </c>
      <c r="D42" t="s">
        <v>34</v>
      </c>
      <c r="E42" t="s">
        <v>25</v>
      </c>
      <c r="F42" t="s">
        <v>26</v>
      </c>
      <c r="G42" t="s">
        <v>27</v>
      </c>
      <c r="H42" s="1">
        <v>44934.206076388888</v>
      </c>
      <c r="I42" s="1">
        <v>44936.206076388888</v>
      </c>
      <c r="J42" s="1">
        <v>44934.207465277781</v>
      </c>
      <c r="K42" s="2">
        <v>44934.209507824075</v>
      </c>
      <c r="L42" t="s">
        <v>38</v>
      </c>
      <c r="M42" s="2">
        <v>44934.369275115743</v>
      </c>
      <c r="N42" t="s">
        <v>28</v>
      </c>
      <c r="O42" s="2">
        <v>44938.185116898145</v>
      </c>
      <c r="P42">
        <v>2</v>
      </c>
      <c r="Q42">
        <v>1</v>
      </c>
      <c r="R42" t="s">
        <v>50</v>
      </c>
      <c r="S42" t="s">
        <v>30</v>
      </c>
      <c r="T42" t="s">
        <v>63</v>
      </c>
      <c r="U42">
        <v>55.378051999999997</v>
      </c>
      <c r="V42">
        <v>-3.4359730000000002</v>
      </c>
      <c r="W42" t="str">
        <f t="shared" si="0"/>
        <v>ok</v>
      </c>
      <c r="X42" t="str">
        <f t="shared" si="5"/>
        <v>ok</v>
      </c>
      <c r="Y42" t="str">
        <f t="shared" si="1"/>
        <v>ok</v>
      </c>
      <c r="Z42" t="str">
        <f t="shared" si="2"/>
        <v>ok</v>
      </c>
      <c r="AA42" s="4" t="str">
        <f t="shared" si="3"/>
        <v>ok</v>
      </c>
      <c r="AB42" s="4" t="str">
        <f t="shared" si="4"/>
        <v>ok</v>
      </c>
      <c r="AC42" s="6">
        <f t="shared" si="6"/>
        <v>3.9167694445350207</v>
      </c>
    </row>
    <row r="43" spans="1:29" x14ac:dyDescent="0.3">
      <c r="A43" t="s">
        <v>22</v>
      </c>
      <c r="B43">
        <v>1064</v>
      </c>
      <c r="C43" t="s">
        <v>33</v>
      </c>
      <c r="D43" t="s">
        <v>43</v>
      </c>
      <c r="E43" t="s">
        <v>39</v>
      </c>
      <c r="F43" t="s">
        <v>26</v>
      </c>
      <c r="G43" t="s">
        <v>49</v>
      </c>
      <c r="H43" s="1">
        <v>44934.457199074073</v>
      </c>
      <c r="I43" s="1">
        <v>44935.457199074073</v>
      </c>
      <c r="J43" s="1">
        <v>44934.458587962959</v>
      </c>
      <c r="K43" s="2">
        <v>44934.458053113427</v>
      </c>
      <c r="L43" t="s">
        <v>28</v>
      </c>
      <c r="M43" s="2">
        <v>44934.738070671294</v>
      </c>
      <c r="N43" t="s">
        <v>28</v>
      </c>
      <c r="O43" s="2">
        <v>44936.838858900461</v>
      </c>
      <c r="P43">
        <v>5</v>
      </c>
      <c r="Q43">
        <v>5</v>
      </c>
      <c r="R43" t="s">
        <v>50</v>
      </c>
      <c r="S43" t="s">
        <v>30</v>
      </c>
      <c r="T43" t="s">
        <v>63</v>
      </c>
      <c r="U43">
        <v>55.378051999999997</v>
      </c>
      <c r="V43">
        <v>-3.4359730000000002</v>
      </c>
      <c r="W43" t="str">
        <f t="shared" si="0"/>
        <v>ok</v>
      </c>
      <c r="X43" t="str">
        <f t="shared" si="5"/>
        <v>ok</v>
      </c>
      <c r="Y43" t="str">
        <f t="shared" si="1"/>
        <v>ok</v>
      </c>
      <c r="Z43" t="str">
        <f t="shared" si="2"/>
        <v>ok</v>
      </c>
      <c r="AA43" s="4" t="str">
        <f t="shared" si="3"/>
        <v>ok</v>
      </c>
      <c r="AB43" s="4" t="str">
        <f t="shared" si="4"/>
        <v>ok</v>
      </c>
      <c r="AC43" s="6">
        <f t="shared" si="6"/>
        <v>6.7409183332929388</v>
      </c>
    </row>
    <row r="44" spans="1:29" x14ac:dyDescent="0.3">
      <c r="A44" t="s">
        <v>22</v>
      </c>
      <c r="B44">
        <v>1065</v>
      </c>
      <c r="C44" t="s">
        <v>47</v>
      </c>
      <c r="D44" t="s">
        <v>43</v>
      </c>
      <c r="E44" t="s">
        <v>35</v>
      </c>
      <c r="F44" t="s">
        <v>26</v>
      </c>
      <c r="G44" t="s">
        <v>52</v>
      </c>
      <c r="H44" s="1">
        <v>44934.041678240741</v>
      </c>
      <c r="I44" s="1">
        <v>44935.041678240741</v>
      </c>
      <c r="J44" s="1">
        <v>44934.043067129627</v>
      </c>
      <c r="K44" s="2">
        <v>44934.042649201387</v>
      </c>
      <c r="L44" t="s">
        <v>28</v>
      </c>
      <c r="M44" s="2">
        <v>44934.171800694443</v>
      </c>
      <c r="N44" t="s">
        <v>28</v>
      </c>
      <c r="O44" s="2">
        <v>44936.619228530093</v>
      </c>
      <c r="P44">
        <v>3</v>
      </c>
      <c r="Q44">
        <v>3</v>
      </c>
      <c r="R44" t="s">
        <v>50</v>
      </c>
      <c r="S44" t="s">
        <v>30</v>
      </c>
      <c r="T44" t="s">
        <v>63</v>
      </c>
      <c r="U44">
        <v>55.378051999999997</v>
      </c>
      <c r="V44">
        <v>-3.4359730000000002</v>
      </c>
      <c r="W44" t="str">
        <f t="shared" si="0"/>
        <v>ok</v>
      </c>
      <c r="X44" t="str">
        <f t="shared" si="5"/>
        <v>ok</v>
      </c>
      <c r="Y44" t="str">
        <f t="shared" si="1"/>
        <v>ok</v>
      </c>
      <c r="Z44" t="str">
        <f t="shared" si="2"/>
        <v>ok</v>
      </c>
      <c r="AA44" s="4" t="str">
        <f t="shared" si="3"/>
        <v>ok</v>
      </c>
      <c r="AB44" s="4" t="str">
        <f t="shared" si="4"/>
        <v>ok</v>
      </c>
      <c r="AC44" s="6">
        <f t="shared" si="6"/>
        <v>3.1229388888459653</v>
      </c>
    </row>
    <row r="45" spans="1:29" x14ac:dyDescent="0.3">
      <c r="A45" t="s">
        <v>42</v>
      </c>
      <c r="B45">
        <v>1066</v>
      </c>
      <c r="C45" t="s">
        <v>47</v>
      </c>
      <c r="D45" t="s">
        <v>43</v>
      </c>
      <c r="E45" t="s">
        <v>35</v>
      </c>
      <c r="F45" t="s">
        <v>26</v>
      </c>
      <c r="G45" t="s">
        <v>52</v>
      </c>
      <c r="H45" s="1">
        <v>44935.595127314817</v>
      </c>
      <c r="I45" s="1">
        <v>44936.595127314817</v>
      </c>
      <c r="J45" s="1">
        <v>44935.596516203703</v>
      </c>
      <c r="K45" s="2">
        <v>44935.595398043981</v>
      </c>
      <c r="L45" t="s">
        <v>28</v>
      </c>
      <c r="M45" s="2">
        <v>44936.264917453707</v>
      </c>
      <c r="N45" t="s">
        <v>28</v>
      </c>
      <c r="P45">
        <v>6</v>
      </c>
      <c r="R45" t="s">
        <v>50</v>
      </c>
      <c r="S45" t="s">
        <v>30</v>
      </c>
      <c r="T45" t="s">
        <v>51</v>
      </c>
      <c r="U45">
        <v>39.673369999999998</v>
      </c>
      <c r="V45">
        <v>-4.7677259999999997</v>
      </c>
      <c r="W45" t="str">
        <f t="shared" si="0"/>
        <v>ok</v>
      </c>
      <c r="X45" t="str">
        <f t="shared" si="5"/>
        <v>ok</v>
      </c>
      <c r="Y45" t="str">
        <f t="shared" si="1"/>
        <v>ok</v>
      </c>
      <c r="Z45" t="str">
        <f t="shared" si="2"/>
        <v>ok</v>
      </c>
      <c r="AA45" s="4" t="str">
        <f t="shared" si="3"/>
        <v>ok</v>
      </c>
      <c r="AB45" s="4" t="str">
        <f t="shared" si="4"/>
        <v>ok</v>
      </c>
      <c r="AC45" s="6">
        <f t="shared" si="6"/>
        <v>16.074963333376218</v>
      </c>
    </row>
    <row r="46" spans="1:29" x14ac:dyDescent="0.3">
      <c r="A46" t="s">
        <v>42</v>
      </c>
      <c r="B46">
        <v>1067</v>
      </c>
      <c r="C46" t="s">
        <v>23</v>
      </c>
      <c r="D46" t="s">
        <v>24</v>
      </c>
      <c r="E46" t="s">
        <v>35</v>
      </c>
      <c r="F46" t="s">
        <v>26</v>
      </c>
      <c r="G46" t="s">
        <v>52</v>
      </c>
      <c r="H46" s="1">
        <v>44935.631365740737</v>
      </c>
      <c r="I46" s="1">
        <v>44937.631365740737</v>
      </c>
      <c r="J46" s="1">
        <v>44935.673032407409</v>
      </c>
      <c r="K46" s="2">
        <v>44935.650909050928</v>
      </c>
      <c r="L46" t="s">
        <v>28</v>
      </c>
      <c r="M46" s="2">
        <v>44937.043431238424</v>
      </c>
      <c r="N46" t="s">
        <v>28</v>
      </c>
      <c r="P46">
        <v>3</v>
      </c>
      <c r="R46" t="s">
        <v>29</v>
      </c>
      <c r="S46" t="s">
        <v>30</v>
      </c>
      <c r="T46" t="s">
        <v>57</v>
      </c>
      <c r="U46">
        <v>51.165691000000002</v>
      </c>
      <c r="V46">
        <v>10.451525999999999</v>
      </c>
      <c r="W46" t="str">
        <f t="shared" si="0"/>
        <v>ok</v>
      </c>
      <c r="X46" t="str">
        <f t="shared" si="5"/>
        <v>ok</v>
      </c>
      <c r="Y46" t="str">
        <f t="shared" si="1"/>
        <v>ok</v>
      </c>
      <c r="Z46" t="str">
        <f t="shared" si="2"/>
        <v>ok</v>
      </c>
      <c r="AA46" s="4" t="str">
        <f t="shared" si="3"/>
        <v>ok</v>
      </c>
      <c r="AB46" s="4" t="str">
        <f t="shared" si="4"/>
        <v>ok</v>
      </c>
      <c r="AC46" s="6">
        <f t="shared" si="6"/>
        <v>33.889571944484487</v>
      </c>
    </row>
    <row r="47" spans="1:29" x14ac:dyDescent="0.3">
      <c r="A47" t="s">
        <v>22</v>
      </c>
      <c r="B47">
        <v>1068</v>
      </c>
      <c r="C47" t="s">
        <v>23</v>
      </c>
      <c r="D47" t="s">
        <v>24</v>
      </c>
      <c r="E47" t="s">
        <v>35</v>
      </c>
      <c r="F47" t="s">
        <v>26</v>
      </c>
      <c r="G47" t="s">
        <v>27</v>
      </c>
      <c r="H47" s="1">
        <v>44935.590416666666</v>
      </c>
      <c r="I47" s="1">
        <v>44937.590416666666</v>
      </c>
      <c r="J47" s="1">
        <v>44935.63208333333</v>
      </c>
      <c r="K47" s="2">
        <v>44935.616715810182</v>
      </c>
      <c r="L47" t="s">
        <v>28</v>
      </c>
      <c r="M47" s="2">
        <v>44936.814084814818</v>
      </c>
      <c r="N47" t="s">
        <v>28</v>
      </c>
      <c r="O47" s="2">
        <v>44936.973716944442</v>
      </c>
      <c r="P47">
        <v>3</v>
      </c>
      <c r="Q47">
        <v>1</v>
      </c>
      <c r="R47" t="s">
        <v>50</v>
      </c>
      <c r="S47" t="s">
        <v>30</v>
      </c>
      <c r="T47" t="s">
        <v>53</v>
      </c>
      <c r="U47">
        <v>39.368279000000001</v>
      </c>
      <c r="V47">
        <v>21.863140999999999</v>
      </c>
      <c r="W47" t="str">
        <f t="shared" si="0"/>
        <v>ok</v>
      </c>
      <c r="X47" t="str">
        <f t="shared" si="5"/>
        <v>ok</v>
      </c>
      <c r="Y47" t="str">
        <f t="shared" si="1"/>
        <v>ok</v>
      </c>
      <c r="Z47" t="str">
        <f t="shared" si="2"/>
        <v>ok</v>
      </c>
      <c r="AA47" s="4" t="str">
        <f t="shared" si="3"/>
        <v>ok</v>
      </c>
      <c r="AB47" s="4" t="str">
        <f t="shared" si="4"/>
        <v>ok</v>
      </c>
      <c r="AC47" s="6">
        <f t="shared" si="6"/>
        <v>29.368035555642564</v>
      </c>
    </row>
    <row r="48" spans="1:29" x14ac:dyDescent="0.3">
      <c r="A48" t="s">
        <v>22</v>
      </c>
      <c r="B48">
        <v>1069</v>
      </c>
      <c r="C48" t="s">
        <v>47</v>
      </c>
      <c r="D48" t="s">
        <v>24</v>
      </c>
      <c r="E48" t="s">
        <v>48</v>
      </c>
      <c r="F48" t="s">
        <v>36</v>
      </c>
      <c r="G48" t="s">
        <v>64</v>
      </c>
      <c r="H48" s="1">
        <v>44935.726041666669</v>
      </c>
      <c r="I48" s="1">
        <v>44937.726041666669</v>
      </c>
      <c r="J48" s="1">
        <v>44935.767708333333</v>
      </c>
      <c r="K48" s="2">
        <v>44935.748397708332</v>
      </c>
      <c r="L48" t="s">
        <v>28</v>
      </c>
      <c r="M48" s="2">
        <v>44936.527151782408</v>
      </c>
      <c r="N48" t="s">
        <v>28</v>
      </c>
      <c r="O48" s="2">
        <v>44941.377922268519</v>
      </c>
      <c r="P48">
        <v>2</v>
      </c>
      <c r="Q48">
        <v>5</v>
      </c>
      <c r="R48" t="s">
        <v>29</v>
      </c>
      <c r="S48" t="s">
        <v>40</v>
      </c>
      <c r="T48" t="s">
        <v>56</v>
      </c>
      <c r="U48">
        <v>52.536273000000001</v>
      </c>
      <c r="V48">
        <v>19.050639</v>
      </c>
      <c r="W48" t="str">
        <f t="shared" si="0"/>
        <v>ok</v>
      </c>
      <c r="X48" t="str">
        <f t="shared" si="5"/>
        <v>ok</v>
      </c>
      <c r="Y48" t="str">
        <f t="shared" si="1"/>
        <v>ok</v>
      </c>
      <c r="Z48" t="str">
        <f t="shared" si="2"/>
        <v>ok</v>
      </c>
      <c r="AA48" s="4" t="str">
        <f t="shared" si="3"/>
        <v>ok</v>
      </c>
      <c r="AB48" s="4" t="str">
        <f t="shared" si="4"/>
        <v>ok</v>
      </c>
      <c r="AC48" s="6">
        <f t="shared" si="6"/>
        <v>19.226642777735833</v>
      </c>
    </row>
    <row r="49" spans="1:29" x14ac:dyDescent="0.3">
      <c r="A49" t="s">
        <v>42</v>
      </c>
      <c r="B49">
        <v>1070</v>
      </c>
      <c r="C49" t="s">
        <v>33</v>
      </c>
      <c r="D49" t="s">
        <v>24</v>
      </c>
      <c r="E49" t="s">
        <v>48</v>
      </c>
      <c r="F49" t="s">
        <v>36</v>
      </c>
      <c r="G49" t="s">
        <v>37</v>
      </c>
      <c r="H49" s="1">
        <v>44935.788437499999</v>
      </c>
      <c r="I49" s="1">
        <v>44937.788437499999</v>
      </c>
      <c r="J49" s="1">
        <v>44935.830104166664</v>
      </c>
      <c r="K49" s="2">
        <v>44935.814027974535</v>
      </c>
      <c r="L49" t="s">
        <v>28</v>
      </c>
      <c r="M49" s="2">
        <v>44941.71535283565</v>
      </c>
      <c r="N49" t="s">
        <v>38</v>
      </c>
      <c r="P49">
        <v>1</v>
      </c>
      <c r="R49" t="s">
        <v>29</v>
      </c>
      <c r="S49" t="s">
        <v>40</v>
      </c>
      <c r="T49" t="s">
        <v>57</v>
      </c>
      <c r="U49">
        <v>51.165691000000002</v>
      </c>
      <c r="V49">
        <v>10.451525999999999</v>
      </c>
      <c r="W49" t="str">
        <f t="shared" si="0"/>
        <v>ok</v>
      </c>
      <c r="X49" t="str">
        <f t="shared" si="5"/>
        <v>ok</v>
      </c>
      <c r="Y49" t="str">
        <f t="shared" si="1"/>
        <v>ok</v>
      </c>
      <c r="Z49" t="str">
        <f t="shared" si="2"/>
        <v>ok</v>
      </c>
      <c r="AA49" s="4" t="str">
        <f t="shared" si="3"/>
        <v>ok</v>
      </c>
      <c r="AB49" s="4" t="str">
        <f t="shared" si="4"/>
        <v>ok</v>
      </c>
      <c r="AC49" s="6">
        <f t="shared" si="6"/>
        <v>142.24596805562032</v>
      </c>
    </row>
    <row r="50" spans="1:29" x14ac:dyDescent="0.3">
      <c r="A50" t="s">
        <v>22</v>
      </c>
      <c r="B50">
        <v>1071</v>
      </c>
      <c r="C50" t="s">
        <v>47</v>
      </c>
      <c r="D50" t="s">
        <v>24</v>
      </c>
      <c r="E50" t="s">
        <v>62</v>
      </c>
      <c r="F50" t="s">
        <v>36</v>
      </c>
      <c r="G50" t="s">
        <v>54</v>
      </c>
      <c r="H50" s="1">
        <v>44935.497349537036</v>
      </c>
      <c r="I50" s="1">
        <v>44937.497349537036</v>
      </c>
      <c r="J50" s="1">
        <v>44935.5390162037</v>
      </c>
      <c r="K50" s="2">
        <v>44935.511205486109</v>
      </c>
      <c r="L50" t="s">
        <v>28</v>
      </c>
      <c r="M50" s="2">
        <v>44936.669528668979</v>
      </c>
      <c r="N50" t="s">
        <v>28</v>
      </c>
      <c r="O50" s="2">
        <v>44938.447956805554</v>
      </c>
      <c r="P50">
        <v>1</v>
      </c>
      <c r="Q50">
        <v>4</v>
      </c>
      <c r="R50" t="s">
        <v>55</v>
      </c>
      <c r="S50" t="s">
        <v>40</v>
      </c>
      <c r="T50" t="s">
        <v>31</v>
      </c>
      <c r="U50">
        <v>53.094023999999997</v>
      </c>
      <c r="V50">
        <v>-8.0196749999999994</v>
      </c>
      <c r="W50" t="str">
        <f t="shared" si="0"/>
        <v>ok</v>
      </c>
      <c r="X50" t="str">
        <f t="shared" si="5"/>
        <v>ok</v>
      </c>
      <c r="Y50" t="str">
        <f t="shared" si="1"/>
        <v>ok</v>
      </c>
      <c r="Z50" t="str">
        <f t="shared" si="2"/>
        <v>ok</v>
      </c>
      <c r="AA50" s="4" t="str">
        <f t="shared" si="3"/>
        <v>ok</v>
      </c>
      <c r="AB50" s="4" t="str">
        <f t="shared" si="4"/>
        <v>ok</v>
      </c>
      <c r="AC50" s="6">
        <f t="shared" si="6"/>
        <v>28.132299166638404</v>
      </c>
    </row>
    <row r="51" spans="1:29" x14ac:dyDescent="0.3">
      <c r="A51" t="s">
        <v>22</v>
      </c>
      <c r="B51">
        <v>1072</v>
      </c>
      <c r="C51" t="s">
        <v>33</v>
      </c>
      <c r="D51" t="s">
        <v>24</v>
      </c>
      <c r="E51" t="s">
        <v>25</v>
      </c>
      <c r="F51" t="s">
        <v>26</v>
      </c>
      <c r="G51" t="s">
        <v>52</v>
      </c>
      <c r="H51" s="1">
        <v>44935.843414351853</v>
      </c>
      <c r="I51" s="1">
        <v>44937.843414351853</v>
      </c>
      <c r="J51" s="1">
        <v>44935.885081018518</v>
      </c>
      <c r="K51" s="2">
        <v>44935.853923726849</v>
      </c>
      <c r="L51" t="s">
        <v>28</v>
      </c>
      <c r="M51" s="2">
        <v>44935.864515324072</v>
      </c>
      <c r="N51" t="s">
        <v>28</v>
      </c>
      <c r="O51" s="2">
        <v>44938.016883275464</v>
      </c>
      <c r="P51">
        <v>1</v>
      </c>
      <c r="Q51">
        <v>5</v>
      </c>
      <c r="R51" t="s">
        <v>29</v>
      </c>
      <c r="S51" t="s">
        <v>30</v>
      </c>
      <c r="T51" t="s">
        <v>57</v>
      </c>
      <c r="U51">
        <v>51.165691000000002</v>
      </c>
      <c r="V51">
        <v>10.451525999999999</v>
      </c>
      <c r="W51" t="str">
        <f t="shared" si="0"/>
        <v>ok</v>
      </c>
      <c r="X51" t="str">
        <f t="shared" si="5"/>
        <v>ok</v>
      </c>
      <c r="Y51" t="str">
        <f t="shared" si="1"/>
        <v>ok</v>
      </c>
      <c r="Z51" t="str">
        <f t="shared" si="2"/>
        <v>ok</v>
      </c>
      <c r="AA51" s="4" t="str">
        <f t="shared" si="3"/>
        <v>ok</v>
      </c>
      <c r="AB51" s="4" t="str">
        <f t="shared" si="4"/>
        <v>ok</v>
      </c>
      <c r="AC51" s="6">
        <f t="shared" si="6"/>
        <v>0.50642333325231448</v>
      </c>
    </row>
    <row r="52" spans="1:29" x14ac:dyDescent="0.3">
      <c r="A52" t="s">
        <v>22</v>
      </c>
      <c r="B52">
        <v>1073</v>
      </c>
      <c r="C52" t="s">
        <v>47</v>
      </c>
      <c r="D52" t="s">
        <v>24</v>
      </c>
      <c r="E52" t="s">
        <v>48</v>
      </c>
      <c r="F52" t="s">
        <v>26</v>
      </c>
      <c r="G52" t="s">
        <v>27</v>
      </c>
      <c r="H52" s="1">
        <v>44935.382395833331</v>
      </c>
      <c r="I52" s="1">
        <v>44937.382395833331</v>
      </c>
      <c r="J52" s="1">
        <v>44935.424062500002</v>
      </c>
      <c r="K52" s="2">
        <v>44935.386822835651</v>
      </c>
      <c r="L52" t="s">
        <v>28</v>
      </c>
      <c r="M52" s="2">
        <v>44935.91549777778</v>
      </c>
      <c r="N52" t="s">
        <v>28</v>
      </c>
      <c r="O52" s="2">
        <v>44937.0750978125</v>
      </c>
      <c r="P52">
        <v>7</v>
      </c>
      <c r="Q52">
        <v>3</v>
      </c>
      <c r="R52" t="s">
        <v>50</v>
      </c>
      <c r="S52" t="s">
        <v>30</v>
      </c>
      <c r="T52" t="s">
        <v>53</v>
      </c>
      <c r="U52">
        <v>39.368279000000001</v>
      </c>
      <c r="V52">
        <v>21.863140999999999</v>
      </c>
      <c r="W52" t="str">
        <f t="shared" si="0"/>
        <v>ok</v>
      </c>
      <c r="X52" t="str">
        <f t="shared" si="5"/>
        <v>ok</v>
      </c>
      <c r="Y52" t="str">
        <f t="shared" si="1"/>
        <v>ok</v>
      </c>
      <c r="Z52" t="str">
        <f t="shared" si="2"/>
        <v>ok</v>
      </c>
      <c r="AA52" s="4" t="str">
        <f t="shared" si="3"/>
        <v>ok</v>
      </c>
      <c r="AB52" s="4" t="str">
        <f t="shared" si="4"/>
        <v>ok</v>
      </c>
      <c r="AC52" s="6">
        <f t="shared" si="6"/>
        <v>12.794446666783188</v>
      </c>
    </row>
    <row r="53" spans="1:29" x14ac:dyDescent="0.3">
      <c r="A53" t="s">
        <v>22</v>
      </c>
      <c r="B53">
        <v>1074</v>
      </c>
      <c r="C53" t="s">
        <v>23</v>
      </c>
      <c r="D53" t="s">
        <v>43</v>
      </c>
      <c r="E53" t="s">
        <v>48</v>
      </c>
      <c r="F53" t="s">
        <v>26</v>
      </c>
      <c r="G53" t="s">
        <v>60</v>
      </c>
      <c r="H53" s="1">
        <v>44935.284722222219</v>
      </c>
      <c r="I53" s="1">
        <v>44936.284722222219</v>
      </c>
      <c r="J53" s="1">
        <v>44935.286111111112</v>
      </c>
      <c r="K53" s="2">
        <v>44935.288122731479</v>
      </c>
      <c r="L53" t="s">
        <v>38</v>
      </c>
      <c r="M53" s="2">
        <v>44935.94640630787</v>
      </c>
      <c r="N53" t="s">
        <v>28</v>
      </c>
      <c r="O53" s="2">
        <v>44939.042185092592</v>
      </c>
      <c r="P53">
        <v>3</v>
      </c>
      <c r="Q53">
        <v>4</v>
      </c>
      <c r="R53" t="s">
        <v>50</v>
      </c>
      <c r="S53" t="s">
        <v>30</v>
      </c>
      <c r="T53" t="s">
        <v>65</v>
      </c>
      <c r="U53">
        <v>46.149166399999999</v>
      </c>
      <c r="V53">
        <v>14.9860106</v>
      </c>
      <c r="W53" t="str">
        <f t="shared" si="0"/>
        <v>ok</v>
      </c>
      <c r="X53" t="str">
        <f t="shared" si="5"/>
        <v>ok</v>
      </c>
      <c r="Y53" t="str">
        <f t="shared" si="1"/>
        <v>ok</v>
      </c>
      <c r="Z53" t="str">
        <f t="shared" si="2"/>
        <v>ok</v>
      </c>
      <c r="AA53" s="4" t="str">
        <f t="shared" si="3"/>
        <v>ok</v>
      </c>
      <c r="AB53" s="4" t="str">
        <f t="shared" si="4"/>
        <v>ok</v>
      </c>
      <c r="AC53" s="6">
        <f t="shared" si="6"/>
        <v>15.880418055632617</v>
      </c>
    </row>
    <row r="54" spans="1:29" x14ac:dyDescent="0.3">
      <c r="A54" t="s">
        <v>22</v>
      </c>
      <c r="B54">
        <v>1075</v>
      </c>
      <c r="C54" t="s">
        <v>33</v>
      </c>
      <c r="D54" t="s">
        <v>24</v>
      </c>
      <c r="E54" t="s">
        <v>35</v>
      </c>
      <c r="F54" t="s">
        <v>26</v>
      </c>
      <c r="G54" t="s">
        <v>27</v>
      </c>
      <c r="H54" s="1">
        <v>44935.909745370373</v>
      </c>
      <c r="I54" s="1">
        <v>44937.909745370373</v>
      </c>
      <c r="J54" s="1">
        <v>44935.951412037037</v>
      </c>
      <c r="K54" s="2">
        <v>44936.017501620372</v>
      </c>
      <c r="L54" t="s">
        <v>38</v>
      </c>
      <c r="M54" s="2">
        <v>44937.413171111111</v>
      </c>
      <c r="N54" t="s">
        <v>28</v>
      </c>
      <c r="O54" s="2">
        <v>44942.608756134257</v>
      </c>
      <c r="P54">
        <v>5</v>
      </c>
      <c r="Q54">
        <v>2</v>
      </c>
      <c r="R54" t="s">
        <v>50</v>
      </c>
      <c r="S54" t="s">
        <v>30</v>
      </c>
      <c r="T54" t="s">
        <v>58</v>
      </c>
      <c r="U54">
        <v>49.8037633</v>
      </c>
      <c r="V54">
        <v>15.4749126</v>
      </c>
      <c r="W54" t="str">
        <f t="shared" si="0"/>
        <v>ok</v>
      </c>
      <c r="X54" t="str">
        <f t="shared" si="5"/>
        <v>ok</v>
      </c>
      <c r="Y54" t="str">
        <f t="shared" si="1"/>
        <v>ok</v>
      </c>
      <c r="Z54" t="str">
        <f t="shared" si="2"/>
        <v>ok</v>
      </c>
      <c r="AA54" s="4" t="str">
        <f t="shared" si="3"/>
        <v>ok</v>
      </c>
      <c r="AB54" s="4" t="str">
        <f t="shared" si="4"/>
        <v>ok</v>
      </c>
      <c r="AC54" s="6">
        <f t="shared" si="6"/>
        <v>36.082217777729966</v>
      </c>
    </row>
    <row r="55" spans="1:29" x14ac:dyDescent="0.3">
      <c r="A55" t="s">
        <v>22</v>
      </c>
      <c r="B55">
        <v>1076</v>
      </c>
      <c r="C55" t="s">
        <v>23</v>
      </c>
      <c r="D55" t="s">
        <v>34</v>
      </c>
      <c r="E55" t="s">
        <v>35</v>
      </c>
      <c r="F55" t="s">
        <v>26</v>
      </c>
      <c r="G55" t="s">
        <v>45</v>
      </c>
      <c r="H55" s="1">
        <v>44935.121793981481</v>
      </c>
      <c r="I55" s="1">
        <v>44937.121793981481</v>
      </c>
      <c r="J55" s="1">
        <v>44935.123182870368</v>
      </c>
      <c r="K55" s="2">
        <v>44935.121894837961</v>
      </c>
      <c r="L55" t="s">
        <v>28</v>
      </c>
      <c r="M55" s="2">
        <v>44936.931067893522</v>
      </c>
      <c r="N55" t="s">
        <v>28</v>
      </c>
      <c r="O55" s="2">
        <v>44938.819983321759</v>
      </c>
      <c r="P55">
        <v>3</v>
      </c>
      <c r="Q55">
        <v>5</v>
      </c>
      <c r="R55" t="s">
        <v>50</v>
      </c>
      <c r="S55" t="s">
        <v>30</v>
      </c>
      <c r="T55" t="s">
        <v>57</v>
      </c>
      <c r="U55">
        <v>51.165691000000002</v>
      </c>
      <c r="V55">
        <v>10.451525999999999</v>
      </c>
      <c r="W55" t="str">
        <f t="shared" si="0"/>
        <v>ok</v>
      </c>
      <c r="X55" t="str">
        <f t="shared" si="5"/>
        <v>ok</v>
      </c>
      <c r="Y55" t="str">
        <f t="shared" si="1"/>
        <v>ok</v>
      </c>
      <c r="Z55" t="str">
        <f t="shared" si="2"/>
        <v>ok</v>
      </c>
      <c r="AA55" s="4" t="str">
        <f t="shared" si="3"/>
        <v>ok</v>
      </c>
      <c r="AB55" s="4" t="str">
        <f t="shared" si="4"/>
        <v>ok</v>
      </c>
      <c r="AC55" s="6">
        <f t="shared" si="6"/>
        <v>43.422573888965417</v>
      </c>
    </row>
    <row r="56" spans="1:29" x14ac:dyDescent="0.3">
      <c r="A56" t="s">
        <v>42</v>
      </c>
      <c r="B56">
        <v>1077</v>
      </c>
      <c r="C56" t="s">
        <v>23</v>
      </c>
      <c r="D56" t="s">
        <v>24</v>
      </c>
      <c r="E56" t="s">
        <v>48</v>
      </c>
      <c r="F56" t="s">
        <v>26</v>
      </c>
      <c r="G56" t="s">
        <v>52</v>
      </c>
      <c r="H56" s="1">
        <v>44936.090289351851</v>
      </c>
      <c r="I56" s="1">
        <v>44938.090289351851</v>
      </c>
      <c r="J56" s="1">
        <v>44936.131956018522</v>
      </c>
      <c r="K56" s="2">
        <v>44936.107966377313</v>
      </c>
      <c r="L56" t="s">
        <v>28</v>
      </c>
      <c r="M56" s="2">
        <v>44937.902401400461</v>
      </c>
      <c r="N56" t="s">
        <v>28</v>
      </c>
      <c r="P56">
        <v>2</v>
      </c>
      <c r="R56" t="s">
        <v>50</v>
      </c>
      <c r="S56" t="s">
        <v>30</v>
      </c>
      <c r="T56" t="s">
        <v>61</v>
      </c>
      <c r="U56">
        <v>42.724992499999999</v>
      </c>
      <c r="V56">
        <v>25.483303899999999</v>
      </c>
      <c r="W56" t="str">
        <f t="shared" si="0"/>
        <v>ok</v>
      </c>
      <c r="X56" t="str">
        <f t="shared" si="5"/>
        <v>ok</v>
      </c>
      <c r="Y56" t="str">
        <f t="shared" si="1"/>
        <v>ok</v>
      </c>
      <c r="Z56" t="str">
        <f t="shared" si="2"/>
        <v>ok</v>
      </c>
      <c r="AA56" s="4" t="str">
        <f t="shared" si="3"/>
        <v>ok</v>
      </c>
      <c r="AB56" s="4" t="str">
        <f t="shared" si="4"/>
        <v>ok</v>
      </c>
      <c r="AC56" s="6">
        <f t="shared" si="6"/>
        <v>43.490689166646916</v>
      </c>
    </row>
    <row r="57" spans="1:29" x14ac:dyDescent="0.3">
      <c r="A57" t="s">
        <v>22</v>
      </c>
      <c r="B57">
        <v>1078</v>
      </c>
      <c r="C57" t="s">
        <v>23</v>
      </c>
      <c r="D57" t="s">
        <v>24</v>
      </c>
      <c r="E57" t="s">
        <v>48</v>
      </c>
      <c r="F57" t="s">
        <v>26</v>
      </c>
      <c r="G57" t="s">
        <v>52</v>
      </c>
      <c r="H57" s="1">
        <v>44936.574224537035</v>
      </c>
      <c r="I57" s="1">
        <v>44938.574224537035</v>
      </c>
      <c r="J57" s="1">
        <v>44936.615891203706</v>
      </c>
      <c r="K57" s="2">
        <v>44936.576522905096</v>
      </c>
      <c r="L57" t="s">
        <v>28</v>
      </c>
      <c r="M57" s="2">
        <v>44938.286440810189</v>
      </c>
      <c r="N57" t="s">
        <v>28</v>
      </c>
      <c r="O57" s="2">
        <v>44942.066727986108</v>
      </c>
      <c r="P57">
        <v>7</v>
      </c>
      <c r="Q57">
        <v>2</v>
      </c>
      <c r="R57" t="s">
        <v>50</v>
      </c>
      <c r="S57" t="s">
        <v>30</v>
      </c>
      <c r="T57" t="s">
        <v>57</v>
      </c>
      <c r="U57">
        <v>51.165691000000002</v>
      </c>
      <c r="V57">
        <v>10.451525999999999</v>
      </c>
      <c r="W57" t="str">
        <f t="shared" si="0"/>
        <v>ok</v>
      </c>
      <c r="X57" t="str">
        <f t="shared" si="5"/>
        <v>ok</v>
      </c>
      <c r="Y57" t="str">
        <f t="shared" si="1"/>
        <v>ok</v>
      </c>
      <c r="Z57" t="str">
        <f t="shared" si="2"/>
        <v>ok</v>
      </c>
      <c r="AA57" s="4" t="str">
        <f t="shared" si="3"/>
        <v>ok</v>
      </c>
      <c r="AB57" s="4" t="str">
        <f t="shared" si="4"/>
        <v>ok</v>
      </c>
      <c r="AC57" s="6">
        <f t="shared" si="6"/>
        <v>41.093190555693582</v>
      </c>
    </row>
    <row r="58" spans="1:29" x14ac:dyDescent="0.3">
      <c r="A58" t="s">
        <v>42</v>
      </c>
      <c r="B58">
        <v>1079</v>
      </c>
      <c r="C58" t="s">
        <v>23</v>
      </c>
      <c r="D58" t="s">
        <v>24</v>
      </c>
      <c r="E58" t="s">
        <v>35</v>
      </c>
      <c r="F58" t="s">
        <v>26</v>
      </c>
      <c r="G58" t="s">
        <v>27</v>
      </c>
      <c r="H58" s="1">
        <v>44936.404305555552</v>
      </c>
      <c r="I58" s="1">
        <v>44938.404305555552</v>
      </c>
      <c r="J58" s="1">
        <v>44936.445972222224</v>
      </c>
      <c r="K58" s="2">
        <v>44936.437537129626</v>
      </c>
      <c r="L58" t="s">
        <v>28</v>
      </c>
      <c r="M58" s="2">
        <v>44938.050123159723</v>
      </c>
      <c r="N58" t="s">
        <v>28</v>
      </c>
      <c r="P58">
        <v>2</v>
      </c>
      <c r="R58" t="s">
        <v>39</v>
      </c>
      <c r="S58" t="s">
        <v>30</v>
      </c>
      <c r="T58" t="s">
        <v>57</v>
      </c>
      <c r="U58">
        <v>51.165691000000002</v>
      </c>
      <c r="V58">
        <v>10.451525999999999</v>
      </c>
      <c r="W58" t="str">
        <f t="shared" si="0"/>
        <v>ok</v>
      </c>
      <c r="X58" t="str">
        <f t="shared" si="5"/>
        <v>ok</v>
      </c>
      <c r="Y58" t="str">
        <f t="shared" si="1"/>
        <v>ok</v>
      </c>
      <c r="Z58" t="str">
        <f t="shared" si="2"/>
        <v>ok</v>
      </c>
      <c r="AA58" s="4" t="str">
        <f t="shared" si="3"/>
        <v>ok</v>
      </c>
      <c r="AB58" s="4" t="str">
        <f t="shared" si="4"/>
        <v>ok</v>
      </c>
      <c r="AC58" s="6">
        <f t="shared" si="6"/>
        <v>39.499622500094119</v>
      </c>
    </row>
    <row r="59" spans="1:29" x14ac:dyDescent="0.3">
      <c r="A59" t="s">
        <v>22</v>
      </c>
      <c r="B59">
        <v>1080</v>
      </c>
      <c r="C59" t="s">
        <v>23</v>
      </c>
      <c r="D59" t="s">
        <v>43</v>
      </c>
      <c r="E59" t="s">
        <v>35</v>
      </c>
      <c r="F59" t="s">
        <v>26</v>
      </c>
      <c r="G59" t="s">
        <v>27</v>
      </c>
      <c r="H59" s="1">
        <v>44936.137106481481</v>
      </c>
      <c r="I59" s="1">
        <v>44937.137106481481</v>
      </c>
      <c r="J59" s="1">
        <v>44936.138495370367</v>
      </c>
      <c r="K59" s="2">
        <v>44936.13723685185</v>
      </c>
      <c r="L59" t="s">
        <v>28</v>
      </c>
      <c r="M59" s="2">
        <v>44936.557128854169</v>
      </c>
      <c r="N59" t="s">
        <v>28</v>
      </c>
      <c r="O59" s="2">
        <v>44937.522496585647</v>
      </c>
      <c r="P59">
        <v>3</v>
      </c>
      <c r="Q59">
        <v>3</v>
      </c>
      <c r="R59" t="s">
        <v>55</v>
      </c>
      <c r="S59" t="s">
        <v>30</v>
      </c>
      <c r="T59" t="s">
        <v>51</v>
      </c>
      <c r="U59">
        <v>39.673369999999998</v>
      </c>
      <c r="V59">
        <v>-4.7677259999999997</v>
      </c>
      <c r="W59" t="str">
        <f t="shared" si="0"/>
        <v>ok</v>
      </c>
      <c r="X59" t="str">
        <f t="shared" si="5"/>
        <v>ok</v>
      </c>
      <c r="Y59" t="str">
        <f t="shared" si="1"/>
        <v>ok</v>
      </c>
      <c r="Z59" t="str">
        <f t="shared" si="2"/>
        <v>ok</v>
      </c>
      <c r="AA59" s="4" t="str">
        <f t="shared" si="3"/>
        <v>ok</v>
      </c>
      <c r="AB59" s="4" t="str">
        <f t="shared" si="4"/>
        <v>ok</v>
      </c>
      <c r="AC59" s="6">
        <f t="shared" si="6"/>
        <v>10.080536944500636</v>
      </c>
    </row>
    <row r="60" spans="1:29" x14ac:dyDescent="0.3">
      <c r="A60" t="s">
        <v>32</v>
      </c>
      <c r="B60">
        <v>1081</v>
      </c>
      <c r="C60" t="s">
        <v>47</v>
      </c>
      <c r="D60" t="s">
        <v>43</v>
      </c>
      <c r="E60" t="s">
        <v>35</v>
      </c>
      <c r="F60" t="s">
        <v>26</v>
      </c>
      <c r="G60" t="s">
        <v>45</v>
      </c>
      <c r="H60" s="1">
        <v>44936.186851851853</v>
      </c>
      <c r="I60" s="1">
        <v>44937.186851851853</v>
      </c>
      <c r="J60" s="1">
        <v>44936.188240740739</v>
      </c>
      <c r="K60" s="2">
        <v>44936.187227210648</v>
      </c>
      <c r="L60" t="s">
        <v>28</v>
      </c>
      <c r="N60" t="s">
        <v>38</v>
      </c>
      <c r="P60">
        <v>3</v>
      </c>
      <c r="R60" t="s">
        <v>29</v>
      </c>
      <c r="S60" t="s">
        <v>30</v>
      </c>
      <c r="T60" t="s">
        <v>46</v>
      </c>
      <c r="U60">
        <v>47.696471899999999</v>
      </c>
      <c r="V60">
        <v>13.3457347</v>
      </c>
      <c r="W60" t="str">
        <f t="shared" si="0"/>
        <v>ok</v>
      </c>
      <c r="X60" t="str">
        <f t="shared" si="5"/>
        <v>ok</v>
      </c>
      <c r="Y60" t="str">
        <f t="shared" si="1"/>
        <v>ok</v>
      </c>
      <c r="Z60" t="str">
        <f t="shared" si="2"/>
        <v>ok</v>
      </c>
      <c r="AA60" s="4" t="str">
        <f t="shared" si="3"/>
        <v>ok</v>
      </c>
      <c r="AB60" s="4" t="str">
        <f t="shared" si="4"/>
        <v>no resolution</v>
      </c>
      <c r="AC60" s="6" t="str">
        <f t="shared" si="6"/>
        <v/>
      </c>
    </row>
    <row r="61" spans="1:29" x14ac:dyDescent="0.3">
      <c r="A61" t="s">
        <v>22</v>
      </c>
      <c r="B61">
        <v>1082</v>
      </c>
      <c r="C61" t="s">
        <v>23</v>
      </c>
      <c r="D61" t="s">
        <v>34</v>
      </c>
      <c r="E61" t="s">
        <v>35</v>
      </c>
      <c r="F61" t="s">
        <v>26</v>
      </c>
      <c r="G61" t="s">
        <v>49</v>
      </c>
      <c r="H61" s="1">
        <v>44936.874699074076</v>
      </c>
      <c r="I61" s="1">
        <v>44938.874699074076</v>
      </c>
      <c r="J61" s="1">
        <v>44936.876087962963</v>
      </c>
      <c r="K61" s="2">
        <v>44936.875434212961</v>
      </c>
      <c r="L61" t="s">
        <v>28</v>
      </c>
      <c r="M61" s="2">
        <v>44938.730293159722</v>
      </c>
      <c r="N61" t="s">
        <v>28</v>
      </c>
      <c r="O61" s="2">
        <v>44938.594970219907</v>
      </c>
      <c r="P61">
        <v>5</v>
      </c>
      <c r="Q61">
        <v>5</v>
      </c>
      <c r="R61" t="s">
        <v>29</v>
      </c>
      <c r="S61" t="s">
        <v>30</v>
      </c>
      <c r="T61" t="s">
        <v>56</v>
      </c>
      <c r="U61">
        <v>52.536273000000001</v>
      </c>
      <c r="V61">
        <v>19.050639</v>
      </c>
      <c r="W61" t="str">
        <f t="shared" si="0"/>
        <v>ok</v>
      </c>
      <c r="X61" t="str">
        <f t="shared" si="5"/>
        <v>ok</v>
      </c>
      <c r="Y61" t="str">
        <f t="shared" si="1"/>
        <v>check</v>
      </c>
      <c r="Z61" t="str">
        <f t="shared" si="2"/>
        <v>ok</v>
      </c>
      <c r="AA61" s="4" t="str">
        <f t="shared" si="3"/>
        <v>ok</v>
      </c>
      <c r="AB61" s="4" t="str">
        <f t="shared" si="4"/>
        <v>ok</v>
      </c>
      <c r="AC61" s="6">
        <f t="shared" si="6"/>
        <v>44.534258055500686</v>
      </c>
    </row>
    <row r="62" spans="1:29" x14ac:dyDescent="0.3">
      <c r="A62" t="s">
        <v>42</v>
      </c>
      <c r="B62">
        <v>1083</v>
      </c>
      <c r="C62" t="s">
        <v>23</v>
      </c>
      <c r="D62" t="s">
        <v>34</v>
      </c>
      <c r="E62" t="s">
        <v>48</v>
      </c>
      <c r="F62" t="s">
        <v>26</v>
      </c>
      <c r="G62" t="s">
        <v>52</v>
      </c>
      <c r="H62" s="1">
        <v>44936.979513888888</v>
      </c>
      <c r="I62" s="1">
        <v>44938.979513888888</v>
      </c>
      <c r="J62" s="1">
        <v>44936.980902777781</v>
      </c>
      <c r="K62" s="2">
        <v>44936.980006122685</v>
      </c>
      <c r="L62" t="s">
        <v>28</v>
      </c>
      <c r="M62" s="2">
        <v>44938.04055416667</v>
      </c>
      <c r="N62" t="s">
        <v>28</v>
      </c>
      <c r="P62">
        <v>1</v>
      </c>
      <c r="R62" t="s">
        <v>50</v>
      </c>
      <c r="S62" t="s">
        <v>30</v>
      </c>
      <c r="T62" t="s">
        <v>56</v>
      </c>
      <c r="U62">
        <v>52.536273000000001</v>
      </c>
      <c r="V62">
        <v>19.050639</v>
      </c>
      <c r="W62" t="str">
        <f t="shared" si="0"/>
        <v>ok</v>
      </c>
      <c r="X62" t="str">
        <f t="shared" si="5"/>
        <v>ok</v>
      </c>
      <c r="Y62" t="str">
        <f t="shared" si="1"/>
        <v>ok</v>
      </c>
      <c r="Z62" t="str">
        <f t="shared" si="2"/>
        <v>ok</v>
      </c>
      <c r="AA62" s="4" t="str">
        <f t="shared" si="3"/>
        <v>ok</v>
      </c>
      <c r="AB62" s="4" t="str">
        <f t="shared" si="4"/>
        <v>ok</v>
      </c>
      <c r="AC62" s="6">
        <f t="shared" si="6"/>
        <v>25.464966666768305</v>
      </c>
    </row>
    <row r="63" spans="1:29" x14ac:dyDescent="0.3">
      <c r="A63" t="s">
        <v>42</v>
      </c>
      <c r="B63">
        <v>1084</v>
      </c>
      <c r="C63" t="s">
        <v>47</v>
      </c>
      <c r="D63" t="s">
        <v>24</v>
      </c>
      <c r="E63" t="s">
        <v>39</v>
      </c>
      <c r="F63" t="s">
        <v>26</v>
      </c>
      <c r="G63" t="s">
        <v>49</v>
      </c>
      <c r="H63" s="1">
        <v>44936.42701388889</v>
      </c>
      <c r="I63" s="1">
        <v>44938.42701388889</v>
      </c>
      <c r="J63" s="1">
        <v>44936.468680555554</v>
      </c>
      <c r="K63" s="2">
        <v>44936.463018379633</v>
      </c>
      <c r="L63" t="s">
        <v>28</v>
      </c>
      <c r="M63" s="2">
        <v>44937.861311377317</v>
      </c>
      <c r="N63" t="s">
        <v>28</v>
      </c>
      <c r="P63">
        <v>7</v>
      </c>
      <c r="R63" t="s">
        <v>39</v>
      </c>
      <c r="S63" t="s">
        <v>30</v>
      </c>
      <c r="T63" t="s">
        <v>63</v>
      </c>
      <c r="U63">
        <v>55.378051999999997</v>
      </c>
      <c r="V63">
        <v>-3.4359730000000002</v>
      </c>
      <c r="W63" t="str">
        <f t="shared" si="0"/>
        <v>ok</v>
      </c>
      <c r="X63" t="str">
        <f t="shared" si="5"/>
        <v>ok</v>
      </c>
      <c r="Y63" t="str">
        <f t="shared" si="1"/>
        <v>ok</v>
      </c>
      <c r="Z63" t="str">
        <f t="shared" si="2"/>
        <v>ok</v>
      </c>
      <c r="AA63" s="4" t="str">
        <f t="shared" si="3"/>
        <v>ok</v>
      </c>
      <c r="AB63" s="4" t="str">
        <f t="shared" si="4"/>
        <v>ok</v>
      </c>
      <c r="AC63" s="6">
        <f t="shared" si="6"/>
        <v>34.423139722261112</v>
      </c>
    </row>
    <row r="64" spans="1:29" x14ac:dyDescent="0.3">
      <c r="A64" t="s">
        <v>22</v>
      </c>
      <c r="B64">
        <v>1085</v>
      </c>
      <c r="C64" t="s">
        <v>33</v>
      </c>
      <c r="D64" t="s">
        <v>43</v>
      </c>
      <c r="E64" t="s">
        <v>35</v>
      </c>
      <c r="F64" t="s">
        <v>26</v>
      </c>
      <c r="G64" t="s">
        <v>45</v>
      </c>
      <c r="H64" s="1">
        <v>44936.312754629631</v>
      </c>
      <c r="I64" s="1">
        <v>44937.312754629631</v>
      </c>
      <c r="J64" s="1">
        <v>44936.314143518517</v>
      </c>
      <c r="K64" s="2">
        <v>44936.31374730324</v>
      </c>
      <c r="L64" t="s">
        <v>28</v>
      </c>
      <c r="M64" s="2">
        <v>44936.451752743058</v>
      </c>
      <c r="N64" t="s">
        <v>28</v>
      </c>
      <c r="O64" s="2">
        <v>44940.274651319443</v>
      </c>
      <c r="P64">
        <v>4</v>
      </c>
      <c r="Q64">
        <v>5</v>
      </c>
      <c r="R64" t="s">
        <v>50</v>
      </c>
      <c r="S64" t="s">
        <v>30</v>
      </c>
      <c r="T64" t="s">
        <v>57</v>
      </c>
      <c r="U64">
        <v>51.165691000000002</v>
      </c>
      <c r="V64">
        <v>10.451525999999999</v>
      </c>
      <c r="W64" t="str">
        <f t="shared" si="0"/>
        <v>ok</v>
      </c>
      <c r="X64" t="str">
        <f t="shared" si="5"/>
        <v>ok</v>
      </c>
      <c r="Y64" t="str">
        <f t="shared" si="1"/>
        <v>ok</v>
      </c>
      <c r="Z64" t="str">
        <f t="shared" si="2"/>
        <v>ok</v>
      </c>
      <c r="AA64" s="4" t="str">
        <f t="shared" si="3"/>
        <v>ok</v>
      </c>
      <c r="AB64" s="4" t="str">
        <f t="shared" si="4"/>
        <v>ok</v>
      </c>
      <c r="AC64" s="6">
        <f t="shared" si="6"/>
        <v>3.3359547222498804</v>
      </c>
    </row>
    <row r="65" spans="1:29" x14ac:dyDescent="0.3">
      <c r="A65" t="s">
        <v>42</v>
      </c>
      <c r="B65">
        <v>1086</v>
      </c>
      <c r="C65" t="s">
        <v>47</v>
      </c>
      <c r="D65" t="s">
        <v>24</v>
      </c>
      <c r="E65" t="s">
        <v>44</v>
      </c>
      <c r="F65" t="s">
        <v>26</v>
      </c>
      <c r="G65" t="s">
        <v>60</v>
      </c>
      <c r="H65" s="1">
        <v>44936.719571759262</v>
      </c>
      <c r="I65" s="1">
        <v>44938.719571759262</v>
      </c>
      <c r="J65" s="1">
        <v>44936.761238425926</v>
      </c>
      <c r="K65" s="2">
        <v>44936.738942835647</v>
      </c>
      <c r="L65" t="s">
        <v>28</v>
      </c>
      <c r="M65" s="2">
        <v>44938.306977326392</v>
      </c>
      <c r="N65" t="s">
        <v>28</v>
      </c>
      <c r="P65">
        <v>10</v>
      </c>
      <c r="R65" t="s">
        <v>50</v>
      </c>
      <c r="S65" t="s">
        <v>30</v>
      </c>
      <c r="T65" t="s">
        <v>57</v>
      </c>
      <c r="U65">
        <v>51.165691000000002</v>
      </c>
      <c r="V65">
        <v>10.451525999999999</v>
      </c>
      <c r="W65" t="str">
        <f t="shared" si="0"/>
        <v>ok</v>
      </c>
      <c r="X65" t="str">
        <f t="shared" si="5"/>
        <v>ok</v>
      </c>
      <c r="Y65" t="str">
        <f t="shared" si="1"/>
        <v>ok</v>
      </c>
      <c r="Z65" t="str">
        <f t="shared" si="2"/>
        <v>ok</v>
      </c>
      <c r="AA65" s="4" t="str">
        <f t="shared" si="3"/>
        <v>ok</v>
      </c>
      <c r="AB65" s="4" t="str">
        <f t="shared" si="4"/>
        <v>ok</v>
      </c>
      <c r="AC65" s="6">
        <f t="shared" si="6"/>
        <v>38.097733611124568</v>
      </c>
    </row>
    <row r="66" spans="1:29" x14ac:dyDescent="0.3">
      <c r="A66" t="s">
        <v>22</v>
      </c>
      <c r="B66">
        <v>1087</v>
      </c>
      <c r="C66" t="s">
        <v>23</v>
      </c>
      <c r="D66" t="s">
        <v>24</v>
      </c>
      <c r="E66" t="s">
        <v>25</v>
      </c>
      <c r="F66" t="s">
        <v>36</v>
      </c>
      <c r="G66" t="s">
        <v>37</v>
      </c>
      <c r="H66" s="1">
        <v>44937.803877314815</v>
      </c>
      <c r="I66" s="1">
        <v>44939.803877314815</v>
      </c>
      <c r="J66" s="1">
        <v>44937.845543981479</v>
      </c>
      <c r="K66" s="2">
        <v>44937.804794965276</v>
      </c>
      <c r="L66" t="s">
        <v>28</v>
      </c>
      <c r="M66" s="2">
        <v>44937.837203043979</v>
      </c>
      <c r="N66" t="s">
        <v>28</v>
      </c>
      <c r="O66" s="2">
        <v>44941.052137129627</v>
      </c>
      <c r="P66">
        <v>8</v>
      </c>
      <c r="Q66">
        <v>5</v>
      </c>
      <c r="R66" t="s">
        <v>50</v>
      </c>
      <c r="S66" t="s">
        <v>40</v>
      </c>
      <c r="T66" t="s">
        <v>41</v>
      </c>
      <c r="U66">
        <v>43.036776000000003</v>
      </c>
      <c r="V66">
        <v>12.678565000000001</v>
      </c>
      <c r="W66" t="str">
        <f t="shared" ref="W66:W129" si="7">IF(K66&lt;H66,"check","ok")</f>
        <v>ok</v>
      </c>
      <c r="X66" t="str">
        <f t="shared" si="5"/>
        <v>ok</v>
      </c>
      <c r="Y66" t="str">
        <f t="shared" ref="Y66:Y129" si="8">IF(AND(M66&lt;&gt;"",O66&lt;&gt;"",O66&lt;M66),"check","ok")</f>
        <v>ok</v>
      </c>
      <c r="Z66" t="str">
        <f t="shared" ref="Z66:Z129" si="9">IF(AND(OR(CA66="Closed",A66="Resolved"),M66=""),"check","ok")</f>
        <v>ok</v>
      </c>
      <c r="AA66" s="4" t="str">
        <f t="shared" ref="AA66:AA129" si="10">IF(K66="","no response",IF(OR(AND(K66&lt;=J66,L66="Within SLA"),AND(K66&gt;J66,L66="SLA Violated")),"ok","check"))</f>
        <v>ok</v>
      </c>
      <c r="AB66" s="4" t="str">
        <f t="shared" ref="AB66:AB129" si="11">IF(M66="","no resolution",IF(OR(AND(M66&lt;=I66,N66="Within SLA"),AND(M66&gt;I66,N66="SLA Violated")),"ok","check"))</f>
        <v>ok</v>
      </c>
      <c r="AC66" s="6">
        <f t="shared" si="6"/>
        <v>0.79981749993748963</v>
      </c>
    </row>
    <row r="67" spans="1:29" x14ac:dyDescent="0.3">
      <c r="A67" t="s">
        <v>22</v>
      </c>
      <c r="B67">
        <v>1088</v>
      </c>
      <c r="C67" t="s">
        <v>23</v>
      </c>
      <c r="D67" t="s">
        <v>43</v>
      </c>
      <c r="E67" t="s">
        <v>44</v>
      </c>
      <c r="F67" t="s">
        <v>26</v>
      </c>
      <c r="G67" t="s">
        <v>60</v>
      </c>
      <c r="H67" s="1">
        <v>44937.475162037037</v>
      </c>
      <c r="I67" s="1">
        <v>44938.475162037037</v>
      </c>
      <c r="J67" s="1">
        <v>44937.476550925923</v>
      </c>
      <c r="K67" s="2">
        <v>44937.476124305555</v>
      </c>
      <c r="L67" t="s">
        <v>28</v>
      </c>
      <c r="M67" s="2">
        <v>44937.867862708335</v>
      </c>
      <c r="N67" t="s">
        <v>28</v>
      </c>
      <c r="O67" s="2">
        <v>44939.208328877314</v>
      </c>
      <c r="P67">
        <v>8</v>
      </c>
      <c r="Q67">
        <v>4</v>
      </c>
      <c r="R67" t="s">
        <v>55</v>
      </c>
      <c r="S67" t="s">
        <v>30</v>
      </c>
      <c r="T67" t="s">
        <v>51</v>
      </c>
      <c r="U67">
        <v>39.673369999999998</v>
      </c>
      <c r="V67">
        <v>-4.7677259999999997</v>
      </c>
      <c r="W67" t="str">
        <f t="shared" si="7"/>
        <v>ok</v>
      </c>
      <c r="X67" t="str">
        <f t="shared" ref="X67:X130" si="12">IF(AND(M67&lt;&gt;"",M67&lt;H67),"check","ok")</f>
        <v>ok</v>
      </c>
      <c r="Y67" t="str">
        <f t="shared" si="8"/>
        <v>ok</v>
      </c>
      <c r="Z67" t="str">
        <f t="shared" si="9"/>
        <v>ok</v>
      </c>
      <c r="AA67" s="4" t="str">
        <f t="shared" si="10"/>
        <v>ok</v>
      </c>
      <c r="AB67" s="4" t="str">
        <f t="shared" si="11"/>
        <v>ok</v>
      </c>
      <c r="AC67" s="6">
        <f t="shared" si="6"/>
        <v>9.4248161111609079</v>
      </c>
    </row>
    <row r="68" spans="1:29" x14ac:dyDescent="0.3">
      <c r="A68" t="s">
        <v>42</v>
      </c>
      <c r="B68">
        <v>1090</v>
      </c>
      <c r="C68" t="s">
        <v>23</v>
      </c>
      <c r="D68" t="s">
        <v>43</v>
      </c>
      <c r="E68" t="s">
        <v>25</v>
      </c>
      <c r="F68" t="s">
        <v>26</v>
      </c>
      <c r="G68" t="s">
        <v>45</v>
      </c>
      <c r="H68" s="1">
        <v>44937.034305555557</v>
      </c>
      <c r="I68" s="1">
        <v>44938.034305555557</v>
      </c>
      <c r="J68" s="1">
        <v>44937.035694444443</v>
      </c>
      <c r="K68" s="2">
        <v>44937.034903368054</v>
      </c>
      <c r="L68" t="s">
        <v>28</v>
      </c>
      <c r="M68" s="2">
        <v>44937.610569571756</v>
      </c>
      <c r="N68" t="s">
        <v>28</v>
      </c>
      <c r="P68">
        <v>4</v>
      </c>
      <c r="R68" t="s">
        <v>50</v>
      </c>
      <c r="S68" t="s">
        <v>30</v>
      </c>
      <c r="T68" t="s">
        <v>41</v>
      </c>
      <c r="U68">
        <v>43.036776000000003</v>
      </c>
      <c r="V68">
        <v>12.678565000000001</v>
      </c>
      <c r="W68" t="str">
        <f t="shared" si="7"/>
        <v>ok</v>
      </c>
      <c r="X68" t="str">
        <f t="shared" si="12"/>
        <v>ok</v>
      </c>
      <c r="Y68" t="str">
        <f t="shared" si="8"/>
        <v>ok</v>
      </c>
      <c r="Z68" t="str">
        <f t="shared" si="9"/>
        <v>ok</v>
      </c>
      <c r="AA68" s="4" t="str">
        <f t="shared" si="10"/>
        <v>ok</v>
      </c>
      <c r="AB68" s="4" t="str">
        <f t="shared" si="11"/>
        <v>ok</v>
      </c>
      <c r="AC68" s="6">
        <f t="shared" si="6"/>
        <v>13.830336388782598</v>
      </c>
    </row>
    <row r="69" spans="1:29" x14ac:dyDescent="0.3">
      <c r="A69" t="s">
        <v>42</v>
      </c>
      <c r="B69">
        <v>1092</v>
      </c>
      <c r="C69" t="s">
        <v>47</v>
      </c>
      <c r="D69" t="s">
        <v>43</v>
      </c>
      <c r="E69" t="s">
        <v>48</v>
      </c>
      <c r="F69" t="s">
        <v>26</v>
      </c>
      <c r="G69" t="s">
        <v>45</v>
      </c>
      <c r="H69" s="1">
        <v>44937.522129629629</v>
      </c>
      <c r="I69" s="1">
        <v>44938.522129629629</v>
      </c>
      <c r="J69" s="1">
        <v>44937.523518518516</v>
      </c>
      <c r="K69" s="2">
        <v>44937.522143541668</v>
      </c>
      <c r="L69" t="s">
        <v>28</v>
      </c>
      <c r="M69" s="2">
        <v>44938.516909375001</v>
      </c>
      <c r="N69" t="s">
        <v>28</v>
      </c>
      <c r="P69">
        <v>3</v>
      </c>
      <c r="R69" t="s">
        <v>29</v>
      </c>
      <c r="S69" t="s">
        <v>30</v>
      </c>
      <c r="T69" t="s">
        <v>57</v>
      </c>
      <c r="U69">
        <v>51.165691000000002</v>
      </c>
      <c r="V69">
        <v>10.451525999999999</v>
      </c>
      <c r="W69" t="str">
        <f t="shared" si="7"/>
        <v>ok</v>
      </c>
      <c r="X69" t="str">
        <f t="shared" si="12"/>
        <v>ok</v>
      </c>
      <c r="Y69" t="str">
        <f t="shared" si="8"/>
        <v>ok</v>
      </c>
      <c r="Z69" t="str">
        <f t="shared" si="9"/>
        <v>ok</v>
      </c>
      <c r="AA69" s="4" t="str">
        <f t="shared" si="10"/>
        <v>ok</v>
      </c>
      <c r="AB69" s="4" t="str">
        <f t="shared" si="11"/>
        <v>ok</v>
      </c>
      <c r="AC69" s="6">
        <f t="shared" si="6"/>
        <v>23.874713888915721</v>
      </c>
    </row>
    <row r="70" spans="1:29" x14ac:dyDescent="0.3">
      <c r="A70" t="s">
        <v>42</v>
      </c>
      <c r="B70">
        <v>1093</v>
      </c>
      <c r="C70" t="s">
        <v>23</v>
      </c>
      <c r="D70" t="s">
        <v>24</v>
      </c>
      <c r="E70" t="s">
        <v>35</v>
      </c>
      <c r="F70" t="s">
        <v>26</v>
      </c>
      <c r="G70" t="s">
        <v>52</v>
      </c>
      <c r="H70" s="1">
        <v>44937.573321759257</v>
      </c>
      <c r="I70" s="1">
        <v>44939.573321759257</v>
      </c>
      <c r="J70" s="1">
        <v>44937.614988425928</v>
      </c>
      <c r="K70" s="2">
        <v>44937.592191157404</v>
      </c>
      <c r="L70" t="s">
        <v>28</v>
      </c>
      <c r="M70" s="2">
        <v>44938.000024143519</v>
      </c>
      <c r="N70" t="s">
        <v>28</v>
      </c>
      <c r="P70">
        <v>8</v>
      </c>
      <c r="R70" t="s">
        <v>29</v>
      </c>
      <c r="S70" t="s">
        <v>30</v>
      </c>
      <c r="T70" t="s">
        <v>63</v>
      </c>
      <c r="U70">
        <v>55.378051999999997</v>
      </c>
      <c r="V70">
        <v>-3.4359730000000002</v>
      </c>
      <c r="W70" t="str">
        <f t="shared" si="7"/>
        <v>ok</v>
      </c>
      <c r="X70" t="str">
        <f t="shared" si="12"/>
        <v>ok</v>
      </c>
      <c r="Y70" t="str">
        <f t="shared" si="8"/>
        <v>ok</v>
      </c>
      <c r="Z70" t="str">
        <f t="shared" si="9"/>
        <v>ok</v>
      </c>
      <c r="AA70" s="4" t="str">
        <f t="shared" si="10"/>
        <v>ok</v>
      </c>
      <c r="AB70" s="4" t="str">
        <f t="shared" si="11"/>
        <v>ok</v>
      </c>
      <c r="AC70" s="6">
        <f t="shared" si="6"/>
        <v>10.240857222292107</v>
      </c>
    </row>
    <row r="71" spans="1:29" x14ac:dyDescent="0.3">
      <c r="A71" t="s">
        <v>42</v>
      </c>
      <c r="B71">
        <v>1094</v>
      </c>
      <c r="C71" t="s">
        <v>23</v>
      </c>
      <c r="D71" t="s">
        <v>43</v>
      </c>
      <c r="E71" t="s">
        <v>44</v>
      </c>
      <c r="F71" t="s">
        <v>26</v>
      </c>
      <c r="G71" t="s">
        <v>49</v>
      </c>
      <c r="H71" s="1">
        <v>44937.169988425929</v>
      </c>
      <c r="I71" s="1">
        <v>44938.169988425929</v>
      </c>
      <c r="J71" s="1">
        <v>44937.171377314815</v>
      </c>
      <c r="K71" s="2">
        <v>44937.170549618058</v>
      </c>
      <c r="L71" t="s">
        <v>28</v>
      </c>
      <c r="M71" s="2">
        <v>44937.794124884262</v>
      </c>
      <c r="N71" t="s">
        <v>28</v>
      </c>
      <c r="P71">
        <v>6</v>
      </c>
      <c r="R71" t="s">
        <v>50</v>
      </c>
      <c r="S71" t="s">
        <v>30</v>
      </c>
      <c r="T71" t="s">
        <v>58</v>
      </c>
      <c r="U71">
        <v>49.8037633</v>
      </c>
      <c r="V71">
        <v>15.4749126</v>
      </c>
      <c r="W71" t="str">
        <f t="shared" si="7"/>
        <v>ok</v>
      </c>
      <c r="X71" t="str">
        <f t="shared" si="12"/>
        <v>ok</v>
      </c>
      <c r="Y71" t="str">
        <f t="shared" si="8"/>
        <v>ok</v>
      </c>
      <c r="Z71" t="str">
        <f t="shared" si="9"/>
        <v>ok</v>
      </c>
      <c r="AA71" s="4" t="str">
        <f t="shared" si="10"/>
        <v>ok</v>
      </c>
      <c r="AB71" s="4" t="str">
        <f t="shared" si="11"/>
        <v>ok</v>
      </c>
      <c r="AC71" s="6">
        <f t="shared" si="6"/>
        <v>14.979274999990594</v>
      </c>
    </row>
    <row r="72" spans="1:29" x14ac:dyDescent="0.3">
      <c r="A72" t="s">
        <v>22</v>
      </c>
      <c r="B72">
        <v>1095</v>
      </c>
      <c r="C72" t="s">
        <v>23</v>
      </c>
      <c r="D72" t="s">
        <v>43</v>
      </c>
      <c r="E72" t="s">
        <v>25</v>
      </c>
      <c r="F72" t="s">
        <v>26</v>
      </c>
      <c r="G72" t="s">
        <v>27</v>
      </c>
      <c r="H72" s="1">
        <v>44937.569988425923</v>
      </c>
      <c r="I72" s="1">
        <v>44938.569988425923</v>
      </c>
      <c r="J72" s="1">
        <v>44937.571377314816</v>
      </c>
      <c r="K72" s="2">
        <v>44937.571845949074</v>
      </c>
      <c r="L72" t="s">
        <v>38</v>
      </c>
      <c r="M72" s="2">
        <v>44942.488526076391</v>
      </c>
      <c r="N72" t="s">
        <v>38</v>
      </c>
      <c r="O72" s="2">
        <v>44944.447703645834</v>
      </c>
      <c r="P72">
        <v>3</v>
      </c>
      <c r="Q72">
        <v>1</v>
      </c>
      <c r="R72" t="s">
        <v>29</v>
      </c>
      <c r="S72" t="s">
        <v>30</v>
      </c>
      <c r="T72" t="s">
        <v>58</v>
      </c>
      <c r="U72">
        <v>49.8037633</v>
      </c>
      <c r="V72">
        <v>15.4749126</v>
      </c>
      <c r="W72" t="str">
        <f t="shared" si="7"/>
        <v>ok</v>
      </c>
      <c r="X72" t="str">
        <f t="shared" si="12"/>
        <v>ok</v>
      </c>
      <c r="Y72" t="str">
        <f t="shared" si="8"/>
        <v>ok</v>
      </c>
      <c r="Z72" t="str">
        <f t="shared" si="9"/>
        <v>ok</v>
      </c>
      <c r="AA72" s="4" t="str">
        <f t="shared" si="10"/>
        <v>ok</v>
      </c>
      <c r="AB72" s="4" t="str">
        <f t="shared" si="11"/>
        <v>ok</v>
      </c>
      <c r="AC72" s="6">
        <f t="shared" si="6"/>
        <v>118.04490361124044</v>
      </c>
    </row>
    <row r="73" spans="1:29" x14ac:dyDescent="0.3">
      <c r="A73" t="s">
        <v>22</v>
      </c>
      <c r="B73">
        <v>1097</v>
      </c>
      <c r="C73" t="s">
        <v>23</v>
      </c>
      <c r="D73" t="s">
        <v>24</v>
      </c>
      <c r="E73" t="s">
        <v>35</v>
      </c>
      <c r="F73" t="s">
        <v>26</v>
      </c>
      <c r="G73" t="s">
        <v>45</v>
      </c>
      <c r="H73" s="1">
        <v>44937.228946759256</v>
      </c>
      <c r="I73" s="1">
        <v>44939.228946759256</v>
      </c>
      <c r="J73" s="1">
        <v>44937.270613425928</v>
      </c>
      <c r="K73" s="2">
        <v>44937.252937893521</v>
      </c>
      <c r="L73" t="s">
        <v>28</v>
      </c>
      <c r="M73" s="2">
        <v>44937.725488032411</v>
      </c>
      <c r="N73" t="s">
        <v>28</v>
      </c>
      <c r="O73" s="2">
        <v>44942.658425428242</v>
      </c>
      <c r="P73">
        <v>1</v>
      </c>
      <c r="Q73">
        <v>1</v>
      </c>
      <c r="R73" t="s">
        <v>50</v>
      </c>
      <c r="S73" t="s">
        <v>30</v>
      </c>
      <c r="T73" t="s">
        <v>46</v>
      </c>
      <c r="U73">
        <v>47.696471899999999</v>
      </c>
      <c r="V73">
        <v>13.3457347</v>
      </c>
      <c r="W73" t="str">
        <f t="shared" si="7"/>
        <v>ok</v>
      </c>
      <c r="X73" t="str">
        <f t="shared" si="12"/>
        <v>ok</v>
      </c>
      <c r="Y73" t="str">
        <f t="shared" si="8"/>
        <v>ok</v>
      </c>
      <c r="Z73" t="str">
        <f t="shared" si="9"/>
        <v>ok</v>
      </c>
      <c r="AA73" s="4" t="str">
        <f t="shared" si="10"/>
        <v>ok</v>
      </c>
      <c r="AB73" s="4" t="str">
        <f t="shared" si="11"/>
        <v>ok</v>
      </c>
      <c r="AC73" s="6">
        <f t="shared" si="6"/>
        <v>11.916990555706434</v>
      </c>
    </row>
    <row r="74" spans="1:29" x14ac:dyDescent="0.3">
      <c r="A74" t="s">
        <v>32</v>
      </c>
      <c r="B74">
        <v>1098</v>
      </c>
      <c r="C74" t="s">
        <v>47</v>
      </c>
      <c r="D74" t="s">
        <v>43</v>
      </c>
      <c r="E74" t="s">
        <v>39</v>
      </c>
      <c r="F74" t="s">
        <v>26</v>
      </c>
      <c r="G74" t="s">
        <v>45</v>
      </c>
      <c r="H74" s="1">
        <v>44938.513020833336</v>
      </c>
      <c r="I74" s="1">
        <v>44939.513020833336</v>
      </c>
      <c r="J74" s="1">
        <v>44938.514409722222</v>
      </c>
      <c r="K74" s="2">
        <v>44938.513409699073</v>
      </c>
      <c r="L74" t="s">
        <v>28</v>
      </c>
      <c r="N74" t="s">
        <v>38</v>
      </c>
      <c r="P74">
        <v>6</v>
      </c>
      <c r="R74" t="s">
        <v>50</v>
      </c>
      <c r="S74" t="s">
        <v>30</v>
      </c>
      <c r="T74" t="s">
        <v>56</v>
      </c>
      <c r="U74">
        <v>52.536273000000001</v>
      </c>
      <c r="V74">
        <v>19.050639</v>
      </c>
      <c r="W74" t="str">
        <f t="shared" si="7"/>
        <v>ok</v>
      </c>
      <c r="X74" t="str">
        <f t="shared" si="12"/>
        <v>ok</v>
      </c>
      <c r="Y74" t="str">
        <f t="shared" si="8"/>
        <v>ok</v>
      </c>
      <c r="Z74" t="str">
        <f t="shared" si="9"/>
        <v>ok</v>
      </c>
      <c r="AA74" s="4" t="str">
        <f t="shared" si="10"/>
        <v>ok</v>
      </c>
      <c r="AB74" s="4" t="str">
        <f t="shared" si="11"/>
        <v>no resolution</v>
      </c>
      <c r="AC74" s="6" t="str">
        <f t="shared" si="6"/>
        <v/>
      </c>
    </row>
    <row r="75" spans="1:29" x14ac:dyDescent="0.3">
      <c r="A75" t="s">
        <v>42</v>
      </c>
      <c r="B75">
        <v>1100</v>
      </c>
      <c r="C75" t="s">
        <v>47</v>
      </c>
      <c r="D75" t="s">
        <v>24</v>
      </c>
      <c r="E75" t="s">
        <v>25</v>
      </c>
      <c r="F75" t="s">
        <v>36</v>
      </c>
      <c r="G75" t="s">
        <v>64</v>
      </c>
      <c r="H75" s="1">
        <v>44938.944571759261</v>
      </c>
      <c r="I75" s="1">
        <v>44940.944571759261</v>
      </c>
      <c r="J75" s="1">
        <v>44938.986238425925</v>
      </c>
      <c r="K75" s="2">
        <v>44938.949404942126</v>
      </c>
      <c r="L75" t="s">
        <v>28</v>
      </c>
      <c r="M75" s="2">
        <v>44939.582207546293</v>
      </c>
      <c r="N75" t="s">
        <v>28</v>
      </c>
      <c r="P75">
        <v>7</v>
      </c>
      <c r="R75" t="s">
        <v>29</v>
      </c>
      <c r="S75" t="s">
        <v>40</v>
      </c>
      <c r="T75" t="s">
        <v>41</v>
      </c>
      <c r="U75">
        <v>43.036776000000003</v>
      </c>
      <c r="V75">
        <v>12.678565000000001</v>
      </c>
      <c r="W75" t="str">
        <f t="shared" si="7"/>
        <v>ok</v>
      </c>
      <c r="X75" t="str">
        <f t="shared" si="12"/>
        <v>ok</v>
      </c>
      <c r="Y75" t="str">
        <f t="shared" si="8"/>
        <v>ok</v>
      </c>
      <c r="Z75" t="str">
        <f t="shared" si="9"/>
        <v>ok</v>
      </c>
      <c r="AA75" s="4" t="str">
        <f t="shared" si="10"/>
        <v>ok</v>
      </c>
      <c r="AB75" s="4" t="str">
        <f t="shared" si="11"/>
        <v>ok</v>
      </c>
      <c r="AC75" s="6">
        <f t="shared" si="6"/>
        <v>15.303258888772689</v>
      </c>
    </row>
    <row r="76" spans="1:29" x14ac:dyDescent="0.3">
      <c r="A76" t="s">
        <v>42</v>
      </c>
      <c r="B76">
        <v>1101</v>
      </c>
      <c r="C76" t="s">
        <v>33</v>
      </c>
      <c r="D76" t="s">
        <v>43</v>
      </c>
      <c r="E76" t="s">
        <v>59</v>
      </c>
      <c r="F76" t="s">
        <v>26</v>
      </c>
      <c r="G76" t="s">
        <v>52</v>
      </c>
      <c r="H76" s="1">
        <v>44939.625162037039</v>
      </c>
      <c r="I76" s="1">
        <v>44940.625162037039</v>
      </c>
      <c r="J76" s="1">
        <v>44939.626550925925</v>
      </c>
      <c r="K76" s="2">
        <v>44939.625421006946</v>
      </c>
      <c r="L76" t="s">
        <v>28</v>
      </c>
      <c r="M76" s="2">
        <v>44940.123614317126</v>
      </c>
      <c r="N76" t="s">
        <v>28</v>
      </c>
      <c r="P76">
        <v>60</v>
      </c>
      <c r="R76" t="s">
        <v>50</v>
      </c>
      <c r="S76" t="s">
        <v>30</v>
      </c>
      <c r="T76" t="s">
        <v>46</v>
      </c>
      <c r="U76">
        <v>47.696471899999999</v>
      </c>
      <c r="V76">
        <v>13.3457347</v>
      </c>
      <c r="W76" t="str">
        <f t="shared" si="7"/>
        <v>ok</v>
      </c>
      <c r="X76" t="str">
        <f t="shared" si="12"/>
        <v>ok</v>
      </c>
      <c r="Y76" t="str">
        <f t="shared" si="8"/>
        <v>ok</v>
      </c>
      <c r="Z76" t="str">
        <f t="shared" si="9"/>
        <v>ok</v>
      </c>
      <c r="AA76" s="4" t="str">
        <f t="shared" si="10"/>
        <v>ok</v>
      </c>
      <c r="AB76" s="4" t="str">
        <f t="shared" si="11"/>
        <v>ok</v>
      </c>
      <c r="AC76" s="6">
        <f t="shared" si="6"/>
        <v>11.962854722107295</v>
      </c>
    </row>
    <row r="77" spans="1:29" x14ac:dyDescent="0.3">
      <c r="A77" t="s">
        <v>42</v>
      </c>
      <c r="B77">
        <v>1102</v>
      </c>
      <c r="C77" t="s">
        <v>23</v>
      </c>
      <c r="D77" t="s">
        <v>43</v>
      </c>
      <c r="E77" t="s">
        <v>39</v>
      </c>
      <c r="F77" t="s">
        <v>36</v>
      </c>
      <c r="G77" t="s">
        <v>54</v>
      </c>
      <c r="H77" s="1">
        <v>44939.636782407404</v>
      </c>
      <c r="I77" s="1">
        <v>44940.636782407404</v>
      </c>
      <c r="J77" s="1">
        <v>44939.638171296298</v>
      </c>
      <c r="K77" s="2">
        <v>44939.637159432874</v>
      </c>
      <c r="L77" t="s">
        <v>28</v>
      </c>
      <c r="M77" s="2">
        <v>44939.88655894676</v>
      </c>
      <c r="N77" t="s">
        <v>28</v>
      </c>
      <c r="P77">
        <v>5</v>
      </c>
      <c r="R77" t="s">
        <v>50</v>
      </c>
      <c r="S77" t="s">
        <v>40</v>
      </c>
      <c r="T77" t="s">
        <v>57</v>
      </c>
      <c r="U77">
        <v>51.165691000000002</v>
      </c>
      <c r="V77">
        <v>10.451525999999999</v>
      </c>
      <c r="W77" t="str">
        <f t="shared" si="7"/>
        <v>ok</v>
      </c>
      <c r="X77" t="str">
        <f t="shared" si="12"/>
        <v>ok</v>
      </c>
      <c r="Y77" t="str">
        <f t="shared" si="8"/>
        <v>ok</v>
      </c>
      <c r="Z77" t="str">
        <f t="shared" si="9"/>
        <v>ok</v>
      </c>
      <c r="AA77" s="4" t="str">
        <f t="shared" si="10"/>
        <v>ok</v>
      </c>
      <c r="AB77" s="4" t="str">
        <f t="shared" si="11"/>
        <v>ok</v>
      </c>
      <c r="AC77" s="6">
        <f t="shared" si="6"/>
        <v>5.9946369445533492</v>
      </c>
    </row>
    <row r="78" spans="1:29" x14ac:dyDescent="0.3">
      <c r="A78" t="s">
        <v>42</v>
      </c>
      <c r="B78">
        <v>1103</v>
      </c>
      <c r="C78" t="s">
        <v>47</v>
      </c>
      <c r="D78" t="s">
        <v>43</v>
      </c>
      <c r="E78" t="s">
        <v>48</v>
      </c>
      <c r="F78" t="s">
        <v>26</v>
      </c>
      <c r="G78" t="s">
        <v>52</v>
      </c>
      <c r="H78" s="1">
        <v>44939.540925925925</v>
      </c>
      <c r="I78" s="1">
        <v>44940.540925925925</v>
      </c>
      <c r="J78" s="1">
        <v>44939.542314814818</v>
      </c>
      <c r="K78" s="2">
        <v>44939.541430381942</v>
      </c>
      <c r="L78" t="s">
        <v>28</v>
      </c>
      <c r="M78" s="2">
        <v>44939.555502499999</v>
      </c>
      <c r="N78" t="s">
        <v>28</v>
      </c>
      <c r="P78">
        <v>9</v>
      </c>
      <c r="R78" t="s">
        <v>50</v>
      </c>
      <c r="S78" t="s">
        <v>30</v>
      </c>
      <c r="T78" t="s">
        <v>61</v>
      </c>
      <c r="U78">
        <v>42.724992499999999</v>
      </c>
      <c r="V78">
        <v>25.483303899999999</v>
      </c>
      <c r="W78" t="str">
        <f t="shared" si="7"/>
        <v>ok</v>
      </c>
      <c r="X78" t="str">
        <f t="shared" si="12"/>
        <v>ok</v>
      </c>
      <c r="Y78" t="str">
        <f t="shared" si="8"/>
        <v>ok</v>
      </c>
      <c r="Z78" t="str">
        <f t="shared" si="9"/>
        <v>ok</v>
      </c>
      <c r="AA78" s="4" t="str">
        <f t="shared" si="10"/>
        <v>ok</v>
      </c>
      <c r="AB78" s="4" t="str">
        <f t="shared" si="11"/>
        <v>ok</v>
      </c>
      <c r="AC78" s="6">
        <f t="shared" si="6"/>
        <v>0.34983777778688818</v>
      </c>
    </row>
    <row r="79" spans="1:29" x14ac:dyDescent="0.3">
      <c r="A79" t="s">
        <v>22</v>
      </c>
      <c r="B79">
        <v>1104</v>
      </c>
      <c r="C79" t="s">
        <v>23</v>
      </c>
      <c r="D79" t="s">
        <v>24</v>
      </c>
      <c r="E79" t="s">
        <v>25</v>
      </c>
      <c r="F79" t="s">
        <v>26</v>
      </c>
      <c r="G79" t="s">
        <v>49</v>
      </c>
      <c r="H79" s="1">
        <v>44939.563032407408</v>
      </c>
      <c r="I79" s="1">
        <v>44941.563032407408</v>
      </c>
      <c r="J79" s="1">
        <v>44939.604699074072</v>
      </c>
      <c r="K79" s="2">
        <v>44939.567443807871</v>
      </c>
      <c r="L79" t="s">
        <v>28</v>
      </c>
      <c r="M79" s="2">
        <v>44941.410378101849</v>
      </c>
      <c r="N79" t="s">
        <v>28</v>
      </c>
      <c r="O79" s="2">
        <v>44944.118166284723</v>
      </c>
      <c r="P79">
        <v>3</v>
      </c>
      <c r="Q79">
        <v>5</v>
      </c>
      <c r="R79" t="s">
        <v>39</v>
      </c>
      <c r="S79" t="s">
        <v>30</v>
      </c>
      <c r="T79" t="s">
        <v>41</v>
      </c>
      <c r="U79">
        <v>43.036776000000003</v>
      </c>
      <c r="V79">
        <v>12.678565000000001</v>
      </c>
      <c r="W79" t="str">
        <f t="shared" si="7"/>
        <v>ok</v>
      </c>
      <c r="X79" t="str">
        <f t="shared" si="12"/>
        <v>ok</v>
      </c>
      <c r="Y79" t="str">
        <f t="shared" si="8"/>
        <v>ok</v>
      </c>
      <c r="Z79" t="str">
        <f t="shared" si="9"/>
        <v>ok</v>
      </c>
      <c r="AA79" s="4" t="str">
        <f t="shared" si="10"/>
        <v>ok</v>
      </c>
      <c r="AB79" s="4" t="str">
        <f t="shared" si="11"/>
        <v>ok</v>
      </c>
      <c r="AC79" s="6">
        <f t="shared" si="6"/>
        <v>44.336296666588169</v>
      </c>
    </row>
    <row r="80" spans="1:29" x14ac:dyDescent="0.3">
      <c r="A80" t="s">
        <v>22</v>
      </c>
      <c r="B80">
        <v>1105</v>
      </c>
      <c r="C80" t="s">
        <v>23</v>
      </c>
      <c r="D80" t="s">
        <v>43</v>
      </c>
      <c r="E80" t="s">
        <v>25</v>
      </c>
      <c r="F80" t="s">
        <v>26</v>
      </c>
      <c r="G80" t="s">
        <v>27</v>
      </c>
      <c r="H80" s="1">
        <v>44939.283067129632</v>
      </c>
      <c r="I80" s="1">
        <v>44940.283067129632</v>
      </c>
      <c r="J80" s="1">
        <v>44939.284456018519</v>
      </c>
      <c r="K80" s="2">
        <v>44939.284440162039</v>
      </c>
      <c r="L80" t="s">
        <v>28</v>
      </c>
      <c r="M80" s="2">
        <v>44939.382932372682</v>
      </c>
      <c r="N80" t="s">
        <v>28</v>
      </c>
      <c r="O80" s="2">
        <v>44941.611908680556</v>
      </c>
      <c r="P80">
        <v>7</v>
      </c>
      <c r="Q80">
        <v>3</v>
      </c>
      <c r="R80" t="s">
        <v>39</v>
      </c>
      <c r="S80" t="s">
        <v>30</v>
      </c>
      <c r="T80" t="s">
        <v>41</v>
      </c>
      <c r="U80">
        <v>43.036776000000003</v>
      </c>
      <c r="V80">
        <v>12.678565000000001</v>
      </c>
      <c r="W80" t="str">
        <f t="shared" si="7"/>
        <v>ok</v>
      </c>
      <c r="X80" t="str">
        <f t="shared" si="12"/>
        <v>ok</v>
      </c>
      <c r="Y80" t="str">
        <f t="shared" si="8"/>
        <v>ok</v>
      </c>
      <c r="Z80" t="str">
        <f t="shared" si="9"/>
        <v>ok</v>
      </c>
      <c r="AA80" s="4" t="str">
        <f t="shared" si="10"/>
        <v>ok</v>
      </c>
      <c r="AB80" s="4" t="str">
        <f t="shared" si="11"/>
        <v>ok</v>
      </c>
      <c r="AC80" s="6">
        <f t="shared" si="6"/>
        <v>2.3967658331966959</v>
      </c>
    </row>
    <row r="81" spans="1:29" x14ac:dyDescent="0.3">
      <c r="A81" t="s">
        <v>32</v>
      </c>
      <c r="B81">
        <v>1106</v>
      </c>
      <c r="C81" t="s">
        <v>23</v>
      </c>
      <c r="D81" t="s">
        <v>43</v>
      </c>
      <c r="E81" t="s">
        <v>39</v>
      </c>
      <c r="F81" t="s">
        <v>26</v>
      </c>
      <c r="G81" t="s">
        <v>49</v>
      </c>
      <c r="H81" s="1">
        <v>44939.971354166664</v>
      </c>
      <c r="I81" s="1">
        <v>44940.971354166664</v>
      </c>
      <c r="J81" s="1">
        <v>44939.972743055558</v>
      </c>
      <c r="K81" s="2">
        <v>44939.972728900466</v>
      </c>
      <c r="L81" t="s">
        <v>28</v>
      </c>
      <c r="N81" t="s">
        <v>38</v>
      </c>
      <c r="P81">
        <v>3</v>
      </c>
      <c r="R81" t="s">
        <v>29</v>
      </c>
      <c r="S81" t="s">
        <v>30</v>
      </c>
      <c r="T81" t="s">
        <v>57</v>
      </c>
      <c r="U81">
        <v>51.165691000000002</v>
      </c>
      <c r="V81">
        <v>10.451525999999999</v>
      </c>
      <c r="W81" t="str">
        <f t="shared" si="7"/>
        <v>ok</v>
      </c>
      <c r="X81" t="str">
        <f t="shared" si="12"/>
        <v>ok</v>
      </c>
      <c r="Y81" t="str">
        <f t="shared" si="8"/>
        <v>ok</v>
      </c>
      <c r="Z81" t="str">
        <f t="shared" si="9"/>
        <v>ok</v>
      </c>
      <c r="AA81" s="4" t="str">
        <f t="shared" si="10"/>
        <v>ok</v>
      </c>
      <c r="AB81" s="4" t="str">
        <f t="shared" si="11"/>
        <v>no resolution</v>
      </c>
      <c r="AC81" s="6" t="str">
        <f t="shared" si="6"/>
        <v/>
      </c>
    </row>
    <row r="82" spans="1:29" x14ac:dyDescent="0.3">
      <c r="A82" t="s">
        <v>22</v>
      </c>
      <c r="B82">
        <v>1107</v>
      </c>
      <c r="C82" t="s">
        <v>23</v>
      </c>
      <c r="D82" t="s">
        <v>24</v>
      </c>
      <c r="E82" t="s">
        <v>59</v>
      </c>
      <c r="F82" t="s">
        <v>36</v>
      </c>
      <c r="G82" t="s">
        <v>54</v>
      </c>
      <c r="H82" s="1">
        <v>44939.472037037034</v>
      </c>
      <c r="I82" s="1">
        <v>44941.472037037034</v>
      </c>
      <c r="J82" s="1">
        <v>44939.513703703706</v>
      </c>
      <c r="K82" s="2">
        <v>44939.48203428241</v>
      </c>
      <c r="L82" t="s">
        <v>28</v>
      </c>
      <c r="M82" s="2">
        <v>44941.337089618057</v>
      </c>
      <c r="N82" t="s">
        <v>28</v>
      </c>
      <c r="O82" s="2">
        <v>44941.466960393518</v>
      </c>
      <c r="P82">
        <v>1</v>
      </c>
      <c r="Q82">
        <v>5</v>
      </c>
      <c r="R82" t="s">
        <v>50</v>
      </c>
      <c r="S82" t="s">
        <v>40</v>
      </c>
      <c r="T82" t="s">
        <v>31</v>
      </c>
      <c r="U82">
        <v>53.094023999999997</v>
      </c>
      <c r="V82">
        <v>-8.0196749999999994</v>
      </c>
      <c r="W82" t="str">
        <f t="shared" si="7"/>
        <v>ok</v>
      </c>
      <c r="X82" t="str">
        <f t="shared" si="12"/>
        <v>ok</v>
      </c>
      <c r="Y82" t="str">
        <f t="shared" si="8"/>
        <v>ok</v>
      </c>
      <c r="Z82" t="str">
        <f t="shared" si="9"/>
        <v>ok</v>
      </c>
      <c r="AA82" s="4" t="str">
        <f t="shared" si="10"/>
        <v>ok</v>
      </c>
      <c r="AB82" s="4" t="str">
        <f t="shared" si="11"/>
        <v>ok</v>
      </c>
      <c r="AC82" s="6">
        <f t="shared" si="6"/>
        <v>44.761261944542639</v>
      </c>
    </row>
    <row r="83" spans="1:29" x14ac:dyDescent="0.3">
      <c r="A83" t="s">
        <v>22</v>
      </c>
      <c r="B83">
        <v>1108</v>
      </c>
      <c r="C83" t="s">
        <v>23</v>
      </c>
      <c r="D83" t="s">
        <v>24</v>
      </c>
      <c r="E83" t="s">
        <v>44</v>
      </c>
      <c r="F83" t="s">
        <v>26</v>
      </c>
      <c r="G83" t="s">
        <v>45</v>
      </c>
      <c r="H83" s="1">
        <v>44939.090486111112</v>
      </c>
      <c r="I83" s="1">
        <v>44941.090486111112</v>
      </c>
      <c r="J83" s="1">
        <v>44939.132152777776</v>
      </c>
      <c r="K83" s="2">
        <v>44939.144506319448</v>
      </c>
      <c r="L83" t="s">
        <v>38</v>
      </c>
      <c r="M83" s="2">
        <v>44940.213476458332</v>
      </c>
      <c r="N83" t="s">
        <v>28</v>
      </c>
      <c r="O83" s="2">
        <v>44942.755963692129</v>
      </c>
      <c r="P83">
        <v>4</v>
      </c>
      <c r="Q83">
        <v>4</v>
      </c>
      <c r="R83" t="s">
        <v>50</v>
      </c>
      <c r="S83" t="s">
        <v>30</v>
      </c>
      <c r="T83" t="s">
        <v>58</v>
      </c>
      <c r="U83">
        <v>49.8037633</v>
      </c>
      <c r="V83">
        <v>15.4749126</v>
      </c>
      <c r="W83" t="str">
        <f t="shared" si="7"/>
        <v>ok</v>
      </c>
      <c r="X83" t="str">
        <f t="shared" si="12"/>
        <v>ok</v>
      </c>
      <c r="Y83" t="str">
        <f t="shared" si="8"/>
        <v>ok</v>
      </c>
      <c r="Z83" t="str">
        <f t="shared" si="9"/>
        <v>ok</v>
      </c>
      <c r="AA83" s="4" t="str">
        <f t="shared" si="10"/>
        <v>ok</v>
      </c>
      <c r="AB83" s="4" t="str">
        <f t="shared" si="11"/>
        <v>ok</v>
      </c>
      <c r="AC83" s="6">
        <f t="shared" si="6"/>
        <v>26.951768333266955</v>
      </c>
    </row>
    <row r="84" spans="1:29" x14ac:dyDescent="0.3">
      <c r="A84" t="s">
        <v>22</v>
      </c>
      <c r="B84">
        <v>1109</v>
      </c>
      <c r="C84" t="s">
        <v>33</v>
      </c>
      <c r="D84" t="s">
        <v>43</v>
      </c>
      <c r="E84" t="s">
        <v>35</v>
      </c>
      <c r="F84" t="s">
        <v>26</v>
      </c>
      <c r="G84" t="s">
        <v>60</v>
      </c>
      <c r="H84" s="1">
        <v>44939.568402777775</v>
      </c>
      <c r="I84" s="1">
        <v>44940.568402777775</v>
      </c>
      <c r="J84" s="1">
        <v>44939.569791666669</v>
      </c>
      <c r="K84" s="2">
        <v>44939.568678553238</v>
      </c>
      <c r="L84" t="s">
        <v>28</v>
      </c>
      <c r="M84" s="2">
        <v>44939.645679513887</v>
      </c>
      <c r="N84" t="s">
        <v>28</v>
      </c>
      <c r="O84" s="2">
        <v>44943.27552664352</v>
      </c>
      <c r="P84">
        <v>3</v>
      </c>
      <c r="Q84">
        <v>3</v>
      </c>
      <c r="R84" t="s">
        <v>55</v>
      </c>
      <c r="S84" t="s">
        <v>30</v>
      </c>
      <c r="T84" t="s">
        <v>66</v>
      </c>
      <c r="U84">
        <v>48.864716000000001</v>
      </c>
      <c r="V84">
        <v>2.3490139999999999</v>
      </c>
      <c r="W84" t="str">
        <f t="shared" si="7"/>
        <v>ok</v>
      </c>
      <c r="X84" t="str">
        <f t="shared" si="12"/>
        <v>ok</v>
      </c>
      <c r="Y84" t="str">
        <f t="shared" si="8"/>
        <v>ok</v>
      </c>
      <c r="Z84" t="str">
        <f t="shared" si="9"/>
        <v>ok</v>
      </c>
      <c r="AA84" s="4" t="str">
        <f t="shared" si="10"/>
        <v>ok</v>
      </c>
      <c r="AB84" s="4" t="str">
        <f t="shared" si="11"/>
        <v>ok</v>
      </c>
      <c r="AC84" s="6">
        <f t="shared" si="6"/>
        <v>1.8546416666940786</v>
      </c>
    </row>
    <row r="85" spans="1:29" x14ac:dyDescent="0.3">
      <c r="A85" t="s">
        <v>22</v>
      </c>
      <c r="B85">
        <v>1110</v>
      </c>
      <c r="C85" t="s">
        <v>33</v>
      </c>
      <c r="D85" t="s">
        <v>24</v>
      </c>
      <c r="E85" t="s">
        <v>35</v>
      </c>
      <c r="F85" t="s">
        <v>36</v>
      </c>
      <c r="G85" t="s">
        <v>37</v>
      </c>
      <c r="H85" s="1">
        <v>44939.897314814814</v>
      </c>
      <c r="I85" s="1">
        <v>44941.897314814814</v>
      </c>
      <c r="J85" s="1">
        <v>44939.938981481479</v>
      </c>
      <c r="K85" s="2">
        <v>44939.935455393519</v>
      </c>
      <c r="L85" t="s">
        <v>28</v>
      </c>
      <c r="M85" s="2">
        <v>44941.587525277777</v>
      </c>
      <c r="N85" t="s">
        <v>28</v>
      </c>
      <c r="O85" s="2">
        <v>44945.213513946757</v>
      </c>
      <c r="P85">
        <v>8</v>
      </c>
      <c r="Q85">
        <v>2</v>
      </c>
      <c r="R85" t="s">
        <v>50</v>
      </c>
      <c r="S85" t="s">
        <v>40</v>
      </c>
      <c r="T85" t="s">
        <v>63</v>
      </c>
      <c r="U85">
        <v>55.378051999999997</v>
      </c>
      <c r="V85">
        <v>-3.4359730000000002</v>
      </c>
      <c r="W85" t="str">
        <f t="shared" si="7"/>
        <v>ok</v>
      </c>
      <c r="X85" t="str">
        <f t="shared" si="12"/>
        <v>ok</v>
      </c>
      <c r="Y85" t="str">
        <f t="shared" si="8"/>
        <v>ok</v>
      </c>
      <c r="Z85" t="str">
        <f t="shared" si="9"/>
        <v>ok</v>
      </c>
      <c r="AA85" s="4" t="str">
        <f t="shared" si="10"/>
        <v>ok</v>
      </c>
      <c r="AB85" s="4" t="str">
        <f t="shared" si="11"/>
        <v>ok</v>
      </c>
      <c r="AC85" s="6">
        <f t="shared" si="6"/>
        <v>40.565051111101639</v>
      </c>
    </row>
    <row r="86" spans="1:29" x14ac:dyDescent="0.3">
      <c r="A86" t="s">
        <v>32</v>
      </c>
      <c r="B86">
        <v>1111</v>
      </c>
      <c r="C86" t="s">
        <v>23</v>
      </c>
      <c r="D86" t="s">
        <v>43</v>
      </c>
      <c r="E86" t="s">
        <v>35</v>
      </c>
      <c r="F86" t="s">
        <v>26</v>
      </c>
      <c r="G86" t="s">
        <v>52</v>
      </c>
      <c r="H86" s="1">
        <v>44939.117662037039</v>
      </c>
      <c r="I86" s="1">
        <v>44940.117662037039</v>
      </c>
      <c r="J86" s="1">
        <v>44939.119050925925</v>
      </c>
      <c r="K86" s="2">
        <v>44939.1197684375</v>
      </c>
      <c r="L86" t="s">
        <v>38</v>
      </c>
      <c r="N86" t="s">
        <v>38</v>
      </c>
      <c r="P86">
        <v>9</v>
      </c>
      <c r="R86" t="s">
        <v>50</v>
      </c>
      <c r="S86" t="s">
        <v>30</v>
      </c>
      <c r="T86" t="s">
        <v>51</v>
      </c>
      <c r="U86">
        <v>39.673369999999998</v>
      </c>
      <c r="V86">
        <v>-4.7677259999999997</v>
      </c>
      <c r="W86" t="str">
        <f t="shared" si="7"/>
        <v>ok</v>
      </c>
      <c r="X86" t="str">
        <f t="shared" si="12"/>
        <v>ok</v>
      </c>
      <c r="Y86" t="str">
        <f t="shared" si="8"/>
        <v>ok</v>
      </c>
      <c r="Z86" t="str">
        <f t="shared" si="9"/>
        <v>ok</v>
      </c>
      <c r="AA86" s="4" t="str">
        <f t="shared" si="10"/>
        <v>ok</v>
      </c>
      <c r="AB86" s="4" t="str">
        <f t="shared" si="11"/>
        <v>no resolution</v>
      </c>
      <c r="AC86" s="6" t="str">
        <f t="shared" ref="AC86:AC149" si="13">IF(M86="","",(M86-H86)*24)</f>
        <v/>
      </c>
    </row>
    <row r="87" spans="1:29" x14ac:dyDescent="0.3">
      <c r="A87" t="s">
        <v>32</v>
      </c>
      <c r="B87">
        <v>1112</v>
      </c>
      <c r="C87" t="s">
        <v>23</v>
      </c>
      <c r="D87" t="s">
        <v>34</v>
      </c>
      <c r="E87" t="s">
        <v>48</v>
      </c>
      <c r="F87" t="s">
        <v>26</v>
      </c>
      <c r="G87" t="s">
        <v>45</v>
      </c>
      <c r="H87" s="1">
        <v>44939.099282407406</v>
      </c>
      <c r="I87" s="1">
        <v>44941.099282407406</v>
      </c>
      <c r="J87" s="1">
        <v>44939.100671296299</v>
      </c>
      <c r="K87" s="2">
        <v>44939.099816099537</v>
      </c>
      <c r="L87" t="s">
        <v>28</v>
      </c>
      <c r="N87" t="s">
        <v>38</v>
      </c>
      <c r="P87">
        <v>2</v>
      </c>
      <c r="R87" t="s">
        <v>50</v>
      </c>
      <c r="S87" t="s">
        <v>30</v>
      </c>
      <c r="T87" t="s">
        <v>31</v>
      </c>
      <c r="U87">
        <v>53.094023999999997</v>
      </c>
      <c r="V87">
        <v>-8.0196749999999994</v>
      </c>
      <c r="W87" t="str">
        <f t="shared" si="7"/>
        <v>ok</v>
      </c>
      <c r="X87" t="str">
        <f t="shared" si="12"/>
        <v>ok</v>
      </c>
      <c r="Y87" t="str">
        <f t="shared" si="8"/>
        <v>ok</v>
      </c>
      <c r="Z87" t="str">
        <f t="shared" si="9"/>
        <v>ok</v>
      </c>
      <c r="AA87" s="4" t="str">
        <f t="shared" si="10"/>
        <v>ok</v>
      </c>
      <c r="AB87" s="4" t="str">
        <f t="shared" si="11"/>
        <v>no resolution</v>
      </c>
      <c r="AC87" s="6" t="str">
        <f t="shared" si="13"/>
        <v/>
      </c>
    </row>
    <row r="88" spans="1:29" x14ac:dyDescent="0.3">
      <c r="A88" t="s">
        <v>42</v>
      </c>
      <c r="B88">
        <v>1113</v>
      </c>
      <c r="C88" t="s">
        <v>23</v>
      </c>
      <c r="D88" t="s">
        <v>43</v>
      </c>
      <c r="E88" t="s">
        <v>35</v>
      </c>
      <c r="F88" t="s">
        <v>26</v>
      </c>
      <c r="G88" t="s">
        <v>45</v>
      </c>
      <c r="H88" s="1">
        <v>44939.07403935185</v>
      </c>
      <c r="I88" s="1">
        <v>44940.07403935185</v>
      </c>
      <c r="J88" s="1">
        <v>44939.075428240743</v>
      </c>
      <c r="K88" s="2">
        <v>44939.074206273152</v>
      </c>
      <c r="L88" t="s">
        <v>28</v>
      </c>
      <c r="M88" s="2">
        <v>44943.312405810182</v>
      </c>
      <c r="N88" t="s">
        <v>38</v>
      </c>
      <c r="P88">
        <v>6</v>
      </c>
      <c r="R88" t="s">
        <v>29</v>
      </c>
      <c r="S88" t="s">
        <v>30</v>
      </c>
      <c r="T88" t="s">
        <v>57</v>
      </c>
      <c r="U88">
        <v>51.165691000000002</v>
      </c>
      <c r="V88">
        <v>10.451525999999999</v>
      </c>
      <c r="W88" t="str">
        <f t="shared" si="7"/>
        <v>ok</v>
      </c>
      <c r="X88" t="str">
        <f t="shared" si="12"/>
        <v>ok</v>
      </c>
      <c r="Y88" t="str">
        <f t="shared" si="8"/>
        <v>ok</v>
      </c>
      <c r="Z88" t="str">
        <f t="shared" si="9"/>
        <v>ok</v>
      </c>
      <c r="AA88" s="4" t="str">
        <f t="shared" si="10"/>
        <v>ok</v>
      </c>
      <c r="AB88" s="4" t="str">
        <f t="shared" si="11"/>
        <v>ok</v>
      </c>
      <c r="AC88" s="6">
        <f t="shared" si="13"/>
        <v>101.72079499997199</v>
      </c>
    </row>
    <row r="89" spans="1:29" x14ac:dyDescent="0.3">
      <c r="A89" t="s">
        <v>22</v>
      </c>
      <c r="B89">
        <v>1114</v>
      </c>
      <c r="C89" t="s">
        <v>47</v>
      </c>
      <c r="D89" t="s">
        <v>24</v>
      </c>
      <c r="E89" t="s">
        <v>35</v>
      </c>
      <c r="F89" t="s">
        <v>26</v>
      </c>
      <c r="G89" t="s">
        <v>49</v>
      </c>
      <c r="H89" s="1">
        <v>44939.305787037039</v>
      </c>
      <c r="I89" s="1">
        <v>44941.305787037039</v>
      </c>
      <c r="J89" s="1">
        <v>44939.347453703704</v>
      </c>
      <c r="K89" s="2">
        <v>44939.334627812503</v>
      </c>
      <c r="L89" t="s">
        <v>28</v>
      </c>
      <c r="M89" s="2">
        <v>44941.280370405089</v>
      </c>
      <c r="N89" t="s">
        <v>28</v>
      </c>
      <c r="O89" s="2">
        <v>44947.012056157408</v>
      </c>
      <c r="P89">
        <v>10</v>
      </c>
      <c r="Q89">
        <v>5</v>
      </c>
      <c r="R89" t="s">
        <v>39</v>
      </c>
      <c r="S89" t="s">
        <v>30</v>
      </c>
      <c r="T89" t="s">
        <v>56</v>
      </c>
      <c r="U89">
        <v>52.536273000000001</v>
      </c>
      <c r="V89">
        <v>19.050639</v>
      </c>
      <c r="W89" t="str">
        <f t="shared" si="7"/>
        <v>ok</v>
      </c>
      <c r="X89" t="str">
        <f t="shared" si="12"/>
        <v>ok</v>
      </c>
      <c r="Y89" t="str">
        <f t="shared" si="8"/>
        <v>ok</v>
      </c>
      <c r="Z89" t="str">
        <f t="shared" si="9"/>
        <v>ok</v>
      </c>
      <c r="AA89" s="4" t="str">
        <f t="shared" si="10"/>
        <v>ok</v>
      </c>
      <c r="AB89" s="4" t="str">
        <f t="shared" si="11"/>
        <v>ok</v>
      </c>
      <c r="AC89" s="6">
        <f t="shared" si="13"/>
        <v>47.390000833198428</v>
      </c>
    </row>
    <row r="90" spans="1:29" x14ac:dyDescent="0.3">
      <c r="A90" t="s">
        <v>42</v>
      </c>
      <c r="B90">
        <v>1115</v>
      </c>
      <c r="C90" t="s">
        <v>23</v>
      </c>
      <c r="D90" t="s">
        <v>43</v>
      </c>
      <c r="E90" t="s">
        <v>48</v>
      </c>
      <c r="F90" t="s">
        <v>26</v>
      </c>
      <c r="G90" t="s">
        <v>52</v>
      </c>
      <c r="H90" s="1">
        <v>44939.973703703705</v>
      </c>
      <c r="I90" s="1">
        <v>44940.973703703705</v>
      </c>
      <c r="J90" s="1">
        <v>44939.975092592591</v>
      </c>
      <c r="K90" s="2">
        <v>44939.973797106482</v>
      </c>
      <c r="L90" t="s">
        <v>28</v>
      </c>
      <c r="M90" s="2">
        <v>44940.21874222222</v>
      </c>
      <c r="N90" t="s">
        <v>28</v>
      </c>
      <c r="P90">
        <v>3</v>
      </c>
      <c r="R90" t="s">
        <v>50</v>
      </c>
      <c r="S90" t="s">
        <v>30</v>
      </c>
      <c r="T90" t="s">
        <v>57</v>
      </c>
      <c r="U90">
        <v>51.165691000000002</v>
      </c>
      <c r="V90">
        <v>10.451525999999999</v>
      </c>
      <c r="W90" t="str">
        <f t="shared" si="7"/>
        <v>ok</v>
      </c>
      <c r="X90" t="str">
        <f t="shared" si="12"/>
        <v>ok</v>
      </c>
      <c r="Y90" t="str">
        <f t="shared" si="8"/>
        <v>ok</v>
      </c>
      <c r="Z90" t="str">
        <f t="shared" si="9"/>
        <v>ok</v>
      </c>
      <c r="AA90" s="4" t="str">
        <f t="shared" si="10"/>
        <v>ok</v>
      </c>
      <c r="AB90" s="4" t="str">
        <f t="shared" si="11"/>
        <v>ok</v>
      </c>
      <c r="AC90" s="6">
        <f t="shared" si="13"/>
        <v>5.8809244443546049</v>
      </c>
    </row>
    <row r="91" spans="1:29" x14ac:dyDescent="0.3">
      <c r="A91" t="s">
        <v>42</v>
      </c>
      <c r="B91">
        <v>1116</v>
      </c>
      <c r="C91" t="s">
        <v>47</v>
      </c>
      <c r="D91" t="s">
        <v>34</v>
      </c>
      <c r="E91" t="s">
        <v>48</v>
      </c>
      <c r="F91" t="s">
        <v>26</v>
      </c>
      <c r="G91" t="s">
        <v>60</v>
      </c>
      <c r="H91" s="1">
        <v>44940.953738425924</v>
      </c>
      <c r="I91" s="1">
        <v>44942.953738425924</v>
      </c>
      <c r="J91" s="1">
        <v>44940.955127314817</v>
      </c>
      <c r="K91" s="2">
        <v>44940.954623252313</v>
      </c>
      <c r="L91" t="s">
        <v>28</v>
      </c>
      <c r="M91" s="2">
        <v>44942.156953101854</v>
      </c>
      <c r="N91" t="s">
        <v>28</v>
      </c>
      <c r="P91">
        <v>7</v>
      </c>
      <c r="R91" t="s">
        <v>55</v>
      </c>
      <c r="S91" t="s">
        <v>30</v>
      </c>
      <c r="T91" t="s">
        <v>63</v>
      </c>
      <c r="U91">
        <v>55.378051999999997</v>
      </c>
      <c r="V91">
        <v>-3.4359730000000002</v>
      </c>
      <c r="W91" t="str">
        <f t="shared" si="7"/>
        <v>ok</v>
      </c>
      <c r="X91" t="str">
        <f t="shared" si="12"/>
        <v>ok</v>
      </c>
      <c r="Y91" t="str">
        <f t="shared" si="8"/>
        <v>ok</v>
      </c>
      <c r="Z91" t="str">
        <f t="shared" si="9"/>
        <v>ok</v>
      </c>
      <c r="AA91" s="4" t="str">
        <f t="shared" si="10"/>
        <v>ok</v>
      </c>
      <c r="AB91" s="4" t="str">
        <f t="shared" si="11"/>
        <v>ok</v>
      </c>
      <c r="AC91" s="6">
        <f t="shared" si="13"/>
        <v>28.877152222325094</v>
      </c>
    </row>
    <row r="92" spans="1:29" x14ac:dyDescent="0.3">
      <c r="A92" t="s">
        <v>22</v>
      </c>
      <c r="B92">
        <v>1126</v>
      </c>
      <c r="C92" t="s">
        <v>47</v>
      </c>
      <c r="D92" t="s">
        <v>34</v>
      </c>
      <c r="E92" t="s">
        <v>48</v>
      </c>
      <c r="F92" t="s">
        <v>26</v>
      </c>
      <c r="G92" t="s">
        <v>27</v>
      </c>
      <c r="H92" s="1">
        <v>44941.549027777779</v>
      </c>
      <c r="I92" s="1">
        <v>44943.549027777779</v>
      </c>
      <c r="J92" s="1">
        <v>44941.550416666665</v>
      </c>
      <c r="K92" s="2">
        <v>44941.549558483799</v>
      </c>
      <c r="L92" t="s">
        <v>28</v>
      </c>
      <c r="M92" s="2">
        <v>44945.390785798612</v>
      </c>
      <c r="N92" t="s">
        <v>38</v>
      </c>
      <c r="O92" s="2">
        <v>44946.177287500002</v>
      </c>
      <c r="P92">
        <v>3</v>
      </c>
      <c r="Q92">
        <v>1</v>
      </c>
      <c r="R92" t="s">
        <v>29</v>
      </c>
      <c r="S92" t="s">
        <v>30</v>
      </c>
      <c r="T92" t="s">
        <v>63</v>
      </c>
      <c r="U92">
        <v>55.378051999999997</v>
      </c>
      <c r="V92">
        <v>-3.4359730000000002</v>
      </c>
      <c r="W92" t="str">
        <f t="shared" si="7"/>
        <v>ok</v>
      </c>
      <c r="X92" t="str">
        <f t="shared" si="12"/>
        <v>ok</v>
      </c>
      <c r="Y92" t="str">
        <f t="shared" si="8"/>
        <v>ok</v>
      </c>
      <c r="Z92" t="str">
        <f t="shared" si="9"/>
        <v>ok</v>
      </c>
      <c r="AA92" s="4" t="str">
        <f t="shared" si="10"/>
        <v>ok</v>
      </c>
      <c r="AB92" s="4" t="str">
        <f t="shared" si="11"/>
        <v>ok</v>
      </c>
      <c r="AC92" s="6">
        <f t="shared" si="13"/>
        <v>92.20219250000082</v>
      </c>
    </row>
    <row r="93" spans="1:29" x14ac:dyDescent="0.3">
      <c r="A93" t="s">
        <v>42</v>
      </c>
      <c r="B93">
        <v>1127</v>
      </c>
      <c r="C93" t="s">
        <v>33</v>
      </c>
      <c r="D93" t="s">
        <v>24</v>
      </c>
      <c r="E93" t="s">
        <v>35</v>
      </c>
      <c r="F93" t="s">
        <v>26</v>
      </c>
      <c r="G93" t="s">
        <v>45</v>
      </c>
      <c r="H93" s="1">
        <v>44941.256180555552</v>
      </c>
      <c r="I93" s="1">
        <v>44943.256180555552</v>
      </c>
      <c r="J93" s="1">
        <v>44941.297847222224</v>
      </c>
      <c r="K93" s="2">
        <v>44941.282986979168</v>
      </c>
      <c r="L93" t="s">
        <v>28</v>
      </c>
      <c r="M93" s="2">
        <v>44941.30791048611</v>
      </c>
      <c r="N93" t="s">
        <v>28</v>
      </c>
      <c r="P93">
        <v>2</v>
      </c>
      <c r="R93" t="s">
        <v>39</v>
      </c>
      <c r="S93" t="s">
        <v>30</v>
      </c>
      <c r="T93" t="s">
        <v>58</v>
      </c>
      <c r="U93">
        <v>49.8037633</v>
      </c>
      <c r="V93">
        <v>15.4749126</v>
      </c>
      <c r="W93" t="str">
        <f t="shared" si="7"/>
        <v>ok</v>
      </c>
      <c r="X93" t="str">
        <f t="shared" si="12"/>
        <v>ok</v>
      </c>
      <c r="Y93" t="str">
        <f t="shared" si="8"/>
        <v>ok</v>
      </c>
      <c r="Z93" t="str">
        <f t="shared" si="9"/>
        <v>ok</v>
      </c>
      <c r="AA93" s="4" t="str">
        <f t="shared" si="10"/>
        <v>ok</v>
      </c>
      <c r="AB93" s="4" t="str">
        <f t="shared" si="11"/>
        <v>ok</v>
      </c>
      <c r="AC93" s="6">
        <f t="shared" si="13"/>
        <v>1.2415183333796449</v>
      </c>
    </row>
    <row r="94" spans="1:29" x14ac:dyDescent="0.3">
      <c r="A94" t="s">
        <v>22</v>
      </c>
      <c r="B94">
        <v>1128</v>
      </c>
      <c r="C94" t="s">
        <v>23</v>
      </c>
      <c r="D94" t="s">
        <v>24</v>
      </c>
      <c r="E94" t="s">
        <v>39</v>
      </c>
      <c r="F94" t="s">
        <v>26</v>
      </c>
      <c r="G94" t="s">
        <v>45</v>
      </c>
      <c r="H94" s="1">
        <v>44941.424699074072</v>
      </c>
      <c r="I94" s="1">
        <v>44943.424699074072</v>
      </c>
      <c r="J94" s="1">
        <v>44941.466365740744</v>
      </c>
      <c r="K94" s="2">
        <v>44941.460969907406</v>
      </c>
      <c r="L94" t="s">
        <v>28</v>
      </c>
      <c r="M94" s="2">
        <v>44943.299898171295</v>
      </c>
      <c r="N94" t="s">
        <v>28</v>
      </c>
      <c r="O94" s="2">
        <v>44944.979969513886</v>
      </c>
      <c r="P94">
        <v>4</v>
      </c>
      <c r="Q94">
        <v>3</v>
      </c>
      <c r="R94" t="s">
        <v>50</v>
      </c>
      <c r="S94" t="s">
        <v>30</v>
      </c>
      <c r="T94" t="s">
        <v>57</v>
      </c>
      <c r="U94">
        <v>51.165691000000002</v>
      </c>
      <c r="V94">
        <v>10.451525999999999</v>
      </c>
      <c r="W94" t="str">
        <f t="shared" si="7"/>
        <v>ok</v>
      </c>
      <c r="X94" t="str">
        <f t="shared" si="12"/>
        <v>ok</v>
      </c>
      <c r="Y94" t="str">
        <f t="shared" si="8"/>
        <v>ok</v>
      </c>
      <c r="Z94" t="str">
        <f t="shared" si="9"/>
        <v>ok</v>
      </c>
      <c r="AA94" s="4" t="str">
        <f t="shared" si="10"/>
        <v>ok</v>
      </c>
      <c r="AB94" s="4" t="str">
        <f t="shared" si="11"/>
        <v>ok</v>
      </c>
      <c r="AC94" s="6">
        <f t="shared" si="13"/>
        <v>45.004778333357535</v>
      </c>
    </row>
    <row r="95" spans="1:29" x14ac:dyDescent="0.3">
      <c r="A95" t="s">
        <v>22</v>
      </c>
      <c r="B95">
        <v>1129</v>
      </c>
      <c r="C95" t="s">
        <v>33</v>
      </c>
      <c r="D95" t="s">
        <v>34</v>
      </c>
      <c r="E95" t="s">
        <v>48</v>
      </c>
      <c r="F95" t="s">
        <v>26</v>
      </c>
      <c r="G95" t="s">
        <v>27</v>
      </c>
      <c r="H95" s="1">
        <v>44941.084444444445</v>
      </c>
      <c r="I95" s="1">
        <v>44943.084444444445</v>
      </c>
      <c r="J95" s="1">
        <v>44941.085833333331</v>
      </c>
      <c r="K95" s="2">
        <v>44941.084967164352</v>
      </c>
      <c r="L95" t="s">
        <v>28</v>
      </c>
      <c r="M95" s="2">
        <v>44942.617878900463</v>
      </c>
      <c r="N95" t="s">
        <v>28</v>
      </c>
      <c r="O95" s="2">
        <v>44944.687567071756</v>
      </c>
      <c r="P95">
        <v>2</v>
      </c>
      <c r="Q95">
        <v>5</v>
      </c>
      <c r="R95" t="s">
        <v>29</v>
      </c>
      <c r="S95" t="s">
        <v>30</v>
      </c>
      <c r="T95" t="s">
        <v>65</v>
      </c>
      <c r="U95">
        <v>46.149166399999999</v>
      </c>
      <c r="V95">
        <v>14.9860106</v>
      </c>
      <c r="W95" t="str">
        <f t="shared" si="7"/>
        <v>ok</v>
      </c>
      <c r="X95" t="str">
        <f t="shared" si="12"/>
        <v>ok</v>
      </c>
      <c r="Y95" t="str">
        <f t="shared" si="8"/>
        <v>ok</v>
      </c>
      <c r="Z95" t="str">
        <f t="shared" si="9"/>
        <v>ok</v>
      </c>
      <c r="AA95" s="4" t="str">
        <f t="shared" si="10"/>
        <v>ok</v>
      </c>
      <c r="AB95" s="4" t="str">
        <f t="shared" si="11"/>
        <v>ok</v>
      </c>
      <c r="AC95" s="6">
        <f t="shared" si="13"/>
        <v>36.802426944428589</v>
      </c>
    </row>
    <row r="96" spans="1:29" x14ac:dyDescent="0.3">
      <c r="A96" t="s">
        <v>32</v>
      </c>
      <c r="B96">
        <v>1130</v>
      </c>
      <c r="C96" t="s">
        <v>47</v>
      </c>
      <c r="D96" t="s">
        <v>43</v>
      </c>
      <c r="E96" t="s">
        <v>35</v>
      </c>
      <c r="F96" t="s">
        <v>26</v>
      </c>
      <c r="G96" t="s">
        <v>49</v>
      </c>
      <c r="H96" s="1">
        <v>44942.217349537037</v>
      </c>
      <c r="I96" s="1">
        <v>44943.217349537037</v>
      </c>
      <c r="J96" s="1">
        <v>44942.218738425923</v>
      </c>
      <c r="K96" s="2">
        <v>44942.218462824072</v>
      </c>
      <c r="L96" t="s">
        <v>28</v>
      </c>
      <c r="N96" t="s">
        <v>38</v>
      </c>
      <c r="P96">
        <v>6</v>
      </c>
      <c r="R96" t="s">
        <v>50</v>
      </c>
      <c r="S96" t="s">
        <v>30</v>
      </c>
      <c r="T96" t="s">
        <v>51</v>
      </c>
      <c r="U96">
        <v>39.673369999999998</v>
      </c>
      <c r="V96">
        <v>-4.7677259999999997</v>
      </c>
      <c r="W96" t="str">
        <f t="shared" si="7"/>
        <v>ok</v>
      </c>
      <c r="X96" t="str">
        <f t="shared" si="12"/>
        <v>ok</v>
      </c>
      <c r="Y96" t="str">
        <f t="shared" si="8"/>
        <v>ok</v>
      </c>
      <c r="Z96" t="str">
        <f t="shared" si="9"/>
        <v>ok</v>
      </c>
      <c r="AA96" s="4" t="str">
        <f t="shared" si="10"/>
        <v>ok</v>
      </c>
      <c r="AB96" s="4" t="str">
        <f t="shared" si="11"/>
        <v>no resolution</v>
      </c>
      <c r="AC96" s="6" t="str">
        <f t="shared" si="13"/>
        <v/>
      </c>
    </row>
    <row r="97" spans="1:29" x14ac:dyDescent="0.3">
      <c r="A97" t="s">
        <v>22</v>
      </c>
      <c r="B97">
        <v>1131</v>
      </c>
      <c r="C97" t="s">
        <v>23</v>
      </c>
      <c r="D97" t="s">
        <v>24</v>
      </c>
      <c r="E97" t="s">
        <v>35</v>
      </c>
      <c r="F97" t="s">
        <v>26</v>
      </c>
      <c r="G97" t="s">
        <v>52</v>
      </c>
      <c r="H97" s="1">
        <v>44942.860115740739</v>
      </c>
      <c r="I97" s="1">
        <v>44944.860115740739</v>
      </c>
      <c r="J97" s="1">
        <v>44942.901782407411</v>
      </c>
      <c r="K97" s="2">
        <v>44942.899755682869</v>
      </c>
      <c r="L97" t="s">
        <v>28</v>
      </c>
      <c r="M97" s="2">
        <v>44942.944892233798</v>
      </c>
      <c r="N97" t="s">
        <v>28</v>
      </c>
      <c r="O97" s="2">
        <v>44946.232759212966</v>
      </c>
      <c r="P97">
        <v>1</v>
      </c>
      <c r="Q97">
        <v>5</v>
      </c>
      <c r="R97" t="s">
        <v>50</v>
      </c>
      <c r="S97" t="s">
        <v>30</v>
      </c>
      <c r="T97" t="s">
        <v>58</v>
      </c>
      <c r="U97">
        <v>49.8037633</v>
      </c>
      <c r="V97">
        <v>15.4749126</v>
      </c>
      <c r="W97" t="str">
        <f t="shared" si="7"/>
        <v>ok</v>
      </c>
      <c r="X97" t="str">
        <f t="shared" si="12"/>
        <v>ok</v>
      </c>
      <c r="Y97" t="str">
        <f t="shared" si="8"/>
        <v>ok</v>
      </c>
      <c r="Z97" t="str">
        <f t="shared" si="9"/>
        <v>ok</v>
      </c>
      <c r="AA97" s="4" t="str">
        <f t="shared" si="10"/>
        <v>ok</v>
      </c>
      <c r="AB97" s="4" t="str">
        <f t="shared" si="11"/>
        <v>ok</v>
      </c>
      <c r="AC97" s="6">
        <f t="shared" si="13"/>
        <v>2.0346358334063552</v>
      </c>
    </row>
    <row r="98" spans="1:29" x14ac:dyDescent="0.3">
      <c r="A98" t="s">
        <v>22</v>
      </c>
      <c r="B98">
        <v>1132</v>
      </c>
      <c r="C98" t="s">
        <v>23</v>
      </c>
      <c r="D98" t="s">
        <v>24</v>
      </c>
      <c r="E98" t="s">
        <v>48</v>
      </c>
      <c r="F98" t="s">
        <v>26</v>
      </c>
      <c r="G98" t="s">
        <v>52</v>
      </c>
      <c r="H98" s="1">
        <v>44942.655787037038</v>
      </c>
      <c r="I98" s="1">
        <v>44944.655787037038</v>
      </c>
      <c r="J98" s="1">
        <v>44942.697453703702</v>
      </c>
      <c r="K98" s="2">
        <v>44942.694090532408</v>
      </c>
      <c r="L98" t="s">
        <v>28</v>
      </c>
      <c r="M98" s="2">
        <v>44943.503627777776</v>
      </c>
      <c r="N98" t="s">
        <v>28</v>
      </c>
      <c r="O98" s="2">
        <v>44948.864976296296</v>
      </c>
      <c r="P98">
        <v>9</v>
      </c>
      <c r="Q98">
        <v>3</v>
      </c>
      <c r="R98" t="s">
        <v>55</v>
      </c>
      <c r="S98" t="s">
        <v>30</v>
      </c>
      <c r="T98" t="s">
        <v>46</v>
      </c>
      <c r="U98">
        <v>47.696471899999999</v>
      </c>
      <c r="V98">
        <v>13.3457347</v>
      </c>
      <c r="W98" t="str">
        <f t="shared" si="7"/>
        <v>ok</v>
      </c>
      <c r="X98" t="str">
        <f t="shared" si="12"/>
        <v>ok</v>
      </c>
      <c r="Y98" t="str">
        <f t="shared" si="8"/>
        <v>ok</v>
      </c>
      <c r="Z98" t="str">
        <f t="shared" si="9"/>
        <v>ok</v>
      </c>
      <c r="AA98" s="4" t="str">
        <f t="shared" si="10"/>
        <v>ok</v>
      </c>
      <c r="AB98" s="4" t="str">
        <f t="shared" si="11"/>
        <v>ok</v>
      </c>
      <c r="AC98" s="6">
        <f t="shared" si="13"/>
        <v>20.348177777719684</v>
      </c>
    </row>
    <row r="99" spans="1:29" x14ac:dyDescent="0.3">
      <c r="A99" t="s">
        <v>42</v>
      </c>
      <c r="B99">
        <v>1133</v>
      </c>
      <c r="C99" t="s">
        <v>33</v>
      </c>
      <c r="D99" t="s">
        <v>43</v>
      </c>
      <c r="E99" t="s">
        <v>35</v>
      </c>
      <c r="F99" t="s">
        <v>26</v>
      </c>
      <c r="G99" t="s">
        <v>45</v>
      </c>
      <c r="H99" s="1">
        <v>44942.805335648147</v>
      </c>
      <c r="I99" s="1">
        <v>44943.805335648147</v>
      </c>
      <c r="J99" s="1">
        <v>44942.80672453704</v>
      </c>
      <c r="K99" s="2">
        <v>44942.805423761572</v>
      </c>
      <c r="L99" t="s">
        <v>28</v>
      </c>
      <c r="M99" s="2">
        <v>44943.505730509256</v>
      </c>
      <c r="N99" t="s">
        <v>28</v>
      </c>
      <c r="P99">
        <v>3</v>
      </c>
      <c r="R99" t="s">
        <v>50</v>
      </c>
      <c r="S99" t="s">
        <v>30</v>
      </c>
      <c r="T99" t="s">
        <v>61</v>
      </c>
      <c r="U99">
        <v>42.724992499999999</v>
      </c>
      <c r="V99">
        <v>25.483303899999999</v>
      </c>
      <c r="W99" t="str">
        <f t="shared" si="7"/>
        <v>ok</v>
      </c>
      <c r="X99" t="str">
        <f t="shared" si="12"/>
        <v>ok</v>
      </c>
      <c r="Y99" t="str">
        <f t="shared" si="8"/>
        <v>ok</v>
      </c>
      <c r="Z99" t="str">
        <f t="shared" si="9"/>
        <v>ok</v>
      </c>
      <c r="AA99" s="4" t="str">
        <f t="shared" si="10"/>
        <v>ok</v>
      </c>
      <c r="AB99" s="4" t="str">
        <f t="shared" si="11"/>
        <v>ok</v>
      </c>
      <c r="AC99" s="6">
        <f t="shared" si="13"/>
        <v>16.809476666618139</v>
      </c>
    </row>
    <row r="100" spans="1:29" x14ac:dyDescent="0.3">
      <c r="A100" t="s">
        <v>22</v>
      </c>
      <c r="B100">
        <v>1134</v>
      </c>
      <c r="C100" t="s">
        <v>23</v>
      </c>
      <c r="D100" t="s">
        <v>43</v>
      </c>
      <c r="E100" t="s">
        <v>35</v>
      </c>
      <c r="F100" t="s">
        <v>26</v>
      </c>
      <c r="G100" t="s">
        <v>52</v>
      </c>
      <c r="H100" s="1">
        <v>44942.535127314812</v>
      </c>
      <c r="I100" s="1">
        <v>44943.535127314812</v>
      </c>
      <c r="J100" s="1">
        <v>44942.536516203705</v>
      </c>
      <c r="K100" s="2">
        <v>44942.535419502317</v>
      </c>
      <c r="L100" t="s">
        <v>28</v>
      </c>
      <c r="M100" s="2">
        <v>44942.734530775466</v>
      </c>
      <c r="N100" t="s">
        <v>28</v>
      </c>
      <c r="O100" s="2">
        <v>44946.776889166664</v>
      </c>
      <c r="P100">
        <v>60</v>
      </c>
      <c r="Q100">
        <v>5</v>
      </c>
      <c r="R100" t="s">
        <v>29</v>
      </c>
      <c r="S100" t="s">
        <v>30</v>
      </c>
      <c r="T100" t="s">
        <v>51</v>
      </c>
      <c r="U100">
        <v>39.673369999999998</v>
      </c>
      <c r="V100">
        <v>-4.7677259999999997</v>
      </c>
      <c r="W100" t="str">
        <f t="shared" si="7"/>
        <v>ok</v>
      </c>
      <c r="X100" t="str">
        <f t="shared" si="12"/>
        <v>ok</v>
      </c>
      <c r="Y100" t="str">
        <f t="shared" si="8"/>
        <v>ok</v>
      </c>
      <c r="Z100" t="str">
        <f t="shared" si="9"/>
        <v>ok</v>
      </c>
      <c r="AA100" s="4" t="str">
        <f t="shared" si="10"/>
        <v>ok</v>
      </c>
      <c r="AB100" s="4" t="str">
        <f t="shared" si="11"/>
        <v>ok</v>
      </c>
      <c r="AC100" s="6">
        <f t="shared" si="13"/>
        <v>4.7856830556993373</v>
      </c>
    </row>
    <row r="101" spans="1:29" x14ac:dyDescent="0.3">
      <c r="A101" t="s">
        <v>42</v>
      </c>
      <c r="B101">
        <v>1135</v>
      </c>
      <c r="C101" t="s">
        <v>23</v>
      </c>
      <c r="D101" t="s">
        <v>34</v>
      </c>
      <c r="E101" t="s">
        <v>59</v>
      </c>
      <c r="F101" t="s">
        <v>36</v>
      </c>
      <c r="G101" t="s">
        <v>37</v>
      </c>
      <c r="H101" s="1">
        <v>44942.609490740739</v>
      </c>
      <c r="I101" s="1">
        <v>44944.609490740739</v>
      </c>
      <c r="J101" s="1">
        <v>44942.610879629632</v>
      </c>
      <c r="K101" s="2">
        <v>44942.611652083331</v>
      </c>
      <c r="L101" t="s">
        <v>38</v>
      </c>
      <c r="M101" s="2">
        <v>44942.794600983798</v>
      </c>
      <c r="N101" t="s">
        <v>28</v>
      </c>
      <c r="P101">
        <v>1</v>
      </c>
      <c r="R101" t="s">
        <v>55</v>
      </c>
      <c r="S101" t="s">
        <v>40</v>
      </c>
      <c r="T101" t="s">
        <v>56</v>
      </c>
      <c r="U101">
        <v>52.536273000000001</v>
      </c>
      <c r="V101">
        <v>19.050639</v>
      </c>
      <c r="W101" t="str">
        <f t="shared" si="7"/>
        <v>ok</v>
      </c>
      <c r="X101" t="str">
        <f t="shared" si="12"/>
        <v>ok</v>
      </c>
      <c r="Y101" t="str">
        <f t="shared" si="8"/>
        <v>ok</v>
      </c>
      <c r="Z101" t="str">
        <f t="shared" si="9"/>
        <v>ok</v>
      </c>
      <c r="AA101" s="4" t="str">
        <f t="shared" si="10"/>
        <v>ok</v>
      </c>
      <c r="AB101" s="4" t="str">
        <f t="shared" si="11"/>
        <v>ok</v>
      </c>
      <c r="AC101" s="6">
        <f t="shared" si="13"/>
        <v>4.4426458334201016</v>
      </c>
    </row>
    <row r="102" spans="1:29" x14ac:dyDescent="0.3">
      <c r="A102" t="s">
        <v>42</v>
      </c>
      <c r="B102">
        <v>1136</v>
      </c>
      <c r="C102" t="s">
        <v>23</v>
      </c>
      <c r="D102" t="s">
        <v>24</v>
      </c>
      <c r="E102" t="s">
        <v>59</v>
      </c>
      <c r="F102" t="s">
        <v>26</v>
      </c>
      <c r="G102" t="s">
        <v>52</v>
      </c>
      <c r="H102" s="1">
        <v>44942.649629629632</v>
      </c>
      <c r="I102" s="1">
        <v>44944.649629629632</v>
      </c>
      <c r="J102" s="1">
        <v>44942.691296296296</v>
      </c>
      <c r="K102" s="2">
        <v>44942.672242372682</v>
      </c>
      <c r="L102" t="s">
        <v>28</v>
      </c>
      <c r="M102" s="2">
        <v>44943.487058113424</v>
      </c>
      <c r="N102" t="s">
        <v>28</v>
      </c>
      <c r="P102">
        <v>10</v>
      </c>
      <c r="R102" t="s">
        <v>50</v>
      </c>
      <c r="S102" t="s">
        <v>30</v>
      </c>
      <c r="T102" t="s">
        <v>57</v>
      </c>
      <c r="U102">
        <v>51.165691000000002</v>
      </c>
      <c r="V102">
        <v>10.451525999999999</v>
      </c>
      <c r="W102" t="str">
        <f t="shared" si="7"/>
        <v>ok</v>
      </c>
      <c r="X102" t="str">
        <f t="shared" si="12"/>
        <v>ok</v>
      </c>
      <c r="Y102" t="str">
        <f t="shared" si="8"/>
        <v>ok</v>
      </c>
      <c r="Z102" t="str">
        <f t="shared" si="9"/>
        <v>ok</v>
      </c>
      <c r="AA102" s="4" t="str">
        <f t="shared" si="10"/>
        <v>ok</v>
      </c>
      <c r="AB102" s="4" t="str">
        <f t="shared" si="11"/>
        <v>ok</v>
      </c>
      <c r="AC102" s="6">
        <f t="shared" si="13"/>
        <v>20.098283611005172</v>
      </c>
    </row>
    <row r="103" spans="1:29" x14ac:dyDescent="0.3">
      <c r="A103" t="s">
        <v>42</v>
      </c>
      <c r="B103">
        <v>1137</v>
      </c>
      <c r="C103" t="s">
        <v>23</v>
      </c>
      <c r="D103" t="s">
        <v>24</v>
      </c>
      <c r="E103" t="s">
        <v>25</v>
      </c>
      <c r="F103" t="s">
        <v>26</v>
      </c>
      <c r="G103" t="s">
        <v>27</v>
      </c>
      <c r="H103" s="1">
        <v>44942.331261574072</v>
      </c>
      <c r="I103" s="1">
        <v>44944.331261574072</v>
      </c>
      <c r="J103" s="1">
        <v>44942.372928240744</v>
      </c>
      <c r="K103" s="2">
        <v>44942.341530081016</v>
      </c>
      <c r="L103" t="s">
        <v>28</v>
      </c>
      <c r="M103" s="2">
        <v>44944.08925607639</v>
      </c>
      <c r="N103" t="s">
        <v>28</v>
      </c>
      <c r="P103">
        <v>1</v>
      </c>
      <c r="R103" t="s">
        <v>50</v>
      </c>
      <c r="S103" t="s">
        <v>30</v>
      </c>
      <c r="T103" t="s">
        <v>41</v>
      </c>
      <c r="U103">
        <v>43.036776000000003</v>
      </c>
      <c r="V103">
        <v>12.678565000000001</v>
      </c>
      <c r="W103" t="str">
        <f t="shared" si="7"/>
        <v>ok</v>
      </c>
      <c r="X103" t="str">
        <f t="shared" si="12"/>
        <v>ok</v>
      </c>
      <c r="Y103" t="str">
        <f t="shared" si="8"/>
        <v>ok</v>
      </c>
      <c r="Z103" t="str">
        <f t="shared" si="9"/>
        <v>ok</v>
      </c>
      <c r="AA103" s="4" t="str">
        <f t="shared" si="10"/>
        <v>ok</v>
      </c>
      <c r="AB103" s="4" t="str">
        <f t="shared" si="11"/>
        <v>ok</v>
      </c>
      <c r="AC103" s="6">
        <f t="shared" si="13"/>
        <v>42.191868055611849</v>
      </c>
    </row>
    <row r="104" spans="1:29" x14ac:dyDescent="0.3">
      <c r="A104" t="s">
        <v>42</v>
      </c>
      <c r="B104">
        <v>1138</v>
      </c>
      <c r="C104" t="s">
        <v>23</v>
      </c>
      <c r="D104" t="s">
        <v>24</v>
      </c>
      <c r="E104" t="s">
        <v>35</v>
      </c>
      <c r="F104" t="s">
        <v>36</v>
      </c>
      <c r="G104" t="s">
        <v>64</v>
      </c>
      <c r="H104" s="1">
        <v>44943.062835648147</v>
      </c>
      <c r="I104" s="1">
        <v>44945.062835648147</v>
      </c>
      <c r="J104" s="1">
        <v>44943.104502314818</v>
      </c>
      <c r="K104" s="2">
        <v>44943.37037109954</v>
      </c>
      <c r="L104" t="s">
        <v>38</v>
      </c>
      <c r="M104" s="2">
        <v>44944.336690752316</v>
      </c>
      <c r="N104" t="s">
        <v>28</v>
      </c>
      <c r="P104">
        <v>1</v>
      </c>
      <c r="R104" t="s">
        <v>50</v>
      </c>
      <c r="S104" t="s">
        <v>40</v>
      </c>
      <c r="T104" t="s">
        <v>51</v>
      </c>
      <c r="U104">
        <v>39.673369999999998</v>
      </c>
      <c r="V104">
        <v>-4.7677259999999997</v>
      </c>
      <c r="W104" t="str">
        <f t="shared" si="7"/>
        <v>ok</v>
      </c>
      <c r="X104" t="str">
        <f t="shared" si="12"/>
        <v>ok</v>
      </c>
      <c r="Y104" t="str">
        <f t="shared" si="8"/>
        <v>ok</v>
      </c>
      <c r="Z104" t="str">
        <f t="shared" si="9"/>
        <v>ok</v>
      </c>
      <c r="AA104" s="4" t="str">
        <f t="shared" si="10"/>
        <v>ok</v>
      </c>
      <c r="AB104" s="4" t="str">
        <f t="shared" si="11"/>
        <v>ok</v>
      </c>
      <c r="AC104" s="6">
        <f t="shared" si="13"/>
        <v>30.572522500064224</v>
      </c>
    </row>
    <row r="105" spans="1:29" x14ac:dyDescent="0.3">
      <c r="A105" t="s">
        <v>22</v>
      </c>
      <c r="B105">
        <v>1139</v>
      </c>
      <c r="C105" t="s">
        <v>23</v>
      </c>
      <c r="D105" t="s">
        <v>43</v>
      </c>
      <c r="E105" t="s">
        <v>25</v>
      </c>
      <c r="F105" t="s">
        <v>26</v>
      </c>
      <c r="G105" t="s">
        <v>60</v>
      </c>
      <c r="H105" s="1">
        <v>44943.474444444444</v>
      </c>
      <c r="I105" s="1">
        <v>44944.474444444444</v>
      </c>
      <c r="J105" s="1">
        <v>44943.47583333333</v>
      </c>
      <c r="K105" s="2">
        <v>44943.477212905091</v>
      </c>
      <c r="L105" t="s">
        <v>38</v>
      </c>
      <c r="M105" s="2">
        <v>44943.977050995367</v>
      </c>
      <c r="N105" t="s">
        <v>28</v>
      </c>
      <c r="O105" s="2">
        <v>44944.878977789354</v>
      </c>
      <c r="P105">
        <v>6</v>
      </c>
      <c r="Q105">
        <v>1</v>
      </c>
      <c r="R105" t="s">
        <v>29</v>
      </c>
      <c r="S105" t="s">
        <v>30</v>
      </c>
      <c r="T105" t="s">
        <v>41</v>
      </c>
      <c r="U105">
        <v>43.036776000000003</v>
      </c>
      <c r="V105">
        <v>12.678565000000001</v>
      </c>
      <c r="W105" t="str">
        <f t="shared" si="7"/>
        <v>ok</v>
      </c>
      <c r="X105" t="str">
        <f t="shared" si="12"/>
        <v>ok</v>
      </c>
      <c r="Y105" t="str">
        <f t="shared" si="8"/>
        <v>ok</v>
      </c>
      <c r="Z105" t="str">
        <f t="shared" si="9"/>
        <v>ok</v>
      </c>
      <c r="AA105" s="4" t="str">
        <f t="shared" si="10"/>
        <v>ok</v>
      </c>
      <c r="AB105" s="4" t="str">
        <f t="shared" si="11"/>
        <v>ok</v>
      </c>
      <c r="AC105" s="6">
        <f t="shared" si="13"/>
        <v>12.062557222147007</v>
      </c>
    </row>
    <row r="106" spans="1:29" x14ac:dyDescent="0.3">
      <c r="A106" t="s">
        <v>42</v>
      </c>
      <c r="B106">
        <v>1140</v>
      </c>
      <c r="C106" t="s">
        <v>23</v>
      </c>
      <c r="D106" t="s">
        <v>43</v>
      </c>
      <c r="E106" t="s">
        <v>44</v>
      </c>
      <c r="F106" t="s">
        <v>26</v>
      </c>
      <c r="G106" t="s">
        <v>49</v>
      </c>
      <c r="H106" s="1">
        <v>44943.585706018515</v>
      </c>
      <c r="I106" s="1">
        <v>44944.585706018515</v>
      </c>
      <c r="J106" s="1">
        <v>44943.587094907409</v>
      </c>
      <c r="K106" s="2">
        <v>44943.585963391204</v>
      </c>
      <c r="L106" t="s">
        <v>28</v>
      </c>
      <c r="M106" s="2">
        <v>44949.344640729163</v>
      </c>
      <c r="N106" t="s">
        <v>38</v>
      </c>
      <c r="P106">
        <v>6</v>
      </c>
      <c r="R106" t="s">
        <v>55</v>
      </c>
      <c r="S106" t="s">
        <v>30</v>
      </c>
      <c r="T106" t="s">
        <v>53</v>
      </c>
      <c r="U106">
        <v>39.368279000000001</v>
      </c>
      <c r="V106">
        <v>21.863140999999999</v>
      </c>
      <c r="W106" t="str">
        <f t="shared" si="7"/>
        <v>ok</v>
      </c>
      <c r="X106" t="str">
        <f t="shared" si="12"/>
        <v>ok</v>
      </c>
      <c r="Y106" t="str">
        <f t="shared" si="8"/>
        <v>ok</v>
      </c>
      <c r="Z106" t="str">
        <f t="shared" si="9"/>
        <v>ok</v>
      </c>
      <c r="AA106" s="4" t="str">
        <f t="shared" si="10"/>
        <v>ok</v>
      </c>
      <c r="AB106" s="4" t="str">
        <f t="shared" si="11"/>
        <v>ok</v>
      </c>
      <c r="AC106" s="6">
        <f t="shared" si="13"/>
        <v>138.21443305554567</v>
      </c>
    </row>
    <row r="107" spans="1:29" x14ac:dyDescent="0.3">
      <c r="A107" t="s">
        <v>42</v>
      </c>
      <c r="B107">
        <v>1141</v>
      </c>
      <c r="C107" t="s">
        <v>23</v>
      </c>
      <c r="D107" t="s">
        <v>43</v>
      </c>
      <c r="E107" t="s">
        <v>39</v>
      </c>
      <c r="F107" t="s">
        <v>26</v>
      </c>
      <c r="G107" t="s">
        <v>60</v>
      </c>
      <c r="H107" s="1">
        <v>44943.002847222226</v>
      </c>
      <c r="I107" s="1">
        <v>44944.002847222226</v>
      </c>
      <c r="J107" s="1">
        <v>44943.004236111112</v>
      </c>
      <c r="K107" s="2">
        <v>44943.003115370368</v>
      </c>
      <c r="L107" t="s">
        <v>28</v>
      </c>
      <c r="M107" s="2">
        <v>44944.225129953702</v>
      </c>
      <c r="N107" t="s">
        <v>38</v>
      </c>
      <c r="P107">
        <v>3</v>
      </c>
      <c r="R107" t="s">
        <v>50</v>
      </c>
      <c r="S107" t="s">
        <v>30</v>
      </c>
      <c r="T107" t="s">
        <v>57</v>
      </c>
      <c r="U107">
        <v>51.165691000000002</v>
      </c>
      <c r="V107">
        <v>10.451525999999999</v>
      </c>
      <c r="W107" t="str">
        <f t="shared" si="7"/>
        <v>ok</v>
      </c>
      <c r="X107" t="str">
        <f t="shared" si="12"/>
        <v>ok</v>
      </c>
      <c r="Y107" t="str">
        <f t="shared" si="8"/>
        <v>ok</v>
      </c>
      <c r="Z107" t="str">
        <f t="shared" si="9"/>
        <v>ok</v>
      </c>
      <c r="AA107" s="4" t="str">
        <f t="shared" si="10"/>
        <v>ok</v>
      </c>
      <c r="AB107" s="4" t="str">
        <f t="shared" si="11"/>
        <v>ok</v>
      </c>
      <c r="AC107" s="6">
        <f t="shared" si="13"/>
        <v>29.334785555431154</v>
      </c>
    </row>
    <row r="108" spans="1:29" x14ac:dyDescent="0.3">
      <c r="A108" t="s">
        <v>22</v>
      </c>
      <c r="B108">
        <v>1142</v>
      </c>
      <c r="C108" t="s">
        <v>23</v>
      </c>
      <c r="D108" t="s">
        <v>24</v>
      </c>
      <c r="E108" t="s">
        <v>48</v>
      </c>
      <c r="F108" t="s">
        <v>26</v>
      </c>
      <c r="G108" t="s">
        <v>60</v>
      </c>
      <c r="H108" s="1">
        <v>44943.696099537039</v>
      </c>
      <c r="I108" s="1">
        <v>44945.696099537039</v>
      </c>
      <c r="J108" s="1">
        <v>44943.737766203703</v>
      </c>
      <c r="K108" s="2">
        <v>44943.70855585648</v>
      </c>
      <c r="L108" t="s">
        <v>28</v>
      </c>
      <c r="M108" s="2">
        <v>44944.813774826391</v>
      </c>
      <c r="N108" t="s">
        <v>28</v>
      </c>
      <c r="O108" s="2">
        <v>44948.684642395834</v>
      </c>
      <c r="P108">
        <v>5</v>
      </c>
      <c r="Q108">
        <v>1</v>
      </c>
      <c r="R108" t="s">
        <v>50</v>
      </c>
      <c r="S108" t="s">
        <v>30</v>
      </c>
      <c r="T108" t="s">
        <v>53</v>
      </c>
      <c r="U108">
        <v>39.368279000000001</v>
      </c>
      <c r="V108">
        <v>21.863140999999999</v>
      </c>
      <c r="W108" t="str">
        <f t="shared" si="7"/>
        <v>ok</v>
      </c>
      <c r="X108" t="str">
        <f t="shared" si="12"/>
        <v>ok</v>
      </c>
      <c r="Y108" t="str">
        <f t="shared" si="8"/>
        <v>ok</v>
      </c>
      <c r="Z108" t="str">
        <f t="shared" si="9"/>
        <v>ok</v>
      </c>
      <c r="AA108" s="4" t="str">
        <f t="shared" si="10"/>
        <v>ok</v>
      </c>
      <c r="AB108" s="4" t="str">
        <f t="shared" si="11"/>
        <v>ok</v>
      </c>
      <c r="AC108" s="6">
        <f t="shared" si="13"/>
        <v>26.824206944438629</v>
      </c>
    </row>
    <row r="109" spans="1:29" x14ac:dyDescent="0.3">
      <c r="A109" t="s">
        <v>42</v>
      </c>
      <c r="B109">
        <v>1143</v>
      </c>
      <c r="C109" t="s">
        <v>23</v>
      </c>
      <c r="D109" t="s">
        <v>24</v>
      </c>
      <c r="E109" t="s">
        <v>39</v>
      </c>
      <c r="F109" t="s">
        <v>36</v>
      </c>
      <c r="G109" t="s">
        <v>37</v>
      </c>
      <c r="H109" s="1">
        <v>44943.980405092596</v>
      </c>
      <c r="I109" s="1">
        <v>44945.980405092596</v>
      </c>
      <c r="J109" s="1">
        <v>44944.02207175926</v>
      </c>
      <c r="K109" s="2">
        <v>44944.013830937503</v>
      </c>
      <c r="L109" t="s">
        <v>28</v>
      </c>
      <c r="M109" s="2">
        <v>44944.056053877313</v>
      </c>
      <c r="N109" t="s">
        <v>28</v>
      </c>
      <c r="P109">
        <v>2</v>
      </c>
      <c r="R109" t="s">
        <v>55</v>
      </c>
      <c r="S109" t="s">
        <v>40</v>
      </c>
      <c r="T109" t="s">
        <v>31</v>
      </c>
      <c r="U109">
        <v>53.094023999999997</v>
      </c>
      <c r="V109">
        <v>-8.0196749999999994</v>
      </c>
      <c r="W109" t="str">
        <f t="shared" si="7"/>
        <v>ok</v>
      </c>
      <c r="X109" t="str">
        <f t="shared" si="12"/>
        <v>ok</v>
      </c>
      <c r="Y109" t="str">
        <f t="shared" si="8"/>
        <v>ok</v>
      </c>
      <c r="Z109" t="str">
        <f t="shared" si="9"/>
        <v>ok</v>
      </c>
      <c r="AA109" s="4" t="str">
        <f t="shared" si="10"/>
        <v>ok</v>
      </c>
      <c r="AB109" s="4" t="str">
        <f t="shared" si="11"/>
        <v>ok</v>
      </c>
      <c r="AC109" s="6">
        <f t="shared" si="13"/>
        <v>1.8155708332196809</v>
      </c>
    </row>
    <row r="110" spans="1:29" x14ac:dyDescent="0.3">
      <c r="A110" t="s">
        <v>22</v>
      </c>
      <c r="B110">
        <v>1144</v>
      </c>
      <c r="C110" t="s">
        <v>23</v>
      </c>
      <c r="D110" t="s">
        <v>24</v>
      </c>
      <c r="E110" t="s">
        <v>48</v>
      </c>
      <c r="F110" t="s">
        <v>26</v>
      </c>
      <c r="G110" t="s">
        <v>60</v>
      </c>
      <c r="H110" s="1">
        <v>44943.975601851853</v>
      </c>
      <c r="I110" s="1">
        <v>44945.975601851853</v>
      </c>
      <c r="J110" s="1">
        <v>44944.017268518517</v>
      </c>
      <c r="K110" s="2">
        <v>44944.017185960649</v>
      </c>
      <c r="L110" t="s">
        <v>28</v>
      </c>
      <c r="M110" s="2">
        <v>44944.784666712963</v>
      </c>
      <c r="N110" t="s">
        <v>28</v>
      </c>
      <c r="O110" s="2">
        <v>44950.493269999999</v>
      </c>
      <c r="P110">
        <v>9</v>
      </c>
      <c r="Q110">
        <v>4</v>
      </c>
      <c r="R110" t="s">
        <v>50</v>
      </c>
      <c r="S110" t="s">
        <v>30</v>
      </c>
      <c r="T110" t="s">
        <v>31</v>
      </c>
      <c r="U110">
        <v>53.094023999999997</v>
      </c>
      <c r="V110">
        <v>-8.0196749999999994</v>
      </c>
      <c r="W110" t="str">
        <f t="shared" si="7"/>
        <v>ok</v>
      </c>
      <c r="X110" t="str">
        <f t="shared" si="12"/>
        <v>ok</v>
      </c>
      <c r="Y110" t="str">
        <f t="shared" si="8"/>
        <v>ok</v>
      </c>
      <c r="Z110" t="str">
        <f t="shared" si="9"/>
        <v>ok</v>
      </c>
      <c r="AA110" s="4" t="str">
        <f t="shared" si="10"/>
        <v>ok</v>
      </c>
      <c r="AB110" s="4" t="str">
        <f t="shared" si="11"/>
        <v>ok</v>
      </c>
      <c r="AC110" s="6">
        <f t="shared" si="13"/>
        <v>19.417556666652672</v>
      </c>
    </row>
    <row r="111" spans="1:29" x14ac:dyDescent="0.3">
      <c r="A111" t="s">
        <v>42</v>
      </c>
      <c r="B111">
        <v>1145</v>
      </c>
      <c r="C111" t="s">
        <v>47</v>
      </c>
      <c r="D111" t="s">
        <v>24</v>
      </c>
      <c r="E111" t="s">
        <v>35</v>
      </c>
      <c r="F111" t="s">
        <v>26</v>
      </c>
      <c r="G111" t="s">
        <v>60</v>
      </c>
      <c r="H111" s="1">
        <v>44943.661215277774</v>
      </c>
      <c r="I111" s="1">
        <v>44945.661215277774</v>
      </c>
      <c r="J111" s="1">
        <v>44943.702881944446</v>
      </c>
      <c r="K111" s="2">
        <v>44943.687007326385</v>
      </c>
      <c r="L111" t="s">
        <v>28</v>
      </c>
      <c r="M111" s="2">
        <v>44944.497211574075</v>
      </c>
      <c r="N111" t="s">
        <v>28</v>
      </c>
      <c r="P111">
        <v>1</v>
      </c>
      <c r="R111" t="s">
        <v>50</v>
      </c>
      <c r="S111" t="s">
        <v>30</v>
      </c>
      <c r="T111" t="s">
        <v>66</v>
      </c>
      <c r="U111">
        <v>48.864716000000001</v>
      </c>
      <c r="V111">
        <v>2.3490139999999999</v>
      </c>
      <c r="W111" t="str">
        <f t="shared" si="7"/>
        <v>ok</v>
      </c>
      <c r="X111" t="str">
        <f t="shared" si="12"/>
        <v>ok</v>
      </c>
      <c r="Y111" t="str">
        <f t="shared" si="8"/>
        <v>ok</v>
      </c>
      <c r="Z111" t="str">
        <f t="shared" si="9"/>
        <v>ok</v>
      </c>
      <c r="AA111" s="4" t="str">
        <f t="shared" si="10"/>
        <v>ok</v>
      </c>
      <c r="AB111" s="4" t="str">
        <f t="shared" si="11"/>
        <v>ok</v>
      </c>
      <c r="AC111" s="6">
        <f t="shared" si="13"/>
        <v>20.063911111210473</v>
      </c>
    </row>
    <row r="112" spans="1:29" x14ac:dyDescent="0.3">
      <c r="A112" t="s">
        <v>22</v>
      </c>
      <c r="B112">
        <v>1146</v>
      </c>
      <c r="C112" t="s">
        <v>23</v>
      </c>
      <c r="D112" t="s">
        <v>24</v>
      </c>
      <c r="E112" t="s">
        <v>48</v>
      </c>
      <c r="F112" t="s">
        <v>36</v>
      </c>
      <c r="G112" t="s">
        <v>37</v>
      </c>
      <c r="H112" s="1">
        <v>44944.084953703707</v>
      </c>
      <c r="I112" s="1">
        <v>44946.084953703707</v>
      </c>
      <c r="J112" s="1">
        <v>44944.126620370371</v>
      </c>
      <c r="K112" s="2">
        <v>44944.112245717595</v>
      </c>
      <c r="L112" t="s">
        <v>28</v>
      </c>
      <c r="M112" s="2">
        <v>44945.301149942126</v>
      </c>
      <c r="N112" t="s">
        <v>28</v>
      </c>
      <c r="O112" s="2">
        <v>44946.136584872685</v>
      </c>
      <c r="P112">
        <v>8</v>
      </c>
      <c r="Q112">
        <v>3</v>
      </c>
      <c r="R112" t="s">
        <v>50</v>
      </c>
      <c r="S112" t="s">
        <v>40</v>
      </c>
      <c r="T112" t="s">
        <v>41</v>
      </c>
      <c r="U112">
        <v>43.036776000000003</v>
      </c>
      <c r="V112">
        <v>12.678565000000001</v>
      </c>
      <c r="W112" t="str">
        <f t="shared" si="7"/>
        <v>ok</v>
      </c>
      <c r="X112" t="str">
        <f t="shared" si="12"/>
        <v>ok</v>
      </c>
      <c r="Y112" t="str">
        <f t="shared" si="8"/>
        <v>ok</v>
      </c>
      <c r="Z112" t="str">
        <f t="shared" si="9"/>
        <v>ok</v>
      </c>
      <c r="AA112" s="4" t="str">
        <f t="shared" si="10"/>
        <v>ok</v>
      </c>
      <c r="AB112" s="4" t="str">
        <f t="shared" si="11"/>
        <v>ok</v>
      </c>
      <c r="AC112" s="6">
        <f t="shared" si="13"/>
        <v>29.188709722075146</v>
      </c>
    </row>
    <row r="113" spans="1:29" x14ac:dyDescent="0.3">
      <c r="A113" t="s">
        <v>22</v>
      </c>
      <c r="B113">
        <v>1147</v>
      </c>
      <c r="C113" t="s">
        <v>23</v>
      </c>
      <c r="D113" t="s">
        <v>24</v>
      </c>
      <c r="E113" t="s">
        <v>35</v>
      </c>
      <c r="F113" t="s">
        <v>26</v>
      </c>
      <c r="G113" t="s">
        <v>52</v>
      </c>
      <c r="H113" s="1">
        <v>44944.457962962966</v>
      </c>
      <c r="I113" s="1">
        <v>44946.457962962966</v>
      </c>
      <c r="J113" s="1">
        <v>44944.49962962963</v>
      </c>
      <c r="K113" s="2">
        <v>44944.738326724539</v>
      </c>
      <c r="L113" t="s">
        <v>38</v>
      </c>
      <c r="M113" s="2">
        <v>44945.992061192126</v>
      </c>
      <c r="N113" t="s">
        <v>28</v>
      </c>
      <c r="O113" s="2">
        <v>44947.215560775461</v>
      </c>
      <c r="P113">
        <v>1</v>
      </c>
      <c r="Q113">
        <v>3</v>
      </c>
      <c r="R113" t="s">
        <v>29</v>
      </c>
      <c r="S113" t="s">
        <v>30</v>
      </c>
      <c r="T113" t="s">
        <v>57</v>
      </c>
      <c r="U113">
        <v>51.165691000000002</v>
      </c>
      <c r="V113">
        <v>10.451525999999999</v>
      </c>
      <c r="W113" t="str">
        <f t="shared" si="7"/>
        <v>ok</v>
      </c>
      <c r="X113" t="str">
        <f t="shared" si="12"/>
        <v>ok</v>
      </c>
      <c r="Y113" t="str">
        <f t="shared" si="8"/>
        <v>ok</v>
      </c>
      <c r="Z113" t="str">
        <f t="shared" si="9"/>
        <v>ok</v>
      </c>
      <c r="AA113" s="4" t="str">
        <f t="shared" si="10"/>
        <v>ok</v>
      </c>
      <c r="AB113" s="4" t="str">
        <f t="shared" si="11"/>
        <v>ok</v>
      </c>
      <c r="AC113" s="6">
        <f t="shared" si="13"/>
        <v>36.818357499840204</v>
      </c>
    </row>
    <row r="114" spans="1:29" x14ac:dyDescent="0.3">
      <c r="A114" t="s">
        <v>22</v>
      </c>
      <c r="B114">
        <v>1148</v>
      </c>
      <c r="C114" t="s">
        <v>23</v>
      </c>
      <c r="D114" t="s">
        <v>24</v>
      </c>
      <c r="E114" t="s">
        <v>48</v>
      </c>
      <c r="F114" t="s">
        <v>26</v>
      </c>
      <c r="G114" t="s">
        <v>52</v>
      </c>
      <c r="H114" s="1">
        <v>44944.374606481484</v>
      </c>
      <c r="I114" s="1">
        <v>44946.374606481484</v>
      </c>
      <c r="J114" s="1">
        <v>44944.416273148148</v>
      </c>
      <c r="K114" s="2">
        <v>44944.387994837962</v>
      </c>
      <c r="L114" t="s">
        <v>28</v>
      </c>
      <c r="M114" s="2">
        <v>44945.196406805553</v>
      </c>
      <c r="N114" t="s">
        <v>28</v>
      </c>
      <c r="O114" s="2">
        <v>44950.400735405092</v>
      </c>
      <c r="P114">
        <v>4</v>
      </c>
      <c r="Q114">
        <v>3</v>
      </c>
      <c r="R114" t="s">
        <v>50</v>
      </c>
      <c r="S114" t="s">
        <v>30</v>
      </c>
      <c r="T114" t="s">
        <v>41</v>
      </c>
      <c r="U114">
        <v>43.036776000000003</v>
      </c>
      <c r="V114">
        <v>12.678565000000001</v>
      </c>
      <c r="W114" t="str">
        <f t="shared" si="7"/>
        <v>ok</v>
      </c>
      <c r="X114" t="str">
        <f t="shared" si="12"/>
        <v>ok</v>
      </c>
      <c r="Y114" t="str">
        <f t="shared" si="8"/>
        <v>ok</v>
      </c>
      <c r="Z114" t="str">
        <f t="shared" si="9"/>
        <v>ok</v>
      </c>
      <c r="AA114" s="4" t="str">
        <f t="shared" si="10"/>
        <v>ok</v>
      </c>
      <c r="AB114" s="4" t="str">
        <f t="shared" si="11"/>
        <v>ok</v>
      </c>
      <c r="AC114" s="6">
        <f t="shared" si="13"/>
        <v>19.72320777765708</v>
      </c>
    </row>
    <row r="115" spans="1:29" x14ac:dyDescent="0.3">
      <c r="A115" t="s">
        <v>32</v>
      </c>
      <c r="B115">
        <v>1149</v>
      </c>
      <c r="C115" t="s">
        <v>23</v>
      </c>
      <c r="D115" t="s">
        <v>34</v>
      </c>
      <c r="E115" t="s">
        <v>25</v>
      </c>
      <c r="F115" t="s">
        <v>26</v>
      </c>
      <c r="G115" t="s">
        <v>52</v>
      </c>
      <c r="H115" s="1">
        <v>44944.118622685186</v>
      </c>
      <c r="I115" s="1">
        <v>44946.118622685186</v>
      </c>
      <c r="J115" s="1">
        <v>44944.120011574072</v>
      </c>
      <c r="K115" s="2">
        <v>44944.119548993054</v>
      </c>
      <c r="L115" t="s">
        <v>28</v>
      </c>
      <c r="N115" t="s">
        <v>38</v>
      </c>
      <c r="P115">
        <v>1</v>
      </c>
      <c r="R115" t="s">
        <v>29</v>
      </c>
      <c r="S115" t="s">
        <v>30</v>
      </c>
      <c r="T115" t="s">
        <v>41</v>
      </c>
      <c r="U115">
        <v>43.036776000000003</v>
      </c>
      <c r="V115">
        <v>12.678565000000001</v>
      </c>
      <c r="W115" t="str">
        <f t="shared" si="7"/>
        <v>ok</v>
      </c>
      <c r="X115" t="str">
        <f t="shared" si="12"/>
        <v>ok</v>
      </c>
      <c r="Y115" t="str">
        <f t="shared" si="8"/>
        <v>ok</v>
      </c>
      <c r="Z115" t="str">
        <f t="shared" si="9"/>
        <v>ok</v>
      </c>
      <c r="AA115" s="4" t="str">
        <f t="shared" si="10"/>
        <v>ok</v>
      </c>
      <c r="AB115" s="4" t="str">
        <f t="shared" si="11"/>
        <v>no resolution</v>
      </c>
      <c r="AC115" s="6" t="str">
        <f t="shared" si="13"/>
        <v/>
      </c>
    </row>
    <row r="116" spans="1:29" x14ac:dyDescent="0.3">
      <c r="A116" t="s">
        <v>22</v>
      </c>
      <c r="B116">
        <v>1150</v>
      </c>
      <c r="C116" t="s">
        <v>23</v>
      </c>
      <c r="D116" t="s">
        <v>24</v>
      </c>
      <c r="E116" t="s">
        <v>44</v>
      </c>
      <c r="F116" t="s">
        <v>26</v>
      </c>
      <c r="G116" t="s">
        <v>27</v>
      </c>
      <c r="H116" s="1">
        <v>44944.138495370367</v>
      </c>
      <c r="I116" s="1">
        <v>44946.138495370367</v>
      </c>
      <c r="J116" s="1">
        <v>44944.180162037039</v>
      </c>
      <c r="K116" s="2">
        <v>44944.151308831017</v>
      </c>
      <c r="L116" t="s">
        <v>28</v>
      </c>
      <c r="M116" s="2">
        <v>44945.841374571763</v>
      </c>
      <c r="N116" t="s">
        <v>28</v>
      </c>
      <c r="O116" s="2">
        <v>44950.161231435188</v>
      </c>
      <c r="P116">
        <v>3</v>
      </c>
      <c r="Q116">
        <v>1</v>
      </c>
      <c r="R116" t="s">
        <v>39</v>
      </c>
      <c r="S116" t="s">
        <v>30</v>
      </c>
      <c r="T116" t="s">
        <v>65</v>
      </c>
      <c r="U116">
        <v>46.149166399999999</v>
      </c>
      <c r="V116">
        <v>14.9860106</v>
      </c>
      <c r="W116" t="str">
        <f t="shared" si="7"/>
        <v>ok</v>
      </c>
      <c r="X116" t="str">
        <f t="shared" si="12"/>
        <v>ok</v>
      </c>
      <c r="Y116" t="str">
        <f t="shared" si="8"/>
        <v>ok</v>
      </c>
      <c r="Z116" t="str">
        <f t="shared" si="9"/>
        <v>ok</v>
      </c>
      <c r="AA116" s="4" t="str">
        <f t="shared" si="10"/>
        <v>ok</v>
      </c>
      <c r="AB116" s="4" t="str">
        <f t="shared" si="11"/>
        <v>ok</v>
      </c>
      <c r="AC116" s="6">
        <f t="shared" si="13"/>
        <v>40.8691008334863</v>
      </c>
    </row>
    <row r="117" spans="1:29" x14ac:dyDescent="0.3">
      <c r="A117" t="s">
        <v>22</v>
      </c>
      <c r="B117">
        <v>1151</v>
      </c>
      <c r="C117" t="s">
        <v>33</v>
      </c>
      <c r="D117" t="s">
        <v>43</v>
      </c>
      <c r="E117" t="s">
        <v>35</v>
      </c>
      <c r="F117" t="s">
        <v>26</v>
      </c>
      <c r="G117" t="s">
        <v>60</v>
      </c>
      <c r="H117" s="1">
        <v>44944.283831018518</v>
      </c>
      <c r="I117" s="1">
        <v>44945.283831018518</v>
      </c>
      <c r="J117" s="1">
        <v>44944.285219907404</v>
      </c>
      <c r="K117" s="2">
        <v>44944.2849722338</v>
      </c>
      <c r="L117" t="s">
        <v>28</v>
      </c>
      <c r="M117" s="2">
        <v>44944.335890115741</v>
      </c>
      <c r="N117" t="s">
        <v>28</v>
      </c>
      <c r="O117" s="2">
        <v>44949.169300486108</v>
      </c>
      <c r="P117">
        <v>7</v>
      </c>
      <c r="Q117">
        <v>2</v>
      </c>
      <c r="R117" t="s">
        <v>50</v>
      </c>
      <c r="S117" t="s">
        <v>30</v>
      </c>
      <c r="T117" t="s">
        <v>63</v>
      </c>
      <c r="U117">
        <v>55.378051999999997</v>
      </c>
      <c r="V117">
        <v>-3.4359730000000002</v>
      </c>
      <c r="W117" t="str">
        <f t="shared" si="7"/>
        <v>ok</v>
      </c>
      <c r="X117" t="str">
        <f t="shared" si="12"/>
        <v>ok</v>
      </c>
      <c r="Y117" t="str">
        <f t="shared" si="8"/>
        <v>ok</v>
      </c>
      <c r="Z117" t="str">
        <f t="shared" si="9"/>
        <v>ok</v>
      </c>
      <c r="AA117" s="4" t="str">
        <f t="shared" si="10"/>
        <v>ok</v>
      </c>
      <c r="AB117" s="4" t="str">
        <f t="shared" si="11"/>
        <v>ok</v>
      </c>
      <c r="AC117" s="6">
        <f t="shared" si="13"/>
        <v>1.2494183333474211</v>
      </c>
    </row>
    <row r="118" spans="1:29" x14ac:dyDescent="0.3">
      <c r="A118" t="s">
        <v>22</v>
      </c>
      <c r="B118">
        <v>1152</v>
      </c>
      <c r="C118" t="s">
        <v>47</v>
      </c>
      <c r="D118" t="s">
        <v>34</v>
      </c>
      <c r="E118" t="s">
        <v>48</v>
      </c>
      <c r="F118" t="s">
        <v>36</v>
      </c>
      <c r="G118" t="s">
        <v>37</v>
      </c>
      <c r="H118" s="1">
        <v>44944.065601851849</v>
      </c>
      <c r="I118" s="1">
        <v>44946.065601851849</v>
      </c>
      <c r="J118" s="1">
        <v>44944.066990740743</v>
      </c>
      <c r="K118" s="2">
        <v>44944.122746875</v>
      </c>
      <c r="L118" t="s">
        <v>38</v>
      </c>
      <c r="M118" s="2">
        <v>44944.556998506945</v>
      </c>
      <c r="N118" t="s">
        <v>28</v>
      </c>
      <c r="O118" s="2">
        <v>44947.111350567131</v>
      </c>
      <c r="P118">
        <v>4</v>
      </c>
      <c r="Q118">
        <v>3</v>
      </c>
      <c r="R118" t="s">
        <v>50</v>
      </c>
      <c r="S118" t="s">
        <v>40</v>
      </c>
      <c r="T118" t="s">
        <v>61</v>
      </c>
      <c r="U118">
        <v>42.724992499999999</v>
      </c>
      <c r="V118">
        <v>25.483303899999999</v>
      </c>
      <c r="W118" t="str">
        <f t="shared" si="7"/>
        <v>ok</v>
      </c>
      <c r="X118" t="str">
        <f t="shared" si="12"/>
        <v>ok</v>
      </c>
      <c r="Y118" t="str">
        <f t="shared" si="8"/>
        <v>ok</v>
      </c>
      <c r="Z118" t="str">
        <f t="shared" si="9"/>
        <v>ok</v>
      </c>
      <c r="AA118" s="4" t="str">
        <f t="shared" si="10"/>
        <v>ok</v>
      </c>
      <c r="AB118" s="4" t="str">
        <f t="shared" si="11"/>
        <v>ok</v>
      </c>
      <c r="AC118" s="6">
        <f t="shared" si="13"/>
        <v>11.793519722297788</v>
      </c>
    </row>
    <row r="119" spans="1:29" x14ac:dyDescent="0.3">
      <c r="A119" t="s">
        <v>22</v>
      </c>
      <c r="B119">
        <v>1153</v>
      </c>
      <c r="C119" t="s">
        <v>47</v>
      </c>
      <c r="D119" t="s">
        <v>43</v>
      </c>
      <c r="E119" t="s">
        <v>44</v>
      </c>
      <c r="F119" t="s">
        <v>36</v>
      </c>
      <c r="G119" t="s">
        <v>54</v>
      </c>
      <c r="H119" s="1">
        <v>44944.096296296295</v>
      </c>
      <c r="I119" s="1">
        <v>44945.096296296295</v>
      </c>
      <c r="J119" s="1">
        <v>44944.097685185188</v>
      </c>
      <c r="K119" s="2">
        <v>44944.097659999999</v>
      </c>
      <c r="L119" t="s">
        <v>28</v>
      </c>
      <c r="M119" s="2">
        <v>44945.033743067128</v>
      </c>
      <c r="N119" t="s">
        <v>28</v>
      </c>
      <c r="O119" s="2">
        <v>44950.803569189811</v>
      </c>
      <c r="P119">
        <v>6</v>
      </c>
      <c r="Q119">
        <v>4</v>
      </c>
      <c r="R119" t="s">
        <v>50</v>
      </c>
      <c r="S119" t="s">
        <v>40</v>
      </c>
      <c r="T119" t="s">
        <v>57</v>
      </c>
      <c r="U119">
        <v>51.165691000000002</v>
      </c>
      <c r="V119">
        <v>10.451525999999999</v>
      </c>
      <c r="W119" t="str">
        <f t="shared" si="7"/>
        <v>ok</v>
      </c>
      <c r="X119" t="str">
        <f t="shared" si="12"/>
        <v>ok</v>
      </c>
      <c r="Y119" t="str">
        <f t="shared" si="8"/>
        <v>ok</v>
      </c>
      <c r="Z119" t="str">
        <f t="shared" si="9"/>
        <v>ok</v>
      </c>
      <c r="AA119" s="4" t="str">
        <f t="shared" si="10"/>
        <v>ok</v>
      </c>
      <c r="AB119" s="4" t="str">
        <f t="shared" si="11"/>
        <v>ok</v>
      </c>
      <c r="AC119" s="6">
        <f t="shared" si="13"/>
        <v>22.498722499993164</v>
      </c>
    </row>
    <row r="120" spans="1:29" x14ac:dyDescent="0.3">
      <c r="A120" t="s">
        <v>42</v>
      </c>
      <c r="B120">
        <v>1154</v>
      </c>
      <c r="C120" t="s">
        <v>23</v>
      </c>
      <c r="D120" t="s">
        <v>24</v>
      </c>
      <c r="E120" t="s">
        <v>48</v>
      </c>
      <c r="F120" t="s">
        <v>26</v>
      </c>
      <c r="G120" t="s">
        <v>27</v>
      </c>
      <c r="H120" s="1">
        <v>44944.309513888889</v>
      </c>
      <c r="I120" s="1">
        <v>44946.309513888889</v>
      </c>
      <c r="J120" s="1">
        <v>44944.351180555554</v>
      </c>
      <c r="K120" s="2">
        <v>44944.350695960646</v>
      </c>
      <c r="L120" t="s">
        <v>28</v>
      </c>
      <c r="M120" s="2">
        <v>44945.635106817128</v>
      </c>
      <c r="N120" t="s">
        <v>28</v>
      </c>
      <c r="P120">
        <v>2</v>
      </c>
      <c r="R120" t="s">
        <v>39</v>
      </c>
      <c r="S120" t="s">
        <v>30</v>
      </c>
      <c r="T120" t="s">
        <v>41</v>
      </c>
      <c r="U120">
        <v>43.036776000000003</v>
      </c>
      <c r="V120">
        <v>12.678565000000001</v>
      </c>
      <c r="W120" t="str">
        <f t="shared" si="7"/>
        <v>ok</v>
      </c>
      <c r="X120" t="str">
        <f t="shared" si="12"/>
        <v>ok</v>
      </c>
      <c r="Y120" t="str">
        <f t="shared" si="8"/>
        <v>ok</v>
      </c>
      <c r="Z120" t="str">
        <f t="shared" si="9"/>
        <v>ok</v>
      </c>
      <c r="AA120" s="4" t="str">
        <f t="shared" si="10"/>
        <v>ok</v>
      </c>
      <c r="AB120" s="4" t="str">
        <f t="shared" si="11"/>
        <v>ok</v>
      </c>
      <c r="AC120" s="6">
        <f t="shared" si="13"/>
        <v>31.814230277726892</v>
      </c>
    </row>
    <row r="121" spans="1:29" x14ac:dyDescent="0.3">
      <c r="A121" t="s">
        <v>22</v>
      </c>
      <c r="B121">
        <v>1155</v>
      </c>
      <c r="C121" t="s">
        <v>47</v>
      </c>
      <c r="D121" t="s">
        <v>43</v>
      </c>
      <c r="E121" t="s">
        <v>25</v>
      </c>
      <c r="F121" t="s">
        <v>36</v>
      </c>
      <c r="G121" t="s">
        <v>54</v>
      </c>
      <c r="H121" s="1">
        <v>44944.643877314818</v>
      </c>
      <c r="I121" s="1">
        <v>44945.643877314818</v>
      </c>
      <c r="J121" s="1">
        <v>44944.645266203705</v>
      </c>
      <c r="K121" s="2">
        <v>44944.643893460649</v>
      </c>
      <c r="L121" t="s">
        <v>28</v>
      </c>
      <c r="M121" s="2">
        <v>44945.42440650463</v>
      </c>
      <c r="N121" t="s">
        <v>28</v>
      </c>
      <c r="O121" s="2">
        <v>44947.023376909725</v>
      </c>
      <c r="P121">
        <v>6</v>
      </c>
      <c r="Q121">
        <v>3</v>
      </c>
      <c r="R121" t="s">
        <v>29</v>
      </c>
      <c r="S121" t="s">
        <v>40</v>
      </c>
      <c r="T121" t="s">
        <v>63</v>
      </c>
      <c r="U121">
        <v>55.378051999999997</v>
      </c>
      <c r="V121">
        <v>-3.4359730000000002</v>
      </c>
      <c r="W121" t="str">
        <f t="shared" si="7"/>
        <v>ok</v>
      </c>
      <c r="X121" t="str">
        <f t="shared" si="12"/>
        <v>ok</v>
      </c>
      <c r="Y121" t="str">
        <f t="shared" si="8"/>
        <v>ok</v>
      </c>
      <c r="Z121" t="str">
        <f t="shared" si="9"/>
        <v>ok</v>
      </c>
      <c r="AA121" s="4" t="str">
        <f t="shared" si="10"/>
        <v>ok</v>
      </c>
      <c r="AB121" s="4" t="str">
        <f t="shared" si="11"/>
        <v>ok</v>
      </c>
      <c r="AC121" s="6">
        <f t="shared" si="13"/>
        <v>18.732700555468909</v>
      </c>
    </row>
    <row r="122" spans="1:29" x14ac:dyDescent="0.3">
      <c r="A122" t="s">
        <v>42</v>
      </c>
      <c r="B122">
        <v>1156</v>
      </c>
      <c r="C122" t="s">
        <v>47</v>
      </c>
      <c r="D122" t="s">
        <v>24</v>
      </c>
      <c r="E122" t="s">
        <v>39</v>
      </c>
      <c r="F122" t="s">
        <v>36</v>
      </c>
      <c r="G122" t="s">
        <v>64</v>
      </c>
      <c r="H122" s="1">
        <v>44944.180798611109</v>
      </c>
      <c r="I122" s="1">
        <v>44946.180798611109</v>
      </c>
      <c r="J122" s="1">
        <v>44944.22246527778</v>
      </c>
      <c r="K122" s="2">
        <v>44944.214093773146</v>
      </c>
      <c r="L122" t="s">
        <v>28</v>
      </c>
      <c r="M122" s="2">
        <v>44944.340008078703</v>
      </c>
      <c r="N122" t="s">
        <v>28</v>
      </c>
      <c r="P122">
        <v>1</v>
      </c>
      <c r="R122" t="s">
        <v>55</v>
      </c>
      <c r="S122" t="s">
        <v>40</v>
      </c>
      <c r="T122" t="s">
        <v>66</v>
      </c>
      <c r="U122">
        <v>48.864716000000001</v>
      </c>
      <c r="V122">
        <v>2.3490139999999999</v>
      </c>
      <c r="W122" t="str">
        <f t="shared" si="7"/>
        <v>ok</v>
      </c>
      <c r="X122" t="str">
        <f t="shared" si="12"/>
        <v>ok</v>
      </c>
      <c r="Y122" t="str">
        <f t="shared" si="8"/>
        <v>ok</v>
      </c>
      <c r="Z122" t="str">
        <f t="shared" si="9"/>
        <v>ok</v>
      </c>
      <c r="AA122" s="4" t="str">
        <f t="shared" si="10"/>
        <v>ok</v>
      </c>
      <c r="AB122" s="4" t="str">
        <f t="shared" si="11"/>
        <v>ok</v>
      </c>
      <c r="AC122" s="6">
        <f t="shared" si="13"/>
        <v>3.8210272222640924</v>
      </c>
    </row>
    <row r="123" spans="1:29" x14ac:dyDescent="0.3">
      <c r="A123" t="s">
        <v>42</v>
      </c>
      <c r="B123">
        <v>1157</v>
      </c>
      <c r="C123" t="s">
        <v>47</v>
      </c>
      <c r="D123" t="s">
        <v>43</v>
      </c>
      <c r="E123" t="s">
        <v>35</v>
      </c>
      <c r="F123" t="s">
        <v>26</v>
      </c>
      <c r="G123" t="s">
        <v>45</v>
      </c>
      <c r="H123" s="1">
        <v>44944.934432870374</v>
      </c>
      <c r="I123" s="1">
        <v>44945.934432870374</v>
      </c>
      <c r="J123" s="1">
        <v>44944.93582175926</v>
      </c>
      <c r="K123" s="2">
        <v>44944.934950844909</v>
      </c>
      <c r="L123" t="s">
        <v>28</v>
      </c>
      <c r="M123" s="2">
        <v>44945.154849074075</v>
      </c>
      <c r="N123" t="s">
        <v>28</v>
      </c>
      <c r="P123">
        <v>5</v>
      </c>
      <c r="R123" t="s">
        <v>50</v>
      </c>
      <c r="S123" t="s">
        <v>30</v>
      </c>
      <c r="T123" t="s">
        <v>53</v>
      </c>
      <c r="U123">
        <v>39.368279000000001</v>
      </c>
      <c r="V123">
        <v>21.863140999999999</v>
      </c>
      <c r="W123" t="str">
        <f t="shared" si="7"/>
        <v>ok</v>
      </c>
      <c r="X123" t="str">
        <f t="shared" si="12"/>
        <v>ok</v>
      </c>
      <c r="Y123" t="str">
        <f t="shared" si="8"/>
        <v>ok</v>
      </c>
      <c r="Z123" t="str">
        <f t="shared" si="9"/>
        <v>ok</v>
      </c>
      <c r="AA123" s="4" t="str">
        <f t="shared" si="10"/>
        <v>ok</v>
      </c>
      <c r="AB123" s="4" t="str">
        <f t="shared" si="11"/>
        <v>ok</v>
      </c>
      <c r="AC123" s="6">
        <f t="shared" si="13"/>
        <v>5.2899888888350688</v>
      </c>
    </row>
    <row r="124" spans="1:29" x14ac:dyDescent="0.3">
      <c r="A124" t="s">
        <v>22</v>
      </c>
      <c r="B124">
        <v>1158</v>
      </c>
      <c r="C124" t="s">
        <v>47</v>
      </c>
      <c r="D124" t="s">
        <v>43</v>
      </c>
      <c r="E124" t="s">
        <v>35</v>
      </c>
      <c r="F124" t="s">
        <v>26</v>
      </c>
      <c r="G124" t="s">
        <v>27</v>
      </c>
      <c r="H124" s="1">
        <v>44944.755983796298</v>
      </c>
      <c r="I124" s="1">
        <v>44945.755983796298</v>
      </c>
      <c r="J124" s="1">
        <v>44944.757372685184</v>
      </c>
      <c r="K124" s="2">
        <v>44944.756633969904</v>
      </c>
      <c r="L124" t="s">
        <v>28</v>
      </c>
      <c r="M124" s="2">
        <v>44944.913410150461</v>
      </c>
      <c r="N124" t="s">
        <v>28</v>
      </c>
      <c r="O124" s="2">
        <v>44946.904072129626</v>
      </c>
      <c r="P124">
        <v>3</v>
      </c>
      <c r="Q124">
        <v>3</v>
      </c>
      <c r="R124" t="s">
        <v>29</v>
      </c>
      <c r="S124" t="s">
        <v>30</v>
      </c>
      <c r="T124" t="s">
        <v>31</v>
      </c>
      <c r="U124">
        <v>53.094023999999997</v>
      </c>
      <c r="V124">
        <v>-8.0196749999999994</v>
      </c>
      <c r="W124" t="str">
        <f t="shared" si="7"/>
        <v>ok</v>
      </c>
      <c r="X124" t="str">
        <f t="shared" si="12"/>
        <v>ok</v>
      </c>
      <c r="Y124" t="str">
        <f t="shared" si="8"/>
        <v>ok</v>
      </c>
      <c r="Z124" t="str">
        <f t="shared" si="9"/>
        <v>ok</v>
      </c>
      <c r="AA124" s="4" t="str">
        <f t="shared" si="10"/>
        <v>ok</v>
      </c>
      <c r="AB124" s="4" t="str">
        <f t="shared" si="11"/>
        <v>ok</v>
      </c>
      <c r="AC124" s="6">
        <f t="shared" si="13"/>
        <v>3.778232499898877</v>
      </c>
    </row>
    <row r="125" spans="1:29" x14ac:dyDescent="0.3">
      <c r="A125" t="s">
        <v>22</v>
      </c>
      <c r="B125">
        <v>1159</v>
      </c>
      <c r="C125" t="s">
        <v>23</v>
      </c>
      <c r="D125" t="s">
        <v>43</v>
      </c>
      <c r="E125" t="s">
        <v>35</v>
      </c>
      <c r="F125" t="s">
        <v>36</v>
      </c>
      <c r="G125" t="s">
        <v>64</v>
      </c>
      <c r="H125" s="1">
        <v>44945.829594907409</v>
      </c>
      <c r="I125" s="1">
        <v>44946.829594907409</v>
      </c>
      <c r="J125" s="1">
        <v>44945.830983796295</v>
      </c>
      <c r="K125" s="2">
        <v>44945.831804224537</v>
      </c>
      <c r="L125" t="s">
        <v>38</v>
      </c>
      <c r="M125" s="2">
        <v>44946.370538750001</v>
      </c>
      <c r="N125" t="s">
        <v>28</v>
      </c>
      <c r="O125" s="2">
        <v>44951.621991932872</v>
      </c>
      <c r="P125">
        <v>6</v>
      </c>
      <c r="Q125">
        <v>5</v>
      </c>
      <c r="R125" t="s">
        <v>55</v>
      </c>
      <c r="S125" t="s">
        <v>40</v>
      </c>
      <c r="T125" t="s">
        <v>63</v>
      </c>
      <c r="U125">
        <v>55.378051999999997</v>
      </c>
      <c r="V125">
        <v>-3.4359730000000002</v>
      </c>
      <c r="W125" t="str">
        <f t="shared" si="7"/>
        <v>ok</v>
      </c>
      <c r="X125" t="str">
        <f t="shared" si="12"/>
        <v>ok</v>
      </c>
      <c r="Y125" t="str">
        <f t="shared" si="8"/>
        <v>ok</v>
      </c>
      <c r="Z125" t="str">
        <f t="shared" si="9"/>
        <v>ok</v>
      </c>
      <c r="AA125" s="4" t="str">
        <f t="shared" si="10"/>
        <v>ok</v>
      </c>
      <c r="AB125" s="4" t="str">
        <f t="shared" si="11"/>
        <v>ok</v>
      </c>
      <c r="AC125" s="6">
        <f t="shared" si="13"/>
        <v>12.982652222213801</v>
      </c>
    </row>
    <row r="126" spans="1:29" x14ac:dyDescent="0.3">
      <c r="A126" t="s">
        <v>42</v>
      </c>
      <c r="B126">
        <v>1160</v>
      </c>
      <c r="C126" t="s">
        <v>23</v>
      </c>
      <c r="D126" t="s">
        <v>43</v>
      </c>
      <c r="E126" t="s">
        <v>48</v>
      </c>
      <c r="F126" t="s">
        <v>36</v>
      </c>
      <c r="G126" t="s">
        <v>54</v>
      </c>
      <c r="H126" s="1">
        <v>44945.414548611108</v>
      </c>
      <c r="I126" s="1">
        <v>44946.414548611108</v>
      </c>
      <c r="J126" s="1">
        <v>44945.415937500002</v>
      </c>
      <c r="K126" s="2">
        <v>44945.415646157409</v>
      </c>
      <c r="L126" t="s">
        <v>28</v>
      </c>
      <c r="M126" s="2">
        <v>44945.892116377312</v>
      </c>
      <c r="N126" t="s">
        <v>28</v>
      </c>
      <c r="P126">
        <v>60</v>
      </c>
      <c r="R126" t="s">
        <v>50</v>
      </c>
      <c r="S126" t="s">
        <v>40</v>
      </c>
      <c r="T126" t="s">
        <v>41</v>
      </c>
      <c r="U126">
        <v>43.036776000000003</v>
      </c>
      <c r="V126">
        <v>12.678565000000001</v>
      </c>
      <c r="W126" t="str">
        <f t="shared" si="7"/>
        <v>ok</v>
      </c>
      <c r="X126" t="str">
        <f t="shared" si="12"/>
        <v>ok</v>
      </c>
      <c r="Y126" t="str">
        <f t="shared" si="8"/>
        <v>ok</v>
      </c>
      <c r="Z126" t="str">
        <f t="shared" si="9"/>
        <v>ok</v>
      </c>
      <c r="AA126" s="4" t="str">
        <f t="shared" si="10"/>
        <v>ok</v>
      </c>
      <c r="AB126" s="4" t="str">
        <f t="shared" si="11"/>
        <v>ok</v>
      </c>
      <c r="AC126" s="6">
        <f t="shared" si="13"/>
        <v>11.461626388889272</v>
      </c>
    </row>
    <row r="127" spans="1:29" x14ac:dyDescent="0.3">
      <c r="A127" t="s">
        <v>32</v>
      </c>
      <c r="B127">
        <v>1161</v>
      </c>
      <c r="C127" t="s">
        <v>23</v>
      </c>
      <c r="D127" t="s">
        <v>24</v>
      </c>
      <c r="E127" t="s">
        <v>44</v>
      </c>
      <c r="F127" t="s">
        <v>36</v>
      </c>
      <c r="G127" t="s">
        <v>54</v>
      </c>
      <c r="H127" s="1">
        <v>44945.497291666667</v>
      </c>
      <c r="I127" s="1">
        <v>44947.497291666667</v>
      </c>
      <c r="J127" s="1">
        <v>44945.538958333331</v>
      </c>
      <c r="K127" s="2">
        <v>44945.538229953701</v>
      </c>
      <c r="L127" t="s">
        <v>28</v>
      </c>
      <c r="N127" t="s">
        <v>38</v>
      </c>
      <c r="P127">
        <v>2</v>
      </c>
      <c r="R127" t="s">
        <v>39</v>
      </c>
      <c r="S127" t="s">
        <v>40</v>
      </c>
      <c r="T127" t="s">
        <v>65</v>
      </c>
      <c r="U127">
        <v>46.149166399999999</v>
      </c>
      <c r="V127">
        <v>14.9860106</v>
      </c>
      <c r="W127" t="str">
        <f t="shared" si="7"/>
        <v>ok</v>
      </c>
      <c r="X127" t="str">
        <f t="shared" si="12"/>
        <v>ok</v>
      </c>
      <c r="Y127" t="str">
        <f t="shared" si="8"/>
        <v>ok</v>
      </c>
      <c r="Z127" t="str">
        <f t="shared" si="9"/>
        <v>ok</v>
      </c>
      <c r="AA127" s="4" t="str">
        <f t="shared" si="10"/>
        <v>ok</v>
      </c>
      <c r="AB127" s="4" t="str">
        <f t="shared" si="11"/>
        <v>no resolution</v>
      </c>
      <c r="AC127" s="6" t="str">
        <f t="shared" si="13"/>
        <v/>
      </c>
    </row>
    <row r="128" spans="1:29" x14ac:dyDescent="0.3">
      <c r="A128" t="s">
        <v>22</v>
      </c>
      <c r="B128">
        <v>1162</v>
      </c>
      <c r="C128" t="s">
        <v>47</v>
      </c>
      <c r="D128" t="s">
        <v>24</v>
      </c>
      <c r="E128" t="s">
        <v>35</v>
      </c>
      <c r="F128" t="s">
        <v>26</v>
      </c>
      <c r="G128" t="s">
        <v>45</v>
      </c>
      <c r="H128" s="1">
        <v>44945.061203703706</v>
      </c>
      <c r="I128" s="1">
        <v>44947.061203703706</v>
      </c>
      <c r="J128" s="1">
        <v>44945.102870370371</v>
      </c>
      <c r="K128" s="2">
        <v>44945.070801504633</v>
      </c>
      <c r="L128" t="s">
        <v>28</v>
      </c>
      <c r="M128" s="2">
        <v>44946.701417928241</v>
      </c>
      <c r="N128" t="s">
        <v>28</v>
      </c>
      <c r="O128" s="2">
        <v>44947.377785729164</v>
      </c>
      <c r="P128">
        <v>8</v>
      </c>
      <c r="Q128">
        <v>5</v>
      </c>
      <c r="R128" t="s">
        <v>55</v>
      </c>
      <c r="S128" t="s">
        <v>30</v>
      </c>
      <c r="T128" t="s">
        <v>66</v>
      </c>
      <c r="U128">
        <v>48.864716000000001</v>
      </c>
      <c r="V128">
        <v>2.3490139999999999</v>
      </c>
      <c r="W128" t="str">
        <f t="shared" si="7"/>
        <v>ok</v>
      </c>
      <c r="X128" t="str">
        <f t="shared" si="12"/>
        <v>ok</v>
      </c>
      <c r="Y128" t="str">
        <f t="shared" si="8"/>
        <v>ok</v>
      </c>
      <c r="Z128" t="str">
        <f t="shared" si="9"/>
        <v>ok</v>
      </c>
      <c r="AA128" s="4" t="str">
        <f t="shared" si="10"/>
        <v>ok</v>
      </c>
      <c r="AB128" s="4" t="str">
        <f t="shared" si="11"/>
        <v>ok</v>
      </c>
      <c r="AC128" s="6">
        <f t="shared" si="13"/>
        <v>39.365141388843767</v>
      </c>
    </row>
    <row r="129" spans="1:29" x14ac:dyDescent="0.3">
      <c r="A129" t="s">
        <v>22</v>
      </c>
      <c r="B129">
        <v>1163</v>
      </c>
      <c r="C129" t="s">
        <v>23</v>
      </c>
      <c r="D129" t="s">
        <v>24</v>
      </c>
      <c r="E129" t="s">
        <v>35</v>
      </c>
      <c r="F129" t="s">
        <v>26</v>
      </c>
      <c r="G129" t="s">
        <v>27</v>
      </c>
      <c r="H129" s="1">
        <v>44945.105081018519</v>
      </c>
      <c r="I129" s="1">
        <v>44947.105081018519</v>
      </c>
      <c r="J129" s="1">
        <v>44945.146747685183</v>
      </c>
      <c r="K129" s="2">
        <v>44945.109214178243</v>
      </c>
      <c r="L129" t="s">
        <v>28</v>
      </c>
      <c r="M129" s="2">
        <v>44945.96423326389</v>
      </c>
      <c r="N129" t="s">
        <v>28</v>
      </c>
      <c r="O129" s="2">
        <v>44948.156170949071</v>
      </c>
      <c r="P129">
        <v>4</v>
      </c>
      <c r="Q129">
        <v>1</v>
      </c>
      <c r="R129" t="s">
        <v>50</v>
      </c>
      <c r="S129" t="s">
        <v>30</v>
      </c>
      <c r="T129" t="s">
        <v>57</v>
      </c>
      <c r="U129">
        <v>51.165691000000002</v>
      </c>
      <c r="V129">
        <v>10.451525999999999</v>
      </c>
      <c r="W129" t="str">
        <f t="shared" si="7"/>
        <v>ok</v>
      </c>
      <c r="X129" t="str">
        <f t="shared" si="12"/>
        <v>ok</v>
      </c>
      <c r="Y129" t="str">
        <f t="shared" si="8"/>
        <v>ok</v>
      </c>
      <c r="Z129" t="str">
        <f t="shared" si="9"/>
        <v>ok</v>
      </c>
      <c r="AA129" s="4" t="str">
        <f t="shared" si="10"/>
        <v>ok</v>
      </c>
      <c r="AB129" s="4" t="str">
        <f t="shared" si="11"/>
        <v>ok</v>
      </c>
      <c r="AC129" s="6">
        <f t="shared" si="13"/>
        <v>20.619653888919856</v>
      </c>
    </row>
    <row r="130" spans="1:29" x14ac:dyDescent="0.3">
      <c r="A130" t="s">
        <v>22</v>
      </c>
      <c r="B130">
        <v>1164</v>
      </c>
      <c r="C130" t="s">
        <v>23</v>
      </c>
      <c r="D130" t="s">
        <v>43</v>
      </c>
      <c r="E130" t="s">
        <v>35</v>
      </c>
      <c r="F130" t="s">
        <v>26</v>
      </c>
      <c r="G130" t="s">
        <v>52</v>
      </c>
      <c r="H130" s="1">
        <v>44945.343564814815</v>
      </c>
      <c r="I130" s="1">
        <v>44946.343564814815</v>
      </c>
      <c r="J130" s="1">
        <v>44945.344953703701</v>
      </c>
      <c r="K130" s="2">
        <v>44945.417091388888</v>
      </c>
      <c r="L130" t="s">
        <v>38</v>
      </c>
      <c r="M130" s="2">
        <v>44945.631467349536</v>
      </c>
      <c r="N130" t="s">
        <v>28</v>
      </c>
      <c r="O130" s="2">
        <v>44946.664877951385</v>
      </c>
      <c r="P130">
        <v>5</v>
      </c>
      <c r="Q130">
        <v>5</v>
      </c>
      <c r="R130" t="s">
        <v>55</v>
      </c>
      <c r="S130" t="s">
        <v>30</v>
      </c>
      <c r="T130" t="s">
        <v>41</v>
      </c>
      <c r="U130">
        <v>43.036776000000003</v>
      </c>
      <c r="V130">
        <v>12.678565000000001</v>
      </c>
      <c r="W130" t="str">
        <f t="shared" ref="W130:W193" si="14">IF(K130&lt;H130,"check","ok")</f>
        <v>ok</v>
      </c>
      <c r="X130" t="str">
        <f t="shared" si="12"/>
        <v>ok</v>
      </c>
      <c r="Y130" t="str">
        <f t="shared" ref="Y130:Y193" si="15">IF(AND(M130&lt;&gt;"",O130&lt;&gt;"",O130&lt;M130),"check","ok")</f>
        <v>ok</v>
      </c>
      <c r="Z130" t="str">
        <f t="shared" ref="Z130:Z193" si="16">IF(AND(OR(CA130="Closed",A130="Resolved"),M130=""),"check","ok")</f>
        <v>ok</v>
      </c>
      <c r="AA130" s="4" t="str">
        <f t="shared" ref="AA130:AA193" si="17">IF(K130="","no response",IF(OR(AND(K130&lt;=J130,L130="Within SLA"),AND(K130&gt;J130,L130="SLA Violated")),"ok","check"))</f>
        <v>ok</v>
      </c>
      <c r="AB130" s="4" t="str">
        <f t="shared" ref="AB130:AB193" si="18">IF(M130="","no resolution",IF(OR(AND(M130&lt;=I130,N130="Within SLA"),AND(M130&gt;I130,N130="SLA Violated")),"ok","check"))</f>
        <v>ok</v>
      </c>
      <c r="AC130" s="6">
        <f t="shared" si="13"/>
        <v>6.9096608333056793</v>
      </c>
    </row>
    <row r="131" spans="1:29" x14ac:dyDescent="0.3">
      <c r="A131" t="s">
        <v>42</v>
      </c>
      <c r="B131">
        <v>1165</v>
      </c>
      <c r="C131" t="s">
        <v>33</v>
      </c>
      <c r="D131" t="s">
        <v>43</v>
      </c>
      <c r="E131" t="s">
        <v>35</v>
      </c>
      <c r="F131" t="s">
        <v>26</v>
      </c>
      <c r="G131" t="s">
        <v>49</v>
      </c>
      <c r="H131" s="1">
        <v>44945.083356481482</v>
      </c>
      <c r="I131" s="1">
        <v>44946.083356481482</v>
      </c>
      <c r="J131" s="1">
        <v>44945.084745370368</v>
      </c>
      <c r="K131" s="2">
        <v>44945.084307349534</v>
      </c>
      <c r="L131" t="s">
        <v>28</v>
      </c>
      <c r="M131" s="2">
        <v>44947.16856471065</v>
      </c>
      <c r="N131" t="s">
        <v>38</v>
      </c>
      <c r="P131">
        <v>4</v>
      </c>
      <c r="R131" t="s">
        <v>50</v>
      </c>
      <c r="S131" t="s">
        <v>30</v>
      </c>
      <c r="T131" t="s">
        <v>63</v>
      </c>
      <c r="U131">
        <v>55.378051999999997</v>
      </c>
      <c r="V131">
        <v>-3.4359730000000002</v>
      </c>
      <c r="W131" t="str">
        <f t="shared" si="14"/>
        <v>ok</v>
      </c>
      <c r="X131" t="str">
        <f t="shared" ref="X131:X194" si="19">IF(AND(M131&lt;&gt;"",M131&lt;H131),"check","ok")</f>
        <v>ok</v>
      </c>
      <c r="Y131" t="str">
        <f t="shared" si="15"/>
        <v>ok</v>
      </c>
      <c r="Z131" t="str">
        <f t="shared" si="16"/>
        <v>ok</v>
      </c>
      <c r="AA131" s="4" t="str">
        <f t="shared" si="17"/>
        <v>ok</v>
      </c>
      <c r="AB131" s="4" t="str">
        <f t="shared" si="18"/>
        <v>ok</v>
      </c>
      <c r="AC131" s="6">
        <f t="shared" si="13"/>
        <v>50.044997500022873</v>
      </c>
    </row>
    <row r="132" spans="1:29" x14ac:dyDescent="0.3">
      <c r="A132" t="s">
        <v>22</v>
      </c>
      <c r="B132">
        <v>1166</v>
      </c>
      <c r="C132" t="s">
        <v>23</v>
      </c>
      <c r="D132" t="s">
        <v>24</v>
      </c>
      <c r="E132" t="s">
        <v>48</v>
      </c>
      <c r="F132" t="s">
        <v>26</v>
      </c>
      <c r="G132" t="s">
        <v>45</v>
      </c>
      <c r="H132" s="1">
        <v>44945.671990740739</v>
      </c>
      <c r="I132" s="1">
        <v>44947.671990740739</v>
      </c>
      <c r="J132" s="1">
        <v>44945.71365740741</v>
      </c>
      <c r="K132" s="2">
        <v>44945.685523449072</v>
      </c>
      <c r="L132" t="s">
        <v>28</v>
      </c>
      <c r="M132" s="2">
        <v>44946.357336562498</v>
      </c>
      <c r="N132" t="s">
        <v>28</v>
      </c>
      <c r="O132" s="2">
        <v>44949.5834191088</v>
      </c>
      <c r="P132">
        <v>10</v>
      </c>
      <c r="Q132">
        <v>4</v>
      </c>
      <c r="R132" t="s">
        <v>50</v>
      </c>
      <c r="S132" t="s">
        <v>30</v>
      </c>
      <c r="T132" t="s">
        <v>56</v>
      </c>
      <c r="U132">
        <v>52.536273000000001</v>
      </c>
      <c r="V132">
        <v>19.050639</v>
      </c>
      <c r="W132" t="str">
        <f t="shared" si="14"/>
        <v>ok</v>
      </c>
      <c r="X132" t="str">
        <f t="shared" si="19"/>
        <v>ok</v>
      </c>
      <c r="Y132" t="str">
        <f t="shared" si="15"/>
        <v>ok</v>
      </c>
      <c r="Z132" t="str">
        <f t="shared" si="16"/>
        <v>ok</v>
      </c>
      <c r="AA132" s="4" t="str">
        <f t="shared" si="17"/>
        <v>ok</v>
      </c>
      <c r="AB132" s="4" t="str">
        <f t="shared" si="18"/>
        <v>ok</v>
      </c>
      <c r="AC132" s="6">
        <f t="shared" si="13"/>
        <v>16.448299722222146</v>
      </c>
    </row>
    <row r="133" spans="1:29" x14ac:dyDescent="0.3">
      <c r="A133" t="s">
        <v>22</v>
      </c>
      <c r="B133">
        <v>1167</v>
      </c>
      <c r="C133" t="s">
        <v>23</v>
      </c>
      <c r="D133" t="s">
        <v>43</v>
      </c>
      <c r="E133" t="s">
        <v>48</v>
      </c>
      <c r="F133" t="s">
        <v>26</v>
      </c>
      <c r="G133" t="s">
        <v>27</v>
      </c>
      <c r="H133" s="1">
        <v>44945.167997685188</v>
      </c>
      <c r="I133" s="1">
        <v>44946.167997685188</v>
      </c>
      <c r="J133" s="1">
        <v>44945.169386574074</v>
      </c>
      <c r="K133" s="2">
        <v>44945.168405694443</v>
      </c>
      <c r="L133" t="s">
        <v>28</v>
      </c>
      <c r="M133" s="2">
        <v>44945.181864965278</v>
      </c>
      <c r="N133" t="s">
        <v>28</v>
      </c>
      <c r="O133" s="2">
        <v>44947.465225509259</v>
      </c>
      <c r="P133">
        <v>3</v>
      </c>
      <c r="Q133">
        <v>3</v>
      </c>
      <c r="R133" t="s">
        <v>50</v>
      </c>
      <c r="S133" t="s">
        <v>30</v>
      </c>
      <c r="T133" t="s">
        <v>41</v>
      </c>
      <c r="U133">
        <v>43.036776000000003</v>
      </c>
      <c r="V133">
        <v>12.678565000000001</v>
      </c>
      <c r="W133" t="str">
        <f t="shared" si="14"/>
        <v>ok</v>
      </c>
      <c r="X133" t="str">
        <f t="shared" si="19"/>
        <v>ok</v>
      </c>
      <c r="Y133" t="str">
        <f t="shared" si="15"/>
        <v>ok</v>
      </c>
      <c r="Z133" t="str">
        <f t="shared" si="16"/>
        <v>ok</v>
      </c>
      <c r="AA133" s="4" t="str">
        <f t="shared" si="17"/>
        <v>ok</v>
      </c>
      <c r="AB133" s="4" t="str">
        <f t="shared" si="18"/>
        <v>ok</v>
      </c>
      <c r="AC133" s="6">
        <f t="shared" si="13"/>
        <v>0.33281472214730456</v>
      </c>
    </row>
    <row r="134" spans="1:29" x14ac:dyDescent="0.3">
      <c r="A134" t="s">
        <v>42</v>
      </c>
      <c r="B134">
        <v>1168</v>
      </c>
      <c r="C134" t="s">
        <v>33</v>
      </c>
      <c r="D134" t="s">
        <v>24</v>
      </c>
      <c r="E134" t="s">
        <v>39</v>
      </c>
      <c r="F134" t="s">
        <v>36</v>
      </c>
      <c r="G134" t="s">
        <v>54</v>
      </c>
      <c r="H134" s="1">
        <v>44945.77306712963</v>
      </c>
      <c r="I134" s="1">
        <v>44947.77306712963</v>
      </c>
      <c r="J134" s="1">
        <v>44945.814733796295</v>
      </c>
      <c r="K134" s="2">
        <v>44945.791498738428</v>
      </c>
      <c r="L134" t="s">
        <v>28</v>
      </c>
      <c r="M134" s="2">
        <v>44946.606547430558</v>
      </c>
      <c r="N134" t="s">
        <v>28</v>
      </c>
      <c r="P134">
        <v>5</v>
      </c>
      <c r="R134" t="s">
        <v>39</v>
      </c>
      <c r="S134" t="s">
        <v>40</v>
      </c>
      <c r="T134" t="s">
        <v>58</v>
      </c>
      <c r="U134">
        <v>49.8037633</v>
      </c>
      <c r="V134">
        <v>15.4749126</v>
      </c>
      <c r="W134" t="str">
        <f t="shared" si="14"/>
        <v>ok</v>
      </c>
      <c r="X134" t="str">
        <f t="shared" si="19"/>
        <v>ok</v>
      </c>
      <c r="Y134" t="str">
        <f t="shared" si="15"/>
        <v>ok</v>
      </c>
      <c r="Z134" t="str">
        <f t="shared" si="16"/>
        <v>ok</v>
      </c>
      <c r="AA134" s="4" t="str">
        <f t="shared" si="17"/>
        <v>ok</v>
      </c>
      <c r="AB134" s="4" t="str">
        <f t="shared" si="18"/>
        <v>ok</v>
      </c>
      <c r="AC134" s="6">
        <f t="shared" si="13"/>
        <v>20.003527222259436</v>
      </c>
    </row>
    <row r="135" spans="1:29" x14ac:dyDescent="0.3">
      <c r="A135" t="s">
        <v>22</v>
      </c>
      <c r="B135">
        <v>1169</v>
      </c>
      <c r="C135" t="s">
        <v>47</v>
      </c>
      <c r="D135" t="s">
        <v>43</v>
      </c>
      <c r="E135" t="s">
        <v>35</v>
      </c>
      <c r="F135" t="s">
        <v>26</v>
      </c>
      <c r="G135" t="s">
        <v>60</v>
      </c>
      <c r="H135" s="1">
        <v>44945.711076388892</v>
      </c>
      <c r="I135" s="1">
        <v>44946.711076388892</v>
      </c>
      <c r="J135" s="1">
        <v>44945.712465277778</v>
      </c>
      <c r="K135" s="2">
        <v>44945.712255486113</v>
      </c>
      <c r="L135" t="s">
        <v>28</v>
      </c>
      <c r="M135" s="2">
        <v>44945.88806759259</v>
      </c>
      <c r="N135" t="s">
        <v>28</v>
      </c>
      <c r="O135" s="2">
        <v>44953.222797939816</v>
      </c>
      <c r="P135">
        <v>6</v>
      </c>
      <c r="Q135">
        <v>4</v>
      </c>
      <c r="R135" t="s">
        <v>29</v>
      </c>
      <c r="S135" t="s">
        <v>30</v>
      </c>
      <c r="T135" t="s">
        <v>56</v>
      </c>
      <c r="U135">
        <v>52.536273000000001</v>
      </c>
      <c r="V135">
        <v>19.050639</v>
      </c>
      <c r="W135" t="str">
        <f t="shared" si="14"/>
        <v>ok</v>
      </c>
      <c r="X135" t="str">
        <f t="shared" si="19"/>
        <v>ok</v>
      </c>
      <c r="Y135" t="str">
        <f t="shared" si="15"/>
        <v>ok</v>
      </c>
      <c r="Z135" t="str">
        <f t="shared" si="16"/>
        <v>ok</v>
      </c>
      <c r="AA135" s="4" t="str">
        <f t="shared" si="17"/>
        <v>ok</v>
      </c>
      <c r="AB135" s="4" t="str">
        <f t="shared" si="18"/>
        <v>ok</v>
      </c>
      <c r="AC135" s="6">
        <f t="shared" si="13"/>
        <v>4.2477888887515292</v>
      </c>
    </row>
    <row r="136" spans="1:29" x14ac:dyDescent="0.3">
      <c r="A136" t="s">
        <v>32</v>
      </c>
      <c r="B136">
        <v>1170</v>
      </c>
      <c r="C136" t="s">
        <v>47</v>
      </c>
      <c r="D136" t="s">
        <v>43</v>
      </c>
      <c r="E136" t="s">
        <v>35</v>
      </c>
      <c r="F136" t="s">
        <v>26</v>
      </c>
      <c r="G136" t="s">
        <v>45</v>
      </c>
      <c r="H136" s="1">
        <v>44945.124780092592</v>
      </c>
      <c r="I136" s="1">
        <v>44946.124780092592</v>
      </c>
      <c r="J136" s="1">
        <v>44945.126168981478</v>
      </c>
      <c r="K136" s="2">
        <v>44945.125989097221</v>
      </c>
      <c r="L136" t="s">
        <v>28</v>
      </c>
      <c r="N136" t="s">
        <v>38</v>
      </c>
      <c r="P136">
        <v>60</v>
      </c>
      <c r="R136" t="s">
        <v>50</v>
      </c>
      <c r="S136" t="s">
        <v>30</v>
      </c>
      <c r="T136" t="s">
        <v>46</v>
      </c>
      <c r="U136">
        <v>47.696471899999999</v>
      </c>
      <c r="V136">
        <v>13.3457347</v>
      </c>
      <c r="W136" t="str">
        <f t="shared" si="14"/>
        <v>ok</v>
      </c>
      <c r="X136" t="str">
        <f t="shared" si="19"/>
        <v>ok</v>
      </c>
      <c r="Y136" t="str">
        <f t="shared" si="15"/>
        <v>ok</v>
      </c>
      <c r="Z136" t="str">
        <f t="shared" si="16"/>
        <v>ok</v>
      </c>
      <c r="AA136" s="4" t="str">
        <f t="shared" si="17"/>
        <v>ok</v>
      </c>
      <c r="AB136" s="4" t="str">
        <f t="shared" si="18"/>
        <v>no resolution</v>
      </c>
      <c r="AC136" s="6" t="str">
        <f t="shared" si="13"/>
        <v/>
      </c>
    </row>
    <row r="137" spans="1:29" x14ac:dyDescent="0.3">
      <c r="A137" t="s">
        <v>32</v>
      </c>
      <c r="B137">
        <v>1171</v>
      </c>
      <c r="C137" t="s">
        <v>33</v>
      </c>
      <c r="D137" t="s">
        <v>24</v>
      </c>
      <c r="E137" t="s">
        <v>25</v>
      </c>
      <c r="F137" t="s">
        <v>36</v>
      </c>
      <c r="G137" t="s">
        <v>54</v>
      </c>
      <c r="H137" s="1">
        <v>44946.341874999998</v>
      </c>
      <c r="I137" s="1">
        <v>44948.341874999998</v>
      </c>
      <c r="J137" s="1">
        <v>44946.38354166667</v>
      </c>
      <c r="K137" s="2">
        <v>44946.474416597222</v>
      </c>
      <c r="L137" t="s">
        <v>38</v>
      </c>
      <c r="N137" t="s">
        <v>38</v>
      </c>
      <c r="P137">
        <v>2</v>
      </c>
      <c r="R137" t="s">
        <v>39</v>
      </c>
      <c r="S137" t="s">
        <v>40</v>
      </c>
      <c r="T137" t="s">
        <v>57</v>
      </c>
      <c r="U137">
        <v>51.165691000000002</v>
      </c>
      <c r="V137">
        <v>10.451525999999999</v>
      </c>
      <c r="W137" t="str">
        <f t="shared" si="14"/>
        <v>ok</v>
      </c>
      <c r="X137" t="str">
        <f t="shared" si="19"/>
        <v>ok</v>
      </c>
      <c r="Y137" t="str">
        <f t="shared" si="15"/>
        <v>ok</v>
      </c>
      <c r="Z137" t="str">
        <f t="shared" si="16"/>
        <v>ok</v>
      </c>
      <c r="AA137" s="4" t="str">
        <f t="shared" si="17"/>
        <v>ok</v>
      </c>
      <c r="AB137" s="4" t="str">
        <f t="shared" si="18"/>
        <v>no resolution</v>
      </c>
      <c r="AC137" s="6" t="str">
        <f t="shared" si="13"/>
        <v/>
      </c>
    </row>
    <row r="138" spans="1:29" x14ac:dyDescent="0.3">
      <c r="A138" t="s">
        <v>32</v>
      </c>
      <c r="B138">
        <v>1172</v>
      </c>
      <c r="C138" t="s">
        <v>23</v>
      </c>
      <c r="D138" t="s">
        <v>24</v>
      </c>
      <c r="E138" t="s">
        <v>44</v>
      </c>
      <c r="F138" t="s">
        <v>26</v>
      </c>
      <c r="G138" t="s">
        <v>27</v>
      </c>
      <c r="H138" s="1">
        <v>44946.668055555558</v>
      </c>
      <c r="I138" s="1">
        <v>44948.668055555558</v>
      </c>
      <c r="J138" s="1">
        <v>44946.709722222222</v>
      </c>
      <c r="K138" s="2">
        <v>44946.688481111109</v>
      </c>
      <c r="L138" t="s">
        <v>28</v>
      </c>
      <c r="N138" t="s">
        <v>38</v>
      </c>
      <c r="P138">
        <v>6</v>
      </c>
      <c r="R138" t="s">
        <v>50</v>
      </c>
      <c r="S138" t="s">
        <v>30</v>
      </c>
      <c r="T138" t="s">
        <v>57</v>
      </c>
      <c r="U138">
        <v>51.165691000000002</v>
      </c>
      <c r="V138">
        <v>10.451525999999999</v>
      </c>
      <c r="W138" t="str">
        <f t="shared" si="14"/>
        <v>ok</v>
      </c>
      <c r="X138" t="str">
        <f t="shared" si="19"/>
        <v>ok</v>
      </c>
      <c r="Y138" t="str">
        <f t="shared" si="15"/>
        <v>ok</v>
      </c>
      <c r="Z138" t="str">
        <f t="shared" si="16"/>
        <v>ok</v>
      </c>
      <c r="AA138" s="4" t="str">
        <f t="shared" si="17"/>
        <v>ok</v>
      </c>
      <c r="AB138" s="4" t="str">
        <f t="shared" si="18"/>
        <v>no resolution</v>
      </c>
      <c r="AC138" s="6" t="str">
        <f t="shared" si="13"/>
        <v/>
      </c>
    </row>
    <row r="139" spans="1:29" x14ac:dyDescent="0.3">
      <c r="A139" t="s">
        <v>32</v>
      </c>
      <c r="B139">
        <v>1173</v>
      </c>
      <c r="C139" t="s">
        <v>23</v>
      </c>
      <c r="D139" t="s">
        <v>24</v>
      </c>
      <c r="E139" t="s">
        <v>35</v>
      </c>
      <c r="F139" t="s">
        <v>26</v>
      </c>
      <c r="G139" t="s">
        <v>60</v>
      </c>
      <c r="H139" s="1">
        <v>44946.768437500003</v>
      </c>
      <c r="I139" s="1">
        <v>44948.768437500003</v>
      </c>
      <c r="J139" s="1">
        <v>44946.810104166667</v>
      </c>
      <c r="K139" s="2">
        <v>44946.78569837963</v>
      </c>
      <c r="L139" t="s">
        <v>28</v>
      </c>
      <c r="N139" t="s">
        <v>38</v>
      </c>
      <c r="P139">
        <v>3</v>
      </c>
      <c r="R139" t="s">
        <v>50</v>
      </c>
      <c r="S139" t="s">
        <v>30</v>
      </c>
      <c r="T139" t="s">
        <v>63</v>
      </c>
      <c r="U139">
        <v>55.378051999999997</v>
      </c>
      <c r="V139">
        <v>-3.4359730000000002</v>
      </c>
      <c r="W139" t="str">
        <f t="shared" si="14"/>
        <v>ok</v>
      </c>
      <c r="X139" t="str">
        <f t="shared" si="19"/>
        <v>ok</v>
      </c>
      <c r="Y139" t="str">
        <f t="shared" si="15"/>
        <v>ok</v>
      </c>
      <c r="Z139" t="str">
        <f t="shared" si="16"/>
        <v>ok</v>
      </c>
      <c r="AA139" s="4" t="str">
        <f t="shared" si="17"/>
        <v>ok</v>
      </c>
      <c r="AB139" s="4" t="str">
        <f t="shared" si="18"/>
        <v>no resolution</v>
      </c>
      <c r="AC139" s="6" t="str">
        <f t="shared" si="13"/>
        <v/>
      </c>
    </row>
    <row r="140" spans="1:29" x14ac:dyDescent="0.3">
      <c r="A140" t="s">
        <v>22</v>
      </c>
      <c r="B140">
        <v>1174</v>
      </c>
      <c r="C140" t="s">
        <v>23</v>
      </c>
      <c r="D140" t="s">
        <v>24</v>
      </c>
      <c r="E140" t="s">
        <v>35</v>
      </c>
      <c r="F140" t="s">
        <v>26</v>
      </c>
      <c r="G140" t="s">
        <v>45</v>
      </c>
      <c r="H140" s="1">
        <v>44946.675266203703</v>
      </c>
      <c r="I140" s="1">
        <v>44948.675266203703</v>
      </c>
      <c r="J140" s="1">
        <v>44946.716932870368</v>
      </c>
      <c r="K140" s="2">
        <v>44946.695739814815</v>
      </c>
      <c r="L140" t="s">
        <v>28</v>
      </c>
      <c r="M140" s="2">
        <v>44947.874707210649</v>
      </c>
      <c r="N140" t="s">
        <v>28</v>
      </c>
      <c r="O140" s="2">
        <v>44952.818770335645</v>
      </c>
      <c r="P140">
        <v>2</v>
      </c>
      <c r="Q140">
        <v>3</v>
      </c>
      <c r="R140" t="s">
        <v>50</v>
      </c>
      <c r="S140" t="s">
        <v>30</v>
      </c>
      <c r="T140" t="s">
        <v>31</v>
      </c>
      <c r="U140">
        <v>53.094023999999997</v>
      </c>
      <c r="V140">
        <v>-8.0196749999999994</v>
      </c>
      <c r="W140" t="str">
        <f t="shared" si="14"/>
        <v>ok</v>
      </c>
      <c r="X140" t="str">
        <f t="shared" si="19"/>
        <v>ok</v>
      </c>
      <c r="Y140" t="str">
        <f t="shared" si="15"/>
        <v>ok</v>
      </c>
      <c r="Z140" t="str">
        <f t="shared" si="16"/>
        <v>ok</v>
      </c>
      <c r="AA140" s="4" t="str">
        <f t="shared" si="17"/>
        <v>ok</v>
      </c>
      <c r="AB140" s="4" t="str">
        <f t="shared" si="18"/>
        <v>ok</v>
      </c>
      <c r="AC140" s="6">
        <f t="shared" si="13"/>
        <v>28.786584166693501</v>
      </c>
    </row>
    <row r="141" spans="1:29" x14ac:dyDescent="0.3">
      <c r="A141" t="s">
        <v>22</v>
      </c>
      <c r="B141">
        <v>1175</v>
      </c>
      <c r="C141" t="s">
        <v>47</v>
      </c>
      <c r="D141" t="s">
        <v>24</v>
      </c>
      <c r="E141" t="s">
        <v>48</v>
      </c>
      <c r="F141" t="s">
        <v>26</v>
      </c>
      <c r="G141" t="s">
        <v>52</v>
      </c>
      <c r="H141" s="1">
        <v>44946.768703703703</v>
      </c>
      <c r="I141" s="1">
        <v>44948.768703703703</v>
      </c>
      <c r="J141" s="1">
        <v>44946.810370370367</v>
      </c>
      <c r="K141" s="2">
        <v>44946.782999166666</v>
      </c>
      <c r="L141" t="s">
        <v>28</v>
      </c>
      <c r="M141" s="2">
        <v>44949.38362083333</v>
      </c>
      <c r="N141" t="s">
        <v>38</v>
      </c>
      <c r="O141" s="2">
        <v>44949.982869143518</v>
      </c>
      <c r="P141">
        <v>4</v>
      </c>
      <c r="Q141">
        <v>5</v>
      </c>
      <c r="R141" t="s">
        <v>39</v>
      </c>
      <c r="S141" t="s">
        <v>30</v>
      </c>
      <c r="T141" t="s">
        <v>53</v>
      </c>
      <c r="U141">
        <v>39.368279000000001</v>
      </c>
      <c r="V141">
        <v>21.863140999999999</v>
      </c>
      <c r="W141" t="str">
        <f t="shared" si="14"/>
        <v>ok</v>
      </c>
      <c r="X141" t="str">
        <f t="shared" si="19"/>
        <v>ok</v>
      </c>
      <c r="Y141" t="str">
        <f t="shared" si="15"/>
        <v>ok</v>
      </c>
      <c r="Z141" t="str">
        <f t="shared" si="16"/>
        <v>ok</v>
      </c>
      <c r="AA141" s="4" t="str">
        <f t="shared" si="17"/>
        <v>ok</v>
      </c>
      <c r="AB141" s="4" t="str">
        <f t="shared" si="18"/>
        <v>ok</v>
      </c>
      <c r="AC141" s="6">
        <f t="shared" si="13"/>
        <v>62.758011111058295</v>
      </c>
    </row>
    <row r="142" spans="1:29" x14ac:dyDescent="0.3">
      <c r="A142" t="s">
        <v>32</v>
      </c>
      <c r="B142">
        <v>1176</v>
      </c>
      <c r="C142" t="s">
        <v>33</v>
      </c>
      <c r="D142" t="s">
        <v>43</v>
      </c>
      <c r="E142" t="s">
        <v>59</v>
      </c>
      <c r="F142" t="s">
        <v>36</v>
      </c>
      <c r="G142" t="s">
        <v>54</v>
      </c>
      <c r="H142" s="1">
        <v>44946.528749999998</v>
      </c>
      <c r="I142" s="1">
        <v>44947.528749999998</v>
      </c>
      <c r="J142" s="1">
        <v>44946.530138888891</v>
      </c>
      <c r="K142" s="2">
        <v>44946.529259444447</v>
      </c>
      <c r="L142" t="s">
        <v>28</v>
      </c>
      <c r="N142" t="s">
        <v>38</v>
      </c>
      <c r="P142">
        <v>6</v>
      </c>
      <c r="R142" t="s">
        <v>50</v>
      </c>
      <c r="S142" t="s">
        <v>40</v>
      </c>
      <c r="T142" t="s">
        <v>57</v>
      </c>
      <c r="U142">
        <v>51.165691000000002</v>
      </c>
      <c r="V142">
        <v>10.451525999999999</v>
      </c>
      <c r="W142" t="str">
        <f t="shared" si="14"/>
        <v>ok</v>
      </c>
      <c r="X142" t="str">
        <f t="shared" si="19"/>
        <v>ok</v>
      </c>
      <c r="Y142" t="str">
        <f t="shared" si="15"/>
        <v>ok</v>
      </c>
      <c r="Z142" t="str">
        <f t="shared" si="16"/>
        <v>ok</v>
      </c>
      <c r="AA142" s="4" t="str">
        <f t="shared" si="17"/>
        <v>ok</v>
      </c>
      <c r="AB142" s="4" t="str">
        <f t="shared" si="18"/>
        <v>no resolution</v>
      </c>
      <c r="AC142" s="6" t="str">
        <f t="shared" si="13"/>
        <v/>
      </c>
    </row>
    <row r="143" spans="1:29" x14ac:dyDescent="0.3">
      <c r="A143" t="s">
        <v>32</v>
      </c>
      <c r="B143">
        <v>1177</v>
      </c>
      <c r="C143" t="s">
        <v>23</v>
      </c>
      <c r="D143" t="s">
        <v>24</v>
      </c>
      <c r="E143" t="s">
        <v>48</v>
      </c>
      <c r="F143" t="s">
        <v>26</v>
      </c>
      <c r="G143" t="s">
        <v>27</v>
      </c>
      <c r="H143" s="1">
        <v>44946.320636574077</v>
      </c>
      <c r="I143" s="1">
        <v>44948.320636574077</v>
      </c>
      <c r="J143" s="1">
        <v>44946.362303240741</v>
      </c>
      <c r="K143" s="2">
        <v>44946.344655115739</v>
      </c>
      <c r="L143" t="s">
        <v>28</v>
      </c>
      <c r="N143" t="s">
        <v>38</v>
      </c>
      <c r="P143">
        <v>10</v>
      </c>
      <c r="R143" t="s">
        <v>50</v>
      </c>
      <c r="S143" t="s">
        <v>30</v>
      </c>
      <c r="T143" t="s">
        <v>31</v>
      </c>
      <c r="U143">
        <v>53.094023999999997</v>
      </c>
      <c r="V143">
        <v>-8.0196749999999994</v>
      </c>
      <c r="W143" t="str">
        <f t="shared" si="14"/>
        <v>ok</v>
      </c>
      <c r="X143" t="str">
        <f t="shared" si="19"/>
        <v>ok</v>
      </c>
      <c r="Y143" t="str">
        <f t="shared" si="15"/>
        <v>ok</v>
      </c>
      <c r="Z143" t="str">
        <f t="shared" si="16"/>
        <v>ok</v>
      </c>
      <c r="AA143" s="4" t="str">
        <f t="shared" si="17"/>
        <v>ok</v>
      </c>
      <c r="AB143" s="4" t="str">
        <f t="shared" si="18"/>
        <v>no resolution</v>
      </c>
      <c r="AC143" s="6" t="str">
        <f t="shared" si="13"/>
        <v/>
      </c>
    </row>
    <row r="144" spans="1:29" x14ac:dyDescent="0.3">
      <c r="A144" t="s">
        <v>42</v>
      </c>
      <c r="B144">
        <v>1178</v>
      </c>
      <c r="C144" t="s">
        <v>33</v>
      </c>
      <c r="D144" t="s">
        <v>24</v>
      </c>
      <c r="E144" t="s">
        <v>39</v>
      </c>
      <c r="F144" t="s">
        <v>26</v>
      </c>
      <c r="G144" t="s">
        <v>60</v>
      </c>
      <c r="H144" s="1">
        <v>44946.399594907409</v>
      </c>
      <c r="I144" s="1">
        <v>44948.399594907409</v>
      </c>
      <c r="J144" s="1">
        <v>44946.441261574073</v>
      </c>
      <c r="K144" s="2">
        <v>44946.409717222225</v>
      </c>
      <c r="L144" t="s">
        <v>28</v>
      </c>
      <c r="M144" s="2">
        <v>44947.346100601855</v>
      </c>
      <c r="N144" t="s">
        <v>28</v>
      </c>
      <c r="P144">
        <v>1</v>
      </c>
      <c r="R144" t="s">
        <v>50</v>
      </c>
      <c r="S144" t="s">
        <v>30</v>
      </c>
      <c r="T144" t="s">
        <v>61</v>
      </c>
      <c r="U144">
        <v>42.724992499999999</v>
      </c>
      <c r="V144">
        <v>25.483303899999999</v>
      </c>
      <c r="W144" t="str">
        <f t="shared" si="14"/>
        <v>ok</v>
      </c>
      <c r="X144" t="str">
        <f t="shared" si="19"/>
        <v>ok</v>
      </c>
      <c r="Y144" t="str">
        <f t="shared" si="15"/>
        <v>ok</v>
      </c>
      <c r="Z144" t="str">
        <f t="shared" si="16"/>
        <v>ok</v>
      </c>
      <c r="AA144" s="4" t="str">
        <f t="shared" si="17"/>
        <v>ok</v>
      </c>
      <c r="AB144" s="4" t="str">
        <f t="shared" si="18"/>
        <v>ok</v>
      </c>
      <c r="AC144" s="6">
        <f t="shared" si="13"/>
        <v>22.716136666713282</v>
      </c>
    </row>
    <row r="145" spans="1:29" x14ac:dyDescent="0.3">
      <c r="A145" t="s">
        <v>22</v>
      </c>
      <c r="B145">
        <v>1179</v>
      </c>
      <c r="C145" t="s">
        <v>23</v>
      </c>
      <c r="D145" t="s">
        <v>24</v>
      </c>
      <c r="E145" t="s">
        <v>35</v>
      </c>
      <c r="F145" t="s">
        <v>36</v>
      </c>
      <c r="G145" t="s">
        <v>37</v>
      </c>
      <c r="H145" s="1">
        <v>44946.638483796298</v>
      </c>
      <c r="I145" s="1">
        <v>44948.638483796298</v>
      </c>
      <c r="J145" s="1">
        <v>44946.680150462962</v>
      </c>
      <c r="K145" s="2">
        <v>44946.663055659723</v>
      </c>
      <c r="L145" t="s">
        <v>28</v>
      </c>
      <c r="M145" s="2">
        <v>44947.480157905091</v>
      </c>
      <c r="N145" t="s">
        <v>28</v>
      </c>
      <c r="O145" s="2">
        <v>44949.299679814816</v>
      </c>
      <c r="P145">
        <v>1</v>
      </c>
      <c r="Q145">
        <v>5</v>
      </c>
      <c r="R145" t="s">
        <v>29</v>
      </c>
      <c r="S145" t="s">
        <v>40</v>
      </c>
      <c r="T145" t="s">
        <v>65</v>
      </c>
      <c r="U145">
        <v>46.149166399999999</v>
      </c>
      <c r="V145">
        <v>14.9860106</v>
      </c>
      <c r="W145" t="str">
        <f t="shared" si="14"/>
        <v>ok</v>
      </c>
      <c r="X145" t="str">
        <f t="shared" si="19"/>
        <v>ok</v>
      </c>
      <c r="Y145" t="str">
        <f t="shared" si="15"/>
        <v>ok</v>
      </c>
      <c r="Z145" t="str">
        <f t="shared" si="16"/>
        <v>ok</v>
      </c>
      <c r="AA145" s="4" t="str">
        <f t="shared" si="17"/>
        <v>ok</v>
      </c>
      <c r="AB145" s="4" t="str">
        <f t="shared" si="18"/>
        <v>ok</v>
      </c>
      <c r="AC145" s="6">
        <f t="shared" si="13"/>
        <v>20.200178611034062</v>
      </c>
    </row>
    <row r="146" spans="1:29" x14ac:dyDescent="0.3">
      <c r="A146" t="s">
        <v>42</v>
      </c>
      <c r="B146">
        <v>1180</v>
      </c>
      <c r="C146" t="s">
        <v>23</v>
      </c>
      <c r="D146" t="s">
        <v>43</v>
      </c>
      <c r="E146" t="s">
        <v>44</v>
      </c>
      <c r="F146" t="s">
        <v>26</v>
      </c>
      <c r="G146" t="s">
        <v>60</v>
      </c>
      <c r="H146" s="1">
        <v>44946.367928240739</v>
      </c>
      <c r="I146" s="1">
        <v>44947.367928240739</v>
      </c>
      <c r="J146" s="1">
        <v>44946.369317129633</v>
      </c>
      <c r="K146" s="2">
        <v>44946.369140532406</v>
      </c>
      <c r="L146" t="s">
        <v>28</v>
      </c>
      <c r="M146" s="2">
        <v>44947.355952812497</v>
      </c>
      <c r="N146" t="s">
        <v>28</v>
      </c>
      <c r="P146">
        <v>2</v>
      </c>
      <c r="R146" t="s">
        <v>55</v>
      </c>
      <c r="S146" t="s">
        <v>30</v>
      </c>
      <c r="T146" t="s">
        <v>63</v>
      </c>
      <c r="U146">
        <v>55.378051999999997</v>
      </c>
      <c r="V146">
        <v>-3.4359730000000002</v>
      </c>
      <c r="W146" t="str">
        <f t="shared" si="14"/>
        <v>ok</v>
      </c>
      <c r="X146" t="str">
        <f t="shared" si="19"/>
        <v>ok</v>
      </c>
      <c r="Y146" t="str">
        <f t="shared" si="15"/>
        <v>ok</v>
      </c>
      <c r="Z146" t="str">
        <f t="shared" si="16"/>
        <v>ok</v>
      </c>
      <c r="AA146" s="4" t="str">
        <f t="shared" si="17"/>
        <v>ok</v>
      </c>
      <c r="AB146" s="4" t="str">
        <f t="shared" si="18"/>
        <v>ok</v>
      </c>
      <c r="AC146" s="6">
        <f t="shared" si="13"/>
        <v>23.71258972218493</v>
      </c>
    </row>
    <row r="147" spans="1:29" x14ac:dyDescent="0.3">
      <c r="A147" t="s">
        <v>22</v>
      </c>
      <c r="B147">
        <v>1181</v>
      </c>
      <c r="C147" t="s">
        <v>23</v>
      </c>
      <c r="D147" t="s">
        <v>24</v>
      </c>
      <c r="E147" t="s">
        <v>62</v>
      </c>
      <c r="F147" t="s">
        <v>26</v>
      </c>
      <c r="G147" t="s">
        <v>45</v>
      </c>
      <c r="H147" s="1">
        <v>44946.496458333335</v>
      </c>
      <c r="I147" s="1">
        <v>44948.496458333335</v>
      </c>
      <c r="J147" s="1">
        <v>44946.538124999999</v>
      </c>
      <c r="K147" s="2">
        <v>44946.505405046293</v>
      </c>
      <c r="L147" t="s">
        <v>28</v>
      </c>
      <c r="M147" s="2">
        <v>44948.276159537039</v>
      </c>
      <c r="N147" t="s">
        <v>28</v>
      </c>
      <c r="O147" s="2">
        <v>44950.181454224534</v>
      </c>
      <c r="P147">
        <v>9</v>
      </c>
      <c r="Q147">
        <v>2</v>
      </c>
      <c r="R147" t="s">
        <v>55</v>
      </c>
      <c r="S147" t="s">
        <v>30</v>
      </c>
      <c r="T147" t="s">
        <v>61</v>
      </c>
      <c r="U147">
        <v>42.724992499999999</v>
      </c>
      <c r="V147">
        <v>25.483303899999999</v>
      </c>
      <c r="W147" t="str">
        <f t="shared" si="14"/>
        <v>ok</v>
      </c>
      <c r="X147" t="str">
        <f t="shared" si="19"/>
        <v>ok</v>
      </c>
      <c r="Y147" t="str">
        <f t="shared" si="15"/>
        <v>ok</v>
      </c>
      <c r="Z147" t="str">
        <f t="shared" si="16"/>
        <v>ok</v>
      </c>
      <c r="AA147" s="4" t="str">
        <f t="shared" si="17"/>
        <v>ok</v>
      </c>
      <c r="AB147" s="4" t="str">
        <f t="shared" si="18"/>
        <v>ok</v>
      </c>
      <c r="AC147" s="6">
        <f t="shared" si="13"/>
        <v>42.712828888907097</v>
      </c>
    </row>
    <row r="148" spans="1:29" x14ac:dyDescent="0.3">
      <c r="A148" t="s">
        <v>22</v>
      </c>
      <c r="B148">
        <v>1182</v>
      </c>
      <c r="C148" t="s">
        <v>33</v>
      </c>
      <c r="D148" t="s">
        <v>43</v>
      </c>
      <c r="E148" t="s">
        <v>25</v>
      </c>
      <c r="F148" t="s">
        <v>26</v>
      </c>
      <c r="G148" t="s">
        <v>27</v>
      </c>
      <c r="H148" s="1">
        <v>44947.346307870372</v>
      </c>
      <c r="I148" s="1">
        <v>44948.346307870372</v>
      </c>
      <c r="J148" s="1">
        <v>44947.347696759258</v>
      </c>
      <c r="K148" s="2">
        <v>44947.347408564812</v>
      </c>
      <c r="L148" t="s">
        <v>28</v>
      </c>
      <c r="M148" s="2">
        <v>44947.837888287038</v>
      </c>
      <c r="N148" t="s">
        <v>28</v>
      </c>
      <c r="O148" s="2">
        <v>44949.257865868058</v>
      </c>
      <c r="P148">
        <v>6</v>
      </c>
      <c r="Q148">
        <v>4</v>
      </c>
      <c r="R148" t="s">
        <v>50</v>
      </c>
      <c r="S148" t="s">
        <v>30</v>
      </c>
      <c r="T148" t="s">
        <v>51</v>
      </c>
      <c r="U148">
        <v>39.673369999999998</v>
      </c>
      <c r="V148">
        <v>-4.7677259999999997</v>
      </c>
      <c r="W148" t="str">
        <f t="shared" si="14"/>
        <v>ok</v>
      </c>
      <c r="X148" t="str">
        <f t="shared" si="19"/>
        <v>ok</v>
      </c>
      <c r="Y148" t="str">
        <f t="shared" si="15"/>
        <v>ok</v>
      </c>
      <c r="Z148" t="str">
        <f t="shared" si="16"/>
        <v>ok</v>
      </c>
      <c r="AA148" s="4" t="str">
        <f t="shared" si="17"/>
        <v>ok</v>
      </c>
      <c r="AB148" s="4" t="str">
        <f t="shared" si="18"/>
        <v>ok</v>
      </c>
      <c r="AC148" s="6">
        <f t="shared" si="13"/>
        <v>11.797930000000633</v>
      </c>
    </row>
    <row r="149" spans="1:29" x14ac:dyDescent="0.3">
      <c r="A149" t="s">
        <v>22</v>
      </c>
      <c r="B149">
        <v>1183</v>
      </c>
      <c r="C149" t="s">
        <v>23</v>
      </c>
      <c r="D149" t="s">
        <v>24</v>
      </c>
      <c r="E149" t="s">
        <v>44</v>
      </c>
      <c r="F149" t="s">
        <v>26</v>
      </c>
      <c r="G149" t="s">
        <v>60</v>
      </c>
      <c r="H149" s="1">
        <v>44947.322071759256</v>
      </c>
      <c r="I149" s="1">
        <v>44949.322071759256</v>
      </c>
      <c r="J149" s="1">
        <v>44947.363738425927</v>
      </c>
      <c r="K149" s="2">
        <v>44947.326030891207</v>
      </c>
      <c r="L149" t="s">
        <v>28</v>
      </c>
      <c r="M149" s="2">
        <v>44947.752873182872</v>
      </c>
      <c r="N149" t="s">
        <v>28</v>
      </c>
      <c r="O149" s="2">
        <v>44951.147739155094</v>
      </c>
      <c r="P149">
        <v>4</v>
      </c>
      <c r="Q149">
        <v>5</v>
      </c>
      <c r="R149" t="s">
        <v>39</v>
      </c>
      <c r="S149" t="s">
        <v>30</v>
      </c>
      <c r="T149" t="s">
        <v>63</v>
      </c>
      <c r="U149">
        <v>55.378051999999997</v>
      </c>
      <c r="V149">
        <v>-3.4359730000000002</v>
      </c>
      <c r="W149" t="str">
        <f t="shared" si="14"/>
        <v>ok</v>
      </c>
      <c r="X149" t="str">
        <f t="shared" si="19"/>
        <v>ok</v>
      </c>
      <c r="Y149" t="str">
        <f t="shared" si="15"/>
        <v>ok</v>
      </c>
      <c r="Z149" t="str">
        <f t="shared" si="16"/>
        <v>ok</v>
      </c>
      <c r="AA149" s="4" t="str">
        <f t="shared" si="17"/>
        <v>ok</v>
      </c>
      <c r="AB149" s="4" t="str">
        <f t="shared" si="18"/>
        <v>ok</v>
      </c>
      <c r="AC149" s="6">
        <f t="shared" si="13"/>
        <v>10.339234166778624</v>
      </c>
    </row>
    <row r="150" spans="1:29" x14ac:dyDescent="0.3">
      <c r="A150" t="s">
        <v>42</v>
      </c>
      <c r="B150">
        <v>1184</v>
      </c>
      <c r="C150" t="s">
        <v>33</v>
      </c>
      <c r="D150" t="s">
        <v>43</v>
      </c>
      <c r="E150" t="s">
        <v>48</v>
      </c>
      <c r="F150" t="s">
        <v>26</v>
      </c>
      <c r="G150" t="s">
        <v>49</v>
      </c>
      <c r="H150" s="1">
        <v>44947.723356481481</v>
      </c>
      <c r="I150" s="1">
        <v>44948.723356481481</v>
      </c>
      <c r="J150" s="1">
        <v>44947.724745370368</v>
      </c>
      <c r="K150" s="2">
        <v>44947.724205868057</v>
      </c>
      <c r="L150" t="s">
        <v>28</v>
      </c>
      <c r="M150" s="2">
        <v>44951.852837939812</v>
      </c>
      <c r="N150" t="s">
        <v>38</v>
      </c>
      <c r="P150">
        <v>2</v>
      </c>
      <c r="R150" t="s">
        <v>50</v>
      </c>
      <c r="S150" t="s">
        <v>30</v>
      </c>
      <c r="T150" t="s">
        <v>46</v>
      </c>
      <c r="U150">
        <v>47.696471899999999</v>
      </c>
      <c r="V150">
        <v>13.3457347</v>
      </c>
      <c r="W150" t="str">
        <f t="shared" si="14"/>
        <v>ok</v>
      </c>
      <c r="X150" t="str">
        <f t="shared" si="19"/>
        <v>ok</v>
      </c>
      <c r="Y150" t="str">
        <f t="shared" si="15"/>
        <v>ok</v>
      </c>
      <c r="Z150" t="str">
        <f t="shared" si="16"/>
        <v>ok</v>
      </c>
      <c r="AA150" s="4" t="str">
        <f t="shared" si="17"/>
        <v>ok</v>
      </c>
      <c r="AB150" s="4" t="str">
        <f t="shared" si="18"/>
        <v>ok</v>
      </c>
      <c r="AC150" s="6">
        <f t="shared" ref="AC150:AC213" si="20">IF(M150="","",(M150-H150)*24)</f>
        <v>99.107554999936838</v>
      </c>
    </row>
    <row r="151" spans="1:29" x14ac:dyDescent="0.3">
      <c r="A151" t="s">
        <v>42</v>
      </c>
      <c r="B151">
        <v>1185</v>
      </c>
      <c r="C151" t="s">
        <v>23</v>
      </c>
      <c r="D151" t="s">
        <v>43</v>
      </c>
      <c r="E151" t="s">
        <v>25</v>
      </c>
      <c r="F151" t="s">
        <v>26</v>
      </c>
      <c r="G151" t="s">
        <v>52</v>
      </c>
      <c r="H151" s="1">
        <v>44947.489733796298</v>
      </c>
      <c r="I151" s="1">
        <v>44948.489733796298</v>
      </c>
      <c r="J151" s="1">
        <v>44947.491122685184</v>
      </c>
      <c r="K151" s="2">
        <v>44947.492855636578</v>
      </c>
      <c r="L151" t="s">
        <v>38</v>
      </c>
      <c r="M151" s="2">
        <v>44947.639921423608</v>
      </c>
      <c r="N151" t="s">
        <v>28</v>
      </c>
      <c r="P151">
        <v>6</v>
      </c>
      <c r="R151" t="s">
        <v>29</v>
      </c>
      <c r="S151" t="s">
        <v>30</v>
      </c>
      <c r="T151" t="s">
        <v>61</v>
      </c>
      <c r="U151">
        <v>42.724992499999999</v>
      </c>
      <c r="V151">
        <v>25.483303899999999</v>
      </c>
      <c r="W151" t="str">
        <f t="shared" si="14"/>
        <v>ok</v>
      </c>
      <c r="X151" t="str">
        <f t="shared" si="19"/>
        <v>ok</v>
      </c>
      <c r="Y151" t="str">
        <f t="shared" si="15"/>
        <v>ok</v>
      </c>
      <c r="Z151" t="str">
        <f t="shared" si="16"/>
        <v>ok</v>
      </c>
      <c r="AA151" s="4" t="str">
        <f t="shared" si="17"/>
        <v>ok</v>
      </c>
      <c r="AB151" s="4" t="str">
        <f t="shared" si="18"/>
        <v>ok</v>
      </c>
      <c r="AC151" s="6">
        <f t="shared" si="20"/>
        <v>3.6045030554523692</v>
      </c>
    </row>
    <row r="152" spans="1:29" x14ac:dyDescent="0.3">
      <c r="A152" t="s">
        <v>22</v>
      </c>
      <c r="B152">
        <v>1186</v>
      </c>
      <c r="C152" t="s">
        <v>47</v>
      </c>
      <c r="D152" t="s">
        <v>24</v>
      </c>
      <c r="E152" t="s">
        <v>35</v>
      </c>
      <c r="F152" t="s">
        <v>26</v>
      </c>
      <c r="G152" t="s">
        <v>49</v>
      </c>
      <c r="H152" s="1">
        <v>44947.298460648148</v>
      </c>
      <c r="I152" s="1">
        <v>44949.298460648148</v>
      </c>
      <c r="J152" s="1">
        <v>44947.340127314812</v>
      </c>
      <c r="K152" s="2">
        <v>44947.323602696757</v>
      </c>
      <c r="L152" t="s">
        <v>28</v>
      </c>
      <c r="M152" s="2">
        <v>44948.537340590279</v>
      </c>
      <c r="N152" t="s">
        <v>28</v>
      </c>
      <c r="O152" s="2">
        <v>44953.748614155091</v>
      </c>
      <c r="P152">
        <v>1</v>
      </c>
      <c r="Q152">
        <v>3</v>
      </c>
      <c r="R152" t="s">
        <v>55</v>
      </c>
      <c r="S152" t="s">
        <v>30</v>
      </c>
      <c r="T152" t="s">
        <v>53</v>
      </c>
      <c r="U152">
        <v>39.368279000000001</v>
      </c>
      <c r="V152">
        <v>21.863140999999999</v>
      </c>
      <c r="W152" t="str">
        <f t="shared" si="14"/>
        <v>ok</v>
      </c>
      <c r="X152" t="str">
        <f t="shared" si="19"/>
        <v>ok</v>
      </c>
      <c r="Y152" t="str">
        <f t="shared" si="15"/>
        <v>ok</v>
      </c>
      <c r="Z152" t="str">
        <f t="shared" si="16"/>
        <v>ok</v>
      </c>
      <c r="AA152" s="4" t="str">
        <f t="shared" si="17"/>
        <v>ok</v>
      </c>
      <c r="AB152" s="4" t="str">
        <f t="shared" si="18"/>
        <v>ok</v>
      </c>
      <c r="AC152" s="6">
        <f t="shared" si="20"/>
        <v>29.733118611155078</v>
      </c>
    </row>
    <row r="153" spans="1:29" x14ac:dyDescent="0.3">
      <c r="A153" t="s">
        <v>32</v>
      </c>
      <c r="B153">
        <v>1198</v>
      </c>
      <c r="C153" t="s">
        <v>47</v>
      </c>
      <c r="D153" t="s">
        <v>24</v>
      </c>
      <c r="E153" t="s">
        <v>39</v>
      </c>
      <c r="F153" t="s">
        <v>26</v>
      </c>
      <c r="G153" t="s">
        <v>52</v>
      </c>
      <c r="H153" s="1">
        <v>44948.36818287037</v>
      </c>
      <c r="I153" s="1">
        <v>44950.36818287037</v>
      </c>
      <c r="J153" s="1">
        <v>44948.409849537034</v>
      </c>
      <c r="K153" s="2">
        <v>44948.399248472226</v>
      </c>
      <c r="L153" t="s">
        <v>28</v>
      </c>
      <c r="N153" t="s">
        <v>38</v>
      </c>
      <c r="P153">
        <v>7</v>
      </c>
      <c r="R153" t="s">
        <v>50</v>
      </c>
      <c r="S153" t="s">
        <v>30</v>
      </c>
      <c r="T153" t="s">
        <v>31</v>
      </c>
      <c r="U153">
        <v>53.094023999999997</v>
      </c>
      <c r="V153">
        <v>-8.0196749999999994</v>
      </c>
      <c r="W153" t="str">
        <f t="shared" si="14"/>
        <v>ok</v>
      </c>
      <c r="X153" t="str">
        <f t="shared" si="19"/>
        <v>ok</v>
      </c>
      <c r="Y153" t="str">
        <f t="shared" si="15"/>
        <v>ok</v>
      </c>
      <c r="Z153" t="str">
        <f t="shared" si="16"/>
        <v>ok</v>
      </c>
      <c r="AA153" s="4" t="str">
        <f t="shared" si="17"/>
        <v>ok</v>
      </c>
      <c r="AB153" s="4" t="str">
        <f t="shared" si="18"/>
        <v>no resolution</v>
      </c>
      <c r="AC153" s="6" t="str">
        <f t="shared" si="20"/>
        <v/>
      </c>
    </row>
    <row r="154" spans="1:29" x14ac:dyDescent="0.3">
      <c r="A154" t="s">
        <v>42</v>
      </c>
      <c r="B154">
        <v>1199</v>
      </c>
      <c r="C154" t="s">
        <v>23</v>
      </c>
      <c r="D154" t="s">
        <v>43</v>
      </c>
      <c r="E154" t="s">
        <v>59</v>
      </c>
      <c r="F154" t="s">
        <v>26</v>
      </c>
      <c r="G154" t="s">
        <v>60</v>
      </c>
      <c r="H154" s="1">
        <v>44948.081550925926</v>
      </c>
      <c r="I154" s="1">
        <v>44949.081550925926</v>
      </c>
      <c r="J154" s="1">
        <v>44948.082939814813</v>
      </c>
      <c r="K154" s="2">
        <v>44948.081834942132</v>
      </c>
      <c r="L154" t="s">
        <v>28</v>
      </c>
      <c r="M154" s="2">
        <v>44948.18981851852</v>
      </c>
      <c r="N154" t="s">
        <v>28</v>
      </c>
      <c r="P154">
        <v>3</v>
      </c>
      <c r="R154" t="s">
        <v>55</v>
      </c>
      <c r="S154" t="s">
        <v>30</v>
      </c>
      <c r="T154" t="s">
        <v>58</v>
      </c>
      <c r="U154">
        <v>49.8037633</v>
      </c>
      <c r="V154">
        <v>15.4749126</v>
      </c>
      <c r="W154" t="str">
        <f t="shared" si="14"/>
        <v>ok</v>
      </c>
      <c r="X154" t="str">
        <f t="shared" si="19"/>
        <v>ok</v>
      </c>
      <c r="Y154" t="str">
        <f t="shared" si="15"/>
        <v>ok</v>
      </c>
      <c r="Z154" t="str">
        <f t="shared" si="16"/>
        <v>ok</v>
      </c>
      <c r="AA154" s="4" t="str">
        <f t="shared" si="17"/>
        <v>ok</v>
      </c>
      <c r="AB154" s="4" t="str">
        <f t="shared" si="18"/>
        <v>ok</v>
      </c>
      <c r="AC154" s="6">
        <f t="shared" si="20"/>
        <v>2.5984222222468816</v>
      </c>
    </row>
    <row r="155" spans="1:29" x14ac:dyDescent="0.3">
      <c r="A155" t="s">
        <v>22</v>
      </c>
      <c r="B155">
        <v>1200</v>
      </c>
      <c r="C155" t="s">
        <v>47</v>
      </c>
      <c r="D155" t="s">
        <v>24</v>
      </c>
      <c r="E155" t="s">
        <v>25</v>
      </c>
      <c r="F155" t="s">
        <v>26</v>
      </c>
      <c r="G155" t="s">
        <v>27</v>
      </c>
      <c r="H155" s="1">
        <v>44948.284780092596</v>
      </c>
      <c r="I155" s="1">
        <v>44950.284780092596</v>
      </c>
      <c r="J155" s="1">
        <v>44948.32644675926</v>
      </c>
      <c r="K155" s="2">
        <v>44948.29771810185</v>
      </c>
      <c r="L155" t="s">
        <v>28</v>
      </c>
      <c r="M155" s="2">
        <v>44948.744884340274</v>
      </c>
      <c r="N155" t="s">
        <v>28</v>
      </c>
      <c r="O155" s="2">
        <v>44951.3835378125</v>
      </c>
      <c r="P155">
        <v>1</v>
      </c>
      <c r="Q155">
        <v>1</v>
      </c>
      <c r="R155" t="s">
        <v>29</v>
      </c>
      <c r="S155" t="s">
        <v>30</v>
      </c>
      <c r="T155" t="s">
        <v>53</v>
      </c>
      <c r="U155">
        <v>39.368279000000001</v>
      </c>
      <c r="V155">
        <v>21.863140999999999</v>
      </c>
      <c r="W155" t="str">
        <f t="shared" si="14"/>
        <v>ok</v>
      </c>
      <c r="X155" t="str">
        <f t="shared" si="19"/>
        <v>ok</v>
      </c>
      <c r="Y155" t="str">
        <f t="shared" si="15"/>
        <v>ok</v>
      </c>
      <c r="Z155" t="str">
        <f t="shared" si="16"/>
        <v>ok</v>
      </c>
      <c r="AA155" s="4" t="str">
        <f t="shared" si="17"/>
        <v>ok</v>
      </c>
      <c r="AB155" s="4" t="str">
        <f t="shared" si="18"/>
        <v>ok</v>
      </c>
      <c r="AC155" s="6">
        <f t="shared" si="20"/>
        <v>11.042501944291871</v>
      </c>
    </row>
    <row r="156" spans="1:29" x14ac:dyDescent="0.3">
      <c r="A156" t="s">
        <v>42</v>
      </c>
      <c r="B156">
        <v>1201</v>
      </c>
      <c r="C156" t="s">
        <v>33</v>
      </c>
      <c r="D156" t="s">
        <v>24</v>
      </c>
      <c r="E156" t="s">
        <v>62</v>
      </c>
      <c r="F156" t="s">
        <v>26</v>
      </c>
      <c r="G156" t="s">
        <v>27</v>
      </c>
      <c r="H156" s="1">
        <v>44948.987997685188</v>
      </c>
      <c r="I156" s="1">
        <v>44950.987997685188</v>
      </c>
      <c r="J156" s="1">
        <v>44949.029664351852</v>
      </c>
      <c r="K156" s="2">
        <v>44949.004720763885</v>
      </c>
      <c r="L156" t="s">
        <v>28</v>
      </c>
      <c r="M156" s="2">
        <v>44949.933977141205</v>
      </c>
      <c r="N156" t="s">
        <v>28</v>
      </c>
      <c r="P156">
        <v>3</v>
      </c>
      <c r="R156" t="s">
        <v>55</v>
      </c>
      <c r="S156" t="s">
        <v>30</v>
      </c>
      <c r="T156" t="s">
        <v>56</v>
      </c>
      <c r="U156">
        <v>52.536273000000001</v>
      </c>
      <c r="V156">
        <v>19.050639</v>
      </c>
      <c r="W156" t="str">
        <f t="shared" si="14"/>
        <v>ok</v>
      </c>
      <c r="X156" t="str">
        <f t="shared" si="19"/>
        <v>ok</v>
      </c>
      <c r="Y156" t="str">
        <f t="shared" si="15"/>
        <v>ok</v>
      </c>
      <c r="Z156" t="str">
        <f t="shared" si="16"/>
        <v>ok</v>
      </c>
      <c r="AA156" s="4" t="str">
        <f t="shared" si="17"/>
        <v>ok</v>
      </c>
      <c r="AB156" s="4" t="str">
        <f t="shared" si="18"/>
        <v>ok</v>
      </c>
      <c r="AC156" s="6">
        <f t="shared" si="20"/>
        <v>22.703506944410037</v>
      </c>
    </row>
    <row r="157" spans="1:29" x14ac:dyDescent="0.3">
      <c r="A157" t="s">
        <v>42</v>
      </c>
      <c r="B157">
        <v>1202</v>
      </c>
      <c r="C157" t="s">
        <v>23</v>
      </c>
      <c r="D157" t="s">
        <v>24</v>
      </c>
      <c r="E157" t="s">
        <v>25</v>
      </c>
      <c r="F157" t="s">
        <v>26</v>
      </c>
      <c r="G157" t="s">
        <v>27</v>
      </c>
      <c r="H157" s="1">
        <v>44948.554189814815</v>
      </c>
      <c r="I157" s="1">
        <v>44950.554189814815</v>
      </c>
      <c r="J157" s="1">
        <v>44948.595856481479</v>
      </c>
      <c r="K157" s="2">
        <v>44948.565534733796</v>
      </c>
      <c r="L157" t="s">
        <v>28</v>
      </c>
      <c r="M157" s="2">
        <v>44950.514888518519</v>
      </c>
      <c r="N157" t="s">
        <v>28</v>
      </c>
      <c r="P157">
        <v>1</v>
      </c>
      <c r="R157" t="s">
        <v>39</v>
      </c>
      <c r="S157" t="s">
        <v>30</v>
      </c>
      <c r="T157" t="s">
        <v>63</v>
      </c>
      <c r="U157">
        <v>55.378051999999997</v>
      </c>
      <c r="V157">
        <v>-3.4359730000000002</v>
      </c>
      <c r="W157" t="str">
        <f t="shared" si="14"/>
        <v>ok</v>
      </c>
      <c r="X157" t="str">
        <f t="shared" si="19"/>
        <v>ok</v>
      </c>
      <c r="Y157" t="str">
        <f t="shared" si="15"/>
        <v>ok</v>
      </c>
      <c r="Z157" t="str">
        <f t="shared" si="16"/>
        <v>ok</v>
      </c>
      <c r="AA157" s="4" t="str">
        <f t="shared" si="17"/>
        <v>ok</v>
      </c>
      <c r="AB157" s="4" t="str">
        <f t="shared" si="18"/>
        <v>ok</v>
      </c>
      <c r="AC157" s="6">
        <f t="shared" si="20"/>
        <v>47.056768888898659</v>
      </c>
    </row>
    <row r="158" spans="1:29" x14ac:dyDescent="0.3">
      <c r="A158" t="s">
        <v>42</v>
      </c>
      <c r="B158">
        <v>1203</v>
      </c>
      <c r="C158" t="s">
        <v>47</v>
      </c>
      <c r="D158" t="s">
        <v>24</v>
      </c>
      <c r="E158" t="s">
        <v>59</v>
      </c>
      <c r="F158" t="s">
        <v>26</v>
      </c>
      <c r="G158" t="s">
        <v>45</v>
      </c>
      <c r="H158" s="1">
        <v>44948.605868055558</v>
      </c>
      <c r="I158" s="1">
        <v>44950.605868055558</v>
      </c>
      <c r="J158" s="1">
        <v>44948.647534722222</v>
      </c>
      <c r="K158" s="2">
        <v>44948.627032557873</v>
      </c>
      <c r="L158" t="s">
        <v>28</v>
      </c>
      <c r="M158" s="2">
        <v>44950.13679315972</v>
      </c>
      <c r="N158" t="s">
        <v>28</v>
      </c>
      <c r="P158">
        <v>5</v>
      </c>
      <c r="R158" t="s">
        <v>29</v>
      </c>
      <c r="S158" t="s">
        <v>30</v>
      </c>
      <c r="T158" t="s">
        <v>56</v>
      </c>
      <c r="U158">
        <v>52.536273000000001</v>
      </c>
      <c r="V158">
        <v>19.050639</v>
      </c>
      <c r="W158" t="str">
        <f t="shared" si="14"/>
        <v>ok</v>
      </c>
      <c r="X158" t="str">
        <f t="shared" si="19"/>
        <v>ok</v>
      </c>
      <c r="Y158" t="str">
        <f t="shared" si="15"/>
        <v>ok</v>
      </c>
      <c r="Z158" t="str">
        <f t="shared" si="16"/>
        <v>ok</v>
      </c>
      <c r="AA158" s="4" t="str">
        <f t="shared" si="17"/>
        <v>ok</v>
      </c>
      <c r="AB158" s="4" t="str">
        <f t="shared" si="18"/>
        <v>ok</v>
      </c>
      <c r="AC158" s="6">
        <f t="shared" si="20"/>
        <v>36.742202499881387</v>
      </c>
    </row>
    <row r="159" spans="1:29" x14ac:dyDescent="0.3">
      <c r="A159" t="s">
        <v>32</v>
      </c>
      <c r="B159">
        <v>1204</v>
      </c>
      <c r="C159" t="s">
        <v>23</v>
      </c>
      <c r="D159" t="s">
        <v>24</v>
      </c>
      <c r="E159" t="s">
        <v>44</v>
      </c>
      <c r="F159" t="s">
        <v>26</v>
      </c>
      <c r="G159" t="s">
        <v>45</v>
      </c>
      <c r="H159" s="1">
        <v>44949.10869212963</v>
      </c>
      <c r="I159" s="1">
        <v>44951.10869212963</v>
      </c>
      <c r="J159" s="1">
        <v>44949.150358796294</v>
      </c>
      <c r="K159" s="2">
        <v>44949.135530057873</v>
      </c>
      <c r="L159" t="s">
        <v>28</v>
      </c>
      <c r="N159" t="s">
        <v>38</v>
      </c>
      <c r="P159">
        <v>9</v>
      </c>
      <c r="R159" t="s">
        <v>39</v>
      </c>
      <c r="S159" t="s">
        <v>30</v>
      </c>
      <c r="T159" t="s">
        <v>41</v>
      </c>
      <c r="U159">
        <v>43.036776000000003</v>
      </c>
      <c r="V159">
        <v>12.678565000000001</v>
      </c>
      <c r="W159" t="str">
        <f t="shared" si="14"/>
        <v>ok</v>
      </c>
      <c r="X159" t="str">
        <f t="shared" si="19"/>
        <v>ok</v>
      </c>
      <c r="Y159" t="str">
        <f t="shared" si="15"/>
        <v>ok</v>
      </c>
      <c r="Z159" t="str">
        <f t="shared" si="16"/>
        <v>ok</v>
      </c>
      <c r="AA159" s="4" t="str">
        <f t="shared" si="17"/>
        <v>ok</v>
      </c>
      <c r="AB159" s="4" t="str">
        <f t="shared" si="18"/>
        <v>no resolution</v>
      </c>
      <c r="AC159" s="6" t="str">
        <f t="shared" si="20"/>
        <v/>
      </c>
    </row>
    <row r="160" spans="1:29" x14ac:dyDescent="0.3">
      <c r="A160" t="s">
        <v>42</v>
      </c>
      <c r="B160">
        <v>1205</v>
      </c>
      <c r="C160" t="s">
        <v>23</v>
      </c>
      <c r="D160" t="s">
        <v>43</v>
      </c>
      <c r="E160" t="s">
        <v>35</v>
      </c>
      <c r="F160" t="s">
        <v>36</v>
      </c>
      <c r="G160" t="s">
        <v>64</v>
      </c>
      <c r="H160" s="1">
        <v>44949.175486111111</v>
      </c>
      <c r="I160" s="1">
        <v>44950.175486111111</v>
      </c>
      <c r="J160" s="1">
        <v>44949.176874999997</v>
      </c>
      <c r="K160" s="2">
        <v>44949.176777245368</v>
      </c>
      <c r="L160" t="s">
        <v>28</v>
      </c>
      <c r="M160" s="2">
        <v>44949.738837881945</v>
      </c>
      <c r="N160" t="s">
        <v>28</v>
      </c>
      <c r="P160">
        <v>6</v>
      </c>
      <c r="R160" t="s">
        <v>29</v>
      </c>
      <c r="S160" t="s">
        <v>40</v>
      </c>
      <c r="T160" t="s">
        <v>51</v>
      </c>
      <c r="U160">
        <v>39.673369999999998</v>
      </c>
      <c r="V160">
        <v>-4.7677259999999997</v>
      </c>
      <c r="W160" t="str">
        <f t="shared" si="14"/>
        <v>ok</v>
      </c>
      <c r="X160" t="str">
        <f t="shared" si="19"/>
        <v>ok</v>
      </c>
      <c r="Y160" t="str">
        <f t="shared" si="15"/>
        <v>ok</v>
      </c>
      <c r="Z160" t="str">
        <f t="shared" si="16"/>
        <v>ok</v>
      </c>
      <c r="AA160" s="4" t="str">
        <f t="shared" si="17"/>
        <v>ok</v>
      </c>
      <c r="AB160" s="4" t="str">
        <f t="shared" si="18"/>
        <v>ok</v>
      </c>
      <c r="AC160" s="6">
        <f t="shared" si="20"/>
        <v>13.520442500011995</v>
      </c>
    </row>
    <row r="161" spans="1:29" x14ac:dyDescent="0.3">
      <c r="A161" t="s">
        <v>22</v>
      </c>
      <c r="B161">
        <v>1206</v>
      </c>
      <c r="C161" t="s">
        <v>23</v>
      </c>
      <c r="D161" t="s">
        <v>43</v>
      </c>
      <c r="E161" t="s">
        <v>35</v>
      </c>
      <c r="F161" t="s">
        <v>26</v>
      </c>
      <c r="G161" t="s">
        <v>27</v>
      </c>
      <c r="H161" s="1">
        <v>44949.104131944441</v>
      </c>
      <c r="I161" s="1">
        <v>44950.104131944441</v>
      </c>
      <c r="J161" s="1">
        <v>44949.105520833335</v>
      </c>
      <c r="K161" s="2">
        <v>44949.104821215275</v>
      </c>
      <c r="L161" t="s">
        <v>28</v>
      </c>
      <c r="M161" s="2">
        <v>44949.507784085647</v>
      </c>
      <c r="N161" t="s">
        <v>28</v>
      </c>
      <c r="O161" s="2">
        <v>44954.948749317133</v>
      </c>
      <c r="P161">
        <v>6</v>
      </c>
      <c r="Q161">
        <v>3</v>
      </c>
      <c r="R161" t="s">
        <v>29</v>
      </c>
      <c r="S161" t="s">
        <v>30</v>
      </c>
      <c r="T161" t="s">
        <v>57</v>
      </c>
      <c r="U161">
        <v>51.165691000000002</v>
      </c>
      <c r="V161">
        <v>10.451525999999999</v>
      </c>
      <c r="W161" t="str">
        <f t="shared" si="14"/>
        <v>ok</v>
      </c>
      <c r="X161" t="str">
        <f t="shared" si="19"/>
        <v>ok</v>
      </c>
      <c r="Y161" t="str">
        <f t="shared" si="15"/>
        <v>ok</v>
      </c>
      <c r="Z161" t="str">
        <f t="shared" si="16"/>
        <v>ok</v>
      </c>
      <c r="AA161" s="4" t="str">
        <f t="shared" si="17"/>
        <v>ok</v>
      </c>
      <c r="AB161" s="4" t="str">
        <f t="shared" si="18"/>
        <v>ok</v>
      </c>
      <c r="AC161" s="6">
        <f t="shared" si="20"/>
        <v>9.6876513889292255</v>
      </c>
    </row>
    <row r="162" spans="1:29" x14ac:dyDescent="0.3">
      <c r="A162" t="s">
        <v>32</v>
      </c>
      <c r="B162">
        <v>1207</v>
      </c>
      <c r="C162" t="s">
        <v>23</v>
      </c>
      <c r="D162" t="s">
        <v>24</v>
      </c>
      <c r="E162" t="s">
        <v>25</v>
      </c>
      <c r="F162" t="s">
        <v>26</v>
      </c>
      <c r="G162" t="s">
        <v>27</v>
      </c>
      <c r="H162" s="1">
        <v>44949.859675925924</v>
      </c>
      <c r="I162" s="1">
        <v>44951.859675925924</v>
      </c>
      <c r="J162" s="1">
        <v>44949.901342592595</v>
      </c>
      <c r="K162" s="2">
        <v>44949.885666562499</v>
      </c>
      <c r="L162" t="s">
        <v>28</v>
      </c>
      <c r="N162" t="s">
        <v>38</v>
      </c>
      <c r="P162">
        <v>5</v>
      </c>
      <c r="R162" t="s">
        <v>50</v>
      </c>
      <c r="S162" t="s">
        <v>30</v>
      </c>
      <c r="T162" t="s">
        <v>53</v>
      </c>
      <c r="U162">
        <v>39.368279000000001</v>
      </c>
      <c r="V162">
        <v>21.863140999999999</v>
      </c>
      <c r="W162" t="str">
        <f t="shared" si="14"/>
        <v>ok</v>
      </c>
      <c r="X162" t="str">
        <f t="shared" si="19"/>
        <v>ok</v>
      </c>
      <c r="Y162" t="str">
        <f t="shared" si="15"/>
        <v>ok</v>
      </c>
      <c r="Z162" t="str">
        <f t="shared" si="16"/>
        <v>ok</v>
      </c>
      <c r="AA162" s="4" t="str">
        <f t="shared" si="17"/>
        <v>ok</v>
      </c>
      <c r="AB162" s="4" t="str">
        <f t="shared" si="18"/>
        <v>no resolution</v>
      </c>
      <c r="AC162" s="6" t="str">
        <f t="shared" si="20"/>
        <v/>
      </c>
    </row>
    <row r="163" spans="1:29" x14ac:dyDescent="0.3">
      <c r="A163" t="s">
        <v>42</v>
      </c>
      <c r="B163">
        <v>1208</v>
      </c>
      <c r="C163" t="s">
        <v>23</v>
      </c>
      <c r="D163" t="s">
        <v>24</v>
      </c>
      <c r="E163" t="s">
        <v>35</v>
      </c>
      <c r="F163" t="s">
        <v>26</v>
      </c>
      <c r="G163" t="s">
        <v>52</v>
      </c>
      <c r="H163" s="1">
        <v>44949.69740740741</v>
      </c>
      <c r="I163" s="1">
        <v>44951.69740740741</v>
      </c>
      <c r="J163" s="1">
        <v>44949.739074074074</v>
      </c>
      <c r="K163" s="2">
        <v>44949.85901083333</v>
      </c>
      <c r="L163" t="s">
        <v>38</v>
      </c>
      <c r="M163" s="2">
        <v>44949.866184120372</v>
      </c>
      <c r="N163" t="s">
        <v>28</v>
      </c>
      <c r="P163">
        <v>2</v>
      </c>
      <c r="R163" t="s">
        <v>50</v>
      </c>
      <c r="S163" t="s">
        <v>30</v>
      </c>
      <c r="T163" t="s">
        <v>57</v>
      </c>
      <c r="U163">
        <v>51.165691000000002</v>
      </c>
      <c r="V163">
        <v>10.451525999999999</v>
      </c>
      <c r="W163" t="str">
        <f t="shared" si="14"/>
        <v>ok</v>
      </c>
      <c r="X163" t="str">
        <f t="shared" si="19"/>
        <v>ok</v>
      </c>
      <c r="Y163" t="str">
        <f t="shared" si="15"/>
        <v>ok</v>
      </c>
      <c r="Z163" t="str">
        <f t="shared" si="16"/>
        <v>ok</v>
      </c>
      <c r="AA163" s="4" t="str">
        <f t="shared" si="17"/>
        <v>ok</v>
      </c>
      <c r="AB163" s="4" t="str">
        <f t="shared" si="18"/>
        <v>ok</v>
      </c>
      <c r="AC163" s="6">
        <f t="shared" si="20"/>
        <v>4.0506411110982299</v>
      </c>
    </row>
    <row r="164" spans="1:29" x14ac:dyDescent="0.3">
      <c r="A164" t="s">
        <v>22</v>
      </c>
      <c r="B164">
        <v>1209</v>
      </c>
      <c r="C164" t="s">
        <v>47</v>
      </c>
      <c r="D164" t="s">
        <v>43</v>
      </c>
      <c r="E164" t="s">
        <v>25</v>
      </c>
      <c r="F164" t="s">
        <v>26</v>
      </c>
      <c r="G164" t="s">
        <v>52</v>
      </c>
      <c r="H164" s="1">
        <v>44949.542256944442</v>
      </c>
      <c r="I164" s="1">
        <v>44950.542256944442</v>
      </c>
      <c r="J164" s="1">
        <v>44949.543645833335</v>
      </c>
      <c r="K164" s="2">
        <v>44949.542932442127</v>
      </c>
      <c r="L164" t="s">
        <v>28</v>
      </c>
      <c r="M164" s="2">
        <v>44949.774615243055</v>
      </c>
      <c r="N164" t="s">
        <v>28</v>
      </c>
      <c r="O164" s="2">
        <v>44952.692256296294</v>
      </c>
      <c r="P164">
        <v>6</v>
      </c>
      <c r="Q164">
        <v>5</v>
      </c>
      <c r="R164" t="s">
        <v>50</v>
      </c>
      <c r="S164" t="s">
        <v>30</v>
      </c>
      <c r="T164" t="s">
        <v>63</v>
      </c>
      <c r="U164">
        <v>55.378051999999997</v>
      </c>
      <c r="V164">
        <v>-3.4359730000000002</v>
      </c>
      <c r="W164" t="str">
        <f t="shared" si="14"/>
        <v>ok</v>
      </c>
      <c r="X164" t="str">
        <f t="shared" si="19"/>
        <v>ok</v>
      </c>
      <c r="Y164" t="str">
        <f t="shared" si="15"/>
        <v>ok</v>
      </c>
      <c r="Z164" t="str">
        <f t="shared" si="16"/>
        <v>ok</v>
      </c>
      <c r="AA164" s="4" t="str">
        <f t="shared" si="17"/>
        <v>ok</v>
      </c>
      <c r="AB164" s="4" t="str">
        <f t="shared" si="18"/>
        <v>ok</v>
      </c>
      <c r="AC164" s="6">
        <f t="shared" si="20"/>
        <v>5.5765991667285562</v>
      </c>
    </row>
    <row r="165" spans="1:29" x14ac:dyDescent="0.3">
      <c r="A165" t="s">
        <v>32</v>
      </c>
      <c r="B165">
        <v>1210</v>
      </c>
      <c r="C165" t="s">
        <v>23</v>
      </c>
      <c r="D165" t="s">
        <v>24</v>
      </c>
      <c r="E165" t="s">
        <v>39</v>
      </c>
      <c r="F165" t="s">
        <v>36</v>
      </c>
      <c r="G165" t="s">
        <v>54</v>
      </c>
      <c r="H165" s="1">
        <v>44949.275219907409</v>
      </c>
      <c r="I165" s="1">
        <v>44951.275219907409</v>
      </c>
      <c r="J165" s="1">
        <v>44949.316886574074</v>
      </c>
      <c r="K165" s="2">
        <v>44949.281248321757</v>
      </c>
      <c r="L165" t="s">
        <v>28</v>
      </c>
      <c r="N165" t="s">
        <v>38</v>
      </c>
      <c r="P165">
        <v>10</v>
      </c>
      <c r="R165" t="s">
        <v>29</v>
      </c>
      <c r="S165" t="s">
        <v>40</v>
      </c>
      <c r="T165" t="s">
        <v>57</v>
      </c>
      <c r="U165">
        <v>51.165691000000002</v>
      </c>
      <c r="V165">
        <v>10.451525999999999</v>
      </c>
      <c r="W165" t="str">
        <f t="shared" si="14"/>
        <v>ok</v>
      </c>
      <c r="X165" t="str">
        <f t="shared" si="19"/>
        <v>ok</v>
      </c>
      <c r="Y165" t="str">
        <f t="shared" si="15"/>
        <v>ok</v>
      </c>
      <c r="Z165" t="str">
        <f t="shared" si="16"/>
        <v>ok</v>
      </c>
      <c r="AA165" s="4" t="str">
        <f t="shared" si="17"/>
        <v>ok</v>
      </c>
      <c r="AB165" s="4" t="str">
        <f t="shared" si="18"/>
        <v>no resolution</v>
      </c>
      <c r="AC165" s="6" t="str">
        <f t="shared" si="20"/>
        <v/>
      </c>
    </row>
    <row r="166" spans="1:29" x14ac:dyDescent="0.3">
      <c r="A166" t="s">
        <v>22</v>
      </c>
      <c r="B166">
        <v>1211</v>
      </c>
      <c r="C166" t="s">
        <v>23</v>
      </c>
      <c r="D166" t="s">
        <v>24</v>
      </c>
      <c r="E166" t="s">
        <v>44</v>
      </c>
      <c r="F166" t="s">
        <v>26</v>
      </c>
      <c r="G166" t="s">
        <v>45</v>
      </c>
      <c r="H166" s="1">
        <v>44950.643379629626</v>
      </c>
      <c r="I166" s="1">
        <v>44952.643379629626</v>
      </c>
      <c r="J166" s="1">
        <v>44950.685046296298</v>
      </c>
      <c r="K166" s="2">
        <v>44950.680881412038</v>
      </c>
      <c r="L166" t="s">
        <v>28</v>
      </c>
      <c r="M166" s="2">
        <v>44951.505854016206</v>
      </c>
      <c r="N166" t="s">
        <v>28</v>
      </c>
      <c r="O166" s="2">
        <v>44954.798282951386</v>
      </c>
      <c r="P166">
        <v>7</v>
      </c>
      <c r="Q166">
        <v>4</v>
      </c>
      <c r="R166" t="s">
        <v>55</v>
      </c>
      <c r="S166" t="s">
        <v>30</v>
      </c>
      <c r="T166" t="s">
        <v>63</v>
      </c>
      <c r="U166">
        <v>55.378051999999997</v>
      </c>
      <c r="V166">
        <v>-3.4359730000000002</v>
      </c>
      <c r="W166" t="str">
        <f t="shared" si="14"/>
        <v>ok</v>
      </c>
      <c r="X166" t="str">
        <f t="shared" si="19"/>
        <v>ok</v>
      </c>
      <c r="Y166" t="str">
        <f t="shared" si="15"/>
        <v>ok</v>
      </c>
      <c r="Z166" t="str">
        <f t="shared" si="16"/>
        <v>ok</v>
      </c>
      <c r="AA166" s="4" t="str">
        <f t="shared" si="17"/>
        <v>ok</v>
      </c>
      <c r="AB166" s="4" t="str">
        <f t="shared" si="18"/>
        <v>ok</v>
      </c>
      <c r="AC166" s="6">
        <f t="shared" si="20"/>
        <v>20.699385277926922</v>
      </c>
    </row>
    <row r="167" spans="1:29" x14ac:dyDescent="0.3">
      <c r="A167" t="s">
        <v>22</v>
      </c>
      <c r="B167">
        <v>1213</v>
      </c>
      <c r="C167" t="s">
        <v>33</v>
      </c>
      <c r="D167" t="s">
        <v>24</v>
      </c>
      <c r="E167" t="s">
        <v>39</v>
      </c>
      <c r="F167" t="s">
        <v>26</v>
      </c>
      <c r="G167" t="s">
        <v>52</v>
      </c>
      <c r="H167" s="1">
        <v>44950.463935185187</v>
      </c>
      <c r="I167" s="1">
        <v>44952.463935185187</v>
      </c>
      <c r="J167" s="1">
        <v>44950.505601851852</v>
      </c>
      <c r="K167" s="2">
        <v>44950.501985324074</v>
      </c>
      <c r="L167" t="s">
        <v>28</v>
      </c>
      <c r="M167" s="2">
        <v>44951.719715879626</v>
      </c>
      <c r="N167" t="s">
        <v>28</v>
      </c>
      <c r="O167" s="2">
        <v>44952.498961203702</v>
      </c>
      <c r="P167">
        <v>3</v>
      </c>
      <c r="Q167">
        <v>5</v>
      </c>
      <c r="R167" t="s">
        <v>39</v>
      </c>
      <c r="S167" t="s">
        <v>30</v>
      </c>
      <c r="T167" t="s">
        <v>56</v>
      </c>
      <c r="U167">
        <v>52.536273000000001</v>
      </c>
      <c r="V167">
        <v>19.050639</v>
      </c>
      <c r="W167" t="str">
        <f t="shared" si="14"/>
        <v>ok</v>
      </c>
      <c r="X167" t="str">
        <f t="shared" si="19"/>
        <v>ok</v>
      </c>
      <c r="Y167" t="str">
        <f t="shared" si="15"/>
        <v>ok</v>
      </c>
      <c r="Z167" t="str">
        <f t="shared" si="16"/>
        <v>ok</v>
      </c>
      <c r="AA167" s="4" t="str">
        <f t="shared" si="17"/>
        <v>ok</v>
      </c>
      <c r="AB167" s="4" t="str">
        <f t="shared" si="18"/>
        <v>ok</v>
      </c>
      <c r="AC167" s="6">
        <f t="shared" si="20"/>
        <v>30.138736666529439</v>
      </c>
    </row>
    <row r="168" spans="1:29" x14ac:dyDescent="0.3">
      <c r="A168" t="s">
        <v>22</v>
      </c>
      <c r="B168">
        <v>1214</v>
      </c>
      <c r="C168" t="s">
        <v>23</v>
      </c>
      <c r="D168" t="s">
        <v>43</v>
      </c>
      <c r="E168" t="s">
        <v>39</v>
      </c>
      <c r="F168" t="s">
        <v>26</v>
      </c>
      <c r="G168" t="s">
        <v>52</v>
      </c>
      <c r="H168" s="1">
        <v>44950.296006944445</v>
      </c>
      <c r="I168" s="1">
        <v>44951.296006944445</v>
      </c>
      <c r="J168" s="1">
        <v>44950.297395833331</v>
      </c>
      <c r="K168" s="2">
        <v>44950.297145682867</v>
      </c>
      <c r="L168" t="s">
        <v>28</v>
      </c>
      <c r="M168" s="2">
        <v>44950.601754525465</v>
      </c>
      <c r="N168" t="s">
        <v>28</v>
      </c>
      <c r="O168" s="2">
        <v>44955.16945577546</v>
      </c>
      <c r="P168">
        <v>60</v>
      </c>
      <c r="Q168">
        <v>5</v>
      </c>
      <c r="R168" t="s">
        <v>50</v>
      </c>
      <c r="S168" t="s">
        <v>30</v>
      </c>
      <c r="T168" t="s">
        <v>63</v>
      </c>
      <c r="U168">
        <v>55.378051999999997</v>
      </c>
      <c r="V168">
        <v>-3.4359730000000002</v>
      </c>
      <c r="W168" t="str">
        <f t="shared" si="14"/>
        <v>ok</v>
      </c>
      <c r="X168" t="str">
        <f t="shared" si="19"/>
        <v>ok</v>
      </c>
      <c r="Y168" t="str">
        <f t="shared" si="15"/>
        <v>ok</v>
      </c>
      <c r="Z168" t="str">
        <f t="shared" si="16"/>
        <v>ok</v>
      </c>
      <c r="AA168" s="4" t="str">
        <f t="shared" si="17"/>
        <v>ok</v>
      </c>
      <c r="AB168" s="4" t="str">
        <f t="shared" si="18"/>
        <v>ok</v>
      </c>
      <c r="AC168" s="6">
        <f t="shared" si="20"/>
        <v>7.3379419444827363</v>
      </c>
    </row>
    <row r="169" spans="1:29" x14ac:dyDescent="0.3">
      <c r="A169" t="s">
        <v>42</v>
      </c>
      <c r="B169">
        <v>1216</v>
      </c>
      <c r="C169" t="s">
        <v>47</v>
      </c>
      <c r="D169" t="s">
        <v>24</v>
      </c>
      <c r="E169" t="s">
        <v>35</v>
      </c>
      <c r="F169" t="s">
        <v>26</v>
      </c>
      <c r="G169" t="s">
        <v>60</v>
      </c>
      <c r="H169" s="1">
        <v>44950.908738425926</v>
      </c>
      <c r="I169" s="1">
        <v>44952.908738425926</v>
      </c>
      <c r="J169" s="1">
        <v>44950.95040509259</v>
      </c>
      <c r="K169" s="2">
        <v>44950.930971493057</v>
      </c>
      <c r="L169" t="s">
        <v>28</v>
      </c>
      <c r="M169" s="2">
        <v>44956.241484050923</v>
      </c>
      <c r="N169" t="s">
        <v>38</v>
      </c>
      <c r="P169">
        <v>1</v>
      </c>
      <c r="R169" t="s">
        <v>50</v>
      </c>
      <c r="S169" t="s">
        <v>30</v>
      </c>
      <c r="T169" t="s">
        <v>46</v>
      </c>
      <c r="U169">
        <v>47.696471899999999</v>
      </c>
      <c r="V169">
        <v>13.3457347</v>
      </c>
      <c r="W169" t="str">
        <f t="shared" si="14"/>
        <v>ok</v>
      </c>
      <c r="X169" t="str">
        <f t="shared" si="19"/>
        <v>ok</v>
      </c>
      <c r="Y169" t="str">
        <f t="shared" si="15"/>
        <v>ok</v>
      </c>
      <c r="Z169" t="str">
        <f t="shared" si="16"/>
        <v>ok</v>
      </c>
      <c r="AA169" s="4" t="str">
        <f t="shared" si="17"/>
        <v>ok</v>
      </c>
      <c r="AB169" s="4" t="str">
        <f t="shared" si="18"/>
        <v>ok</v>
      </c>
      <c r="AC169" s="6">
        <f t="shared" si="20"/>
        <v>127.9858949999325</v>
      </c>
    </row>
    <row r="170" spans="1:29" x14ac:dyDescent="0.3">
      <c r="A170" t="s">
        <v>32</v>
      </c>
      <c r="B170">
        <v>1217</v>
      </c>
      <c r="C170" t="s">
        <v>33</v>
      </c>
      <c r="D170" t="s">
        <v>24</v>
      </c>
      <c r="E170" t="s">
        <v>39</v>
      </c>
      <c r="F170" t="s">
        <v>36</v>
      </c>
      <c r="G170" t="s">
        <v>64</v>
      </c>
      <c r="H170" s="1">
        <v>44950.67732638889</v>
      </c>
      <c r="I170" s="1">
        <v>44952.67732638889</v>
      </c>
      <c r="J170" s="1">
        <v>44950.718993055554</v>
      </c>
      <c r="K170" s="2">
        <v>44950.695420682867</v>
      </c>
      <c r="L170" t="s">
        <v>28</v>
      </c>
      <c r="N170" t="s">
        <v>38</v>
      </c>
      <c r="P170">
        <v>10</v>
      </c>
      <c r="R170" t="s">
        <v>39</v>
      </c>
      <c r="S170" t="s">
        <v>40</v>
      </c>
      <c r="T170" t="s">
        <v>31</v>
      </c>
      <c r="U170">
        <v>53.094023999999997</v>
      </c>
      <c r="V170">
        <v>-8.0196749999999994</v>
      </c>
      <c r="W170" t="str">
        <f t="shared" si="14"/>
        <v>ok</v>
      </c>
      <c r="X170" t="str">
        <f t="shared" si="19"/>
        <v>ok</v>
      </c>
      <c r="Y170" t="str">
        <f t="shared" si="15"/>
        <v>ok</v>
      </c>
      <c r="Z170" t="str">
        <f t="shared" si="16"/>
        <v>ok</v>
      </c>
      <c r="AA170" s="4" t="str">
        <f t="shared" si="17"/>
        <v>ok</v>
      </c>
      <c r="AB170" s="4" t="str">
        <f t="shared" si="18"/>
        <v>no resolution</v>
      </c>
      <c r="AC170" s="6" t="str">
        <f t="shared" si="20"/>
        <v/>
      </c>
    </row>
    <row r="171" spans="1:29" x14ac:dyDescent="0.3">
      <c r="A171" t="s">
        <v>42</v>
      </c>
      <c r="B171">
        <v>1218</v>
      </c>
      <c r="C171" t="s">
        <v>23</v>
      </c>
      <c r="D171" t="s">
        <v>43</v>
      </c>
      <c r="E171" t="s">
        <v>44</v>
      </c>
      <c r="F171" t="s">
        <v>26</v>
      </c>
      <c r="G171" t="s">
        <v>27</v>
      </c>
      <c r="H171" s="1">
        <v>44950.504236111112</v>
      </c>
      <c r="I171" s="1">
        <v>44951.504236111112</v>
      </c>
      <c r="J171" s="1">
        <v>44950.505624999998</v>
      </c>
      <c r="K171" s="2">
        <v>44950.504608680552</v>
      </c>
      <c r="L171" t="s">
        <v>28</v>
      </c>
      <c r="M171" s="2">
        <v>44950.556594421294</v>
      </c>
      <c r="N171" t="s">
        <v>28</v>
      </c>
      <c r="P171">
        <v>6</v>
      </c>
      <c r="R171" t="s">
        <v>50</v>
      </c>
      <c r="S171" t="s">
        <v>30</v>
      </c>
      <c r="T171" t="s">
        <v>58</v>
      </c>
      <c r="U171">
        <v>49.8037633</v>
      </c>
      <c r="V171">
        <v>15.4749126</v>
      </c>
      <c r="W171" t="str">
        <f t="shared" si="14"/>
        <v>ok</v>
      </c>
      <c r="X171" t="str">
        <f t="shared" si="19"/>
        <v>ok</v>
      </c>
      <c r="Y171" t="str">
        <f t="shared" si="15"/>
        <v>ok</v>
      </c>
      <c r="Z171" t="str">
        <f t="shared" si="16"/>
        <v>ok</v>
      </c>
      <c r="AA171" s="4" t="str">
        <f t="shared" si="17"/>
        <v>ok</v>
      </c>
      <c r="AB171" s="4" t="str">
        <f t="shared" si="18"/>
        <v>ok</v>
      </c>
      <c r="AC171" s="6">
        <f t="shared" si="20"/>
        <v>1.2565994443721138</v>
      </c>
    </row>
    <row r="172" spans="1:29" x14ac:dyDescent="0.3">
      <c r="A172" t="s">
        <v>42</v>
      </c>
      <c r="B172">
        <v>1219</v>
      </c>
      <c r="C172" t="s">
        <v>23</v>
      </c>
      <c r="D172" t="s">
        <v>24</v>
      </c>
      <c r="E172" t="s">
        <v>44</v>
      </c>
      <c r="F172" t="s">
        <v>26</v>
      </c>
      <c r="G172" t="s">
        <v>49</v>
      </c>
      <c r="H172" s="1">
        <v>44950.739270833335</v>
      </c>
      <c r="I172" s="1">
        <v>44952.739270833335</v>
      </c>
      <c r="J172" s="1">
        <v>44950.7809375</v>
      </c>
      <c r="K172" s="2">
        <v>44950.76669449074</v>
      </c>
      <c r="L172" t="s">
        <v>28</v>
      </c>
      <c r="M172" s="2">
        <v>44952.268551770831</v>
      </c>
      <c r="N172" t="s">
        <v>28</v>
      </c>
      <c r="P172">
        <v>8</v>
      </c>
      <c r="R172" t="s">
        <v>50</v>
      </c>
      <c r="S172" t="s">
        <v>30</v>
      </c>
      <c r="T172" t="s">
        <v>57</v>
      </c>
      <c r="U172">
        <v>51.165691000000002</v>
      </c>
      <c r="V172">
        <v>10.451525999999999</v>
      </c>
      <c r="W172" t="str">
        <f t="shared" si="14"/>
        <v>ok</v>
      </c>
      <c r="X172" t="str">
        <f t="shared" si="19"/>
        <v>ok</v>
      </c>
      <c r="Y172" t="str">
        <f t="shared" si="15"/>
        <v>ok</v>
      </c>
      <c r="Z172" t="str">
        <f t="shared" si="16"/>
        <v>ok</v>
      </c>
      <c r="AA172" s="4" t="str">
        <f t="shared" si="17"/>
        <v>ok</v>
      </c>
      <c r="AB172" s="4" t="str">
        <f t="shared" si="18"/>
        <v>ok</v>
      </c>
      <c r="AC172" s="6">
        <f t="shared" si="20"/>
        <v>36.702742499881424</v>
      </c>
    </row>
    <row r="173" spans="1:29" x14ac:dyDescent="0.3">
      <c r="A173" t="s">
        <v>22</v>
      </c>
      <c r="B173">
        <v>1220</v>
      </c>
      <c r="C173" t="s">
        <v>23</v>
      </c>
      <c r="D173" t="s">
        <v>43</v>
      </c>
      <c r="E173" t="s">
        <v>25</v>
      </c>
      <c r="F173" t="s">
        <v>36</v>
      </c>
      <c r="G173" t="s">
        <v>64</v>
      </c>
      <c r="H173" s="1">
        <v>44951.657731481479</v>
      </c>
      <c r="I173" s="1">
        <v>44952.657731481479</v>
      </c>
      <c r="J173" s="1">
        <v>44951.659120370372</v>
      </c>
      <c r="K173" s="2">
        <v>44951.660107083335</v>
      </c>
      <c r="L173" t="s">
        <v>38</v>
      </c>
      <c r="M173" s="2">
        <v>44952.016122685185</v>
      </c>
      <c r="N173" t="s">
        <v>28</v>
      </c>
      <c r="O173" s="2">
        <v>44958.505973796295</v>
      </c>
      <c r="P173">
        <v>4</v>
      </c>
      <c r="Q173">
        <v>3</v>
      </c>
      <c r="R173" t="s">
        <v>50</v>
      </c>
      <c r="S173" t="s">
        <v>40</v>
      </c>
      <c r="T173" t="s">
        <v>65</v>
      </c>
      <c r="U173">
        <v>46.149166399999999</v>
      </c>
      <c r="V173">
        <v>14.9860106</v>
      </c>
      <c r="W173" t="str">
        <f t="shared" si="14"/>
        <v>ok</v>
      </c>
      <c r="X173" t="str">
        <f t="shared" si="19"/>
        <v>ok</v>
      </c>
      <c r="Y173" t="str">
        <f t="shared" si="15"/>
        <v>ok</v>
      </c>
      <c r="Z173" t="str">
        <f t="shared" si="16"/>
        <v>ok</v>
      </c>
      <c r="AA173" s="4" t="str">
        <f t="shared" si="17"/>
        <v>ok</v>
      </c>
      <c r="AB173" s="4" t="str">
        <f t="shared" si="18"/>
        <v>ok</v>
      </c>
      <c r="AC173" s="6">
        <f t="shared" si="20"/>
        <v>8.6013888889574446</v>
      </c>
    </row>
    <row r="174" spans="1:29" x14ac:dyDescent="0.3">
      <c r="A174" t="s">
        <v>42</v>
      </c>
      <c r="B174">
        <v>1221</v>
      </c>
      <c r="C174" t="s">
        <v>47</v>
      </c>
      <c r="D174" t="s">
        <v>24</v>
      </c>
      <c r="E174" t="s">
        <v>59</v>
      </c>
      <c r="F174" t="s">
        <v>36</v>
      </c>
      <c r="G174" t="s">
        <v>64</v>
      </c>
      <c r="H174" s="1">
        <v>44951.645543981482</v>
      </c>
      <c r="I174" s="1">
        <v>44953.645543981482</v>
      </c>
      <c r="J174" s="1">
        <v>44951.687210648146</v>
      </c>
      <c r="K174" s="2">
        <v>44951.971932106484</v>
      </c>
      <c r="L174" t="s">
        <v>38</v>
      </c>
      <c r="M174" s="2">
        <v>44951.703306284726</v>
      </c>
      <c r="N174" t="s">
        <v>28</v>
      </c>
      <c r="P174">
        <v>1</v>
      </c>
      <c r="R174" t="s">
        <v>29</v>
      </c>
      <c r="S174" t="s">
        <v>40</v>
      </c>
      <c r="T174" t="s">
        <v>53</v>
      </c>
      <c r="U174">
        <v>39.368279000000001</v>
      </c>
      <c r="V174">
        <v>21.863140999999999</v>
      </c>
      <c r="W174" t="str">
        <f t="shared" si="14"/>
        <v>ok</v>
      </c>
      <c r="X174" t="str">
        <f t="shared" si="19"/>
        <v>ok</v>
      </c>
      <c r="Y174" t="str">
        <f t="shared" si="15"/>
        <v>ok</v>
      </c>
      <c r="Z174" t="str">
        <f t="shared" si="16"/>
        <v>ok</v>
      </c>
      <c r="AA174" s="4" t="str">
        <f t="shared" si="17"/>
        <v>ok</v>
      </c>
      <c r="AB174" s="4" t="str">
        <f t="shared" si="18"/>
        <v>ok</v>
      </c>
      <c r="AC174" s="6">
        <f t="shared" si="20"/>
        <v>1.386295277858153</v>
      </c>
    </row>
    <row r="175" spans="1:29" x14ac:dyDescent="0.3">
      <c r="A175" t="s">
        <v>22</v>
      </c>
      <c r="B175">
        <v>1222</v>
      </c>
      <c r="C175" t="s">
        <v>47</v>
      </c>
      <c r="D175" t="s">
        <v>24</v>
      </c>
      <c r="E175" t="s">
        <v>35</v>
      </c>
      <c r="F175" t="s">
        <v>26</v>
      </c>
      <c r="G175" t="s">
        <v>60</v>
      </c>
      <c r="H175" s="1">
        <v>44951.401319444441</v>
      </c>
      <c r="I175" s="1">
        <v>44953.401319444441</v>
      </c>
      <c r="J175" s="1">
        <v>44951.442986111113</v>
      </c>
      <c r="K175" s="2">
        <v>44951.410266828701</v>
      </c>
      <c r="L175" t="s">
        <v>28</v>
      </c>
      <c r="M175" s="2">
        <v>44953.016326921294</v>
      </c>
      <c r="N175" t="s">
        <v>28</v>
      </c>
      <c r="O175" s="2">
        <v>44953.343031157405</v>
      </c>
      <c r="P175">
        <v>1</v>
      </c>
      <c r="Q175">
        <v>3</v>
      </c>
      <c r="R175" t="s">
        <v>55</v>
      </c>
      <c r="S175" t="s">
        <v>30</v>
      </c>
      <c r="T175" t="s">
        <v>58</v>
      </c>
      <c r="U175">
        <v>49.8037633</v>
      </c>
      <c r="V175">
        <v>15.4749126</v>
      </c>
      <c r="W175" t="str">
        <f t="shared" si="14"/>
        <v>ok</v>
      </c>
      <c r="X175" t="str">
        <f t="shared" si="19"/>
        <v>ok</v>
      </c>
      <c r="Y175" t="str">
        <f t="shared" si="15"/>
        <v>ok</v>
      </c>
      <c r="Z175" t="str">
        <f t="shared" si="16"/>
        <v>ok</v>
      </c>
      <c r="AA175" s="4" t="str">
        <f t="shared" si="17"/>
        <v>ok</v>
      </c>
      <c r="AB175" s="4" t="str">
        <f t="shared" si="18"/>
        <v>ok</v>
      </c>
      <c r="AC175" s="6">
        <f t="shared" si="20"/>
        <v>38.760179444449022</v>
      </c>
    </row>
    <row r="176" spans="1:29" x14ac:dyDescent="0.3">
      <c r="A176" t="s">
        <v>42</v>
      </c>
      <c r="B176">
        <v>1223</v>
      </c>
      <c r="C176" t="s">
        <v>47</v>
      </c>
      <c r="D176" t="s">
        <v>24</v>
      </c>
      <c r="E176" t="s">
        <v>25</v>
      </c>
      <c r="F176" t="s">
        <v>26</v>
      </c>
      <c r="G176" t="s">
        <v>27</v>
      </c>
      <c r="H176" s="1">
        <v>44951.940706018519</v>
      </c>
      <c r="I176" s="1">
        <v>44953.940706018519</v>
      </c>
      <c r="J176" s="1">
        <v>44951.982372685183</v>
      </c>
      <c r="K176" s="2">
        <v>44951.946622997682</v>
      </c>
      <c r="L176" t="s">
        <v>28</v>
      </c>
      <c r="M176" s="2">
        <v>44952.339691261572</v>
      </c>
      <c r="N176" t="s">
        <v>28</v>
      </c>
      <c r="P176">
        <v>1</v>
      </c>
      <c r="R176" t="s">
        <v>39</v>
      </c>
      <c r="S176" t="s">
        <v>30</v>
      </c>
      <c r="T176" t="s">
        <v>63</v>
      </c>
      <c r="U176">
        <v>55.378051999999997</v>
      </c>
      <c r="V176">
        <v>-3.4359730000000002</v>
      </c>
      <c r="W176" t="str">
        <f t="shared" si="14"/>
        <v>ok</v>
      </c>
      <c r="X176" t="str">
        <f t="shared" si="19"/>
        <v>ok</v>
      </c>
      <c r="Y176" t="str">
        <f t="shared" si="15"/>
        <v>ok</v>
      </c>
      <c r="Z176" t="str">
        <f t="shared" si="16"/>
        <v>ok</v>
      </c>
      <c r="AA176" s="4" t="str">
        <f t="shared" si="17"/>
        <v>ok</v>
      </c>
      <c r="AB176" s="4" t="str">
        <f t="shared" si="18"/>
        <v>ok</v>
      </c>
      <c r="AC176" s="6">
        <f t="shared" si="20"/>
        <v>9.5756458332762122</v>
      </c>
    </row>
    <row r="177" spans="1:29" x14ac:dyDescent="0.3">
      <c r="A177" t="s">
        <v>22</v>
      </c>
      <c r="B177">
        <v>1224</v>
      </c>
      <c r="C177" t="s">
        <v>47</v>
      </c>
      <c r="D177" t="s">
        <v>24</v>
      </c>
      <c r="E177" t="s">
        <v>48</v>
      </c>
      <c r="F177" t="s">
        <v>26</v>
      </c>
      <c r="G177" t="s">
        <v>45</v>
      </c>
      <c r="H177" s="1">
        <v>44951.338888888888</v>
      </c>
      <c r="I177" s="1">
        <v>44953.338888888888</v>
      </c>
      <c r="J177" s="1">
        <v>44951.380555555559</v>
      </c>
      <c r="K177" s="2">
        <v>44951.373553321762</v>
      </c>
      <c r="L177" t="s">
        <v>28</v>
      </c>
      <c r="M177" s="2">
        <v>44951.630934699075</v>
      </c>
      <c r="N177" t="s">
        <v>28</v>
      </c>
      <c r="O177" s="2">
        <v>44955.475032800925</v>
      </c>
      <c r="P177">
        <v>1</v>
      </c>
      <c r="Q177">
        <v>4</v>
      </c>
      <c r="R177" t="s">
        <v>50</v>
      </c>
      <c r="S177" t="s">
        <v>30</v>
      </c>
      <c r="T177" t="s">
        <v>31</v>
      </c>
      <c r="U177">
        <v>53.094023999999997</v>
      </c>
      <c r="V177">
        <v>-8.0196749999999994</v>
      </c>
      <c r="W177" t="str">
        <f t="shared" si="14"/>
        <v>ok</v>
      </c>
      <c r="X177" t="str">
        <f t="shared" si="19"/>
        <v>ok</v>
      </c>
      <c r="Y177" t="str">
        <f t="shared" si="15"/>
        <v>ok</v>
      </c>
      <c r="Z177" t="str">
        <f t="shared" si="16"/>
        <v>ok</v>
      </c>
      <c r="AA177" s="4" t="str">
        <f t="shared" si="17"/>
        <v>ok</v>
      </c>
      <c r="AB177" s="4" t="str">
        <f t="shared" si="18"/>
        <v>ok</v>
      </c>
      <c r="AC177" s="6">
        <f t="shared" si="20"/>
        <v>7.0090994444908574</v>
      </c>
    </row>
    <row r="178" spans="1:29" x14ac:dyDescent="0.3">
      <c r="A178" t="s">
        <v>42</v>
      </c>
      <c r="B178">
        <v>1225</v>
      </c>
      <c r="C178" t="s">
        <v>33</v>
      </c>
      <c r="D178" t="s">
        <v>24</v>
      </c>
      <c r="E178" t="s">
        <v>48</v>
      </c>
      <c r="F178" t="s">
        <v>26</v>
      </c>
      <c r="G178" t="s">
        <v>49</v>
      </c>
      <c r="H178" s="1">
        <v>44951.257013888891</v>
      </c>
      <c r="I178" s="1">
        <v>44953.257013888891</v>
      </c>
      <c r="J178" s="1">
        <v>44951.298680555556</v>
      </c>
      <c r="K178" s="2">
        <v>44951.280589525464</v>
      </c>
      <c r="L178" t="s">
        <v>28</v>
      </c>
      <c r="M178" s="2">
        <v>44952.477345879626</v>
      </c>
      <c r="N178" t="s">
        <v>28</v>
      </c>
      <c r="P178">
        <v>5</v>
      </c>
      <c r="R178" t="s">
        <v>50</v>
      </c>
      <c r="S178" t="s">
        <v>30</v>
      </c>
      <c r="T178" t="s">
        <v>41</v>
      </c>
      <c r="U178">
        <v>43.036776000000003</v>
      </c>
      <c r="V178">
        <v>12.678565000000001</v>
      </c>
      <c r="W178" t="str">
        <f t="shared" si="14"/>
        <v>ok</v>
      </c>
      <c r="X178" t="str">
        <f t="shared" si="19"/>
        <v>ok</v>
      </c>
      <c r="Y178" t="str">
        <f t="shared" si="15"/>
        <v>ok</v>
      </c>
      <c r="Z178" t="str">
        <f t="shared" si="16"/>
        <v>ok</v>
      </c>
      <c r="AA178" s="4" t="str">
        <f t="shared" si="17"/>
        <v>ok</v>
      </c>
      <c r="AB178" s="4" t="str">
        <f t="shared" si="18"/>
        <v>ok</v>
      </c>
      <c r="AC178" s="6">
        <f t="shared" si="20"/>
        <v>29.287967777636368</v>
      </c>
    </row>
    <row r="179" spans="1:29" x14ac:dyDescent="0.3">
      <c r="A179" t="s">
        <v>32</v>
      </c>
      <c r="B179">
        <v>1226</v>
      </c>
      <c r="C179" t="s">
        <v>23</v>
      </c>
      <c r="D179" t="s">
        <v>34</v>
      </c>
      <c r="E179" t="s">
        <v>25</v>
      </c>
      <c r="F179" t="s">
        <v>26</v>
      </c>
      <c r="G179" t="s">
        <v>52</v>
      </c>
      <c r="H179" s="1">
        <v>44951.481516203705</v>
      </c>
      <c r="I179" s="1">
        <v>44953.481516203705</v>
      </c>
      <c r="J179" s="1">
        <v>44951.482905092591</v>
      </c>
      <c r="K179" s="2">
        <v>44951.483382106482</v>
      </c>
      <c r="L179" t="s">
        <v>38</v>
      </c>
      <c r="N179" t="s">
        <v>38</v>
      </c>
      <c r="P179">
        <v>1</v>
      </c>
      <c r="R179" t="s">
        <v>50</v>
      </c>
      <c r="S179" t="s">
        <v>30</v>
      </c>
      <c r="T179" t="s">
        <v>53</v>
      </c>
      <c r="U179">
        <v>39.368279000000001</v>
      </c>
      <c r="V179">
        <v>21.863140999999999</v>
      </c>
      <c r="W179" t="str">
        <f t="shared" si="14"/>
        <v>ok</v>
      </c>
      <c r="X179" t="str">
        <f t="shared" si="19"/>
        <v>ok</v>
      </c>
      <c r="Y179" t="str">
        <f t="shared" si="15"/>
        <v>ok</v>
      </c>
      <c r="Z179" t="str">
        <f t="shared" si="16"/>
        <v>ok</v>
      </c>
      <c r="AA179" s="4" t="str">
        <f t="shared" si="17"/>
        <v>ok</v>
      </c>
      <c r="AB179" s="4" t="str">
        <f t="shared" si="18"/>
        <v>no resolution</v>
      </c>
      <c r="AC179" s="6" t="str">
        <f t="shared" si="20"/>
        <v/>
      </c>
    </row>
    <row r="180" spans="1:29" x14ac:dyDescent="0.3">
      <c r="A180" t="s">
        <v>42</v>
      </c>
      <c r="B180">
        <v>1227</v>
      </c>
      <c r="C180" t="s">
        <v>23</v>
      </c>
      <c r="D180" t="s">
        <v>43</v>
      </c>
      <c r="E180" t="s">
        <v>35</v>
      </c>
      <c r="F180" t="s">
        <v>26</v>
      </c>
      <c r="G180" t="s">
        <v>52</v>
      </c>
      <c r="H180" s="1">
        <v>44952.343773148146</v>
      </c>
      <c r="I180" s="1">
        <v>44953.343773148146</v>
      </c>
      <c r="J180" s="1">
        <v>44952.34516203704</v>
      </c>
      <c r="K180" s="2">
        <v>44952.34513454861</v>
      </c>
      <c r="L180" t="s">
        <v>28</v>
      </c>
      <c r="M180" s="2">
        <v>44952.924329710651</v>
      </c>
      <c r="N180" t="s">
        <v>28</v>
      </c>
      <c r="P180">
        <v>7</v>
      </c>
      <c r="R180" t="s">
        <v>29</v>
      </c>
      <c r="S180" t="s">
        <v>30</v>
      </c>
      <c r="T180" t="s">
        <v>56</v>
      </c>
      <c r="U180">
        <v>52.536273000000001</v>
      </c>
      <c r="V180">
        <v>19.050639</v>
      </c>
      <c r="W180" t="str">
        <f t="shared" si="14"/>
        <v>ok</v>
      </c>
      <c r="X180" t="str">
        <f t="shared" si="19"/>
        <v>ok</v>
      </c>
      <c r="Y180" t="str">
        <f t="shared" si="15"/>
        <v>ok</v>
      </c>
      <c r="Z180" t="str">
        <f t="shared" si="16"/>
        <v>ok</v>
      </c>
      <c r="AA180" s="4" t="str">
        <f t="shared" si="17"/>
        <v>ok</v>
      </c>
      <c r="AB180" s="4" t="str">
        <f t="shared" si="18"/>
        <v>ok</v>
      </c>
      <c r="AC180" s="6">
        <f t="shared" si="20"/>
        <v>13.933357500121929</v>
      </c>
    </row>
    <row r="181" spans="1:29" x14ac:dyDescent="0.3">
      <c r="A181" t="s">
        <v>22</v>
      </c>
      <c r="B181">
        <v>1228</v>
      </c>
      <c r="C181" t="s">
        <v>47</v>
      </c>
      <c r="D181" t="s">
        <v>24</v>
      </c>
      <c r="E181" t="s">
        <v>35</v>
      </c>
      <c r="F181" t="s">
        <v>26</v>
      </c>
      <c r="G181" t="s">
        <v>27</v>
      </c>
      <c r="H181" s="1">
        <v>44952.919166666667</v>
      </c>
      <c r="I181" s="1">
        <v>44954.919166666667</v>
      </c>
      <c r="J181" s="1">
        <v>44952.960833333331</v>
      </c>
      <c r="K181" s="2">
        <v>44952.947034861114</v>
      </c>
      <c r="L181" t="s">
        <v>28</v>
      </c>
      <c r="M181" s="2">
        <v>44953.292956041667</v>
      </c>
      <c r="N181" t="s">
        <v>28</v>
      </c>
      <c r="O181" s="2">
        <v>44953.457096469909</v>
      </c>
      <c r="P181">
        <v>1</v>
      </c>
      <c r="Q181">
        <v>5</v>
      </c>
      <c r="R181" t="s">
        <v>55</v>
      </c>
      <c r="S181" t="s">
        <v>30</v>
      </c>
      <c r="T181" t="s">
        <v>31</v>
      </c>
      <c r="U181">
        <v>53.094023999999997</v>
      </c>
      <c r="V181">
        <v>-8.0196749999999994</v>
      </c>
      <c r="W181" t="str">
        <f t="shared" si="14"/>
        <v>ok</v>
      </c>
      <c r="X181" t="str">
        <f t="shared" si="19"/>
        <v>ok</v>
      </c>
      <c r="Y181" t="str">
        <f t="shared" si="15"/>
        <v>ok</v>
      </c>
      <c r="Z181" t="str">
        <f t="shared" si="16"/>
        <v>ok</v>
      </c>
      <c r="AA181" s="4" t="str">
        <f t="shared" si="17"/>
        <v>ok</v>
      </c>
      <c r="AB181" s="4" t="str">
        <f t="shared" si="18"/>
        <v>ok</v>
      </c>
      <c r="AC181" s="6">
        <f t="shared" si="20"/>
        <v>8.9709450000082143</v>
      </c>
    </row>
    <row r="182" spans="1:29" x14ac:dyDescent="0.3">
      <c r="A182" t="s">
        <v>42</v>
      </c>
      <c r="B182">
        <v>1229</v>
      </c>
      <c r="C182" t="s">
        <v>23</v>
      </c>
      <c r="D182" t="s">
        <v>24</v>
      </c>
      <c r="E182" t="s">
        <v>48</v>
      </c>
      <c r="F182" t="s">
        <v>26</v>
      </c>
      <c r="G182" t="s">
        <v>45</v>
      </c>
      <c r="H182" s="1">
        <v>44952.847337962965</v>
      </c>
      <c r="I182" s="1">
        <v>44954.847337962965</v>
      </c>
      <c r="J182" s="1">
        <v>44952.889004629629</v>
      </c>
      <c r="K182" s="2">
        <v>44952.888397488423</v>
      </c>
      <c r="L182" t="s">
        <v>28</v>
      </c>
      <c r="M182" s="2">
        <v>44953.350884837964</v>
      </c>
      <c r="N182" t="s">
        <v>28</v>
      </c>
      <c r="P182">
        <v>1</v>
      </c>
      <c r="R182" t="s">
        <v>50</v>
      </c>
      <c r="S182" t="s">
        <v>30</v>
      </c>
      <c r="T182" t="s">
        <v>61</v>
      </c>
      <c r="U182">
        <v>42.724992499999999</v>
      </c>
      <c r="V182">
        <v>25.483303899999999</v>
      </c>
      <c r="W182" t="str">
        <f t="shared" si="14"/>
        <v>ok</v>
      </c>
      <c r="X182" t="str">
        <f t="shared" si="19"/>
        <v>ok</v>
      </c>
      <c r="Y182" t="str">
        <f t="shared" si="15"/>
        <v>ok</v>
      </c>
      <c r="Z182" t="str">
        <f t="shared" si="16"/>
        <v>ok</v>
      </c>
      <c r="AA182" s="4" t="str">
        <f t="shared" si="17"/>
        <v>ok</v>
      </c>
      <c r="AB182" s="4" t="str">
        <f t="shared" si="18"/>
        <v>ok</v>
      </c>
      <c r="AC182" s="6">
        <f t="shared" si="20"/>
        <v>12.085124999983236</v>
      </c>
    </row>
    <row r="183" spans="1:29" x14ac:dyDescent="0.3">
      <c r="A183" t="s">
        <v>42</v>
      </c>
      <c r="B183">
        <v>1230</v>
      </c>
      <c r="C183" t="s">
        <v>47</v>
      </c>
      <c r="D183" t="s">
        <v>24</v>
      </c>
      <c r="E183" t="s">
        <v>44</v>
      </c>
      <c r="F183" t="s">
        <v>26</v>
      </c>
      <c r="G183" t="s">
        <v>52</v>
      </c>
      <c r="H183" s="1">
        <v>44952.608900462961</v>
      </c>
      <c r="I183" s="1">
        <v>44954.608900462961</v>
      </c>
      <c r="J183" s="1">
        <v>44952.650567129633</v>
      </c>
      <c r="K183" s="2">
        <v>44952.642580706015</v>
      </c>
      <c r="L183" t="s">
        <v>28</v>
      </c>
      <c r="M183" s="2">
        <v>44954.531948865741</v>
      </c>
      <c r="N183" t="s">
        <v>28</v>
      </c>
      <c r="P183">
        <v>10</v>
      </c>
      <c r="R183" t="s">
        <v>55</v>
      </c>
      <c r="S183" t="s">
        <v>30</v>
      </c>
      <c r="T183" t="s">
        <v>66</v>
      </c>
      <c r="U183">
        <v>48.864716000000001</v>
      </c>
      <c r="V183">
        <v>2.3490139999999999</v>
      </c>
      <c r="W183" t="str">
        <f t="shared" si="14"/>
        <v>ok</v>
      </c>
      <c r="X183" t="str">
        <f t="shared" si="19"/>
        <v>ok</v>
      </c>
      <c r="Y183" t="str">
        <f t="shared" si="15"/>
        <v>ok</v>
      </c>
      <c r="Z183" t="str">
        <f t="shared" si="16"/>
        <v>ok</v>
      </c>
      <c r="AA183" s="4" t="str">
        <f t="shared" si="17"/>
        <v>ok</v>
      </c>
      <c r="AB183" s="4" t="str">
        <f t="shared" si="18"/>
        <v>ok</v>
      </c>
      <c r="AC183" s="6">
        <f t="shared" si="20"/>
        <v>46.153161666705273</v>
      </c>
    </row>
    <row r="184" spans="1:29" x14ac:dyDescent="0.3">
      <c r="A184" t="s">
        <v>22</v>
      </c>
      <c r="B184">
        <v>1231</v>
      </c>
      <c r="C184" t="s">
        <v>23</v>
      </c>
      <c r="D184" t="s">
        <v>24</v>
      </c>
      <c r="E184" t="s">
        <v>25</v>
      </c>
      <c r="F184" t="s">
        <v>36</v>
      </c>
      <c r="G184" t="s">
        <v>64</v>
      </c>
      <c r="H184" s="1">
        <v>44952.925844907404</v>
      </c>
      <c r="I184" s="1">
        <v>44954.925844907404</v>
      </c>
      <c r="J184" s="1">
        <v>44952.967511574076</v>
      </c>
      <c r="K184" s="2">
        <v>44952.930103865743</v>
      </c>
      <c r="L184" t="s">
        <v>28</v>
      </c>
      <c r="M184" s="2">
        <v>44954.3116577662</v>
      </c>
      <c r="N184" t="s">
        <v>28</v>
      </c>
      <c r="O184" s="2">
        <v>44956.943063472223</v>
      </c>
      <c r="P184">
        <v>6</v>
      </c>
      <c r="Q184">
        <v>1</v>
      </c>
      <c r="R184" t="s">
        <v>50</v>
      </c>
      <c r="S184" t="s">
        <v>40</v>
      </c>
      <c r="T184" t="s">
        <v>41</v>
      </c>
      <c r="U184">
        <v>43.036776000000003</v>
      </c>
      <c r="V184">
        <v>12.678565000000001</v>
      </c>
      <c r="W184" t="str">
        <f t="shared" si="14"/>
        <v>ok</v>
      </c>
      <c r="X184" t="str">
        <f t="shared" si="19"/>
        <v>ok</v>
      </c>
      <c r="Y184" t="str">
        <f t="shared" si="15"/>
        <v>ok</v>
      </c>
      <c r="Z184" t="str">
        <f t="shared" si="16"/>
        <v>ok</v>
      </c>
      <c r="AA184" s="4" t="str">
        <f t="shared" si="17"/>
        <v>ok</v>
      </c>
      <c r="AB184" s="4" t="str">
        <f t="shared" si="18"/>
        <v>ok</v>
      </c>
      <c r="AC184" s="6">
        <f t="shared" si="20"/>
        <v>33.259508611110505</v>
      </c>
    </row>
    <row r="185" spans="1:29" x14ac:dyDescent="0.3">
      <c r="A185" t="s">
        <v>42</v>
      </c>
      <c r="B185">
        <v>1232</v>
      </c>
      <c r="C185" t="s">
        <v>23</v>
      </c>
      <c r="D185" t="s">
        <v>43</v>
      </c>
      <c r="E185" t="s">
        <v>35</v>
      </c>
      <c r="F185" t="s">
        <v>26</v>
      </c>
      <c r="G185" t="s">
        <v>60</v>
      </c>
      <c r="H185" s="1">
        <v>44952.682789351849</v>
      </c>
      <c r="I185" s="1">
        <v>44953.682789351849</v>
      </c>
      <c r="J185" s="1">
        <v>44952.684178240743</v>
      </c>
      <c r="K185" s="2">
        <v>44952.683761412038</v>
      </c>
      <c r="L185" t="s">
        <v>28</v>
      </c>
      <c r="M185" s="2">
        <v>44952.966597384257</v>
      </c>
      <c r="N185" t="s">
        <v>28</v>
      </c>
      <c r="P185">
        <v>2</v>
      </c>
      <c r="R185" t="s">
        <v>50</v>
      </c>
      <c r="S185" t="s">
        <v>30</v>
      </c>
      <c r="T185" t="s">
        <v>41</v>
      </c>
      <c r="U185">
        <v>43.036776000000003</v>
      </c>
      <c r="V185">
        <v>12.678565000000001</v>
      </c>
      <c r="W185" t="str">
        <f t="shared" si="14"/>
        <v>ok</v>
      </c>
      <c r="X185" t="str">
        <f t="shared" si="19"/>
        <v>ok</v>
      </c>
      <c r="Y185" t="str">
        <f t="shared" si="15"/>
        <v>ok</v>
      </c>
      <c r="Z185" t="str">
        <f t="shared" si="16"/>
        <v>ok</v>
      </c>
      <c r="AA185" s="4" t="str">
        <f t="shared" si="17"/>
        <v>ok</v>
      </c>
      <c r="AB185" s="4" t="str">
        <f t="shared" si="18"/>
        <v>ok</v>
      </c>
      <c r="AC185" s="6">
        <f t="shared" si="20"/>
        <v>6.8113927777740173</v>
      </c>
    </row>
    <row r="186" spans="1:29" x14ac:dyDescent="0.3">
      <c r="A186" t="s">
        <v>32</v>
      </c>
      <c r="B186">
        <v>1233</v>
      </c>
      <c r="C186" t="s">
        <v>33</v>
      </c>
      <c r="D186" t="s">
        <v>24</v>
      </c>
      <c r="E186" t="s">
        <v>44</v>
      </c>
      <c r="F186" t="s">
        <v>36</v>
      </c>
      <c r="G186" t="s">
        <v>37</v>
      </c>
      <c r="H186" s="1">
        <v>44952.144212962965</v>
      </c>
      <c r="I186" s="1">
        <v>44954.144212962965</v>
      </c>
      <c r="J186" s="1">
        <v>44952.185879629629</v>
      </c>
      <c r="K186" s="2">
        <v>44952.155524837966</v>
      </c>
      <c r="L186" t="s">
        <v>28</v>
      </c>
      <c r="N186" t="s">
        <v>38</v>
      </c>
      <c r="P186">
        <v>1</v>
      </c>
      <c r="R186" t="s">
        <v>50</v>
      </c>
      <c r="S186" t="s">
        <v>40</v>
      </c>
      <c r="T186" t="s">
        <v>41</v>
      </c>
      <c r="U186">
        <v>43.036776000000003</v>
      </c>
      <c r="V186">
        <v>12.678565000000001</v>
      </c>
      <c r="W186" t="str">
        <f t="shared" si="14"/>
        <v>ok</v>
      </c>
      <c r="X186" t="str">
        <f t="shared" si="19"/>
        <v>ok</v>
      </c>
      <c r="Y186" t="str">
        <f t="shared" si="15"/>
        <v>ok</v>
      </c>
      <c r="Z186" t="str">
        <f t="shared" si="16"/>
        <v>ok</v>
      </c>
      <c r="AA186" s="4" t="str">
        <f t="shared" si="17"/>
        <v>ok</v>
      </c>
      <c r="AB186" s="4" t="str">
        <f t="shared" si="18"/>
        <v>no resolution</v>
      </c>
      <c r="AC186" s="6" t="str">
        <f t="shared" si="20"/>
        <v/>
      </c>
    </row>
    <row r="187" spans="1:29" x14ac:dyDescent="0.3">
      <c r="A187" t="s">
        <v>22</v>
      </c>
      <c r="B187">
        <v>1234</v>
      </c>
      <c r="C187" t="s">
        <v>33</v>
      </c>
      <c r="D187" t="s">
        <v>24</v>
      </c>
      <c r="E187" t="s">
        <v>35</v>
      </c>
      <c r="F187" t="s">
        <v>26</v>
      </c>
      <c r="G187" t="s">
        <v>49</v>
      </c>
      <c r="H187" s="1">
        <v>44952.974699074075</v>
      </c>
      <c r="I187" s="1">
        <v>44954.974699074075</v>
      </c>
      <c r="J187" s="1">
        <v>44953.016365740739</v>
      </c>
      <c r="K187" s="2">
        <v>44952.991616319443</v>
      </c>
      <c r="L187" t="s">
        <v>28</v>
      </c>
      <c r="M187" s="2">
        <v>44953.354584826389</v>
      </c>
      <c r="N187" t="s">
        <v>28</v>
      </c>
      <c r="O187" s="2">
        <v>44956.908618310183</v>
      </c>
      <c r="P187">
        <v>8</v>
      </c>
      <c r="Q187">
        <v>3</v>
      </c>
      <c r="R187" t="s">
        <v>29</v>
      </c>
      <c r="S187" t="s">
        <v>30</v>
      </c>
      <c r="T187" t="s">
        <v>57</v>
      </c>
      <c r="U187">
        <v>51.165691000000002</v>
      </c>
      <c r="V187">
        <v>10.451525999999999</v>
      </c>
      <c r="W187" t="str">
        <f t="shared" si="14"/>
        <v>ok</v>
      </c>
      <c r="X187" t="str">
        <f t="shared" si="19"/>
        <v>ok</v>
      </c>
      <c r="Y187" t="str">
        <f t="shared" si="15"/>
        <v>ok</v>
      </c>
      <c r="Z187" t="str">
        <f t="shared" si="16"/>
        <v>ok</v>
      </c>
      <c r="AA187" s="4" t="str">
        <f t="shared" si="17"/>
        <v>ok</v>
      </c>
      <c r="AB187" s="4" t="str">
        <f t="shared" si="18"/>
        <v>ok</v>
      </c>
      <c r="AC187" s="6">
        <f t="shared" si="20"/>
        <v>9.1172580555430613</v>
      </c>
    </row>
    <row r="188" spans="1:29" x14ac:dyDescent="0.3">
      <c r="A188" t="s">
        <v>32</v>
      </c>
      <c r="B188">
        <v>1235</v>
      </c>
      <c r="C188" t="s">
        <v>47</v>
      </c>
      <c r="D188" t="s">
        <v>34</v>
      </c>
      <c r="E188" t="s">
        <v>59</v>
      </c>
      <c r="F188" t="s">
        <v>26</v>
      </c>
      <c r="G188" t="s">
        <v>60</v>
      </c>
      <c r="H188" s="1">
        <v>44953.685868055552</v>
      </c>
      <c r="I188" s="1">
        <v>44955.685868055552</v>
      </c>
      <c r="J188" s="1">
        <v>44953.687256944446</v>
      </c>
      <c r="K188" s="2">
        <v>44953.6867752662</v>
      </c>
      <c r="L188" t="s">
        <v>28</v>
      </c>
      <c r="N188" t="s">
        <v>38</v>
      </c>
      <c r="P188">
        <v>2</v>
      </c>
      <c r="R188" t="s">
        <v>29</v>
      </c>
      <c r="S188" t="s">
        <v>30</v>
      </c>
      <c r="T188" t="s">
        <v>31</v>
      </c>
      <c r="U188">
        <v>53.094023999999997</v>
      </c>
      <c r="V188">
        <v>-8.0196749999999994</v>
      </c>
      <c r="W188" t="str">
        <f t="shared" si="14"/>
        <v>ok</v>
      </c>
      <c r="X188" t="str">
        <f t="shared" si="19"/>
        <v>ok</v>
      </c>
      <c r="Y188" t="str">
        <f t="shared" si="15"/>
        <v>ok</v>
      </c>
      <c r="Z188" t="str">
        <f t="shared" si="16"/>
        <v>ok</v>
      </c>
      <c r="AA188" s="4" t="str">
        <f t="shared" si="17"/>
        <v>ok</v>
      </c>
      <c r="AB188" s="4" t="str">
        <f t="shared" si="18"/>
        <v>no resolution</v>
      </c>
      <c r="AC188" s="6" t="str">
        <f t="shared" si="20"/>
        <v/>
      </c>
    </row>
    <row r="189" spans="1:29" x14ac:dyDescent="0.3">
      <c r="A189" t="s">
        <v>42</v>
      </c>
      <c r="B189">
        <v>1236</v>
      </c>
      <c r="C189" t="s">
        <v>47</v>
      </c>
      <c r="D189" t="s">
        <v>34</v>
      </c>
      <c r="E189" t="s">
        <v>48</v>
      </c>
      <c r="F189" t="s">
        <v>26</v>
      </c>
      <c r="G189" t="s">
        <v>60</v>
      </c>
      <c r="H189" s="1">
        <v>44953.123530092591</v>
      </c>
      <c r="I189" s="1">
        <v>44955.123530092591</v>
      </c>
      <c r="J189" s="1">
        <v>44953.124918981484</v>
      </c>
      <c r="K189" s="2">
        <v>44953.688404594905</v>
      </c>
      <c r="L189" t="s">
        <v>38</v>
      </c>
      <c r="M189" s="2">
        <v>44954.757225590278</v>
      </c>
      <c r="N189" t="s">
        <v>28</v>
      </c>
      <c r="P189">
        <v>4</v>
      </c>
      <c r="R189" t="s">
        <v>50</v>
      </c>
      <c r="S189" t="s">
        <v>30</v>
      </c>
      <c r="T189" t="s">
        <v>66</v>
      </c>
      <c r="U189">
        <v>48.864716000000001</v>
      </c>
      <c r="V189">
        <v>2.3490139999999999</v>
      </c>
      <c r="W189" t="str">
        <f t="shared" si="14"/>
        <v>ok</v>
      </c>
      <c r="X189" t="str">
        <f t="shared" si="19"/>
        <v>ok</v>
      </c>
      <c r="Y189" t="str">
        <f t="shared" si="15"/>
        <v>ok</v>
      </c>
      <c r="Z189" t="str">
        <f t="shared" si="16"/>
        <v>ok</v>
      </c>
      <c r="AA189" s="4" t="str">
        <f t="shared" si="17"/>
        <v>ok</v>
      </c>
      <c r="AB189" s="4" t="str">
        <f t="shared" si="18"/>
        <v>ok</v>
      </c>
      <c r="AC189" s="6">
        <f t="shared" si="20"/>
        <v>39.208691944484599</v>
      </c>
    </row>
    <row r="190" spans="1:29" x14ac:dyDescent="0.3">
      <c r="A190" t="s">
        <v>22</v>
      </c>
      <c r="B190">
        <v>1237</v>
      </c>
      <c r="C190" t="s">
        <v>23</v>
      </c>
      <c r="D190" t="s">
        <v>24</v>
      </c>
      <c r="E190" t="s">
        <v>44</v>
      </c>
      <c r="F190" t="s">
        <v>26</v>
      </c>
      <c r="G190" t="s">
        <v>60</v>
      </c>
      <c r="H190" s="1">
        <v>44953.929363425923</v>
      </c>
      <c r="I190" s="1">
        <v>44955.929363425923</v>
      </c>
      <c r="J190" s="1">
        <v>44953.971030092594</v>
      </c>
      <c r="K190" s="2">
        <v>44953.939525648151</v>
      </c>
      <c r="L190" t="s">
        <v>28</v>
      </c>
      <c r="M190" s="2">
        <v>44954.968272638886</v>
      </c>
      <c r="N190" t="s">
        <v>28</v>
      </c>
      <c r="O190" s="2">
        <v>44957.044783206016</v>
      </c>
      <c r="P190">
        <v>1</v>
      </c>
      <c r="Q190">
        <v>4</v>
      </c>
      <c r="R190" t="s">
        <v>39</v>
      </c>
      <c r="S190" t="s">
        <v>30</v>
      </c>
      <c r="T190" t="s">
        <v>63</v>
      </c>
      <c r="U190">
        <v>55.378051999999997</v>
      </c>
      <c r="V190">
        <v>-3.4359730000000002</v>
      </c>
      <c r="W190" t="str">
        <f t="shared" si="14"/>
        <v>ok</v>
      </c>
      <c r="X190" t="str">
        <f t="shared" si="19"/>
        <v>ok</v>
      </c>
      <c r="Y190" t="str">
        <f t="shared" si="15"/>
        <v>ok</v>
      </c>
      <c r="Z190" t="str">
        <f t="shared" si="16"/>
        <v>ok</v>
      </c>
      <c r="AA190" s="4" t="str">
        <f t="shared" si="17"/>
        <v>ok</v>
      </c>
      <c r="AB190" s="4" t="str">
        <f t="shared" si="18"/>
        <v>ok</v>
      </c>
      <c r="AC190" s="6">
        <f t="shared" si="20"/>
        <v>24.933821111102588</v>
      </c>
    </row>
    <row r="191" spans="1:29" x14ac:dyDescent="0.3">
      <c r="A191" t="s">
        <v>22</v>
      </c>
      <c r="B191">
        <v>1238</v>
      </c>
      <c r="C191" t="s">
        <v>23</v>
      </c>
      <c r="D191" t="s">
        <v>43</v>
      </c>
      <c r="E191" t="s">
        <v>25</v>
      </c>
      <c r="F191" t="s">
        <v>26</v>
      </c>
      <c r="G191" t="s">
        <v>60</v>
      </c>
      <c r="H191" s="1">
        <v>44953.649444444447</v>
      </c>
      <c r="I191" s="1">
        <v>44954.649444444447</v>
      </c>
      <c r="J191" s="1">
        <v>44953.650833333333</v>
      </c>
      <c r="K191" s="2">
        <v>44953.650393946758</v>
      </c>
      <c r="L191" t="s">
        <v>28</v>
      </c>
      <c r="M191" s="2">
        <v>44953.982743842593</v>
      </c>
      <c r="N191" t="s">
        <v>28</v>
      </c>
      <c r="O191" s="2">
        <v>44956.539668194448</v>
      </c>
      <c r="P191">
        <v>7</v>
      </c>
      <c r="Q191">
        <v>4</v>
      </c>
      <c r="R191" t="s">
        <v>50</v>
      </c>
      <c r="S191" t="s">
        <v>30</v>
      </c>
      <c r="T191" t="s">
        <v>53</v>
      </c>
      <c r="U191">
        <v>39.368279000000001</v>
      </c>
      <c r="V191">
        <v>21.863140999999999</v>
      </c>
      <c r="W191" t="str">
        <f t="shared" si="14"/>
        <v>ok</v>
      </c>
      <c r="X191" t="str">
        <f t="shared" si="19"/>
        <v>ok</v>
      </c>
      <c r="Y191" t="str">
        <f t="shared" si="15"/>
        <v>ok</v>
      </c>
      <c r="Z191" t="str">
        <f t="shared" si="16"/>
        <v>ok</v>
      </c>
      <c r="AA191" s="4" t="str">
        <f t="shared" si="17"/>
        <v>ok</v>
      </c>
      <c r="AB191" s="4" t="str">
        <f t="shared" si="18"/>
        <v>ok</v>
      </c>
      <c r="AC191" s="6">
        <f t="shared" si="20"/>
        <v>7.9991855554981157</v>
      </c>
    </row>
    <row r="192" spans="1:29" x14ac:dyDescent="0.3">
      <c r="A192" t="s">
        <v>42</v>
      </c>
      <c r="B192">
        <v>1239</v>
      </c>
      <c r="C192" t="s">
        <v>47</v>
      </c>
      <c r="D192" t="s">
        <v>24</v>
      </c>
      <c r="E192" t="s">
        <v>48</v>
      </c>
      <c r="F192" t="s">
        <v>26</v>
      </c>
      <c r="G192" t="s">
        <v>27</v>
      </c>
      <c r="H192" s="1">
        <v>44953.883252314816</v>
      </c>
      <c r="I192" s="1">
        <v>44955.883252314816</v>
      </c>
      <c r="J192" s="1">
        <v>44953.92491898148</v>
      </c>
      <c r="K192" s="2">
        <v>44953.890844733796</v>
      </c>
      <c r="L192" t="s">
        <v>28</v>
      </c>
      <c r="M192" s="2">
        <v>44957.98748974537</v>
      </c>
      <c r="N192" t="s">
        <v>38</v>
      </c>
      <c r="P192">
        <v>10</v>
      </c>
      <c r="R192" t="s">
        <v>50</v>
      </c>
      <c r="S192" t="s">
        <v>30</v>
      </c>
      <c r="T192" t="s">
        <v>63</v>
      </c>
      <c r="U192">
        <v>55.378051999999997</v>
      </c>
      <c r="V192">
        <v>-3.4359730000000002</v>
      </c>
      <c r="W192" t="str">
        <f t="shared" si="14"/>
        <v>ok</v>
      </c>
      <c r="X192" t="str">
        <f t="shared" si="19"/>
        <v>ok</v>
      </c>
      <c r="Y192" t="str">
        <f t="shared" si="15"/>
        <v>ok</v>
      </c>
      <c r="Z192" t="str">
        <f t="shared" si="16"/>
        <v>ok</v>
      </c>
      <c r="AA192" s="4" t="str">
        <f t="shared" si="17"/>
        <v>ok</v>
      </c>
      <c r="AB192" s="4" t="str">
        <f t="shared" si="18"/>
        <v>ok</v>
      </c>
      <c r="AC192" s="6">
        <f t="shared" si="20"/>
        <v>98.501698333304375</v>
      </c>
    </row>
    <row r="193" spans="1:29" x14ac:dyDescent="0.3">
      <c r="A193" t="s">
        <v>32</v>
      </c>
      <c r="B193">
        <v>1240</v>
      </c>
      <c r="C193" t="s">
        <v>23</v>
      </c>
      <c r="D193" t="s">
        <v>43</v>
      </c>
      <c r="E193" t="s">
        <v>48</v>
      </c>
      <c r="F193" t="s">
        <v>26</v>
      </c>
      <c r="G193" t="s">
        <v>49</v>
      </c>
      <c r="H193" s="1">
        <v>44953.25371527778</v>
      </c>
      <c r="I193" s="1">
        <v>44954.25371527778</v>
      </c>
      <c r="J193" s="1">
        <v>44953.255104166667</v>
      </c>
      <c r="K193" s="2">
        <v>44953.254438067132</v>
      </c>
      <c r="L193" t="s">
        <v>28</v>
      </c>
      <c r="N193" t="s">
        <v>38</v>
      </c>
      <c r="P193">
        <v>6</v>
      </c>
      <c r="R193" t="s">
        <v>29</v>
      </c>
      <c r="S193" t="s">
        <v>30</v>
      </c>
      <c r="T193" t="s">
        <v>66</v>
      </c>
      <c r="U193">
        <v>48.864716000000001</v>
      </c>
      <c r="V193">
        <v>2.3490139999999999</v>
      </c>
      <c r="W193" t="str">
        <f t="shared" si="14"/>
        <v>ok</v>
      </c>
      <c r="X193" t="str">
        <f t="shared" si="19"/>
        <v>ok</v>
      </c>
      <c r="Y193" t="str">
        <f t="shared" si="15"/>
        <v>ok</v>
      </c>
      <c r="Z193" t="str">
        <f t="shared" si="16"/>
        <v>ok</v>
      </c>
      <c r="AA193" s="4" t="str">
        <f t="shared" si="17"/>
        <v>ok</v>
      </c>
      <c r="AB193" s="4" t="str">
        <f t="shared" si="18"/>
        <v>no resolution</v>
      </c>
      <c r="AC193" s="6" t="str">
        <f t="shared" si="20"/>
        <v/>
      </c>
    </row>
    <row r="194" spans="1:29" x14ac:dyDescent="0.3">
      <c r="A194" t="s">
        <v>42</v>
      </c>
      <c r="B194">
        <v>1241</v>
      </c>
      <c r="C194" t="s">
        <v>47</v>
      </c>
      <c r="D194" t="s">
        <v>43</v>
      </c>
      <c r="E194" t="s">
        <v>44</v>
      </c>
      <c r="F194" t="s">
        <v>26</v>
      </c>
      <c r="G194" t="s">
        <v>52</v>
      </c>
      <c r="H194" s="1">
        <v>44953.042199074072</v>
      </c>
      <c r="I194" s="1">
        <v>44954.042199074072</v>
      </c>
      <c r="J194" s="1">
        <v>44953.043587962966</v>
      </c>
      <c r="K194" s="2">
        <v>44953.043109432867</v>
      </c>
      <c r="L194" t="s">
        <v>28</v>
      </c>
      <c r="M194" s="2">
        <v>44953.068513715276</v>
      </c>
      <c r="N194" t="s">
        <v>28</v>
      </c>
      <c r="P194">
        <v>9</v>
      </c>
      <c r="R194" t="s">
        <v>50</v>
      </c>
      <c r="S194" t="s">
        <v>30</v>
      </c>
      <c r="T194" t="s">
        <v>41</v>
      </c>
      <c r="U194">
        <v>43.036776000000003</v>
      </c>
      <c r="V194">
        <v>12.678565000000001</v>
      </c>
      <c r="W194" t="str">
        <f t="shared" ref="W194:W257" si="21">IF(K194&lt;H194,"check","ok")</f>
        <v>ok</v>
      </c>
      <c r="X194" t="str">
        <f t="shared" si="19"/>
        <v>ok</v>
      </c>
      <c r="Y194" t="str">
        <f t="shared" ref="Y194:Y257" si="22">IF(AND(M194&lt;&gt;"",O194&lt;&gt;"",O194&lt;M194),"check","ok")</f>
        <v>ok</v>
      </c>
      <c r="Z194" t="str">
        <f t="shared" ref="Z194:Z257" si="23">IF(AND(OR(CA194="Closed",A194="Resolved"),M194=""),"check","ok")</f>
        <v>ok</v>
      </c>
      <c r="AA194" s="4" t="str">
        <f t="shared" ref="AA194:AA257" si="24">IF(K194="","no response",IF(OR(AND(K194&lt;=J194,L194="Within SLA"),AND(K194&gt;J194,L194="SLA Violated")),"ok","check"))</f>
        <v>ok</v>
      </c>
      <c r="AB194" s="4" t="str">
        <f t="shared" ref="AB194:AB257" si="25">IF(M194="","no resolution",IF(OR(AND(M194&lt;=I194,N194="Within SLA"),AND(M194&gt;I194,N194="SLA Violated")),"ok","check"))</f>
        <v>ok</v>
      </c>
      <c r="AC194" s="6">
        <f t="shared" si="20"/>
        <v>0.63155138888396323</v>
      </c>
    </row>
    <row r="195" spans="1:29" x14ac:dyDescent="0.3">
      <c r="A195" t="s">
        <v>22</v>
      </c>
      <c r="B195">
        <v>1242</v>
      </c>
      <c r="C195" t="s">
        <v>47</v>
      </c>
      <c r="D195" t="s">
        <v>34</v>
      </c>
      <c r="E195" t="s">
        <v>48</v>
      </c>
      <c r="F195" t="s">
        <v>36</v>
      </c>
      <c r="G195" t="s">
        <v>64</v>
      </c>
      <c r="H195" s="1">
        <v>44953.432280092595</v>
      </c>
      <c r="I195" s="1">
        <v>44955.432280092595</v>
      </c>
      <c r="J195" s="1">
        <v>44953.433668981481</v>
      </c>
      <c r="K195" s="2">
        <v>44953.432578657405</v>
      </c>
      <c r="L195" t="s">
        <v>28</v>
      </c>
      <c r="M195" s="2">
        <v>44953.696731666663</v>
      </c>
      <c r="N195" t="s">
        <v>28</v>
      </c>
      <c r="O195" s="2">
        <v>44959.515344733794</v>
      </c>
      <c r="P195">
        <v>1</v>
      </c>
      <c r="Q195">
        <v>2</v>
      </c>
      <c r="R195" t="s">
        <v>50</v>
      </c>
      <c r="S195" t="s">
        <v>40</v>
      </c>
      <c r="T195" t="s">
        <v>65</v>
      </c>
      <c r="U195">
        <v>46.149166399999999</v>
      </c>
      <c r="V195">
        <v>14.9860106</v>
      </c>
      <c r="W195" t="str">
        <f t="shared" si="21"/>
        <v>ok</v>
      </c>
      <c r="X195" t="str">
        <f t="shared" ref="X195:X258" si="26">IF(AND(M195&lt;&gt;"",M195&lt;H195),"check","ok")</f>
        <v>ok</v>
      </c>
      <c r="Y195" t="str">
        <f t="shared" si="22"/>
        <v>ok</v>
      </c>
      <c r="Z195" t="str">
        <f t="shared" si="23"/>
        <v>ok</v>
      </c>
      <c r="AA195" s="4" t="str">
        <f t="shared" si="24"/>
        <v>ok</v>
      </c>
      <c r="AB195" s="4" t="str">
        <f t="shared" si="25"/>
        <v>ok</v>
      </c>
      <c r="AC195" s="6">
        <f t="shared" si="20"/>
        <v>6.3468377776443958</v>
      </c>
    </row>
    <row r="196" spans="1:29" x14ac:dyDescent="0.3">
      <c r="A196" t="s">
        <v>42</v>
      </c>
      <c r="B196">
        <v>1243</v>
      </c>
      <c r="C196" t="s">
        <v>47</v>
      </c>
      <c r="D196" t="s">
        <v>34</v>
      </c>
      <c r="E196" t="s">
        <v>48</v>
      </c>
      <c r="F196" t="s">
        <v>26</v>
      </c>
      <c r="G196" t="s">
        <v>52</v>
      </c>
      <c r="H196" s="1">
        <v>44953.868587962963</v>
      </c>
      <c r="I196" s="1">
        <v>44955.868587962963</v>
      </c>
      <c r="J196" s="1">
        <v>44953.869976851849</v>
      </c>
      <c r="K196" s="2">
        <v>44953.868713715281</v>
      </c>
      <c r="L196" t="s">
        <v>28</v>
      </c>
      <c r="M196" s="2">
        <v>44954.210183275463</v>
      </c>
      <c r="N196" t="s">
        <v>28</v>
      </c>
      <c r="P196">
        <v>3</v>
      </c>
      <c r="R196" t="s">
        <v>55</v>
      </c>
      <c r="S196" t="s">
        <v>30</v>
      </c>
      <c r="T196" t="s">
        <v>65</v>
      </c>
      <c r="U196">
        <v>46.149166399999999</v>
      </c>
      <c r="V196">
        <v>14.9860106</v>
      </c>
      <c r="W196" t="str">
        <f t="shared" si="21"/>
        <v>ok</v>
      </c>
      <c r="X196" t="str">
        <f t="shared" si="26"/>
        <v>ok</v>
      </c>
      <c r="Y196" t="str">
        <f t="shared" si="22"/>
        <v>ok</v>
      </c>
      <c r="Z196" t="str">
        <f t="shared" si="23"/>
        <v>ok</v>
      </c>
      <c r="AA196" s="4" t="str">
        <f t="shared" si="24"/>
        <v>ok</v>
      </c>
      <c r="AB196" s="4" t="str">
        <f t="shared" si="25"/>
        <v>ok</v>
      </c>
      <c r="AC196" s="6">
        <f t="shared" si="20"/>
        <v>8.1982875000103377</v>
      </c>
    </row>
    <row r="197" spans="1:29" x14ac:dyDescent="0.3">
      <c r="A197" t="s">
        <v>42</v>
      </c>
      <c r="B197">
        <v>1244</v>
      </c>
      <c r="C197" t="s">
        <v>23</v>
      </c>
      <c r="D197" t="s">
        <v>24</v>
      </c>
      <c r="E197" t="s">
        <v>35</v>
      </c>
      <c r="F197" t="s">
        <v>26</v>
      </c>
      <c r="G197" t="s">
        <v>60</v>
      </c>
      <c r="H197" s="1">
        <v>44953.356851851851</v>
      </c>
      <c r="I197" s="1">
        <v>44955.356851851851</v>
      </c>
      <c r="J197" s="1">
        <v>44953.398518518516</v>
      </c>
      <c r="K197" s="2">
        <v>44953.366031342593</v>
      </c>
      <c r="L197" t="s">
        <v>28</v>
      </c>
      <c r="M197" s="2">
        <v>44954.418748368058</v>
      </c>
      <c r="N197" t="s">
        <v>28</v>
      </c>
      <c r="P197">
        <v>4</v>
      </c>
      <c r="R197" t="s">
        <v>50</v>
      </c>
      <c r="S197" t="s">
        <v>30</v>
      </c>
      <c r="T197" t="s">
        <v>66</v>
      </c>
      <c r="U197">
        <v>48.864716000000001</v>
      </c>
      <c r="V197">
        <v>2.3490139999999999</v>
      </c>
      <c r="W197" t="str">
        <f t="shared" si="21"/>
        <v>ok</v>
      </c>
      <c r="X197" t="str">
        <f t="shared" si="26"/>
        <v>ok</v>
      </c>
      <c r="Y197" t="str">
        <f t="shared" si="22"/>
        <v>ok</v>
      </c>
      <c r="Z197" t="str">
        <f t="shared" si="23"/>
        <v>ok</v>
      </c>
      <c r="AA197" s="4" t="str">
        <f t="shared" si="24"/>
        <v>ok</v>
      </c>
      <c r="AB197" s="4" t="str">
        <f t="shared" si="25"/>
        <v>ok</v>
      </c>
      <c r="AC197" s="6">
        <f t="shared" si="20"/>
        <v>25.485516388958786</v>
      </c>
    </row>
    <row r="198" spans="1:29" x14ac:dyDescent="0.3">
      <c r="A198" t="s">
        <v>32</v>
      </c>
      <c r="B198">
        <v>1245</v>
      </c>
      <c r="C198" t="s">
        <v>23</v>
      </c>
      <c r="D198" t="s">
        <v>24</v>
      </c>
      <c r="E198" t="s">
        <v>59</v>
      </c>
      <c r="F198" t="s">
        <v>26</v>
      </c>
      <c r="G198" t="s">
        <v>49</v>
      </c>
      <c r="H198" s="1">
        <v>44953.909756944442</v>
      </c>
      <c r="I198" s="1">
        <v>44955.909756944442</v>
      </c>
      <c r="J198" s="1">
        <v>44953.951423611114</v>
      </c>
      <c r="K198" s="2">
        <v>44953.915659409722</v>
      </c>
      <c r="L198" t="s">
        <v>28</v>
      </c>
      <c r="N198" t="s">
        <v>38</v>
      </c>
      <c r="P198">
        <v>2</v>
      </c>
      <c r="R198" t="s">
        <v>50</v>
      </c>
      <c r="S198" t="s">
        <v>30</v>
      </c>
      <c r="T198" t="s">
        <v>53</v>
      </c>
      <c r="U198">
        <v>39.368279000000001</v>
      </c>
      <c r="V198">
        <v>21.863140999999999</v>
      </c>
      <c r="W198" t="str">
        <f t="shared" si="21"/>
        <v>ok</v>
      </c>
      <c r="X198" t="str">
        <f t="shared" si="26"/>
        <v>ok</v>
      </c>
      <c r="Y198" t="str">
        <f t="shared" si="22"/>
        <v>ok</v>
      </c>
      <c r="Z198" t="str">
        <f t="shared" si="23"/>
        <v>ok</v>
      </c>
      <c r="AA198" s="4" t="str">
        <f t="shared" si="24"/>
        <v>ok</v>
      </c>
      <c r="AB198" s="4" t="str">
        <f t="shared" si="25"/>
        <v>no resolution</v>
      </c>
      <c r="AC198" s="6" t="str">
        <f t="shared" si="20"/>
        <v/>
      </c>
    </row>
    <row r="199" spans="1:29" x14ac:dyDescent="0.3">
      <c r="A199" t="s">
        <v>22</v>
      </c>
      <c r="B199">
        <v>1246</v>
      </c>
      <c r="C199" t="s">
        <v>47</v>
      </c>
      <c r="D199" t="s">
        <v>24</v>
      </c>
      <c r="E199" t="s">
        <v>48</v>
      </c>
      <c r="F199" t="s">
        <v>26</v>
      </c>
      <c r="G199" t="s">
        <v>60</v>
      </c>
      <c r="H199" s="1">
        <v>44953.744062500002</v>
      </c>
      <c r="I199" s="1">
        <v>44955.744062500002</v>
      </c>
      <c r="J199" s="1">
        <v>44953.785729166666</v>
      </c>
      <c r="K199" s="2">
        <v>44953.776081840275</v>
      </c>
      <c r="L199" t="s">
        <v>28</v>
      </c>
      <c r="M199" s="2">
        <v>44954.898456122683</v>
      </c>
      <c r="N199" t="s">
        <v>28</v>
      </c>
      <c r="O199" s="2">
        <v>44960.000799189816</v>
      </c>
      <c r="P199">
        <v>6</v>
      </c>
      <c r="Q199">
        <v>5</v>
      </c>
      <c r="R199" t="s">
        <v>29</v>
      </c>
      <c r="S199" t="s">
        <v>30</v>
      </c>
      <c r="T199" t="s">
        <v>58</v>
      </c>
      <c r="U199">
        <v>49.8037633</v>
      </c>
      <c r="V199">
        <v>15.4749126</v>
      </c>
      <c r="W199" t="str">
        <f t="shared" si="21"/>
        <v>ok</v>
      </c>
      <c r="X199" t="str">
        <f t="shared" si="26"/>
        <v>ok</v>
      </c>
      <c r="Y199" t="str">
        <f t="shared" si="22"/>
        <v>ok</v>
      </c>
      <c r="Z199" t="str">
        <f t="shared" si="23"/>
        <v>ok</v>
      </c>
      <c r="AA199" s="4" t="str">
        <f t="shared" si="24"/>
        <v>ok</v>
      </c>
      <c r="AB199" s="4" t="str">
        <f t="shared" si="25"/>
        <v>ok</v>
      </c>
      <c r="AC199" s="6">
        <f t="shared" si="20"/>
        <v>27.705446944339201</v>
      </c>
    </row>
    <row r="200" spans="1:29" x14ac:dyDescent="0.3">
      <c r="A200" t="s">
        <v>22</v>
      </c>
      <c r="B200">
        <v>1247</v>
      </c>
      <c r="C200" t="s">
        <v>33</v>
      </c>
      <c r="D200" t="s">
        <v>43</v>
      </c>
      <c r="E200" t="s">
        <v>39</v>
      </c>
      <c r="F200" t="s">
        <v>26</v>
      </c>
      <c r="G200" t="s">
        <v>49</v>
      </c>
      <c r="H200" s="1">
        <v>44954.568807870368</v>
      </c>
      <c r="I200" s="1">
        <v>44955.568807870368</v>
      </c>
      <c r="J200" s="1">
        <v>44954.570196759261</v>
      </c>
      <c r="K200" s="2">
        <v>44954.569603032411</v>
      </c>
      <c r="L200" t="s">
        <v>28</v>
      </c>
      <c r="M200" s="2">
        <v>44955.297542430555</v>
      </c>
      <c r="N200" t="s">
        <v>28</v>
      </c>
      <c r="O200" s="2">
        <v>44958.822990983797</v>
      </c>
      <c r="P200">
        <v>3</v>
      </c>
      <c r="Q200">
        <v>4</v>
      </c>
      <c r="R200" t="s">
        <v>29</v>
      </c>
      <c r="S200" t="s">
        <v>30</v>
      </c>
      <c r="T200" t="s">
        <v>56</v>
      </c>
      <c r="U200">
        <v>52.536273000000001</v>
      </c>
      <c r="V200">
        <v>19.050639</v>
      </c>
      <c r="W200" t="str">
        <f t="shared" si="21"/>
        <v>ok</v>
      </c>
      <c r="X200" t="str">
        <f t="shared" si="26"/>
        <v>ok</v>
      </c>
      <c r="Y200" t="str">
        <f t="shared" si="22"/>
        <v>ok</v>
      </c>
      <c r="Z200" t="str">
        <f t="shared" si="23"/>
        <v>ok</v>
      </c>
      <c r="AA200" s="4" t="str">
        <f t="shared" si="24"/>
        <v>ok</v>
      </c>
      <c r="AB200" s="4" t="str">
        <f t="shared" si="25"/>
        <v>ok</v>
      </c>
      <c r="AC200" s="6">
        <f t="shared" si="20"/>
        <v>17.489629444491584</v>
      </c>
    </row>
    <row r="201" spans="1:29" x14ac:dyDescent="0.3">
      <c r="A201" t="s">
        <v>42</v>
      </c>
      <c r="B201">
        <v>1248</v>
      </c>
      <c r="C201" t="s">
        <v>23</v>
      </c>
      <c r="D201" t="s">
        <v>24</v>
      </c>
      <c r="E201" t="s">
        <v>35</v>
      </c>
      <c r="F201" t="s">
        <v>36</v>
      </c>
      <c r="G201" t="s">
        <v>64</v>
      </c>
      <c r="H201" s="1">
        <v>44954.835706018515</v>
      </c>
      <c r="I201" s="1">
        <v>44956.835706018515</v>
      </c>
      <c r="J201" s="1">
        <v>44954.877372685187</v>
      </c>
      <c r="K201" s="2">
        <v>44954.856345902779</v>
      </c>
      <c r="L201" t="s">
        <v>28</v>
      </c>
      <c r="M201" s="2">
        <v>44955.072404131941</v>
      </c>
      <c r="N201" t="s">
        <v>28</v>
      </c>
      <c r="P201">
        <v>3</v>
      </c>
      <c r="R201" t="s">
        <v>50</v>
      </c>
      <c r="S201" t="s">
        <v>40</v>
      </c>
      <c r="T201" t="s">
        <v>31</v>
      </c>
      <c r="U201">
        <v>53.094023999999997</v>
      </c>
      <c r="V201">
        <v>-8.0196749999999994</v>
      </c>
      <c r="W201" t="str">
        <f t="shared" si="21"/>
        <v>ok</v>
      </c>
      <c r="X201" t="str">
        <f t="shared" si="26"/>
        <v>ok</v>
      </c>
      <c r="Y201" t="str">
        <f t="shared" si="22"/>
        <v>ok</v>
      </c>
      <c r="Z201" t="str">
        <f t="shared" si="23"/>
        <v>ok</v>
      </c>
      <c r="AA201" s="4" t="str">
        <f t="shared" si="24"/>
        <v>ok</v>
      </c>
      <c r="AB201" s="4" t="str">
        <f t="shared" si="25"/>
        <v>ok</v>
      </c>
      <c r="AC201" s="6">
        <f t="shared" si="20"/>
        <v>5.6807547222124413</v>
      </c>
    </row>
    <row r="202" spans="1:29" x14ac:dyDescent="0.3">
      <c r="A202" t="s">
        <v>22</v>
      </c>
      <c r="B202">
        <v>1254</v>
      </c>
      <c r="C202" t="s">
        <v>23</v>
      </c>
      <c r="D202" t="s">
        <v>43</v>
      </c>
      <c r="E202" t="s">
        <v>48</v>
      </c>
      <c r="F202" t="s">
        <v>26</v>
      </c>
      <c r="G202" t="s">
        <v>52</v>
      </c>
      <c r="H202" s="1">
        <v>44954.504490740743</v>
      </c>
      <c r="I202" s="1">
        <v>44955.504490740743</v>
      </c>
      <c r="J202" s="1">
        <v>44954.505879629629</v>
      </c>
      <c r="K202" s="2">
        <v>44954.507050891203</v>
      </c>
      <c r="L202" t="s">
        <v>38</v>
      </c>
      <c r="M202" s="2">
        <v>44954.6029675463</v>
      </c>
      <c r="N202" t="s">
        <v>28</v>
      </c>
      <c r="O202" s="2">
        <v>44958.237509027778</v>
      </c>
      <c r="P202">
        <v>4</v>
      </c>
      <c r="Q202">
        <v>3</v>
      </c>
      <c r="R202" t="s">
        <v>29</v>
      </c>
      <c r="S202" t="s">
        <v>30</v>
      </c>
      <c r="T202" t="s">
        <v>41</v>
      </c>
      <c r="U202">
        <v>43.036776000000003</v>
      </c>
      <c r="V202">
        <v>12.678565000000001</v>
      </c>
      <c r="W202" t="str">
        <f t="shared" si="21"/>
        <v>ok</v>
      </c>
      <c r="X202" t="str">
        <f t="shared" si="26"/>
        <v>ok</v>
      </c>
      <c r="Y202" t="str">
        <f t="shared" si="22"/>
        <v>ok</v>
      </c>
      <c r="Z202" t="str">
        <f t="shared" si="23"/>
        <v>ok</v>
      </c>
      <c r="AA202" s="4" t="str">
        <f t="shared" si="24"/>
        <v>ok</v>
      </c>
      <c r="AB202" s="4" t="str">
        <f t="shared" si="25"/>
        <v>ok</v>
      </c>
      <c r="AC202" s="6">
        <f t="shared" si="20"/>
        <v>2.3634433333645575</v>
      </c>
    </row>
    <row r="203" spans="1:29" x14ac:dyDescent="0.3">
      <c r="A203" t="s">
        <v>22</v>
      </c>
      <c r="B203">
        <v>1255</v>
      </c>
      <c r="C203" t="s">
        <v>47</v>
      </c>
      <c r="D203" t="s">
        <v>34</v>
      </c>
      <c r="E203" t="s">
        <v>39</v>
      </c>
      <c r="F203" t="s">
        <v>36</v>
      </c>
      <c r="G203" t="s">
        <v>64</v>
      </c>
      <c r="H203" s="1">
        <v>44954.893657407411</v>
      </c>
      <c r="I203" s="1">
        <v>44956.893657407411</v>
      </c>
      <c r="J203" s="1">
        <v>44954.895046296297</v>
      </c>
      <c r="K203" s="2">
        <v>44954.894758402777</v>
      </c>
      <c r="L203" t="s">
        <v>28</v>
      </c>
      <c r="M203" s="2">
        <v>44954.904641377318</v>
      </c>
      <c r="N203" t="s">
        <v>28</v>
      </c>
      <c r="O203" s="2">
        <v>44957.453279560184</v>
      </c>
      <c r="P203">
        <v>2</v>
      </c>
      <c r="Q203">
        <v>3</v>
      </c>
      <c r="R203" t="s">
        <v>50</v>
      </c>
      <c r="S203" t="s">
        <v>40</v>
      </c>
      <c r="T203" t="s">
        <v>66</v>
      </c>
      <c r="U203">
        <v>48.864716000000001</v>
      </c>
      <c r="V203">
        <v>2.3490139999999999</v>
      </c>
      <c r="W203" t="str">
        <f t="shared" si="21"/>
        <v>ok</v>
      </c>
      <c r="X203" t="str">
        <f t="shared" si="26"/>
        <v>ok</v>
      </c>
      <c r="Y203" t="str">
        <f t="shared" si="22"/>
        <v>ok</v>
      </c>
      <c r="Z203" t="str">
        <f t="shared" si="23"/>
        <v>ok</v>
      </c>
      <c r="AA203" s="4" t="str">
        <f t="shared" si="24"/>
        <v>ok</v>
      </c>
      <c r="AB203" s="4" t="str">
        <f t="shared" si="25"/>
        <v>ok</v>
      </c>
      <c r="AC203" s="6">
        <f t="shared" si="20"/>
        <v>0.26361527777044103</v>
      </c>
    </row>
    <row r="204" spans="1:29" x14ac:dyDescent="0.3">
      <c r="A204" t="s">
        <v>22</v>
      </c>
      <c r="B204">
        <v>1256</v>
      </c>
      <c r="C204" t="s">
        <v>33</v>
      </c>
      <c r="D204" t="s">
        <v>43</v>
      </c>
      <c r="E204" t="s">
        <v>48</v>
      </c>
      <c r="F204" t="s">
        <v>26</v>
      </c>
      <c r="G204" t="s">
        <v>60</v>
      </c>
      <c r="H204" s="1">
        <v>44955.036006944443</v>
      </c>
      <c r="I204" s="1">
        <v>44956.036006944443</v>
      </c>
      <c r="J204" s="1">
        <v>44955.037395833337</v>
      </c>
      <c r="K204" s="2">
        <v>44955.037913726854</v>
      </c>
      <c r="L204" t="s">
        <v>38</v>
      </c>
      <c r="M204" s="2">
        <v>44955.068344826388</v>
      </c>
      <c r="N204" t="s">
        <v>28</v>
      </c>
      <c r="O204" s="2">
        <v>44960.418071828703</v>
      </c>
      <c r="P204">
        <v>7</v>
      </c>
      <c r="Q204">
        <v>3</v>
      </c>
      <c r="R204" t="s">
        <v>29</v>
      </c>
      <c r="S204" t="s">
        <v>30</v>
      </c>
      <c r="T204" t="s">
        <v>63</v>
      </c>
      <c r="U204">
        <v>55.378051999999997</v>
      </c>
      <c r="V204">
        <v>-3.4359730000000002</v>
      </c>
      <c r="W204" t="str">
        <f t="shared" si="21"/>
        <v>ok</v>
      </c>
      <c r="X204" t="str">
        <f t="shared" si="26"/>
        <v>ok</v>
      </c>
      <c r="Y204" t="str">
        <f t="shared" si="22"/>
        <v>ok</v>
      </c>
      <c r="Z204" t="str">
        <f t="shared" si="23"/>
        <v>ok</v>
      </c>
      <c r="AA204" s="4" t="str">
        <f t="shared" si="24"/>
        <v>ok</v>
      </c>
      <c r="AB204" s="4" t="str">
        <f t="shared" si="25"/>
        <v>ok</v>
      </c>
      <c r="AC204" s="6">
        <f t="shared" si="20"/>
        <v>0.77610916667617857</v>
      </c>
    </row>
    <row r="205" spans="1:29" x14ac:dyDescent="0.3">
      <c r="A205" t="s">
        <v>32</v>
      </c>
      <c r="B205">
        <v>1257</v>
      </c>
      <c r="C205" t="s">
        <v>47</v>
      </c>
      <c r="D205" t="s">
        <v>24</v>
      </c>
      <c r="E205" t="s">
        <v>44</v>
      </c>
      <c r="F205" t="s">
        <v>26</v>
      </c>
      <c r="G205" t="s">
        <v>60</v>
      </c>
      <c r="H205" s="1">
        <v>44955.477106481485</v>
      </c>
      <c r="I205" s="1">
        <v>44957.477106481485</v>
      </c>
      <c r="J205" s="1">
        <v>44955.518773148149</v>
      </c>
      <c r="K205" s="2">
        <v>44955.506116562501</v>
      </c>
      <c r="L205" t="s">
        <v>28</v>
      </c>
      <c r="N205" t="s">
        <v>38</v>
      </c>
      <c r="P205">
        <v>6</v>
      </c>
      <c r="R205" t="s">
        <v>39</v>
      </c>
      <c r="S205" t="s">
        <v>30</v>
      </c>
      <c r="T205" t="s">
        <v>56</v>
      </c>
      <c r="U205">
        <v>52.536273000000001</v>
      </c>
      <c r="V205">
        <v>19.050639</v>
      </c>
      <c r="W205" t="str">
        <f t="shared" si="21"/>
        <v>ok</v>
      </c>
      <c r="X205" t="str">
        <f t="shared" si="26"/>
        <v>ok</v>
      </c>
      <c r="Y205" t="str">
        <f t="shared" si="22"/>
        <v>ok</v>
      </c>
      <c r="Z205" t="str">
        <f t="shared" si="23"/>
        <v>ok</v>
      </c>
      <c r="AA205" s="4" t="str">
        <f t="shared" si="24"/>
        <v>ok</v>
      </c>
      <c r="AB205" s="4" t="str">
        <f t="shared" si="25"/>
        <v>no resolution</v>
      </c>
      <c r="AC205" s="6" t="str">
        <f t="shared" si="20"/>
        <v/>
      </c>
    </row>
    <row r="206" spans="1:29" x14ac:dyDescent="0.3">
      <c r="A206" t="s">
        <v>22</v>
      </c>
      <c r="B206">
        <v>1258</v>
      </c>
      <c r="C206" t="s">
        <v>23</v>
      </c>
      <c r="D206" t="s">
        <v>43</v>
      </c>
      <c r="E206" t="s">
        <v>35</v>
      </c>
      <c r="F206" t="s">
        <v>36</v>
      </c>
      <c r="G206" t="s">
        <v>37</v>
      </c>
      <c r="H206" s="1">
        <v>44955.307453703703</v>
      </c>
      <c r="I206" s="1">
        <v>44956.307453703703</v>
      </c>
      <c r="J206" s="1">
        <v>44955.308842592596</v>
      </c>
      <c r="K206" s="2">
        <v>44955.308603483798</v>
      </c>
      <c r="L206" t="s">
        <v>28</v>
      </c>
      <c r="M206" s="2">
        <v>44955.43875645833</v>
      </c>
      <c r="N206" t="s">
        <v>28</v>
      </c>
      <c r="O206" s="2">
        <v>44959.519851446756</v>
      </c>
      <c r="P206">
        <v>6</v>
      </c>
      <c r="Q206">
        <v>4</v>
      </c>
      <c r="R206" t="s">
        <v>50</v>
      </c>
      <c r="S206" t="s">
        <v>40</v>
      </c>
      <c r="T206" t="s">
        <v>46</v>
      </c>
      <c r="U206">
        <v>47.696471899999999</v>
      </c>
      <c r="V206">
        <v>13.3457347</v>
      </c>
      <c r="W206" t="str">
        <f t="shared" si="21"/>
        <v>ok</v>
      </c>
      <c r="X206" t="str">
        <f t="shared" si="26"/>
        <v>ok</v>
      </c>
      <c r="Y206" t="str">
        <f t="shared" si="22"/>
        <v>ok</v>
      </c>
      <c r="Z206" t="str">
        <f t="shared" si="23"/>
        <v>ok</v>
      </c>
      <c r="AA206" s="4" t="str">
        <f t="shared" si="24"/>
        <v>ok</v>
      </c>
      <c r="AB206" s="4" t="str">
        <f t="shared" si="25"/>
        <v>ok</v>
      </c>
      <c r="AC206" s="6">
        <f t="shared" si="20"/>
        <v>3.151266111060977</v>
      </c>
    </row>
    <row r="207" spans="1:29" x14ac:dyDescent="0.3">
      <c r="A207" t="s">
        <v>22</v>
      </c>
      <c r="B207">
        <v>1259</v>
      </c>
      <c r="C207" t="s">
        <v>33</v>
      </c>
      <c r="D207" t="s">
        <v>24</v>
      </c>
      <c r="E207" t="s">
        <v>59</v>
      </c>
      <c r="F207" t="s">
        <v>26</v>
      </c>
      <c r="G207" t="s">
        <v>52</v>
      </c>
      <c r="H207" s="1">
        <v>44955.124837962961</v>
      </c>
      <c r="I207" s="1">
        <v>44957.124837962961</v>
      </c>
      <c r="J207" s="1">
        <v>44955.166504629633</v>
      </c>
      <c r="K207" s="2">
        <v>44955.265634780095</v>
      </c>
      <c r="L207" t="s">
        <v>38</v>
      </c>
      <c r="M207" s="2">
        <v>44957.019088530091</v>
      </c>
      <c r="N207" t="s">
        <v>28</v>
      </c>
      <c r="O207" s="2">
        <v>44957.685097974536</v>
      </c>
      <c r="P207">
        <v>1</v>
      </c>
      <c r="Q207">
        <v>3</v>
      </c>
      <c r="R207" t="s">
        <v>55</v>
      </c>
      <c r="S207" t="s">
        <v>30</v>
      </c>
      <c r="T207" t="s">
        <v>51</v>
      </c>
      <c r="U207">
        <v>39.673369999999998</v>
      </c>
      <c r="V207">
        <v>-4.7677259999999997</v>
      </c>
      <c r="W207" t="str">
        <f t="shared" si="21"/>
        <v>ok</v>
      </c>
      <c r="X207" t="str">
        <f t="shared" si="26"/>
        <v>ok</v>
      </c>
      <c r="Y207" t="str">
        <f t="shared" si="22"/>
        <v>ok</v>
      </c>
      <c r="Z207" t="str">
        <f t="shared" si="23"/>
        <v>ok</v>
      </c>
      <c r="AA207" s="4" t="str">
        <f t="shared" si="24"/>
        <v>ok</v>
      </c>
      <c r="AB207" s="4" t="str">
        <f t="shared" si="25"/>
        <v>ok</v>
      </c>
      <c r="AC207" s="6">
        <f t="shared" si="20"/>
        <v>45.462013611104339</v>
      </c>
    </row>
    <row r="208" spans="1:29" x14ac:dyDescent="0.3">
      <c r="A208" t="s">
        <v>22</v>
      </c>
      <c r="B208">
        <v>1260</v>
      </c>
      <c r="C208" t="s">
        <v>23</v>
      </c>
      <c r="D208" t="s">
        <v>34</v>
      </c>
      <c r="E208" t="s">
        <v>44</v>
      </c>
      <c r="F208" t="s">
        <v>26</v>
      </c>
      <c r="G208" t="s">
        <v>49</v>
      </c>
      <c r="H208" s="1">
        <v>44955.853414351855</v>
      </c>
      <c r="I208" s="1">
        <v>44957.853414351855</v>
      </c>
      <c r="J208" s="1">
        <v>44955.854803240742</v>
      </c>
      <c r="K208" s="2">
        <v>44955.853834733796</v>
      </c>
      <c r="L208" t="s">
        <v>28</v>
      </c>
      <c r="M208" s="2">
        <v>44957.584231423614</v>
      </c>
      <c r="N208" t="s">
        <v>28</v>
      </c>
      <c r="O208" s="2">
        <v>44961.845413854164</v>
      </c>
      <c r="P208">
        <v>1</v>
      </c>
      <c r="Q208">
        <v>4</v>
      </c>
      <c r="R208" t="s">
        <v>29</v>
      </c>
      <c r="S208" t="s">
        <v>30</v>
      </c>
      <c r="T208" t="s">
        <v>57</v>
      </c>
      <c r="U208">
        <v>51.165691000000002</v>
      </c>
      <c r="V208">
        <v>10.451525999999999</v>
      </c>
      <c r="W208" t="str">
        <f t="shared" si="21"/>
        <v>ok</v>
      </c>
      <c r="X208" t="str">
        <f t="shared" si="26"/>
        <v>ok</v>
      </c>
      <c r="Y208" t="str">
        <f t="shared" si="22"/>
        <v>ok</v>
      </c>
      <c r="Z208" t="str">
        <f t="shared" si="23"/>
        <v>ok</v>
      </c>
      <c r="AA208" s="4" t="str">
        <f t="shared" si="24"/>
        <v>ok</v>
      </c>
      <c r="AB208" s="4" t="str">
        <f t="shared" si="25"/>
        <v>ok</v>
      </c>
      <c r="AC208" s="6">
        <f t="shared" si="20"/>
        <v>41.539609722211026</v>
      </c>
    </row>
    <row r="209" spans="1:29" x14ac:dyDescent="0.3">
      <c r="A209" t="s">
        <v>42</v>
      </c>
      <c r="B209">
        <v>1266</v>
      </c>
      <c r="C209" t="s">
        <v>47</v>
      </c>
      <c r="D209" t="s">
        <v>24</v>
      </c>
      <c r="E209" t="s">
        <v>48</v>
      </c>
      <c r="F209" t="s">
        <v>36</v>
      </c>
      <c r="G209" t="s">
        <v>54</v>
      </c>
      <c r="H209" s="1">
        <v>44955.924467592595</v>
      </c>
      <c r="I209" s="1">
        <v>44957.924467592595</v>
      </c>
      <c r="J209" s="1">
        <v>44955.966134259259</v>
      </c>
      <c r="K209" s="2">
        <v>44955.946872523149</v>
      </c>
      <c r="L209" t="s">
        <v>28</v>
      </c>
      <c r="M209" s="2">
        <v>44960.615134780091</v>
      </c>
      <c r="N209" t="s">
        <v>38</v>
      </c>
      <c r="P209">
        <v>3</v>
      </c>
      <c r="R209" t="s">
        <v>55</v>
      </c>
      <c r="S209" t="s">
        <v>40</v>
      </c>
      <c r="T209" t="s">
        <v>46</v>
      </c>
      <c r="U209">
        <v>47.696471899999999</v>
      </c>
      <c r="V209">
        <v>13.3457347</v>
      </c>
      <c r="W209" t="str">
        <f t="shared" si="21"/>
        <v>ok</v>
      </c>
      <c r="X209" t="str">
        <f t="shared" si="26"/>
        <v>ok</v>
      </c>
      <c r="Y209" t="str">
        <f t="shared" si="22"/>
        <v>ok</v>
      </c>
      <c r="Z209" t="str">
        <f t="shared" si="23"/>
        <v>ok</v>
      </c>
      <c r="AA209" s="4" t="str">
        <f t="shared" si="24"/>
        <v>ok</v>
      </c>
      <c r="AB209" s="4" t="str">
        <f t="shared" si="25"/>
        <v>ok</v>
      </c>
      <c r="AC209" s="6">
        <f t="shared" si="20"/>
        <v>112.57601249992149</v>
      </c>
    </row>
    <row r="210" spans="1:29" x14ac:dyDescent="0.3">
      <c r="A210" t="s">
        <v>42</v>
      </c>
      <c r="B210">
        <v>1267</v>
      </c>
      <c r="C210" t="s">
        <v>33</v>
      </c>
      <c r="D210" t="s">
        <v>24</v>
      </c>
      <c r="E210" t="s">
        <v>59</v>
      </c>
      <c r="F210" t="s">
        <v>26</v>
      </c>
      <c r="G210" t="s">
        <v>27</v>
      </c>
      <c r="H210" s="1">
        <v>44955.22216435185</v>
      </c>
      <c r="I210" s="1">
        <v>44957.22216435185</v>
      </c>
      <c r="J210" s="1">
        <v>44955.263831018521</v>
      </c>
      <c r="K210" s="2">
        <v>44955.242799513886</v>
      </c>
      <c r="L210" t="s">
        <v>28</v>
      </c>
      <c r="M210" s="2">
        <v>44956.586360104164</v>
      </c>
      <c r="N210" t="s">
        <v>28</v>
      </c>
      <c r="P210">
        <v>7</v>
      </c>
      <c r="R210" t="s">
        <v>55</v>
      </c>
      <c r="S210" t="s">
        <v>30</v>
      </c>
      <c r="T210" t="s">
        <v>31</v>
      </c>
      <c r="U210">
        <v>53.094023999999997</v>
      </c>
      <c r="V210">
        <v>-8.0196749999999994</v>
      </c>
      <c r="W210" t="str">
        <f t="shared" si="21"/>
        <v>ok</v>
      </c>
      <c r="X210" t="str">
        <f t="shared" si="26"/>
        <v>ok</v>
      </c>
      <c r="Y210" t="str">
        <f t="shared" si="22"/>
        <v>ok</v>
      </c>
      <c r="Z210" t="str">
        <f t="shared" si="23"/>
        <v>ok</v>
      </c>
      <c r="AA210" s="4" t="str">
        <f t="shared" si="24"/>
        <v>ok</v>
      </c>
      <c r="AB210" s="4" t="str">
        <f t="shared" si="25"/>
        <v>ok</v>
      </c>
      <c r="AC210" s="6">
        <f t="shared" si="20"/>
        <v>32.740698055538815</v>
      </c>
    </row>
    <row r="211" spans="1:29" x14ac:dyDescent="0.3">
      <c r="A211" t="s">
        <v>22</v>
      </c>
      <c r="B211">
        <v>1268</v>
      </c>
      <c r="C211" t="s">
        <v>47</v>
      </c>
      <c r="D211" t="s">
        <v>24</v>
      </c>
      <c r="E211" t="s">
        <v>35</v>
      </c>
      <c r="F211" t="s">
        <v>26</v>
      </c>
      <c r="G211" t="s">
        <v>45</v>
      </c>
      <c r="H211" s="1">
        <v>44956.169606481482</v>
      </c>
      <c r="I211" s="1">
        <v>44958.169606481482</v>
      </c>
      <c r="J211" s="1">
        <v>44956.211273148147</v>
      </c>
      <c r="K211" s="2">
        <v>44956.190993067132</v>
      </c>
      <c r="L211" t="s">
        <v>28</v>
      </c>
      <c r="M211" s="2">
        <v>44956.633955335645</v>
      </c>
      <c r="N211" t="s">
        <v>28</v>
      </c>
      <c r="O211" s="2">
        <v>44959.308066770835</v>
      </c>
      <c r="P211">
        <v>10</v>
      </c>
      <c r="Q211">
        <v>4</v>
      </c>
      <c r="R211" t="s">
        <v>39</v>
      </c>
      <c r="S211" t="s">
        <v>30</v>
      </c>
      <c r="T211" t="s">
        <v>56</v>
      </c>
      <c r="U211">
        <v>52.536273000000001</v>
      </c>
      <c r="V211">
        <v>19.050639</v>
      </c>
      <c r="W211" t="str">
        <f t="shared" si="21"/>
        <v>ok</v>
      </c>
      <c r="X211" t="str">
        <f t="shared" si="26"/>
        <v>ok</v>
      </c>
      <c r="Y211" t="str">
        <f t="shared" si="22"/>
        <v>ok</v>
      </c>
      <c r="Z211" t="str">
        <f t="shared" si="23"/>
        <v>ok</v>
      </c>
      <c r="AA211" s="4" t="str">
        <f t="shared" si="24"/>
        <v>ok</v>
      </c>
      <c r="AB211" s="4" t="str">
        <f t="shared" si="25"/>
        <v>ok</v>
      </c>
      <c r="AC211" s="6">
        <f t="shared" si="20"/>
        <v>11.144372499897145</v>
      </c>
    </row>
    <row r="212" spans="1:29" x14ac:dyDescent="0.3">
      <c r="A212" t="s">
        <v>22</v>
      </c>
      <c r="B212">
        <v>1269</v>
      </c>
      <c r="C212" t="s">
        <v>47</v>
      </c>
      <c r="D212" t="s">
        <v>43</v>
      </c>
      <c r="E212" t="s">
        <v>35</v>
      </c>
      <c r="F212" t="s">
        <v>26</v>
      </c>
      <c r="G212" t="s">
        <v>60</v>
      </c>
      <c r="H212" s="1">
        <v>44956.513969907406</v>
      </c>
      <c r="I212" s="1">
        <v>44957.513969907406</v>
      </c>
      <c r="J212" s="1">
        <v>44956.5153587963</v>
      </c>
      <c r="K212" s="2">
        <v>44956.515193472223</v>
      </c>
      <c r="L212" t="s">
        <v>28</v>
      </c>
      <c r="M212" s="2">
        <v>44956.804372523147</v>
      </c>
      <c r="N212" t="s">
        <v>28</v>
      </c>
      <c r="O212" s="2">
        <v>44961.30365115741</v>
      </c>
      <c r="P212">
        <v>7</v>
      </c>
      <c r="Q212">
        <v>2</v>
      </c>
      <c r="R212" t="s">
        <v>29</v>
      </c>
      <c r="S212" t="s">
        <v>30</v>
      </c>
      <c r="T212" t="s">
        <v>61</v>
      </c>
      <c r="U212">
        <v>42.724992499999999</v>
      </c>
      <c r="V212">
        <v>25.483303899999999</v>
      </c>
      <c r="W212" t="str">
        <f t="shared" si="21"/>
        <v>ok</v>
      </c>
      <c r="X212" t="str">
        <f t="shared" si="26"/>
        <v>ok</v>
      </c>
      <c r="Y212" t="str">
        <f t="shared" si="22"/>
        <v>ok</v>
      </c>
      <c r="Z212" t="str">
        <f t="shared" si="23"/>
        <v>ok</v>
      </c>
      <c r="AA212" s="4" t="str">
        <f t="shared" si="24"/>
        <v>ok</v>
      </c>
      <c r="AB212" s="4" t="str">
        <f t="shared" si="25"/>
        <v>ok</v>
      </c>
      <c r="AC212" s="6">
        <f t="shared" si="20"/>
        <v>6.9696627777884714</v>
      </c>
    </row>
    <row r="213" spans="1:29" x14ac:dyDescent="0.3">
      <c r="A213" t="s">
        <v>42</v>
      </c>
      <c r="B213">
        <v>1270</v>
      </c>
      <c r="C213" t="s">
        <v>47</v>
      </c>
      <c r="D213" t="s">
        <v>24</v>
      </c>
      <c r="E213" t="s">
        <v>25</v>
      </c>
      <c r="F213" t="s">
        <v>26</v>
      </c>
      <c r="G213" t="s">
        <v>52</v>
      </c>
      <c r="H213" s="1">
        <v>44956.084733796299</v>
      </c>
      <c r="I213" s="1">
        <v>44958.084733796299</v>
      </c>
      <c r="J213" s="1">
        <v>44956.126400462963</v>
      </c>
      <c r="K213" s="2">
        <v>44956.119474085652</v>
      </c>
      <c r="L213" t="s">
        <v>28</v>
      </c>
      <c r="M213" s="2">
        <v>44957.527368668983</v>
      </c>
      <c r="N213" t="s">
        <v>28</v>
      </c>
      <c r="P213">
        <v>1</v>
      </c>
      <c r="R213" t="s">
        <v>29</v>
      </c>
      <c r="S213" t="s">
        <v>30</v>
      </c>
      <c r="T213" t="s">
        <v>58</v>
      </c>
      <c r="U213">
        <v>49.8037633</v>
      </c>
      <c r="V213">
        <v>15.4749126</v>
      </c>
      <c r="W213" t="str">
        <f t="shared" si="21"/>
        <v>ok</v>
      </c>
      <c r="X213" t="str">
        <f t="shared" si="26"/>
        <v>ok</v>
      </c>
      <c r="Y213" t="str">
        <f t="shared" si="22"/>
        <v>ok</v>
      </c>
      <c r="Z213" t="str">
        <f t="shared" si="23"/>
        <v>ok</v>
      </c>
      <c r="AA213" s="4" t="str">
        <f t="shared" si="24"/>
        <v>ok</v>
      </c>
      <c r="AB213" s="4" t="str">
        <f t="shared" si="25"/>
        <v>ok</v>
      </c>
      <c r="AC213" s="6">
        <f t="shared" si="20"/>
        <v>34.623236944433302</v>
      </c>
    </row>
    <row r="214" spans="1:29" x14ac:dyDescent="0.3">
      <c r="A214" t="s">
        <v>32</v>
      </c>
      <c r="B214">
        <v>1271</v>
      </c>
      <c r="C214" t="s">
        <v>47</v>
      </c>
      <c r="D214" t="s">
        <v>24</v>
      </c>
      <c r="E214" t="s">
        <v>48</v>
      </c>
      <c r="F214" t="s">
        <v>26</v>
      </c>
      <c r="G214" t="s">
        <v>27</v>
      </c>
      <c r="H214" s="1">
        <v>44956.619074074071</v>
      </c>
      <c r="I214" s="1">
        <v>44958.619074074071</v>
      </c>
      <c r="J214" s="1">
        <v>44956.660740740743</v>
      </c>
      <c r="K214" s="2">
        <v>44956.620852199077</v>
      </c>
      <c r="L214" t="s">
        <v>28</v>
      </c>
      <c r="N214" t="s">
        <v>38</v>
      </c>
      <c r="P214">
        <v>10</v>
      </c>
      <c r="R214" t="s">
        <v>29</v>
      </c>
      <c r="S214" t="s">
        <v>30</v>
      </c>
      <c r="T214" t="s">
        <v>65</v>
      </c>
      <c r="U214">
        <v>46.149166399999999</v>
      </c>
      <c r="V214">
        <v>14.9860106</v>
      </c>
      <c r="W214" t="str">
        <f t="shared" si="21"/>
        <v>ok</v>
      </c>
      <c r="X214" t="str">
        <f t="shared" si="26"/>
        <v>ok</v>
      </c>
      <c r="Y214" t="str">
        <f t="shared" si="22"/>
        <v>ok</v>
      </c>
      <c r="Z214" t="str">
        <f t="shared" si="23"/>
        <v>ok</v>
      </c>
      <c r="AA214" s="4" t="str">
        <f t="shared" si="24"/>
        <v>ok</v>
      </c>
      <c r="AB214" s="4" t="str">
        <f t="shared" si="25"/>
        <v>no resolution</v>
      </c>
      <c r="AC214" s="6" t="str">
        <f t="shared" ref="AC214:AC277" si="27">IF(M214="","",(M214-H214)*24)</f>
        <v/>
      </c>
    </row>
    <row r="215" spans="1:29" x14ac:dyDescent="0.3">
      <c r="A215" t="s">
        <v>42</v>
      </c>
      <c r="B215">
        <v>1272</v>
      </c>
      <c r="C215" t="s">
        <v>23</v>
      </c>
      <c r="D215" t="s">
        <v>43</v>
      </c>
      <c r="E215" t="s">
        <v>35</v>
      </c>
      <c r="F215" t="s">
        <v>26</v>
      </c>
      <c r="G215" t="s">
        <v>27</v>
      </c>
      <c r="H215" s="1">
        <v>44956.854050925926</v>
      </c>
      <c r="I215" s="1">
        <v>44957.854050925926</v>
      </c>
      <c r="J215" s="1">
        <v>44956.855439814812</v>
      </c>
      <c r="K215" s="2">
        <v>44956.854887743058</v>
      </c>
      <c r="L215" t="s">
        <v>28</v>
      </c>
      <c r="M215" s="2">
        <v>44956.924274027777</v>
      </c>
      <c r="N215" t="s">
        <v>28</v>
      </c>
      <c r="P215">
        <v>7</v>
      </c>
      <c r="R215" t="s">
        <v>39</v>
      </c>
      <c r="S215" t="s">
        <v>30</v>
      </c>
      <c r="T215" t="s">
        <v>57</v>
      </c>
      <c r="U215">
        <v>51.165691000000002</v>
      </c>
      <c r="V215">
        <v>10.451525999999999</v>
      </c>
      <c r="W215" t="str">
        <f t="shared" si="21"/>
        <v>ok</v>
      </c>
      <c r="X215" t="str">
        <f t="shared" si="26"/>
        <v>ok</v>
      </c>
      <c r="Y215" t="str">
        <f t="shared" si="22"/>
        <v>ok</v>
      </c>
      <c r="Z215" t="str">
        <f t="shared" si="23"/>
        <v>ok</v>
      </c>
      <c r="AA215" s="4" t="str">
        <f t="shared" si="24"/>
        <v>ok</v>
      </c>
      <c r="AB215" s="4" t="str">
        <f t="shared" si="25"/>
        <v>ok</v>
      </c>
      <c r="AC215" s="6">
        <f t="shared" si="27"/>
        <v>1.685354444431141</v>
      </c>
    </row>
    <row r="216" spans="1:29" x14ac:dyDescent="0.3">
      <c r="A216" t="s">
        <v>22</v>
      </c>
      <c r="B216">
        <v>1273</v>
      </c>
      <c r="C216" t="s">
        <v>23</v>
      </c>
      <c r="D216" t="s">
        <v>43</v>
      </c>
      <c r="E216" t="s">
        <v>25</v>
      </c>
      <c r="F216" t="s">
        <v>26</v>
      </c>
      <c r="G216" t="s">
        <v>52</v>
      </c>
      <c r="H216" s="1">
        <v>44956.685914351852</v>
      </c>
      <c r="I216" s="1">
        <v>44957.685914351852</v>
      </c>
      <c r="J216" s="1">
        <v>44956.687303240738</v>
      </c>
      <c r="K216" s="2">
        <v>44956.687185300929</v>
      </c>
      <c r="L216" t="s">
        <v>28</v>
      </c>
      <c r="M216" s="2">
        <v>44956.970146712963</v>
      </c>
      <c r="N216" t="s">
        <v>28</v>
      </c>
      <c r="O216" s="2">
        <v>44959.215780381943</v>
      </c>
      <c r="P216">
        <v>2</v>
      </c>
      <c r="Q216">
        <v>4</v>
      </c>
      <c r="R216" t="s">
        <v>29</v>
      </c>
      <c r="S216" t="s">
        <v>30</v>
      </c>
      <c r="T216" t="s">
        <v>41</v>
      </c>
      <c r="U216">
        <v>43.036776000000003</v>
      </c>
      <c r="V216">
        <v>12.678565000000001</v>
      </c>
      <c r="W216" t="str">
        <f t="shared" si="21"/>
        <v>ok</v>
      </c>
      <c r="X216" t="str">
        <f t="shared" si="26"/>
        <v>ok</v>
      </c>
      <c r="Y216" t="str">
        <f t="shared" si="22"/>
        <v>ok</v>
      </c>
      <c r="Z216" t="str">
        <f t="shared" si="23"/>
        <v>ok</v>
      </c>
      <c r="AA216" s="4" t="str">
        <f t="shared" si="24"/>
        <v>ok</v>
      </c>
      <c r="AB216" s="4" t="str">
        <f t="shared" si="25"/>
        <v>ok</v>
      </c>
      <c r="AC216" s="6">
        <f t="shared" si="27"/>
        <v>6.8215766666689888</v>
      </c>
    </row>
    <row r="217" spans="1:29" x14ac:dyDescent="0.3">
      <c r="A217" t="s">
        <v>22</v>
      </c>
      <c r="B217">
        <v>1274</v>
      </c>
      <c r="C217" t="s">
        <v>23</v>
      </c>
      <c r="D217" t="s">
        <v>24</v>
      </c>
      <c r="E217" t="s">
        <v>48</v>
      </c>
      <c r="F217" t="s">
        <v>26</v>
      </c>
      <c r="G217" t="s">
        <v>52</v>
      </c>
      <c r="H217" s="1">
        <v>44956.800752314812</v>
      </c>
      <c r="I217" s="1">
        <v>44958.800752314812</v>
      </c>
      <c r="J217" s="1">
        <v>44956.842418981483</v>
      </c>
      <c r="K217" s="2">
        <v>44956.826166168983</v>
      </c>
      <c r="L217" t="s">
        <v>28</v>
      </c>
      <c r="M217" s="2">
        <v>44957.256925601854</v>
      </c>
      <c r="N217" t="s">
        <v>28</v>
      </c>
      <c r="O217" s="2">
        <v>44961.92631077546</v>
      </c>
      <c r="P217">
        <v>3</v>
      </c>
      <c r="Q217">
        <v>5</v>
      </c>
      <c r="R217" t="s">
        <v>29</v>
      </c>
      <c r="S217" t="s">
        <v>30</v>
      </c>
      <c r="T217" t="s">
        <v>56</v>
      </c>
      <c r="U217">
        <v>52.536273000000001</v>
      </c>
      <c r="V217">
        <v>19.050639</v>
      </c>
      <c r="W217" t="str">
        <f t="shared" si="21"/>
        <v>ok</v>
      </c>
      <c r="X217" t="str">
        <f t="shared" si="26"/>
        <v>ok</v>
      </c>
      <c r="Y217" t="str">
        <f t="shared" si="22"/>
        <v>ok</v>
      </c>
      <c r="Z217" t="str">
        <f t="shared" si="23"/>
        <v>ok</v>
      </c>
      <c r="AA217" s="4" t="str">
        <f t="shared" si="24"/>
        <v>ok</v>
      </c>
      <c r="AB217" s="4" t="str">
        <f t="shared" si="25"/>
        <v>ok</v>
      </c>
      <c r="AC217" s="6">
        <f t="shared" si="27"/>
        <v>10.948158889019396</v>
      </c>
    </row>
    <row r="218" spans="1:29" x14ac:dyDescent="0.3">
      <c r="A218" t="s">
        <v>22</v>
      </c>
      <c r="B218">
        <v>1275</v>
      </c>
      <c r="C218" t="s">
        <v>33</v>
      </c>
      <c r="D218" t="s">
        <v>43</v>
      </c>
      <c r="E218" t="s">
        <v>35</v>
      </c>
      <c r="F218" t="s">
        <v>26</v>
      </c>
      <c r="G218" t="s">
        <v>60</v>
      </c>
      <c r="H218" s="1">
        <v>44956.158333333333</v>
      </c>
      <c r="I218" s="1">
        <v>44957.158333333333</v>
      </c>
      <c r="J218" s="1">
        <v>44956.159722222219</v>
      </c>
      <c r="K218" s="2">
        <v>44956.158690520831</v>
      </c>
      <c r="L218" t="s">
        <v>28</v>
      </c>
      <c r="M218" s="2">
        <v>44956.199754756941</v>
      </c>
      <c r="N218" t="s">
        <v>28</v>
      </c>
      <c r="O218" s="2">
        <v>44961.416436921296</v>
      </c>
      <c r="P218">
        <v>8</v>
      </c>
      <c r="Q218">
        <v>3</v>
      </c>
      <c r="R218" t="s">
        <v>39</v>
      </c>
      <c r="S218" t="s">
        <v>30</v>
      </c>
      <c r="T218" t="s">
        <v>63</v>
      </c>
      <c r="U218">
        <v>55.378051999999997</v>
      </c>
      <c r="V218">
        <v>-3.4359730000000002</v>
      </c>
      <c r="W218" t="str">
        <f t="shared" si="21"/>
        <v>ok</v>
      </c>
      <c r="X218" t="str">
        <f t="shared" si="26"/>
        <v>ok</v>
      </c>
      <c r="Y218" t="str">
        <f t="shared" si="22"/>
        <v>ok</v>
      </c>
      <c r="Z218" t="str">
        <f t="shared" si="23"/>
        <v>ok</v>
      </c>
      <c r="AA218" s="4" t="str">
        <f t="shared" si="24"/>
        <v>ok</v>
      </c>
      <c r="AB218" s="4" t="str">
        <f t="shared" si="25"/>
        <v>ok</v>
      </c>
      <c r="AC218" s="6">
        <f t="shared" si="27"/>
        <v>0.99411416659131646</v>
      </c>
    </row>
    <row r="219" spans="1:29" x14ac:dyDescent="0.3">
      <c r="A219" t="s">
        <v>32</v>
      </c>
      <c r="B219">
        <v>1276</v>
      </c>
      <c r="C219" t="s">
        <v>23</v>
      </c>
      <c r="D219" t="s">
        <v>43</v>
      </c>
      <c r="E219" t="s">
        <v>35</v>
      </c>
      <c r="F219" t="s">
        <v>26</v>
      </c>
      <c r="G219" t="s">
        <v>60</v>
      </c>
      <c r="H219" s="1">
        <v>44956.696712962963</v>
      </c>
      <c r="I219" s="1">
        <v>44957.696712962963</v>
      </c>
      <c r="J219" s="1">
        <v>44956.698101851849</v>
      </c>
      <c r="K219" s="2">
        <v>44956.697435613423</v>
      </c>
      <c r="L219" t="s">
        <v>28</v>
      </c>
      <c r="N219" t="s">
        <v>38</v>
      </c>
      <c r="P219">
        <v>4</v>
      </c>
      <c r="R219" t="s">
        <v>55</v>
      </c>
      <c r="S219" t="s">
        <v>30</v>
      </c>
      <c r="T219" t="s">
        <v>57</v>
      </c>
      <c r="U219">
        <v>51.165691000000002</v>
      </c>
      <c r="V219">
        <v>10.451525999999999</v>
      </c>
      <c r="W219" t="str">
        <f t="shared" si="21"/>
        <v>ok</v>
      </c>
      <c r="X219" t="str">
        <f t="shared" si="26"/>
        <v>ok</v>
      </c>
      <c r="Y219" t="str">
        <f t="shared" si="22"/>
        <v>ok</v>
      </c>
      <c r="Z219" t="str">
        <f t="shared" si="23"/>
        <v>ok</v>
      </c>
      <c r="AA219" s="4" t="str">
        <f t="shared" si="24"/>
        <v>ok</v>
      </c>
      <c r="AB219" s="4" t="str">
        <f t="shared" si="25"/>
        <v>no resolution</v>
      </c>
      <c r="AC219" s="6" t="str">
        <f t="shared" si="27"/>
        <v/>
      </c>
    </row>
    <row r="220" spans="1:29" x14ac:dyDescent="0.3">
      <c r="A220" t="s">
        <v>32</v>
      </c>
      <c r="B220">
        <v>1277</v>
      </c>
      <c r="C220" t="s">
        <v>23</v>
      </c>
      <c r="D220" t="s">
        <v>24</v>
      </c>
      <c r="E220" t="s">
        <v>25</v>
      </c>
      <c r="F220" t="s">
        <v>26</v>
      </c>
      <c r="G220" t="s">
        <v>60</v>
      </c>
      <c r="H220" s="1">
        <v>44957.416018518517</v>
      </c>
      <c r="I220" s="1">
        <v>44959.416018518517</v>
      </c>
      <c r="J220" s="1">
        <v>44957.457685185182</v>
      </c>
      <c r="K220" s="2">
        <v>44957.46421484954</v>
      </c>
      <c r="L220" t="s">
        <v>38</v>
      </c>
      <c r="N220" t="s">
        <v>38</v>
      </c>
      <c r="P220">
        <v>1</v>
      </c>
      <c r="R220" t="s">
        <v>29</v>
      </c>
      <c r="S220" t="s">
        <v>30</v>
      </c>
      <c r="T220" t="s">
        <v>66</v>
      </c>
      <c r="U220">
        <v>48.864716000000001</v>
      </c>
      <c r="V220">
        <v>2.3490139999999999</v>
      </c>
      <c r="W220" t="str">
        <f t="shared" si="21"/>
        <v>ok</v>
      </c>
      <c r="X220" t="str">
        <f t="shared" si="26"/>
        <v>ok</v>
      </c>
      <c r="Y220" t="str">
        <f t="shared" si="22"/>
        <v>ok</v>
      </c>
      <c r="Z220" t="str">
        <f t="shared" si="23"/>
        <v>ok</v>
      </c>
      <c r="AA220" s="4" t="str">
        <f t="shared" si="24"/>
        <v>ok</v>
      </c>
      <c r="AB220" s="4" t="str">
        <f t="shared" si="25"/>
        <v>no resolution</v>
      </c>
      <c r="AC220" s="6" t="str">
        <f t="shared" si="27"/>
        <v/>
      </c>
    </row>
    <row r="221" spans="1:29" x14ac:dyDescent="0.3">
      <c r="A221" t="s">
        <v>22</v>
      </c>
      <c r="B221">
        <v>1278</v>
      </c>
      <c r="C221" t="s">
        <v>33</v>
      </c>
      <c r="D221" t="s">
        <v>24</v>
      </c>
      <c r="E221" t="s">
        <v>48</v>
      </c>
      <c r="F221" t="s">
        <v>26</v>
      </c>
      <c r="G221" t="s">
        <v>49</v>
      </c>
      <c r="H221" s="1">
        <v>44957.36377314815</v>
      </c>
      <c r="I221" s="1">
        <v>44959.36377314815</v>
      </c>
      <c r="J221" s="1">
        <v>44957.405439814815</v>
      </c>
      <c r="K221" s="2">
        <v>44957.374355775464</v>
      </c>
      <c r="L221" t="s">
        <v>28</v>
      </c>
      <c r="M221" s="2">
        <v>44957.65202858796</v>
      </c>
      <c r="N221" t="s">
        <v>28</v>
      </c>
      <c r="O221" s="2">
        <v>44962.681936921297</v>
      </c>
      <c r="P221">
        <v>2</v>
      </c>
      <c r="Q221">
        <v>3</v>
      </c>
      <c r="R221" t="s">
        <v>29</v>
      </c>
      <c r="S221" t="s">
        <v>30</v>
      </c>
      <c r="T221" t="s">
        <v>65</v>
      </c>
      <c r="U221">
        <v>46.149166399999999</v>
      </c>
      <c r="V221">
        <v>14.9860106</v>
      </c>
      <c r="W221" t="str">
        <f t="shared" si="21"/>
        <v>ok</v>
      </c>
      <c r="X221" t="str">
        <f t="shared" si="26"/>
        <v>ok</v>
      </c>
      <c r="Y221" t="str">
        <f t="shared" si="22"/>
        <v>ok</v>
      </c>
      <c r="Z221" t="str">
        <f t="shared" si="23"/>
        <v>ok</v>
      </c>
      <c r="AA221" s="4" t="str">
        <f t="shared" si="24"/>
        <v>ok</v>
      </c>
      <c r="AB221" s="4" t="str">
        <f t="shared" si="25"/>
        <v>ok</v>
      </c>
      <c r="AC221" s="6">
        <f t="shared" si="27"/>
        <v>6.9181305554229766</v>
      </c>
    </row>
    <row r="222" spans="1:29" x14ac:dyDescent="0.3">
      <c r="A222" t="s">
        <v>22</v>
      </c>
      <c r="B222">
        <v>1279</v>
      </c>
      <c r="C222" t="s">
        <v>33</v>
      </c>
      <c r="D222" t="s">
        <v>43</v>
      </c>
      <c r="E222" t="s">
        <v>48</v>
      </c>
      <c r="F222" t="s">
        <v>26</v>
      </c>
      <c r="G222" t="s">
        <v>49</v>
      </c>
      <c r="H222" s="1">
        <v>44957.976064814815</v>
      </c>
      <c r="I222" s="1">
        <v>44958.976064814815</v>
      </c>
      <c r="J222" s="1">
        <v>44957.977453703701</v>
      </c>
      <c r="K222" s="2">
        <v>44957.978861898147</v>
      </c>
      <c r="L222" t="s">
        <v>38</v>
      </c>
      <c r="M222" s="2">
        <v>44958.459923553244</v>
      </c>
      <c r="N222" t="s">
        <v>28</v>
      </c>
      <c r="O222" s="2">
        <v>44960.547475208332</v>
      </c>
      <c r="P222">
        <v>2</v>
      </c>
      <c r="Q222">
        <v>4</v>
      </c>
      <c r="R222" t="s">
        <v>29</v>
      </c>
      <c r="S222" t="s">
        <v>30</v>
      </c>
      <c r="T222" t="s">
        <v>41</v>
      </c>
      <c r="U222">
        <v>43.036776000000003</v>
      </c>
      <c r="V222">
        <v>12.678565000000001</v>
      </c>
      <c r="W222" t="str">
        <f t="shared" si="21"/>
        <v>ok</v>
      </c>
      <c r="X222" t="str">
        <f t="shared" si="26"/>
        <v>ok</v>
      </c>
      <c r="Y222" t="str">
        <f t="shared" si="22"/>
        <v>ok</v>
      </c>
      <c r="Z222" t="str">
        <f t="shared" si="23"/>
        <v>ok</v>
      </c>
      <c r="AA222" s="4" t="str">
        <f t="shared" si="24"/>
        <v>ok</v>
      </c>
      <c r="AB222" s="4" t="str">
        <f t="shared" si="25"/>
        <v>ok</v>
      </c>
      <c r="AC222" s="6">
        <f t="shared" si="27"/>
        <v>11.612609722302295</v>
      </c>
    </row>
    <row r="223" spans="1:29" x14ac:dyDescent="0.3">
      <c r="A223" t="s">
        <v>42</v>
      </c>
      <c r="B223">
        <v>1280</v>
      </c>
      <c r="C223" t="s">
        <v>23</v>
      </c>
      <c r="D223" t="s">
        <v>43</v>
      </c>
      <c r="E223" t="s">
        <v>25</v>
      </c>
      <c r="F223" t="s">
        <v>26</v>
      </c>
      <c r="G223" t="s">
        <v>52</v>
      </c>
      <c r="H223" s="1">
        <v>44957.519282407404</v>
      </c>
      <c r="I223" s="1">
        <v>44958.519282407404</v>
      </c>
      <c r="J223" s="1">
        <v>44957.520671296297</v>
      </c>
      <c r="K223" s="2">
        <v>44957.52058546296</v>
      </c>
      <c r="L223" t="s">
        <v>28</v>
      </c>
      <c r="M223" s="2">
        <v>44957.665738043979</v>
      </c>
      <c r="N223" t="s">
        <v>28</v>
      </c>
      <c r="P223">
        <v>6</v>
      </c>
      <c r="R223" t="s">
        <v>29</v>
      </c>
      <c r="S223" t="s">
        <v>30</v>
      </c>
      <c r="T223" t="s">
        <v>57</v>
      </c>
      <c r="U223">
        <v>51.165691000000002</v>
      </c>
      <c r="V223">
        <v>10.451525999999999</v>
      </c>
      <c r="W223" t="str">
        <f t="shared" si="21"/>
        <v>ok</v>
      </c>
      <c r="X223" t="str">
        <f t="shared" si="26"/>
        <v>ok</v>
      </c>
      <c r="Y223" t="str">
        <f t="shared" si="22"/>
        <v>ok</v>
      </c>
      <c r="Z223" t="str">
        <f t="shared" si="23"/>
        <v>ok</v>
      </c>
      <c r="AA223" s="4" t="str">
        <f t="shared" si="24"/>
        <v>ok</v>
      </c>
      <c r="AB223" s="4" t="str">
        <f t="shared" si="25"/>
        <v>ok</v>
      </c>
      <c r="AC223" s="6">
        <f t="shared" si="27"/>
        <v>3.5149352778098546</v>
      </c>
    </row>
    <row r="224" spans="1:29" x14ac:dyDescent="0.3">
      <c r="A224" t="s">
        <v>42</v>
      </c>
      <c r="B224">
        <v>1281</v>
      </c>
      <c r="C224" t="s">
        <v>33</v>
      </c>
      <c r="D224" t="s">
        <v>24</v>
      </c>
      <c r="E224" t="s">
        <v>35</v>
      </c>
      <c r="F224" t="s">
        <v>36</v>
      </c>
      <c r="G224" t="s">
        <v>64</v>
      </c>
      <c r="H224" s="1">
        <v>44957.539293981485</v>
      </c>
      <c r="I224" s="1">
        <v>44959.539293981485</v>
      </c>
      <c r="J224" s="1">
        <v>44957.580960648149</v>
      </c>
      <c r="K224" s="2">
        <v>44957.552850428241</v>
      </c>
      <c r="L224" t="s">
        <v>28</v>
      </c>
      <c r="M224" s="2">
        <v>44959.043289560184</v>
      </c>
      <c r="N224" t="s">
        <v>28</v>
      </c>
      <c r="P224">
        <v>1</v>
      </c>
      <c r="R224" t="s">
        <v>55</v>
      </c>
      <c r="S224" t="s">
        <v>40</v>
      </c>
      <c r="T224" t="s">
        <v>31</v>
      </c>
      <c r="U224">
        <v>53.094023999999997</v>
      </c>
      <c r="V224">
        <v>-8.0196749999999994</v>
      </c>
      <c r="W224" t="str">
        <f t="shared" si="21"/>
        <v>ok</v>
      </c>
      <c r="X224" t="str">
        <f t="shared" si="26"/>
        <v>ok</v>
      </c>
      <c r="Y224" t="str">
        <f t="shared" si="22"/>
        <v>ok</v>
      </c>
      <c r="Z224" t="str">
        <f t="shared" si="23"/>
        <v>ok</v>
      </c>
      <c r="AA224" s="4" t="str">
        <f t="shared" si="24"/>
        <v>ok</v>
      </c>
      <c r="AB224" s="4" t="str">
        <f t="shared" si="25"/>
        <v>ok</v>
      </c>
      <c r="AC224" s="6">
        <f t="shared" si="27"/>
        <v>36.095893888792489</v>
      </c>
    </row>
    <row r="225" spans="1:29" x14ac:dyDescent="0.3">
      <c r="A225" t="s">
        <v>42</v>
      </c>
      <c r="B225">
        <v>1282</v>
      </c>
      <c r="C225" t="s">
        <v>47</v>
      </c>
      <c r="D225" t="s">
        <v>24</v>
      </c>
      <c r="E225" t="s">
        <v>25</v>
      </c>
      <c r="F225" t="s">
        <v>26</v>
      </c>
      <c r="G225" t="s">
        <v>60</v>
      </c>
      <c r="H225" s="1">
        <v>44957.91133101852</v>
      </c>
      <c r="I225" s="1">
        <v>44959.91133101852</v>
      </c>
      <c r="J225" s="1">
        <v>44957.952997685185</v>
      </c>
      <c r="K225" s="2">
        <v>44957.92971877315</v>
      </c>
      <c r="L225" t="s">
        <v>28</v>
      </c>
      <c r="M225" s="2">
        <v>44958.802498136574</v>
      </c>
      <c r="N225" t="s">
        <v>28</v>
      </c>
      <c r="P225">
        <v>4</v>
      </c>
      <c r="R225" t="s">
        <v>29</v>
      </c>
      <c r="S225" t="s">
        <v>30</v>
      </c>
      <c r="T225" t="s">
        <v>61</v>
      </c>
      <c r="U225">
        <v>42.724992499999999</v>
      </c>
      <c r="V225">
        <v>25.483303899999999</v>
      </c>
      <c r="W225" t="str">
        <f t="shared" si="21"/>
        <v>ok</v>
      </c>
      <c r="X225" t="str">
        <f t="shared" si="26"/>
        <v>ok</v>
      </c>
      <c r="Y225" t="str">
        <f t="shared" si="22"/>
        <v>ok</v>
      </c>
      <c r="Z225" t="str">
        <f t="shared" si="23"/>
        <v>ok</v>
      </c>
      <c r="AA225" s="4" t="str">
        <f t="shared" si="24"/>
        <v>ok</v>
      </c>
      <c r="AB225" s="4" t="str">
        <f t="shared" si="25"/>
        <v>ok</v>
      </c>
      <c r="AC225" s="6">
        <f t="shared" si="27"/>
        <v>21.388010833295994</v>
      </c>
    </row>
    <row r="226" spans="1:29" x14ac:dyDescent="0.3">
      <c r="A226" t="s">
        <v>22</v>
      </c>
      <c r="B226">
        <v>1283</v>
      </c>
      <c r="C226" t="s">
        <v>23</v>
      </c>
      <c r="D226" t="s">
        <v>24</v>
      </c>
      <c r="E226" t="s">
        <v>44</v>
      </c>
      <c r="F226" t="s">
        <v>26</v>
      </c>
      <c r="G226" t="s">
        <v>49</v>
      </c>
      <c r="H226" s="1">
        <v>44958.460752314815</v>
      </c>
      <c r="I226" s="1">
        <v>44960.460752314815</v>
      </c>
      <c r="J226" s="1">
        <v>44958.502418981479</v>
      </c>
      <c r="K226" s="2">
        <v>44958.471142662034</v>
      </c>
      <c r="L226" t="s">
        <v>28</v>
      </c>
      <c r="M226" s="2">
        <v>44959.262241539349</v>
      </c>
      <c r="N226" t="s">
        <v>28</v>
      </c>
      <c r="O226" s="2">
        <v>44962.758395717596</v>
      </c>
      <c r="P226">
        <v>8</v>
      </c>
      <c r="Q226">
        <v>4</v>
      </c>
      <c r="R226" t="s">
        <v>29</v>
      </c>
      <c r="S226" t="s">
        <v>30</v>
      </c>
      <c r="T226" t="s">
        <v>31</v>
      </c>
      <c r="U226">
        <v>53.094023999999997</v>
      </c>
      <c r="V226">
        <v>-8.0196749999999994</v>
      </c>
      <c r="W226" t="str">
        <f t="shared" si="21"/>
        <v>ok</v>
      </c>
      <c r="X226" t="str">
        <f t="shared" si="26"/>
        <v>ok</v>
      </c>
      <c r="Y226" t="str">
        <f t="shared" si="22"/>
        <v>ok</v>
      </c>
      <c r="Z226" t="str">
        <f t="shared" si="23"/>
        <v>ok</v>
      </c>
      <c r="AA226" s="4" t="str">
        <f t="shared" si="24"/>
        <v>ok</v>
      </c>
      <c r="AB226" s="4" t="str">
        <f t="shared" si="25"/>
        <v>ok</v>
      </c>
      <c r="AC226" s="6">
        <f t="shared" si="27"/>
        <v>19.235741388809402</v>
      </c>
    </row>
    <row r="227" spans="1:29" x14ac:dyDescent="0.3">
      <c r="A227" t="s">
        <v>22</v>
      </c>
      <c r="B227">
        <v>1284</v>
      </c>
      <c r="C227" t="s">
        <v>47</v>
      </c>
      <c r="D227" t="s">
        <v>24</v>
      </c>
      <c r="E227" t="s">
        <v>35</v>
      </c>
      <c r="F227" t="s">
        <v>36</v>
      </c>
      <c r="G227" t="s">
        <v>64</v>
      </c>
      <c r="H227" s="1">
        <v>44958.421967592592</v>
      </c>
      <c r="I227" s="1">
        <v>44960.421967592592</v>
      </c>
      <c r="J227" s="1">
        <v>44958.463634259257</v>
      </c>
      <c r="K227" s="2">
        <v>44958.459744976855</v>
      </c>
      <c r="L227" t="s">
        <v>28</v>
      </c>
      <c r="M227" s="2">
        <v>44959.382815960649</v>
      </c>
      <c r="N227" t="s">
        <v>28</v>
      </c>
      <c r="O227" s="2">
        <v>44961.886795659724</v>
      </c>
      <c r="P227">
        <v>8</v>
      </c>
      <c r="Q227">
        <v>1</v>
      </c>
      <c r="R227" t="s">
        <v>39</v>
      </c>
      <c r="S227" t="s">
        <v>40</v>
      </c>
      <c r="T227" t="s">
        <v>46</v>
      </c>
      <c r="U227">
        <v>47.696471899999999</v>
      </c>
      <c r="V227">
        <v>13.3457347</v>
      </c>
      <c r="W227" t="str">
        <f t="shared" si="21"/>
        <v>ok</v>
      </c>
      <c r="X227" t="str">
        <f t="shared" si="26"/>
        <v>ok</v>
      </c>
      <c r="Y227" t="str">
        <f t="shared" si="22"/>
        <v>ok</v>
      </c>
      <c r="Z227" t="str">
        <f t="shared" si="23"/>
        <v>ok</v>
      </c>
      <c r="AA227" s="4" t="str">
        <f t="shared" si="24"/>
        <v>ok</v>
      </c>
      <c r="AB227" s="4" t="str">
        <f t="shared" si="25"/>
        <v>ok</v>
      </c>
      <c r="AC227" s="6">
        <f t="shared" si="27"/>
        <v>23.060360833362211</v>
      </c>
    </row>
    <row r="228" spans="1:29" x14ac:dyDescent="0.3">
      <c r="A228" t="s">
        <v>32</v>
      </c>
      <c r="B228">
        <v>1285</v>
      </c>
      <c r="C228" t="s">
        <v>23</v>
      </c>
      <c r="D228" t="s">
        <v>34</v>
      </c>
      <c r="E228" t="s">
        <v>48</v>
      </c>
      <c r="F228" t="s">
        <v>36</v>
      </c>
      <c r="G228" t="s">
        <v>54</v>
      </c>
      <c r="H228" s="1">
        <v>44958.045300925929</v>
      </c>
      <c r="I228" s="1">
        <v>44960.045300925929</v>
      </c>
      <c r="J228" s="1">
        <v>44958.046689814815</v>
      </c>
      <c r="K228" s="2">
        <v>44958.045953576388</v>
      </c>
      <c r="L228" t="s">
        <v>28</v>
      </c>
      <c r="N228" t="s">
        <v>38</v>
      </c>
      <c r="P228">
        <v>2</v>
      </c>
      <c r="R228" t="s">
        <v>29</v>
      </c>
      <c r="S228" t="s">
        <v>40</v>
      </c>
      <c r="T228" t="s">
        <v>63</v>
      </c>
      <c r="U228">
        <v>55.378051999999997</v>
      </c>
      <c r="V228">
        <v>-3.4359730000000002</v>
      </c>
      <c r="W228" t="str">
        <f t="shared" si="21"/>
        <v>ok</v>
      </c>
      <c r="X228" t="str">
        <f t="shared" si="26"/>
        <v>ok</v>
      </c>
      <c r="Y228" t="str">
        <f t="shared" si="22"/>
        <v>ok</v>
      </c>
      <c r="Z228" t="str">
        <f t="shared" si="23"/>
        <v>ok</v>
      </c>
      <c r="AA228" s="4" t="str">
        <f t="shared" si="24"/>
        <v>ok</v>
      </c>
      <c r="AB228" s="4" t="str">
        <f t="shared" si="25"/>
        <v>no resolution</v>
      </c>
      <c r="AC228" s="6" t="str">
        <f t="shared" si="27"/>
        <v/>
      </c>
    </row>
    <row r="229" spans="1:29" x14ac:dyDescent="0.3">
      <c r="A229" t="s">
        <v>22</v>
      </c>
      <c r="B229">
        <v>1286</v>
      </c>
      <c r="C229" t="s">
        <v>47</v>
      </c>
      <c r="D229" t="s">
        <v>24</v>
      </c>
      <c r="E229" t="s">
        <v>25</v>
      </c>
      <c r="F229" t="s">
        <v>26</v>
      </c>
      <c r="G229" t="s">
        <v>60</v>
      </c>
      <c r="H229" s="1">
        <v>44958.534328703703</v>
      </c>
      <c r="I229" s="1">
        <v>44960.534328703703</v>
      </c>
      <c r="J229" s="1">
        <v>44958.575995370367</v>
      </c>
      <c r="K229" s="2">
        <v>44958.569540636578</v>
      </c>
      <c r="L229" t="s">
        <v>28</v>
      </c>
      <c r="M229" s="2">
        <v>44963.050185879627</v>
      </c>
      <c r="N229" t="s">
        <v>38</v>
      </c>
      <c r="O229" s="2">
        <v>44964.169998333331</v>
      </c>
      <c r="P229">
        <v>10</v>
      </c>
      <c r="Q229">
        <v>4</v>
      </c>
      <c r="R229" t="s">
        <v>29</v>
      </c>
      <c r="S229" t="s">
        <v>30</v>
      </c>
      <c r="T229" t="s">
        <v>56</v>
      </c>
      <c r="U229">
        <v>52.536273000000001</v>
      </c>
      <c r="V229">
        <v>19.050639</v>
      </c>
      <c r="W229" t="str">
        <f t="shared" si="21"/>
        <v>ok</v>
      </c>
      <c r="X229" t="str">
        <f t="shared" si="26"/>
        <v>ok</v>
      </c>
      <c r="Y229" t="str">
        <f t="shared" si="22"/>
        <v>ok</v>
      </c>
      <c r="Z229" t="str">
        <f t="shared" si="23"/>
        <v>ok</v>
      </c>
      <c r="AA229" s="4" t="str">
        <f t="shared" si="24"/>
        <v>ok</v>
      </c>
      <c r="AB229" s="4" t="str">
        <f t="shared" si="25"/>
        <v>ok</v>
      </c>
      <c r="AC229" s="6">
        <f t="shared" si="27"/>
        <v>108.38057222217321</v>
      </c>
    </row>
    <row r="230" spans="1:29" x14ac:dyDescent="0.3">
      <c r="A230" t="s">
        <v>42</v>
      </c>
      <c r="B230">
        <v>1287</v>
      </c>
      <c r="C230" t="s">
        <v>23</v>
      </c>
      <c r="D230" t="s">
        <v>43</v>
      </c>
      <c r="E230" t="s">
        <v>35</v>
      </c>
      <c r="F230" t="s">
        <v>36</v>
      </c>
      <c r="G230" t="s">
        <v>37</v>
      </c>
      <c r="H230" s="1">
        <v>44958.867731481485</v>
      </c>
      <c r="I230" s="1">
        <v>44959.867731481485</v>
      </c>
      <c r="J230" s="1">
        <v>44958.869120370371</v>
      </c>
      <c r="K230" s="2">
        <v>44958.868060960645</v>
      </c>
      <c r="L230" t="s">
        <v>28</v>
      </c>
      <c r="M230" s="2">
        <v>44961.940926759256</v>
      </c>
      <c r="N230" t="s">
        <v>38</v>
      </c>
      <c r="P230">
        <v>4</v>
      </c>
      <c r="R230" t="s">
        <v>29</v>
      </c>
      <c r="S230" t="s">
        <v>40</v>
      </c>
      <c r="T230" t="s">
        <v>57</v>
      </c>
      <c r="U230">
        <v>51.165691000000002</v>
      </c>
      <c r="V230">
        <v>10.451525999999999</v>
      </c>
      <c r="W230" t="str">
        <f t="shared" si="21"/>
        <v>ok</v>
      </c>
      <c r="X230" t="str">
        <f t="shared" si="26"/>
        <v>ok</v>
      </c>
      <c r="Y230" t="str">
        <f t="shared" si="22"/>
        <v>ok</v>
      </c>
      <c r="Z230" t="str">
        <f t="shared" si="23"/>
        <v>ok</v>
      </c>
      <c r="AA230" s="4" t="str">
        <f t="shared" si="24"/>
        <v>ok</v>
      </c>
      <c r="AB230" s="4" t="str">
        <f t="shared" si="25"/>
        <v>ok</v>
      </c>
      <c r="AC230" s="6">
        <f t="shared" si="27"/>
        <v>73.756686666514724</v>
      </c>
    </row>
    <row r="231" spans="1:29" x14ac:dyDescent="0.3">
      <c r="A231" t="s">
        <v>22</v>
      </c>
      <c r="B231">
        <v>1288</v>
      </c>
      <c r="C231" t="s">
        <v>47</v>
      </c>
      <c r="D231" t="s">
        <v>34</v>
      </c>
      <c r="E231" t="s">
        <v>39</v>
      </c>
      <c r="F231" t="s">
        <v>36</v>
      </c>
      <c r="G231" t="s">
        <v>37</v>
      </c>
      <c r="H231" s="1">
        <v>44958.830810185187</v>
      </c>
      <c r="I231" s="1">
        <v>44960.830810185187</v>
      </c>
      <c r="J231" s="1">
        <v>44958.832199074073</v>
      </c>
      <c r="K231" s="2">
        <v>44958.049233321763</v>
      </c>
      <c r="L231" t="s">
        <v>28</v>
      </c>
      <c r="M231" s="2">
        <v>44960.10764894676</v>
      </c>
      <c r="N231" t="s">
        <v>28</v>
      </c>
      <c r="O231" s="2">
        <v>44963.99656540509</v>
      </c>
      <c r="P231">
        <v>2</v>
      </c>
      <c r="Q231">
        <v>5</v>
      </c>
      <c r="R231" t="s">
        <v>55</v>
      </c>
      <c r="S231" t="s">
        <v>40</v>
      </c>
      <c r="T231" t="s">
        <v>61</v>
      </c>
      <c r="U231">
        <v>42.724992499999999</v>
      </c>
      <c r="V231">
        <v>25.483303899999999</v>
      </c>
      <c r="W231" t="str">
        <f t="shared" si="21"/>
        <v>check</v>
      </c>
      <c r="X231" t="str">
        <f t="shared" si="26"/>
        <v>ok</v>
      </c>
      <c r="Y231" t="str">
        <f t="shared" si="22"/>
        <v>ok</v>
      </c>
      <c r="Z231" t="str">
        <f t="shared" si="23"/>
        <v>ok</v>
      </c>
      <c r="AA231" s="4" t="str">
        <f t="shared" si="24"/>
        <v>ok</v>
      </c>
      <c r="AB231" s="4" t="str">
        <f t="shared" si="25"/>
        <v>ok</v>
      </c>
      <c r="AC231" s="6">
        <f t="shared" si="27"/>
        <v>30.644130277738441</v>
      </c>
    </row>
    <row r="232" spans="1:29" x14ac:dyDescent="0.3">
      <c r="A232" t="s">
        <v>22</v>
      </c>
      <c r="B232">
        <v>1289</v>
      </c>
      <c r="C232" t="s">
        <v>23</v>
      </c>
      <c r="D232" t="s">
        <v>24</v>
      </c>
      <c r="E232" t="s">
        <v>39</v>
      </c>
      <c r="F232" t="s">
        <v>26</v>
      </c>
      <c r="G232" t="s">
        <v>49</v>
      </c>
      <c r="H232" s="1">
        <v>44958.398715277777</v>
      </c>
      <c r="I232" s="1">
        <v>44960.398715277777</v>
      </c>
      <c r="J232" s="1">
        <v>44958.440381944441</v>
      </c>
      <c r="K232" s="2">
        <v>44958.419089409719</v>
      </c>
      <c r="L232" t="s">
        <v>28</v>
      </c>
      <c r="M232" s="2">
        <v>44959.686330856479</v>
      </c>
      <c r="N232" t="s">
        <v>28</v>
      </c>
      <c r="O232" s="2">
        <v>44963.399944131947</v>
      </c>
      <c r="P232">
        <v>3</v>
      </c>
      <c r="Q232">
        <v>3</v>
      </c>
      <c r="R232" t="s">
        <v>50</v>
      </c>
      <c r="S232" t="s">
        <v>30</v>
      </c>
      <c r="T232" t="s">
        <v>46</v>
      </c>
      <c r="U232">
        <v>47.696471899999999</v>
      </c>
      <c r="V232">
        <v>13.3457347</v>
      </c>
      <c r="W232" t="str">
        <f t="shared" si="21"/>
        <v>ok</v>
      </c>
      <c r="X232" t="str">
        <f t="shared" si="26"/>
        <v>ok</v>
      </c>
      <c r="Y232" t="str">
        <f t="shared" si="22"/>
        <v>ok</v>
      </c>
      <c r="Z232" t="str">
        <f t="shared" si="23"/>
        <v>ok</v>
      </c>
      <c r="AA232" s="4" t="str">
        <f t="shared" si="24"/>
        <v>ok</v>
      </c>
      <c r="AB232" s="4" t="str">
        <f t="shared" si="25"/>
        <v>ok</v>
      </c>
      <c r="AC232" s="6">
        <f t="shared" si="27"/>
        <v>30.902773888839874</v>
      </c>
    </row>
    <row r="233" spans="1:29" x14ac:dyDescent="0.3">
      <c r="A233" t="s">
        <v>22</v>
      </c>
      <c r="B233">
        <v>1291</v>
      </c>
      <c r="C233" t="s">
        <v>47</v>
      </c>
      <c r="D233" t="s">
        <v>24</v>
      </c>
      <c r="E233" t="s">
        <v>48</v>
      </c>
      <c r="F233" t="s">
        <v>26</v>
      </c>
      <c r="G233" t="s">
        <v>49</v>
      </c>
      <c r="H233" s="1">
        <v>44958.057835648149</v>
      </c>
      <c r="I233" s="1">
        <v>44960.057835648149</v>
      </c>
      <c r="J233" s="1">
        <v>44958.099502314813</v>
      </c>
      <c r="K233" s="2">
        <v>44958.253045625002</v>
      </c>
      <c r="L233" t="s">
        <v>38</v>
      </c>
      <c r="M233" s="2">
        <v>44958.893494710646</v>
      </c>
      <c r="N233" t="s">
        <v>28</v>
      </c>
      <c r="O233" s="2">
        <v>44962.585125543985</v>
      </c>
      <c r="P233">
        <v>2</v>
      </c>
      <c r="Q233">
        <v>4</v>
      </c>
      <c r="R233" t="s">
        <v>39</v>
      </c>
      <c r="S233" t="s">
        <v>30</v>
      </c>
      <c r="T233" t="s">
        <v>66</v>
      </c>
      <c r="U233">
        <v>48.864716000000001</v>
      </c>
      <c r="V233">
        <v>2.3490139999999999</v>
      </c>
      <c r="W233" t="str">
        <f t="shared" si="21"/>
        <v>ok</v>
      </c>
      <c r="X233" t="str">
        <f t="shared" si="26"/>
        <v>ok</v>
      </c>
      <c r="Y233" t="str">
        <f t="shared" si="22"/>
        <v>ok</v>
      </c>
      <c r="Z233" t="str">
        <f t="shared" si="23"/>
        <v>ok</v>
      </c>
      <c r="AA233" s="4" t="str">
        <f t="shared" si="24"/>
        <v>ok</v>
      </c>
      <c r="AB233" s="4" t="str">
        <f t="shared" si="25"/>
        <v>ok</v>
      </c>
      <c r="AC233" s="6">
        <f t="shared" si="27"/>
        <v>20.055817499931436</v>
      </c>
    </row>
    <row r="234" spans="1:29" x14ac:dyDescent="0.3">
      <c r="A234" t="s">
        <v>22</v>
      </c>
      <c r="B234">
        <v>1292</v>
      </c>
      <c r="C234" t="s">
        <v>23</v>
      </c>
      <c r="D234" t="s">
        <v>43</v>
      </c>
      <c r="E234" t="s">
        <v>35</v>
      </c>
      <c r="F234" t="s">
        <v>26</v>
      </c>
      <c r="G234" t="s">
        <v>27</v>
      </c>
      <c r="H234" s="1">
        <v>44958.334016203706</v>
      </c>
      <c r="I234" s="1">
        <v>44959.334016203706</v>
      </c>
      <c r="J234" s="1">
        <v>44958.335405092592</v>
      </c>
      <c r="K234" s="2">
        <v>44958.335162824071</v>
      </c>
      <c r="L234" t="s">
        <v>28</v>
      </c>
      <c r="M234" s="2">
        <v>44958.727644513892</v>
      </c>
      <c r="N234" t="s">
        <v>28</v>
      </c>
      <c r="O234" s="2">
        <v>44965.287206377317</v>
      </c>
      <c r="P234">
        <v>8</v>
      </c>
      <c r="Q234">
        <v>2</v>
      </c>
      <c r="R234" t="s">
        <v>50</v>
      </c>
      <c r="S234" t="s">
        <v>30</v>
      </c>
      <c r="T234" t="s">
        <v>31</v>
      </c>
      <c r="U234">
        <v>53.094023999999997</v>
      </c>
      <c r="V234">
        <v>-8.0196749999999994</v>
      </c>
      <c r="W234" t="str">
        <f t="shared" si="21"/>
        <v>ok</v>
      </c>
      <c r="X234" t="str">
        <f t="shared" si="26"/>
        <v>ok</v>
      </c>
      <c r="Y234" t="str">
        <f t="shared" si="22"/>
        <v>ok</v>
      </c>
      <c r="Z234" t="str">
        <f t="shared" si="23"/>
        <v>ok</v>
      </c>
      <c r="AA234" s="4" t="str">
        <f t="shared" si="24"/>
        <v>ok</v>
      </c>
      <c r="AB234" s="4" t="str">
        <f t="shared" si="25"/>
        <v>ok</v>
      </c>
      <c r="AC234" s="6">
        <f t="shared" si="27"/>
        <v>9.4470794444787316</v>
      </c>
    </row>
    <row r="235" spans="1:29" x14ac:dyDescent="0.3">
      <c r="A235" t="s">
        <v>32</v>
      </c>
      <c r="B235">
        <v>1294</v>
      </c>
      <c r="C235" t="s">
        <v>23</v>
      </c>
      <c r="D235" t="s">
        <v>24</v>
      </c>
      <c r="E235" t="s">
        <v>25</v>
      </c>
      <c r="F235" t="s">
        <v>26</v>
      </c>
      <c r="G235" t="s">
        <v>45</v>
      </c>
      <c r="H235" s="1">
        <v>44959.639282407406</v>
      </c>
      <c r="I235" s="1">
        <v>44961.639282407406</v>
      </c>
      <c r="J235" s="1">
        <v>44959.680949074071</v>
      </c>
      <c r="K235" s="2">
        <v>44959.65581733796</v>
      </c>
      <c r="L235" t="s">
        <v>28</v>
      </c>
      <c r="N235" t="s">
        <v>38</v>
      </c>
      <c r="P235">
        <v>4</v>
      </c>
      <c r="R235" t="s">
        <v>39</v>
      </c>
      <c r="S235" t="s">
        <v>30</v>
      </c>
      <c r="T235" t="s">
        <v>31</v>
      </c>
      <c r="U235">
        <v>53.094023999999997</v>
      </c>
      <c r="V235">
        <v>-8.0196749999999994</v>
      </c>
      <c r="W235" t="str">
        <f t="shared" si="21"/>
        <v>ok</v>
      </c>
      <c r="X235" t="str">
        <f t="shared" si="26"/>
        <v>ok</v>
      </c>
      <c r="Y235" t="str">
        <f t="shared" si="22"/>
        <v>ok</v>
      </c>
      <c r="Z235" t="str">
        <f t="shared" si="23"/>
        <v>ok</v>
      </c>
      <c r="AA235" s="4" t="str">
        <f t="shared" si="24"/>
        <v>ok</v>
      </c>
      <c r="AB235" s="4" t="str">
        <f t="shared" si="25"/>
        <v>no resolution</v>
      </c>
      <c r="AC235" s="6" t="str">
        <f t="shared" si="27"/>
        <v/>
      </c>
    </row>
    <row r="236" spans="1:29" x14ac:dyDescent="0.3">
      <c r="A236" t="s">
        <v>42</v>
      </c>
      <c r="B236">
        <v>1295</v>
      </c>
      <c r="C236" t="s">
        <v>23</v>
      </c>
      <c r="D236" t="s">
        <v>24</v>
      </c>
      <c r="E236" t="s">
        <v>25</v>
      </c>
      <c r="F236" t="s">
        <v>26</v>
      </c>
      <c r="G236" t="s">
        <v>49</v>
      </c>
      <c r="H236" s="1">
        <v>44959.006238425929</v>
      </c>
      <c r="I236" s="1">
        <v>44961.006238425929</v>
      </c>
      <c r="J236" s="1">
        <v>44959.047905092593</v>
      </c>
      <c r="K236" s="2">
        <v>44959.030636770833</v>
      </c>
      <c r="L236" t="s">
        <v>28</v>
      </c>
      <c r="M236" s="2">
        <v>44959.184168437503</v>
      </c>
      <c r="N236" t="s">
        <v>28</v>
      </c>
      <c r="P236">
        <v>1</v>
      </c>
      <c r="R236" t="s">
        <v>50</v>
      </c>
      <c r="S236" t="s">
        <v>30</v>
      </c>
      <c r="T236" t="s">
        <v>61</v>
      </c>
      <c r="U236">
        <v>42.724992499999999</v>
      </c>
      <c r="V236">
        <v>25.483303899999999</v>
      </c>
      <c r="W236" t="str">
        <f t="shared" si="21"/>
        <v>ok</v>
      </c>
      <c r="X236" t="str">
        <f t="shared" si="26"/>
        <v>ok</v>
      </c>
      <c r="Y236" t="str">
        <f t="shared" si="22"/>
        <v>ok</v>
      </c>
      <c r="Z236" t="str">
        <f t="shared" si="23"/>
        <v>ok</v>
      </c>
      <c r="AA236" s="4" t="str">
        <f t="shared" si="24"/>
        <v>ok</v>
      </c>
      <c r="AB236" s="4" t="str">
        <f t="shared" si="25"/>
        <v>ok</v>
      </c>
      <c r="AC236" s="6">
        <f t="shared" si="27"/>
        <v>4.2703202777775005</v>
      </c>
    </row>
    <row r="237" spans="1:29" x14ac:dyDescent="0.3">
      <c r="A237" t="s">
        <v>22</v>
      </c>
      <c r="B237">
        <v>1296</v>
      </c>
      <c r="C237" t="s">
        <v>47</v>
      </c>
      <c r="D237" t="s">
        <v>43</v>
      </c>
      <c r="E237" t="s">
        <v>48</v>
      </c>
      <c r="F237" t="s">
        <v>26</v>
      </c>
      <c r="G237" t="s">
        <v>60</v>
      </c>
      <c r="H237" s="1">
        <v>44959.093148148146</v>
      </c>
      <c r="I237" s="1">
        <v>44960.093148148146</v>
      </c>
      <c r="J237" s="1">
        <v>44959.094537037039</v>
      </c>
      <c r="K237" s="2">
        <v>44959.093631689815</v>
      </c>
      <c r="L237" t="s">
        <v>28</v>
      </c>
      <c r="M237" s="2">
        <v>44959.610695277777</v>
      </c>
      <c r="N237" t="s">
        <v>28</v>
      </c>
      <c r="O237" s="2">
        <v>44964.697023009256</v>
      </c>
      <c r="P237">
        <v>4</v>
      </c>
      <c r="Q237">
        <v>1</v>
      </c>
      <c r="R237" t="s">
        <v>29</v>
      </c>
      <c r="S237" t="s">
        <v>30</v>
      </c>
      <c r="T237" t="s">
        <v>41</v>
      </c>
      <c r="U237">
        <v>43.036776000000003</v>
      </c>
      <c r="V237">
        <v>12.678565000000001</v>
      </c>
      <c r="W237" t="str">
        <f t="shared" si="21"/>
        <v>ok</v>
      </c>
      <c r="X237" t="str">
        <f t="shared" si="26"/>
        <v>ok</v>
      </c>
      <c r="Y237" t="str">
        <f t="shared" si="22"/>
        <v>ok</v>
      </c>
      <c r="Z237" t="str">
        <f t="shared" si="23"/>
        <v>ok</v>
      </c>
      <c r="AA237" s="4" t="str">
        <f t="shared" si="24"/>
        <v>ok</v>
      </c>
      <c r="AB237" s="4" t="str">
        <f t="shared" si="25"/>
        <v>ok</v>
      </c>
      <c r="AC237" s="6">
        <f t="shared" si="27"/>
        <v>12.421131111157592</v>
      </c>
    </row>
    <row r="238" spans="1:29" x14ac:dyDescent="0.3">
      <c r="A238" t="s">
        <v>22</v>
      </c>
      <c r="B238">
        <v>1297</v>
      </c>
      <c r="C238" t="s">
        <v>23</v>
      </c>
      <c r="D238" t="s">
        <v>43</v>
      </c>
      <c r="E238" t="s">
        <v>35</v>
      </c>
      <c r="F238" t="s">
        <v>26</v>
      </c>
      <c r="G238" t="s">
        <v>52</v>
      </c>
      <c r="H238" s="1">
        <v>44959.983449074076</v>
      </c>
      <c r="I238" s="1">
        <v>44960.983449074076</v>
      </c>
      <c r="J238" s="1">
        <v>44959.984837962962</v>
      </c>
      <c r="K238" s="2">
        <v>44959.984614548608</v>
      </c>
      <c r="L238" t="s">
        <v>28</v>
      </c>
      <c r="M238" s="2">
        <v>44960.956164641204</v>
      </c>
      <c r="N238" t="s">
        <v>28</v>
      </c>
      <c r="O238" s="2">
        <v>44963.744346782405</v>
      </c>
      <c r="P238">
        <v>60</v>
      </c>
      <c r="Q238">
        <v>3</v>
      </c>
      <c r="R238" t="s">
        <v>50</v>
      </c>
      <c r="S238" t="s">
        <v>30</v>
      </c>
      <c r="T238" t="s">
        <v>58</v>
      </c>
      <c r="U238">
        <v>49.8037633</v>
      </c>
      <c r="V238">
        <v>15.4749126</v>
      </c>
      <c r="W238" t="str">
        <f t="shared" si="21"/>
        <v>ok</v>
      </c>
      <c r="X238" t="str">
        <f t="shared" si="26"/>
        <v>ok</v>
      </c>
      <c r="Y238" t="str">
        <f t="shared" si="22"/>
        <v>ok</v>
      </c>
      <c r="Z238" t="str">
        <f t="shared" si="23"/>
        <v>ok</v>
      </c>
      <c r="AA238" s="4" t="str">
        <f t="shared" si="24"/>
        <v>ok</v>
      </c>
      <c r="AB238" s="4" t="str">
        <f t="shared" si="25"/>
        <v>ok</v>
      </c>
      <c r="AC238" s="6">
        <f t="shared" si="27"/>
        <v>23.345173611072823</v>
      </c>
    </row>
    <row r="239" spans="1:29" x14ac:dyDescent="0.3">
      <c r="A239" t="s">
        <v>22</v>
      </c>
      <c r="B239">
        <v>1298</v>
      </c>
      <c r="C239" t="s">
        <v>23</v>
      </c>
      <c r="D239" t="s">
        <v>24</v>
      </c>
      <c r="E239" t="s">
        <v>25</v>
      </c>
      <c r="F239" t="s">
        <v>26</v>
      </c>
      <c r="G239" t="s">
        <v>49</v>
      </c>
      <c r="H239" s="1">
        <v>44959.686979166669</v>
      </c>
      <c r="I239" s="1">
        <v>44961.686979166669</v>
      </c>
      <c r="J239" s="1">
        <v>44959.728645833333</v>
      </c>
      <c r="K239" s="2">
        <v>44959.719877337964</v>
      </c>
      <c r="L239" t="s">
        <v>28</v>
      </c>
      <c r="M239" s="2">
        <v>44961.361947129626</v>
      </c>
      <c r="N239" t="s">
        <v>28</v>
      </c>
      <c r="O239" s="2">
        <v>44962.663720798613</v>
      </c>
      <c r="P239">
        <v>8</v>
      </c>
      <c r="Q239">
        <v>5</v>
      </c>
      <c r="R239" t="s">
        <v>50</v>
      </c>
      <c r="S239" t="s">
        <v>30</v>
      </c>
      <c r="T239" t="s">
        <v>51</v>
      </c>
      <c r="U239">
        <v>39.673369999999998</v>
      </c>
      <c r="V239">
        <v>-4.7677259999999997</v>
      </c>
      <c r="W239" t="str">
        <f t="shared" si="21"/>
        <v>ok</v>
      </c>
      <c r="X239" t="str">
        <f t="shared" si="26"/>
        <v>ok</v>
      </c>
      <c r="Y239" t="str">
        <f t="shared" si="22"/>
        <v>ok</v>
      </c>
      <c r="Z239" t="str">
        <f t="shared" si="23"/>
        <v>ok</v>
      </c>
      <c r="AA239" s="4" t="str">
        <f t="shared" si="24"/>
        <v>ok</v>
      </c>
      <c r="AB239" s="4" t="str">
        <f t="shared" si="25"/>
        <v>ok</v>
      </c>
      <c r="AC239" s="6">
        <f t="shared" si="27"/>
        <v>40.199231110978872</v>
      </c>
    </row>
    <row r="240" spans="1:29" x14ac:dyDescent="0.3">
      <c r="A240" t="s">
        <v>22</v>
      </c>
      <c r="B240">
        <v>1299</v>
      </c>
      <c r="C240" t="s">
        <v>23</v>
      </c>
      <c r="D240" t="s">
        <v>34</v>
      </c>
      <c r="E240" t="s">
        <v>25</v>
      </c>
      <c r="F240" t="s">
        <v>26</v>
      </c>
      <c r="G240" t="s">
        <v>45</v>
      </c>
      <c r="H240" s="1">
        <v>44959.320335648146</v>
      </c>
      <c r="I240" s="1">
        <v>44961.320335648146</v>
      </c>
      <c r="J240" s="1">
        <v>44959.32172453704</v>
      </c>
      <c r="K240" s="2">
        <v>44959.321569884261</v>
      </c>
      <c r="L240" t="s">
        <v>28</v>
      </c>
      <c r="M240" s="2">
        <v>44960.022926261576</v>
      </c>
      <c r="N240" t="s">
        <v>28</v>
      </c>
      <c r="O240" s="2">
        <v>44962.493789687498</v>
      </c>
      <c r="P240">
        <v>2</v>
      </c>
      <c r="Q240">
        <v>1</v>
      </c>
      <c r="R240" t="s">
        <v>29</v>
      </c>
      <c r="S240" t="s">
        <v>30</v>
      </c>
      <c r="T240" t="s">
        <v>65</v>
      </c>
      <c r="U240">
        <v>46.149166399999999</v>
      </c>
      <c r="V240">
        <v>14.9860106</v>
      </c>
      <c r="W240" t="str">
        <f t="shared" si="21"/>
        <v>ok</v>
      </c>
      <c r="X240" t="str">
        <f t="shared" si="26"/>
        <v>ok</v>
      </c>
      <c r="Y240" t="str">
        <f t="shared" si="22"/>
        <v>ok</v>
      </c>
      <c r="Z240" t="str">
        <f t="shared" si="23"/>
        <v>ok</v>
      </c>
      <c r="AA240" s="4" t="str">
        <f t="shared" si="24"/>
        <v>ok</v>
      </c>
      <c r="AB240" s="4" t="str">
        <f t="shared" si="25"/>
        <v>ok</v>
      </c>
      <c r="AC240" s="6">
        <f t="shared" si="27"/>
        <v>16.862174722307827</v>
      </c>
    </row>
    <row r="241" spans="1:29" x14ac:dyDescent="0.3">
      <c r="A241" t="s">
        <v>42</v>
      </c>
      <c r="B241">
        <v>1300</v>
      </c>
      <c r="C241" t="s">
        <v>47</v>
      </c>
      <c r="D241" t="s">
        <v>43</v>
      </c>
      <c r="E241" t="s">
        <v>67</v>
      </c>
      <c r="F241" t="s">
        <v>26</v>
      </c>
      <c r="G241" t="s">
        <v>45</v>
      </c>
      <c r="H241" s="1">
        <v>44960.611851851849</v>
      </c>
      <c r="I241" s="1">
        <v>44961.611851851849</v>
      </c>
      <c r="J241" s="1">
        <v>44960.613240740742</v>
      </c>
      <c r="K241" s="2">
        <v>44960.613019699071</v>
      </c>
      <c r="L241" t="s">
        <v>28</v>
      </c>
      <c r="M241" s="2">
        <v>44963.145183356479</v>
      </c>
      <c r="N241" t="s">
        <v>38</v>
      </c>
      <c r="P241">
        <v>6</v>
      </c>
      <c r="R241" t="s">
        <v>29</v>
      </c>
      <c r="S241" t="s">
        <v>30</v>
      </c>
      <c r="T241" t="s">
        <v>58</v>
      </c>
      <c r="U241">
        <v>49.8037633</v>
      </c>
      <c r="V241">
        <v>15.4749126</v>
      </c>
      <c r="W241" t="str">
        <f t="shared" si="21"/>
        <v>ok</v>
      </c>
      <c r="X241" t="str">
        <f t="shared" si="26"/>
        <v>ok</v>
      </c>
      <c r="Y241" t="str">
        <f t="shared" si="22"/>
        <v>ok</v>
      </c>
      <c r="Z241" t="str">
        <f t="shared" si="23"/>
        <v>ok</v>
      </c>
      <c r="AA241" s="4" t="str">
        <f t="shared" si="24"/>
        <v>ok</v>
      </c>
      <c r="AB241" s="4" t="str">
        <f t="shared" si="25"/>
        <v>ok</v>
      </c>
      <c r="AC241" s="6">
        <f t="shared" si="27"/>
        <v>60.799956111120991</v>
      </c>
    </row>
    <row r="242" spans="1:29" x14ac:dyDescent="0.3">
      <c r="A242" t="s">
        <v>22</v>
      </c>
      <c r="B242">
        <v>1301</v>
      </c>
      <c r="C242" t="s">
        <v>23</v>
      </c>
      <c r="D242" t="s">
        <v>34</v>
      </c>
      <c r="E242" t="s">
        <v>35</v>
      </c>
      <c r="F242" t="s">
        <v>26</v>
      </c>
      <c r="G242" t="s">
        <v>49</v>
      </c>
      <c r="H242" s="1">
        <v>44960.964791666665</v>
      </c>
      <c r="I242" s="1">
        <v>44962.964791666665</v>
      </c>
      <c r="J242" s="1">
        <v>44960.966180555559</v>
      </c>
      <c r="K242" s="2">
        <v>44960.964986435189</v>
      </c>
      <c r="L242" t="s">
        <v>28</v>
      </c>
      <c r="M242" s="2">
        <v>44962.749311550928</v>
      </c>
      <c r="N242" t="s">
        <v>28</v>
      </c>
      <c r="O242" s="2">
        <v>44963.670881018516</v>
      </c>
      <c r="P242">
        <v>1</v>
      </c>
      <c r="Q242">
        <v>3</v>
      </c>
      <c r="R242" t="s">
        <v>50</v>
      </c>
      <c r="S242" t="s">
        <v>30</v>
      </c>
      <c r="T242" t="s">
        <v>53</v>
      </c>
      <c r="U242">
        <v>39.368279000000001</v>
      </c>
      <c r="V242">
        <v>21.863140999999999</v>
      </c>
      <c r="W242" t="str">
        <f t="shared" si="21"/>
        <v>ok</v>
      </c>
      <c r="X242" t="str">
        <f t="shared" si="26"/>
        <v>ok</v>
      </c>
      <c r="Y242" t="str">
        <f t="shared" si="22"/>
        <v>ok</v>
      </c>
      <c r="Z242" t="str">
        <f t="shared" si="23"/>
        <v>ok</v>
      </c>
      <c r="AA242" s="4" t="str">
        <f t="shared" si="24"/>
        <v>ok</v>
      </c>
      <c r="AB242" s="4" t="str">
        <f t="shared" si="25"/>
        <v>ok</v>
      </c>
      <c r="AC242" s="6">
        <f t="shared" si="27"/>
        <v>42.828477222297806</v>
      </c>
    </row>
    <row r="243" spans="1:29" x14ac:dyDescent="0.3">
      <c r="A243" t="s">
        <v>42</v>
      </c>
      <c r="B243">
        <v>1302</v>
      </c>
      <c r="C243" t="s">
        <v>33</v>
      </c>
      <c r="D243" t="s">
        <v>24</v>
      </c>
      <c r="E243" t="s">
        <v>48</v>
      </c>
      <c r="F243" t="s">
        <v>26</v>
      </c>
      <c r="G243" t="s">
        <v>52</v>
      </c>
      <c r="H243" s="1">
        <v>44960.845462962963</v>
      </c>
      <c r="I243" s="1">
        <v>44962.845462962963</v>
      </c>
      <c r="J243" s="1">
        <v>44960.887129629627</v>
      </c>
      <c r="K243" s="2">
        <v>44960.882109247686</v>
      </c>
      <c r="L243" t="s">
        <v>28</v>
      </c>
      <c r="M243" s="2">
        <v>44962.552180393519</v>
      </c>
      <c r="N243" t="s">
        <v>28</v>
      </c>
      <c r="P243">
        <v>3</v>
      </c>
      <c r="R243" t="s">
        <v>29</v>
      </c>
      <c r="S243" t="s">
        <v>30</v>
      </c>
      <c r="T243" t="s">
        <v>41</v>
      </c>
      <c r="U243">
        <v>43.036776000000003</v>
      </c>
      <c r="V243">
        <v>12.678565000000001</v>
      </c>
      <c r="W243" t="str">
        <f t="shared" si="21"/>
        <v>ok</v>
      </c>
      <c r="X243" t="str">
        <f t="shared" si="26"/>
        <v>ok</v>
      </c>
      <c r="Y243" t="str">
        <f t="shared" si="22"/>
        <v>ok</v>
      </c>
      <c r="Z243" t="str">
        <f t="shared" si="23"/>
        <v>ok</v>
      </c>
      <c r="AA243" s="4" t="str">
        <f t="shared" si="24"/>
        <v>ok</v>
      </c>
      <c r="AB243" s="4" t="str">
        <f t="shared" si="25"/>
        <v>ok</v>
      </c>
      <c r="AC243" s="6">
        <f t="shared" si="27"/>
        <v>40.961218333337456</v>
      </c>
    </row>
    <row r="244" spans="1:29" x14ac:dyDescent="0.3">
      <c r="A244" t="s">
        <v>42</v>
      </c>
      <c r="B244">
        <v>1303</v>
      </c>
      <c r="C244" t="s">
        <v>23</v>
      </c>
      <c r="D244" t="s">
        <v>34</v>
      </c>
      <c r="E244" t="s">
        <v>35</v>
      </c>
      <c r="F244" t="s">
        <v>26</v>
      </c>
      <c r="G244" t="s">
        <v>60</v>
      </c>
      <c r="H244" s="1">
        <v>44960.782349537039</v>
      </c>
      <c r="I244" s="1">
        <v>44962.782349537039</v>
      </c>
      <c r="J244" s="1">
        <v>44960.783738425926</v>
      </c>
      <c r="K244" s="2">
        <v>44960.784525960647</v>
      </c>
      <c r="L244" t="s">
        <v>38</v>
      </c>
      <c r="M244" s="2">
        <v>44961.210929074077</v>
      </c>
      <c r="N244" t="s">
        <v>28</v>
      </c>
      <c r="P244">
        <v>3</v>
      </c>
      <c r="R244" t="s">
        <v>50</v>
      </c>
      <c r="S244" t="s">
        <v>30</v>
      </c>
      <c r="T244" t="s">
        <v>65</v>
      </c>
      <c r="U244">
        <v>46.149166399999999</v>
      </c>
      <c r="V244">
        <v>14.9860106</v>
      </c>
      <c r="W244" t="str">
        <f t="shared" si="21"/>
        <v>ok</v>
      </c>
      <c r="X244" t="str">
        <f t="shared" si="26"/>
        <v>ok</v>
      </c>
      <c r="Y244" t="str">
        <f t="shared" si="22"/>
        <v>ok</v>
      </c>
      <c r="Z244" t="str">
        <f t="shared" si="23"/>
        <v>ok</v>
      </c>
      <c r="AA244" s="4" t="str">
        <f t="shared" si="24"/>
        <v>ok</v>
      </c>
      <c r="AB244" s="4" t="str">
        <f t="shared" si="25"/>
        <v>ok</v>
      </c>
      <c r="AC244" s="6">
        <f t="shared" si="27"/>
        <v>10.285908888909034</v>
      </c>
    </row>
    <row r="245" spans="1:29" x14ac:dyDescent="0.3">
      <c r="A245" t="s">
        <v>42</v>
      </c>
      <c r="B245">
        <v>1304</v>
      </c>
      <c r="C245" t="s">
        <v>47</v>
      </c>
      <c r="D245" t="s">
        <v>34</v>
      </c>
      <c r="E245" t="s">
        <v>44</v>
      </c>
      <c r="F245" t="s">
        <v>26</v>
      </c>
      <c r="G245" t="s">
        <v>52</v>
      </c>
      <c r="H245" s="1">
        <v>44960.804895833331</v>
      </c>
      <c r="I245" s="1">
        <v>44962.804895833331</v>
      </c>
      <c r="J245" s="1">
        <v>44960.806284722225</v>
      </c>
      <c r="K245" s="2">
        <v>44960.808831527778</v>
      </c>
      <c r="L245" t="s">
        <v>38</v>
      </c>
      <c r="M245" s="2">
        <v>44962.52999145833</v>
      </c>
      <c r="N245" t="s">
        <v>28</v>
      </c>
      <c r="P245">
        <v>5</v>
      </c>
      <c r="R245" t="s">
        <v>39</v>
      </c>
      <c r="S245" t="s">
        <v>30</v>
      </c>
      <c r="T245" t="s">
        <v>57</v>
      </c>
      <c r="U245">
        <v>51.165691000000002</v>
      </c>
      <c r="V245">
        <v>10.451525999999999</v>
      </c>
      <c r="W245" t="str">
        <f t="shared" si="21"/>
        <v>ok</v>
      </c>
      <c r="X245" t="str">
        <f t="shared" si="26"/>
        <v>ok</v>
      </c>
      <c r="Y245" t="str">
        <f t="shared" si="22"/>
        <v>ok</v>
      </c>
      <c r="Z245" t="str">
        <f t="shared" si="23"/>
        <v>ok</v>
      </c>
      <c r="AA245" s="4" t="str">
        <f t="shared" si="24"/>
        <v>ok</v>
      </c>
      <c r="AB245" s="4" t="str">
        <f t="shared" si="25"/>
        <v>ok</v>
      </c>
      <c r="AC245" s="6">
        <f t="shared" si="27"/>
        <v>41.402294999978039</v>
      </c>
    </row>
    <row r="246" spans="1:29" x14ac:dyDescent="0.3">
      <c r="A246" t="s">
        <v>42</v>
      </c>
      <c r="B246">
        <v>1305</v>
      </c>
      <c r="C246" t="s">
        <v>23</v>
      </c>
      <c r="D246" t="s">
        <v>24</v>
      </c>
      <c r="E246" t="s">
        <v>44</v>
      </c>
      <c r="F246" t="s">
        <v>26</v>
      </c>
      <c r="G246" t="s">
        <v>45</v>
      </c>
      <c r="H246" s="1">
        <v>44960.07675925926</v>
      </c>
      <c r="I246" s="1">
        <v>44962.07675925926</v>
      </c>
      <c r="J246" s="1">
        <v>44960.118425925924</v>
      </c>
      <c r="K246" s="2">
        <v>44960.091574328704</v>
      </c>
      <c r="L246" t="s">
        <v>28</v>
      </c>
      <c r="M246" s="2">
        <v>44960.220480520831</v>
      </c>
      <c r="N246" t="s">
        <v>28</v>
      </c>
      <c r="P246">
        <v>1</v>
      </c>
      <c r="R246" t="s">
        <v>50</v>
      </c>
      <c r="S246" t="s">
        <v>30</v>
      </c>
      <c r="T246" t="s">
        <v>58</v>
      </c>
      <c r="U246">
        <v>49.8037633</v>
      </c>
      <c r="V246">
        <v>15.4749126</v>
      </c>
      <c r="W246" t="str">
        <f t="shared" si="21"/>
        <v>ok</v>
      </c>
      <c r="X246" t="str">
        <f t="shared" si="26"/>
        <v>ok</v>
      </c>
      <c r="Y246" t="str">
        <f t="shared" si="22"/>
        <v>ok</v>
      </c>
      <c r="Z246" t="str">
        <f t="shared" si="23"/>
        <v>ok</v>
      </c>
      <c r="AA246" s="4" t="str">
        <f t="shared" si="24"/>
        <v>ok</v>
      </c>
      <c r="AB246" s="4" t="str">
        <f t="shared" si="25"/>
        <v>ok</v>
      </c>
      <c r="AC246" s="6">
        <f t="shared" si="27"/>
        <v>3.4493102777050808</v>
      </c>
    </row>
    <row r="247" spans="1:29" x14ac:dyDescent="0.3">
      <c r="A247" t="s">
        <v>22</v>
      </c>
      <c r="B247">
        <v>1306</v>
      </c>
      <c r="C247" t="s">
        <v>33</v>
      </c>
      <c r="D247" t="s">
        <v>43</v>
      </c>
      <c r="E247" t="s">
        <v>59</v>
      </c>
      <c r="F247" t="s">
        <v>26</v>
      </c>
      <c r="G247" t="s">
        <v>49</v>
      </c>
      <c r="H247" s="1">
        <v>44961.546377314815</v>
      </c>
      <c r="I247" s="1">
        <v>44962.546377314815</v>
      </c>
      <c r="J247" s="1">
        <v>44961.547766203701</v>
      </c>
      <c r="K247" s="2">
        <v>44961.547339675926</v>
      </c>
      <c r="L247" t="s">
        <v>28</v>
      </c>
      <c r="M247" s="2">
        <v>44961.639551134256</v>
      </c>
      <c r="N247" t="s">
        <v>28</v>
      </c>
      <c r="O247" s="2">
        <v>44965.117496712963</v>
      </c>
      <c r="P247">
        <v>7</v>
      </c>
      <c r="Q247">
        <v>5</v>
      </c>
      <c r="R247" t="s">
        <v>55</v>
      </c>
      <c r="S247" t="s">
        <v>30</v>
      </c>
      <c r="T247" t="s">
        <v>63</v>
      </c>
      <c r="U247">
        <v>55.378051999999997</v>
      </c>
      <c r="V247">
        <v>-3.4359730000000002</v>
      </c>
      <c r="W247" t="str">
        <f t="shared" si="21"/>
        <v>ok</v>
      </c>
      <c r="X247" t="str">
        <f t="shared" si="26"/>
        <v>ok</v>
      </c>
      <c r="Y247" t="str">
        <f t="shared" si="22"/>
        <v>ok</v>
      </c>
      <c r="Z247" t="str">
        <f t="shared" si="23"/>
        <v>ok</v>
      </c>
      <c r="AA247" s="4" t="str">
        <f t="shared" si="24"/>
        <v>ok</v>
      </c>
      <c r="AB247" s="4" t="str">
        <f t="shared" si="25"/>
        <v>ok</v>
      </c>
      <c r="AC247" s="6">
        <f t="shared" si="27"/>
        <v>2.2361716665909626</v>
      </c>
    </row>
    <row r="248" spans="1:29" x14ac:dyDescent="0.3">
      <c r="A248" t="s">
        <v>22</v>
      </c>
      <c r="B248">
        <v>1307</v>
      </c>
      <c r="C248" t="s">
        <v>23</v>
      </c>
      <c r="D248" t="s">
        <v>24</v>
      </c>
      <c r="E248" t="s">
        <v>35</v>
      </c>
      <c r="F248" t="s">
        <v>26</v>
      </c>
      <c r="G248" t="s">
        <v>27</v>
      </c>
      <c r="H248" s="1">
        <v>44961.942152777781</v>
      </c>
      <c r="I248" s="1">
        <v>44963.942152777781</v>
      </c>
      <c r="J248" s="1">
        <v>44961.983819444446</v>
      </c>
      <c r="K248" s="2">
        <v>44961.96890886574</v>
      </c>
      <c r="L248" t="s">
        <v>28</v>
      </c>
      <c r="M248" s="2">
        <v>44962.470830381943</v>
      </c>
      <c r="N248" t="s">
        <v>28</v>
      </c>
      <c r="O248" s="2">
        <v>44966.03226</v>
      </c>
      <c r="P248">
        <v>10</v>
      </c>
      <c r="Q248">
        <v>5</v>
      </c>
      <c r="R248" t="s">
        <v>50</v>
      </c>
      <c r="S248" t="s">
        <v>30</v>
      </c>
      <c r="T248" t="s">
        <v>31</v>
      </c>
      <c r="U248">
        <v>53.094023999999997</v>
      </c>
      <c r="V248">
        <v>-8.0196749999999994</v>
      </c>
      <c r="W248" t="str">
        <f t="shared" si="21"/>
        <v>ok</v>
      </c>
      <c r="X248" t="str">
        <f t="shared" si="26"/>
        <v>ok</v>
      </c>
      <c r="Y248" t="str">
        <f t="shared" si="22"/>
        <v>ok</v>
      </c>
      <c r="Z248" t="str">
        <f t="shared" si="23"/>
        <v>ok</v>
      </c>
      <c r="AA248" s="4" t="str">
        <f t="shared" si="24"/>
        <v>ok</v>
      </c>
      <c r="AB248" s="4" t="str">
        <f t="shared" si="25"/>
        <v>ok</v>
      </c>
      <c r="AC248" s="6">
        <f t="shared" si="27"/>
        <v>12.68826249986887</v>
      </c>
    </row>
    <row r="249" spans="1:29" x14ac:dyDescent="0.3">
      <c r="A249" t="s">
        <v>42</v>
      </c>
      <c r="B249">
        <v>1317</v>
      </c>
      <c r="C249" t="s">
        <v>33</v>
      </c>
      <c r="D249" t="s">
        <v>24</v>
      </c>
      <c r="E249" t="s">
        <v>25</v>
      </c>
      <c r="F249" t="s">
        <v>36</v>
      </c>
      <c r="G249" t="s">
        <v>64</v>
      </c>
      <c r="H249" s="1">
        <v>44962.012881944444</v>
      </c>
      <c r="I249" s="1">
        <v>44964.012881944444</v>
      </c>
      <c r="J249" s="1">
        <v>44962.054548611108</v>
      </c>
      <c r="K249" s="2">
        <v>44962.03622952546</v>
      </c>
      <c r="L249" t="s">
        <v>28</v>
      </c>
      <c r="M249" s="2">
        <v>44963.906996770835</v>
      </c>
      <c r="N249" t="s">
        <v>28</v>
      </c>
      <c r="P249">
        <v>3</v>
      </c>
      <c r="R249" t="s">
        <v>39</v>
      </c>
      <c r="S249" t="s">
        <v>40</v>
      </c>
      <c r="T249" t="s">
        <v>46</v>
      </c>
      <c r="U249">
        <v>47.696471899999999</v>
      </c>
      <c r="V249">
        <v>13.3457347</v>
      </c>
      <c r="W249" t="str">
        <f t="shared" si="21"/>
        <v>ok</v>
      </c>
      <c r="X249" t="str">
        <f t="shared" si="26"/>
        <v>ok</v>
      </c>
      <c r="Y249" t="str">
        <f t="shared" si="22"/>
        <v>ok</v>
      </c>
      <c r="Z249" t="str">
        <f t="shared" si="23"/>
        <v>ok</v>
      </c>
      <c r="AA249" s="4" t="str">
        <f t="shared" si="24"/>
        <v>ok</v>
      </c>
      <c r="AB249" s="4" t="str">
        <f t="shared" si="25"/>
        <v>ok</v>
      </c>
      <c r="AC249" s="6">
        <f t="shared" si="27"/>
        <v>45.458755833387841</v>
      </c>
    </row>
    <row r="250" spans="1:29" x14ac:dyDescent="0.3">
      <c r="A250" t="s">
        <v>22</v>
      </c>
      <c r="B250">
        <v>1318</v>
      </c>
      <c r="C250" t="s">
        <v>23</v>
      </c>
      <c r="D250" t="s">
        <v>24</v>
      </c>
      <c r="E250" t="s">
        <v>48</v>
      </c>
      <c r="F250" t="s">
        <v>26</v>
      </c>
      <c r="G250" t="s">
        <v>60</v>
      </c>
      <c r="H250" s="1">
        <v>44962.104988425926</v>
      </c>
      <c r="I250" s="1">
        <v>44964.104988425926</v>
      </c>
      <c r="J250" s="1">
        <v>44962.146655092591</v>
      </c>
      <c r="K250" s="2">
        <v>44962.146088680558</v>
      </c>
      <c r="L250" t="s">
        <v>28</v>
      </c>
      <c r="M250" s="2">
        <v>44963.678174340275</v>
      </c>
      <c r="N250" t="s">
        <v>28</v>
      </c>
      <c r="O250" s="2">
        <v>44967.806492916665</v>
      </c>
      <c r="P250">
        <v>2</v>
      </c>
      <c r="Q250">
        <v>4</v>
      </c>
      <c r="R250" t="s">
        <v>39</v>
      </c>
      <c r="S250" t="s">
        <v>30</v>
      </c>
      <c r="T250" t="s">
        <v>66</v>
      </c>
      <c r="U250">
        <v>48.864716000000001</v>
      </c>
      <c r="V250">
        <v>2.3490139999999999</v>
      </c>
      <c r="W250" t="str">
        <f t="shared" si="21"/>
        <v>ok</v>
      </c>
      <c r="X250" t="str">
        <f t="shared" si="26"/>
        <v>ok</v>
      </c>
      <c r="Y250" t="str">
        <f t="shared" si="22"/>
        <v>ok</v>
      </c>
      <c r="Z250" t="str">
        <f t="shared" si="23"/>
        <v>ok</v>
      </c>
      <c r="AA250" s="4" t="str">
        <f t="shared" si="24"/>
        <v>ok</v>
      </c>
      <c r="AB250" s="4" t="str">
        <f t="shared" si="25"/>
        <v>ok</v>
      </c>
      <c r="AC250" s="6">
        <f t="shared" si="27"/>
        <v>37.756461944372859</v>
      </c>
    </row>
    <row r="251" spans="1:29" x14ac:dyDescent="0.3">
      <c r="A251" t="s">
        <v>42</v>
      </c>
      <c r="B251">
        <v>1319</v>
      </c>
      <c r="C251" t="s">
        <v>47</v>
      </c>
      <c r="D251" t="s">
        <v>43</v>
      </c>
      <c r="E251" t="s">
        <v>59</v>
      </c>
      <c r="F251" t="s">
        <v>36</v>
      </c>
      <c r="G251" t="s">
        <v>64</v>
      </c>
      <c r="H251" s="1">
        <v>44962.209374999999</v>
      </c>
      <c r="I251" s="1">
        <v>44963.209374999999</v>
      </c>
      <c r="J251" s="1">
        <v>44962.210763888892</v>
      </c>
      <c r="K251" s="2">
        <v>44962.210456782406</v>
      </c>
      <c r="L251" t="s">
        <v>28</v>
      </c>
      <c r="M251" s="2">
        <v>44962.733193275461</v>
      </c>
      <c r="N251" t="s">
        <v>28</v>
      </c>
      <c r="P251">
        <v>4</v>
      </c>
      <c r="R251" t="s">
        <v>29</v>
      </c>
      <c r="S251" t="s">
        <v>40</v>
      </c>
      <c r="T251" t="s">
        <v>61</v>
      </c>
      <c r="U251">
        <v>42.724992499999999</v>
      </c>
      <c r="V251">
        <v>25.483303899999999</v>
      </c>
      <c r="W251" t="str">
        <f t="shared" si="21"/>
        <v>ok</v>
      </c>
      <c r="X251" t="str">
        <f t="shared" si="26"/>
        <v>ok</v>
      </c>
      <c r="Y251" t="str">
        <f t="shared" si="22"/>
        <v>ok</v>
      </c>
      <c r="Z251" t="str">
        <f t="shared" si="23"/>
        <v>ok</v>
      </c>
      <c r="AA251" s="4" t="str">
        <f t="shared" si="24"/>
        <v>ok</v>
      </c>
      <c r="AB251" s="4" t="str">
        <f t="shared" si="25"/>
        <v>ok</v>
      </c>
      <c r="AC251" s="6">
        <f t="shared" si="27"/>
        <v>12.57163861108711</v>
      </c>
    </row>
    <row r="252" spans="1:29" x14ac:dyDescent="0.3">
      <c r="A252" t="s">
        <v>32</v>
      </c>
      <c r="B252">
        <v>1321</v>
      </c>
      <c r="C252" t="s">
        <v>23</v>
      </c>
      <c r="D252" t="s">
        <v>24</v>
      </c>
      <c r="E252" t="s">
        <v>67</v>
      </c>
      <c r="F252" t="s">
        <v>26</v>
      </c>
      <c r="G252" t="s">
        <v>27</v>
      </c>
      <c r="H252" s="1">
        <v>44962.243877314817</v>
      </c>
      <c r="I252" s="1">
        <v>44964.243877314817</v>
      </c>
      <c r="J252" s="1">
        <v>44962.285543981481</v>
      </c>
      <c r="K252" s="2">
        <v>44962.281980613428</v>
      </c>
      <c r="L252" t="s">
        <v>28</v>
      </c>
      <c r="N252" t="s">
        <v>38</v>
      </c>
      <c r="P252">
        <v>1</v>
      </c>
      <c r="R252" t="s">
        <v>29</v>
      </c>
      <c r="S252" t="s">
        <v>30</v>
      </c>
      <c r="T252" t="s">
        <v>31</v>
      </c>
      <c r="U252">
        <v>53.094023999999997</v>
      </c>
      <c r="V252">
        <v>-8.0196749999999994</v>
      </c>
      <c r="W252" t="str">
        <f t="shared" si="21"/>
        <v>ok</v>
      </c>
      <c r="X252" t="str">
        <f t="shared" si="26"/>
        <v>ok</v>
      </c>
      <c r="Y252" t="str">
        <f t="shared" si="22"/>
        <v>ok</v>
      </c>
      <c r="Z252" t="str">
        <f t="shared" si="23"/>
        <v>ok</v>
      </c>
      <c r="AA252" s="4" t="str">
        <f t="shared" si="24"/>
        <v>ok</v>
      </c>
      <c r="AB252" s="4" t="str">
        <f t="shared" si="25"/>
        <v>no resolution</v>
      </c>
      <c r="AC252" s="6" t="str">
        <f t="shared" si="27"/>
        <v/>
      </c>
    </row>
    <row r="253" spans="1:29" x14ac:dyDescent="0.3">
      <c r="A253" t="s">
        <v>42</v>
      </c>
      <c r="B253">
        <v>1323</v>
      </c>
      <c r="C253" t="s">
        <v>23</v>
      </c>
      <c r="D253" t="s">
        <v>24</v>
      </c>
      <c r="E253" t="s">
        <v>48</v>
      </c>
      <c r="F253" t="s">
        <v>26</v>
      </c>
      <c r="G253" t="s">
        <v>60</v>
      </c>
      <c r="H253" s="1">
        <v>44963.865069444444</v>
      </c>
      <c r="I253" s="1">
        <v>44965.865069444444</v>
      </c>
      <c r="J253" s="1">
        <v>44963.906736111108</v>
      </c>
      <c r="K253" s="2">
        <v>44963.884985081022</v>
      </c>
      <c r="L253" t="s">
        <v>28</v>
      </c>
      <c r="M253" s="2">
        <v>44963.981433055553</v>
      </c>
      <c r="N253" t="s">
        <v>28</v>
      </c>
      <c r="P253">
        <v>3</v>
      </c>
      <c r="R253" t="s">
        <v>50</v>
      </c>
      <c r="S253" t="s">
        <v>30</v>
      </c>
      <c r="T253" t="s">
        <v>46</v>
      </c>
      <c r="U253">
        <v>47.696471899999999</v>
      </c>
      <c r="V253">
        <v>13.3457347</v>
      </c>
      <c r="W253" t="str">
        <f t="shared" si="21"/>
        <v>ok</v>
      </c>
      <c r="X253" t="str">
        <f t="shared" si="26"/>
        <v>ok</v>
      </c>
      <c r="Y253" t="str">
        <f t="shared" si="22"/>
        <v>ok</v>
      </c>
      <c r="Z253" t="str">
        <f t="shared" si="23"/>
        <v>ok</v>
      </c>
      <c r="AA253" s="4" t="str">
        <f t="shared" si="24"/>
        <v>ok</v>
      </c>
      <c r="AB253" s="4" t="str">
        <f t="shared" si="25"/>
        <v>ok</v>
      </c>
      <c r="AC253" s="6">
        <f t="shared" si="27"/>
        <v>2.7927266666083597</v>
      </c>
    </row>
    <row r="254" spans="1:29" x14ac:dyDescent="0.3">
      <c r="A254" t="s">
        <v>42</v>
      </c>
      <c r="B254">
        <v>1324</v>
      </c>
      <c r="C254" t="s">
        <v>47</v>
      </c>
      <c r="D254" t="s">
        <v>24</v>
      </c>
      <c r="E254" t="s">
        <v>48</v>
      </c>
      <c r="F254" t="s">
        <v>36</v>
      </c>
      <c r="G254" t="s">
        <v>54</v>
      </c>
      <c r="H254" s="1">
        <v>44963.339837962965</v>
      </c>
      <c r="I254" s="1">
        <v>44965.339837962965</v>
      </c>
      <c r="J254" s="1">
        <v>44963.381504629629</v>
      </c>
      <c r="K254" s="2">
        <v>44963.346873125003</v>
      </c>
      <c r="L254" t="s">
        <v>28</v>
      </c>
      <c r="M254" s="2">
        <v>44967.196792476854</v>
      </c>
      <c r="N254" t="s">
        <v>38</v>
      </c>
      <c r="P254">
        <v>1</v>
      </c>
      <c r="R254" t="s">
        <v>29</v>
      </c>
      <c r="S254" t="s">
        <v>40</v>
      </c>
      <c r="T254" t="s">
        <v>57</v>
      </c>
      <c r="U254">
        <v>51.165691000000002</v>
      </c>
      <c r="V254">
        <v>10.451525999999999</v>
      </c>
      <c r="W254" t="str">
        <f t="shared" si="21"/>
        <v>ok</v>
      </c>
      <c r="X254" t="str">
        <f t="shared" si="26"/>
        <v>ok</v>
      </c>
      <c r="Y254" t="str">
        <f t="shared" si="22"/>
        <v>ok</v>
      </c>
      <c r="Z254" t="str">
        <f t="shared" si="23"/>
        <v>ok</v>
      </c>
      <c r="AA254" s="4" t="str">
        <f t="shared" si="24"/>
        <v>ok</v>
      </c>
      <c r="AB254" s="4" t="str">
        <f t="shared" si="25"/>
        <v>ok</v>
      </c>
      <c r="AC254" s="6">
        <f t="shared" si="27"/>
        <v>92.56690833333414</v>
      </c>
    </row>
    <row r="255" spans="1:29" x14ac:dyDescent="0.3">
      <c r="A255" t="s">
        <v>22</v>
      </c>
      <c r="B255">
        <v>1325</v>
      </c>
      <c r="C255" t="s">
        <v>47</v>
      </c>
      <c r="D255" t="s">
        <v>24</v>
      </c>
      <c r="E255" t="s">
        <v>44</v>
      </c>
      <c r="F255" t="s">
        <v>26</v>
      </c>
      <c r="G255" t="s">
        <v>52</v>
      </c>
      <c r="H255" s="1">
        <v>44963.102534722224</v>
      </c>
      <c r="I255" s="1">
        <v>44965.102534722224</v>
      </c>
      <c r="J255" s="1">
        <v>44963.144201388888</v>
      </c>
      <c r="K255" s="2">
        <v>44963.122275300928</v>
      </c>
      <c r="L255" t="s">
        <v>28</v>
      </c>
      <c r="M255" s="2">
        <v>44963.41375605324</v>
      </c>
      <c r="N255" t="s">
        <v>28</v>
      </c>
      <c r="O255" s="2">
        <v>44965.685433437502</v>
      </c>
      <c r="P255">
        <v>5</v>
      </c>
      <c r="Q255">
        <v>5</v>
      </c>
      <c r="R255" t="s">
        <v>29</v>
      </c>
      <c r="S255" t="s">
        <v>30</v>
      </c>
      <c r="T255" t="s">
        <v>63</v>
      </c>
      <c r="U255">
        <v>55.378051999999997</v>
      </c>
      <c r="V255">
        <v>-3.4359730000000002</v>
      </c>
      <c r="W255" t="str">
        <f t="shared" si="21"/>
        <v>ok</v>
      </c>
      <c r="X255" t="str">
        <f t="shared" si="26"/>
        <v>ok</v>
      </c>
      <c r="Y255" t="str">
        <f t="shared" si="22"/>
        <v>ok</v>
      </c>
      <c r="Z255" t="str">
        <f t="shared" si="23"/>
        <v>ok</v>
      </c>
      <c r="AA255" s="4" t="str">
        <f t="shared" si="24"/>
        <v>ok</v>
      </c>
      <c r="AB255" s="4" t="str">
        <f t="shared" si="25"/>
        <v>ok</v>
      </c>
      <c r="AC255" s="6">
        <f t="shared" si="27"/>
        <v>7.4693119443836622</v>
      </c>
    </row>
    <row r="256" spans="1:29" x14ac:dyDescent="0.3">
      <c r="A256" t="s">
        <v>22</v>
      </c>
      <c r="B256">
        <v>1326</v>
      </c>
      <c r="C256" t="s">
        <v>47</v>
      </c>
      <c r="D256" t="s">
        <v>43</v>
      </c>
      <c r="E256" t="s">
        <v>35</v>
      </c>
      <c r="F256" t="s">
        <v>26</v>
      </c>
      <c r="G256" t="s">
        <v>27</v>
      </c>
      <c r="H256" s="1">
        <v>44963.3515625</v>
      </c>
      <c r="I256" s="1">
        <v>44964.3515625</v>
      </c>
      <c r="J256" s="1">
        <v>44963.352951388886</v>
      </c>
      <c r="K256" s="2">
        <v>44963.354838819447</v>
      </c>
      <c r="L256" t="s">
        <v>38</v>
      </c>
      <c r="M256" s="2">
        <v>44963.664640856485</v>
      </c>
      <c r="N256" t="s">
        <v>28</v>
      </c>
      <c r="O256" s="2">
        <v>44969.384820381943</v>
      </c>
      <c r="P256">
        <v>4</v>
      </c>
      <c r="Q256">
        <v>4</v>
      </c>
      <c r="R256" t="s">
        <v>39</v>
      </c>
      <c r="S256" t="s">
        <v>30</v>
      </c>
      <c r="T256" t="s">
        <v>66</v>
      </c>
      <c r="U256">
        <v>48.864716000000001</v>
      </c>
      <c r="V256">
        <v>2.3490139999999999</v>
      </c>
      <c r="W256" t="str">
        <f t="shared" si="21"/>
        <v>ok</v>
      </c>
      <c r="X256" t="str">
        <f t="shared" si="26"/>
        <v>ok</v>
      </c>
      <c r="Y256" t="str">
        <f t="shared" si="22"/>
        <v>ok</v>
      </c>
      <c r="Z256" t="str">
        <f t="shared" si="23"/>
        <v>ok</v>
      </c>
      <c r="AA256" s="4" t="str">
        <f t="shared" si="24"/>
        <v>ok</v>
      </c>
      <c r="AB256" s="4" t="str">
        <f t="shared" si="25"/>
        <v>ok</v>
      </c>
      <c r="AC256" s="6">
        <f t="shared" si="27"/>
        <v>7.5138805556343868</v>
      </c>
    </row>
    <row r="257" spans="1:29" x14ac:dyDescent="0.3">
      <c r="A257" t="s">
        <v>42</v>
      </c>
      <c r="B257">
        <v>1327</v>
      </c>
      <c r="C257" t="s">
        <v>33</v>
      </c>
      <c r="D257" t="s">
        <v>43</v>
      </c>
      <c r="E257" t="s">
        <v>59</v>
      </c>
      <c r="F257" t="s">
        <v>26</v>
      </c>
      <c r="G257" t="s">
        <v>45</v>
      </c>
      <c r="H257" s="1">
        <v>44963.14916666667</v>
      </c>
      <c r="I257" s="1">
        <v>44964.14916666667</v>
      </c>
      <c r="J257" s="1">
        <v>44963.150555555556</v>
      </c>
      <c r="K257" s="2">
        <v>44963.149759050924</v>
      </c>
      <c r="L257" t="s">
        <v>28</v>
      </c>
      <c r="M257" s="2">
        <v>44963.448489224538</v>
      </c>
      <c r="N257" t="s">
        <v>28</v>
      </c>
      <c r="P257">
        <v>6</v>
      </c>
      <c r="R257" t="s">
        <v>50</v>
      </c>
      <c r="S257" t="s">
        <v>30</v>
      </c>
      <c r="T257" t="s">
        <v>31</v>
      </c>
      <c r="U257">
        <v>53.094023999999997</v>
      </c>
      <c r="V257">
        <v>-8.0196749999999994</v>
      </c>
      <c r="W257" t="str">
        <f t="shared" si="21"/>
        <v>ok</v>
      </c>
      <c r="X257" t="str">
        <f t="shared" si="26"/>
        <v>ok</v>
      </c>
      <c r="Y257" t="str">
        <f t="shared" si="22"/>
        <v>ok</v>
      </c>
      <c r="Z257" t="str">
        <f t="shared" si="23"/>
        <v>ok</v>
      </c>
      <c r="AA257" s="4" t="str">
        <f t="shared" si="24"/>
        <v>ok</v>
      </c>
      <c r="AB257" s="4" t="str">
        <f t="shared" si="25"/>
        <v>ok</v>
      </c>
      <c r="AC257" s="6">
        <f t="shared" si="27"/>
        <v>7.1837413888424635</v>
      </c>
    </row>
    <row r="258" spans="1:29" x14ac:dyDescent="0.3">
      <c r="A258" t="s">
        <v>32</v>
      </c>
      <c r="B258">
        <v>1328</v>
      </c>
      <c r="C258" t="s">
        <v>23</v>
      </c>
      <c r="D258" t="s">
        <v>24</v>
      </c>
      <c r="E258" t="s">
        <v>25</v>
      </c>
      <c r="F258" t="s">
        <v>26</v>
      </c>
      <c r="G258" t="s">
        <v>49</v>
      </c>
      <c r="H258" s="1">
        <v>44963.453715277778</v>
      </c>
      <c r="I258" s="1">
        <v>44965.453715277778</v>
      </c>
      <c r="J258" s="1">
        <v>44963.495381944442</v>
      </c>
      <c r="K258" s="2">
        <v>44963.492406076388</v>
      </c>
      <c r="L258" t="s">
        <v>28</v>
      </c>
      <c r="N258" t="s">
        <v>38</v>
      </c>
      <c r="P258">
        <v>1</v>
      </c>
      <c r="R258" t="s">
        <v>29</v>
      </c>
      <c r="S258" t="s">
        <v>30</v>
      </c>
      <c r="T258" t="s">
        <v>61</v>
      </c>
      <c r="U258">
        <v>42.724992499999999</v>
      </c>
      <c r="V258">
        <v>25.483303899999999</v>
      </c>
      <c r="W258" t="str">
        <f t="shared" ref="W258:W321" si="28">IF(K258&lt;H258,"check","ok")</f>
        <v>ok</v>
      </c>
      <c r="X258" t="str">
        <f t="shared" si="26"/>
        <v>ok</v>
      </c>
      <c r="Y258" t="str">
        <f t="shared" ref="Y258:Y321" si="29">IF(AND(M258&lt;&gt;"",O258&lt;&gt;"",O258&lt;M258),"check","ok")</f>
        <v>ok</v>
      </c>
      <c r="Z258" t="str">
        <f t="shared" ref="Z258:Z321" si="30">IF(AND(OR(CA258="Closed",A258="Resolved"),M258=""),"check","ok")</f>
        <v>ok</v>
      </c>
      <c r="AA258" s="4" t="str">
        <f t="shared" ref="AA258:AA321" si="31">IF(K258="","no response",IF(OR(AND(K258&lt;=J258,L258="Within SLA"),AND(K258&gt;J258,L258="SLA Violated")),"ok","check"))</f>
        <v>ok</v>
      </c>
      <c r="AB258" s="4" t="str">
        <f t="shared" ref="AB258:AB321" si="32">IF(M258="","no resolution",IF(OR(AND(M258&lt;=I258,N258="Within SLA"),AND(M258&gt;I258,N258="SLA Violated")),"ok","check"))</f>
        <v>no resolution</v>
      </c>
      <c r="AC258" s="6" t="str">
        <f t="shared" si="27"/>
        <v/>
      </c>
    </row>
    <row r="259" spans="1:29" x14ac:dyDescent="0.3">
      <c r="A259" t="s">
        <v>32</v>
      </c>
      <c r="B259">
        <v>1329</v>
      </c>
      <c r="C259" t="s">
        <v>47</v>
      </c>
      <c r="D259" t="s">
        <v>43</v>
      </c>
      <c r="E259" t="s">
        <v>59</v>
      </c>
      <c r="F259" t="s">
        <v>26</v>
      </c>
      <c r="G259" t="s">
        <v>45</v>
      </c>
      <c r="H259" s="1">
        <v>44963.500405092593</v>
      </c>
      <c r="I259" s="1">
        <v>44964.500405092593</v>
      </c>
      <c r="J259" s="1">
        <v>44963.501793981479</v>
      </c>
      <c r="K259" s="2">
        <v>44963.500690752313</v>
      </c>
      <c r="L259" t="s">
        <v>28</v>
      </c>
      <c r="N259" t="s">
        <v>38</v>
      </c>
      <c r="P259">
        <v>6</v>
      </c>
      <c r="R259" t="s">
        <v>50</v>
      </c>
      <c r="S259" t="s">
        <v>30</v>
      </c>
      <c r="T259" t="s">
        <v>31</v>
      </c>
      <c r="U259">
        <v>53.094023999999997</v>
      </c>
      <c r="V259">
        <v>-8.0196749999999994</v>
      </c>
      <c r="W259" t="str">
        <f t="shared" si="28"/>
        <v>ok</v>
      </c>
      <c r="X259" t="str">
        <f t="shared" ref="X259:X322" si="33">IF(AND(M259&lt;&gt;"",M259&lt;H259),"check","ok")</f>
        <v>ok</v>
      </c>
      <c r="Y259" t="str">
        <f t="shared" si="29"/>
        <v>ok</v>
      </c>
      <c r="Z259" t="str">
        <f t="shared" si="30"/>
        <v>ok</v>
      </c>
      <c r="AA259" s="4" t="str">
        <f t="shared" si="31"/>
        <v>ok</v>
      </c>
      <c r="AB259" s="4" t="str">
        <f t="shared" si="32"/>
        <v>no resolution</v>
      </c>
      <c r="AC259" s="6" t="str">
        <f t="shared" si="27"/>
        <v/>
      </c>
    </row>
    <row r="260" spans="1:29" x14ac:dyDescent="0.3">
      <c r="A260" t="s">
        <v>42</v>
      </c>
      <c r="B260">
        <v>1330</v>
      </c>
      <c r="C260" t="s">
        <v>23</v>
      </c>
      <c r="D260" t="s">
        <v>24</v>
      </c>
      <c r="E260" t="s">
        <v>44</v>
      </c>
      <c r="F260" t="s">
        <v>26</v>
      </c>
      <c r="G260" t="s">
        <v>45</v>
      </c>
      <c r="H260" s="1">
        <v>44963.484259259261</v>
      </c>
      <c r="I260" s="1">
        <v>44965.484259259261</v>
      </c>
      <c r="J260" s="1">
        <v>44963.525925925926</v>
      </c>
      <c r="K260" s="2">
        <v>44963.498774131942</v>
      </c>
      <c r="L260" t="s">
        <v>28</v>
      </c>
      <c r="M260" s="2">
        <v>44964.266582731485</v>
      </c>
      <c r="N260" t="s">
        <v>28</v>
      </c>
      <c r="P260">
        <v>3</v>
      </c>
      <c r="R260" t="s">
        <v>29</v>
      </c>
      <c r="S260" t="s">
        <v>30</v>
      </c>
      <c r="T260" t="s">
        <v>31</v>
      </c>
      <c r="U260">
        <v>53.094023999999997</v>
      </c>
      <c r="V260">
        <v>-8.0196749999999994</v>
      </c>
      <c r="W260" t="str">
        <f t="shared" si="28"/>
        <v>ok</v>
      </c>
      <c r="X260" t="str">
        <f t="shared" si="33"/>
        <v>ok</v>
      </c>
      <c r="Y260" t="str">
        <f t="shared" si="29"/>
        <v>ok</v>
      </c>
      <c r="Z260" t="str">
        <f t="shared" si="30"/>
        <v>ok</v>
      </c>
      <c r="AA260" s="4" t="str">
        <f t="shared" si="31"/>
        <v>ok</v>
      </c>
      <c r="AB260" s="4" t="str">
        <f t="shared" si="32"/>
        <v>ok</v>
      </c>
      <c r="AC260" s="6">
        <f t="shared" si="27"/>
        <v>18.775763333367649</v>
      </c>
    </row>
    <row r="261" spans="1:29" x14ac:dyDescent="0.3">
      <c r="A261" t="s">
        <v>42</v>
      </c>
      <c r="B261">
        <v>1331</v>
      </c>
      <c r="C261" t="s">
        <v>47</v>
      </c>
      <c r="D261" t="s">
        <v>24</v>
      </c>
      <c r="E261" t="s">
        <v>44</v>
      </c>
      <c r="F261" t="s">
        <v>26</v>
      </c>
      <c r="G261" t="s">
        <v>60</v>
      </c>
      <c r="H261" s="1">
        <v>44964.776331018518</v>
      </c>
      <c r="I261" s="1">
        <v>44966.776331018518</v>
      </c>
      <c r="J261" s="1">
        <v>44964.817997685182</v>
      </c>
      <c r="K261" s="2">
        <v>44965.104283206019</v>
      </c>
      <c r="L261" t="s">
        <v>38</v>
      </c>
      <c r="M261" s="2">
        <v>44964.960566956019</v>
      </c>
      <c r="N261" t="s">
        <v>28</v>
      </c>
      <c r="P261">
        <v>9</v>
      </c>
      <c r="R261" t="s">
        <v>39</v>
      </c>
      <c r="S261" t="s">
        <v>30</v>
      </c>
      <c r="T261" t="s">
        <v>65</v>
      </c>
      <c r="U261">
        <v>46.149166399999999</v>
      </c>
      <c r="V261">
        <v>14.9860106</v>
      </c>
      <c r="W261" t="str">
        <f t="shared" si="28"/>
        <v>ok</v>
      </c>
      <c r="X261" t="str">
        <f t="shared" si="33"/>
        <v>ok</v>
      </c>
      <c r="Y261" t="str">
        <f t="shared" si="29"/>
        <v>ok</v>
      </c>
      <c r="Z261" t="str">
        <f t="shared" si="30"/>
        <v>ok</v>
      </c>
      <c r="AA261" s="4" t="str">
        <f t="shared" si="31"/>
        <v>ok</v>
      </c>
      <c r="AB261" s="4" t="str">
        <f t="shared" si="32"/>
        <v>ok</v>
      </c>
      <c r="AC261" s="6">
        <f t="shared" si="27"/>
        <v>4.4216625000117347</v>
      </c>
    </row>
    <row r="262" spans="1:29" x14ac:dyDescent="0.3">
      <c r="A262" t="s">
        <v>42</v>
      </c>
      <c r="B262">
        <v>1332</v>
      </c>
      <c r="C262" t="s">
        <v>33</v>
      </c>
      <c r="D262" t="s">
        <v>24</v>
      </c>
      <c r="E262" t="s">
        <v>35</v>
      </c>
      <c r="F262" t="s">
        <v>26</v>
      </c>
      <c r="G262" t="s">
        <v>52</v>
      </c>
      <c r="H262" s="1">
        <v>44964.485115740739</v>
      </c>
      <c r="I262" s="1">
        <v>44966.485115740739</v>
      </c>
      <c r="J262" s="1">
        <v>44964.526782407411</v>
      </c>
      <c r="K262" s="2">
        <v>44964.499003865742</v>
      </c>
      <c r="L262" t="s">
        <v>28</v>
      </c>
      <c r="M262" s="2">
        <v>44965.978542094905</v>
      </c>
      <c r="N262" t="s">
        <v>28</v>
      </c>
      <c r="P262">
        <v>4</v>
      </c>
      <c r="R262" t="s">
        <v>55</v>
      </c>
      <c r="S262" t="s">
        <v>30</v>
      </c>
      <c r="T262" t="s">
        <v>46</v>
      </c>
      <c r="U262">
        <v>47.696471899999999</v>
      </c>
      <c r="V262">
        <v>13.3457347</v>
      </c>
      <c r="W262" t="str">
        <f t="shared" si="28"/>
        <v>ok</v>
      </c>
      <c r="X262" t="str">
        <f t="shared" si="33"/>
        <v>ok</v>
      </c>
      <c r="Y262" t="str">
        <f t="shared" si="29"/>
        <v>ok</v>
      </c>
      <c r="Z262" t="str">
        <f t="shared" si="30"/>
        <v>ok</v>
      </c>
      <c r="AA262" s="4" t="str">
        <f t="shared" si="31"/>
        <v>ok</v>
      </c>
      <c r="AB262" s="4" t="str">
        <f t="shared" si="32"/>
        <v>ok</v>
      </c>
      <c r="AC262" s="6">
        <f t="shared" si="27"/>
        <v>35.842232499970123</v>
      </c>
    </row>
    <row r="263" spans="1:29" x14ac:dyDescent="0.3">
      <c r="A263" t="s">
        <v>22</v>
      </c>
      <c r="B263">
        <v>1333</v>
      </c>
      <c r="C263" t="s">
        <v>47</v>
      </c>
      <c r="D263" t="s">
        <v>43</v>
      </c>
      <c r="E263" t="s">
        <v>25</v>
      </c>
      <c r="F263" t="s">
        <v>26</v>
      </c>
      <c r="G263" t="s">
        <v>52</v>
      </c>
      <c r="H263" s="1">
        <v>44964.464571759258</v>
      </c>
      <c r="I263" s="1">
        <v>44965.464571759258</v>
      </c>
      <c r="J263" s="1">
        <v>44964.465960648151</v>
      </c>
      <c r="K263" s="2">
        <v>44964.464904930559</v>
      </c>
      <c r="L263" t="s">
        <v>28</v>
      </c>
      <c r="M263" s="2">
        <v>44967.805552268517</v>
      </c>
      <c r="N263" t="s">
        <v>38</v>
      </c>
      <c r="O263" s="2">
        <v>44967.984991689817</v>
      </c>
      <c r="P263">
        <v>6</v>
      </c>
      <c r="Q263">
        <v>3</v>
      </c>
      <c r="R263" t="s">
        <v>50</v>
      </c>
      <c r="S263" t="s">
        <v>30</v>
      </c>
      <c r="T263" t="s">
        <v>65</v>
      </c>
      <c r="U263">
        <v>46.149166399999999</v>
      </c>
      <c r="V263">
        <v>14.9860106</v>
      </c>
      <c r="W263" t="str">
        <f t="shared" si="28"/>
        <v>ok</v>
      </c>
      <c r="X263" t="str">
        <f t="shared" si="33"/>
        <v>ok</v>
      </c>
      <c r="Y263" t="str">
        <f t="shared" si="29"/>
        <v>ok</v>
      </c>
      <c r="Z263" t="str">
        <f t="shared" si="30"/>
        <v>ok</v>
      </c>
      <c r="AA263" s="4" t="str">
        <f t="shared" si="31"/>
        <v>ok</v>
      </c>
      <c r="AB263" s="4" t="str">
        <f t="shared" si="32"/>
        <v>ok</v>
      </c>
      <c r="AC263" s="6">
        <f t="shared" si="27"/>
        <v>80.183532222232316</v>
      </c>
    </row>
    <row r="264" spans="1:29" x14ac:dyDescent="0.3">
      <c r="A264" t="s">
        <v>22</v>
      </c>
      <c r="B264">
        <v>1334</v>
      </c>
      <c r="C264" t="s">
        <v>23</v>
      </c>
      <c r="D264" t="s">
        <v>34</v>
      </c>
      <c r="E264" t="s">
        <v>35</v>
      </c>
      <c r="F264" t="s">
        <v>26</v>
      </c>
      <c r="G264" t="s">
        <v>60</v>
      </c>
      <c r="H264" s="1">
        <v>44964.074641203704</v>
      </c>
      <c r="I264" s="1">
        <v>44966.074641203704</v>
      </c>
      <c r="J264" s="1">
        <v>44964.07603009259</v>
      </c>
      <c r="K264" s="2">
        <v>44964.075951990744</v>
      </c>
      <c r="L264" t="s">
        <v>28</v>
      </c>
      <c r="M264" s="2">
        <v>44965.974566817131</v>
      </c>
      <c r="N264" t="s">
        <v>28</v>
      </c>
      <c r="O264" s="2">
        <v>44969.568351145834</v>
      </c>
      <c r="P264">
        <v>5</v>
      </c>
      <c r="Q264">
        <v>2</v>
      </c>
      <c r="R264" t="s">
        <v>55</v>
      </c>
      <c r="S264" t="s">
        <v>30</v>
      </c>
      <c r="T264" t="s">
        <v>51</v>
      </c>
      <c r="U264">
        <v>39.673369999999998</v>
      </c>
      <c r="V264">
        <v>-4.7677259999999997</v>
      </c>
      <c r="W264" t="str">
        <f t="shared" si="28"/>
        <v>ok</v>
      </c>
      <c r="X264" t="str">
        <f t="shared" si="33"/>
        <v>ok</v>
      </c>
      <c r="Y264" t="str">
        <f t="shared" si="29"/>
        <v>ok</v>
      </c>
      <c r="Z264" t="str">
        <f t="shared" si="30"/>
        <v>ok</v>
      </c>
      <c r="AA264" s="4" t="str">
        <f t="shared" si="31"/>
        <v>ok</v>
      </c>
      <c r="AB264" s="4" t="str">
        <f t="shared" si="32"/>
        <v>ok</v>
      </c>
      <c r="AC264" s="6">
        <f t="shared" si="27"/>
        <v>45.598214722238481</v>
      </c>
    </row>
    <row r="265" spans="1:29" x14ac:dyDescent="0.3">
      <c r="A265" t="s">
        <v>32</v>
      </c>
      <c r="B265">
        <v>1335</v>
      </c>
      <c r="C265" t="s">
        <v>33</v>
      </c>
      <c r="D265" t="s">
        <v>24</v>
      </c>
      <c r="E265" t="s">
        <v>59</v>
      </c>
      <c r="F265" t="s">
        <v>26</v>
      </c>
      <c r="G265" t="s">
        <v>52</v>
      </c>
      <c r="H265" s="1">
        <v>44964.171493055554</v>
      </c>
      <c r="I265" s="1">
        <v>44966.171493055554</v>
      </c>
      <c r="J265" s="1">
        <v>44964.213159722225</v>
      </c>
      <c r="K265" s="2">
        <v>44964.183587060186</v>
      </c>
      <c r="L265" t="s">
        <v>28</v>
      </c>
      <c r="N265" t="s">
        <v>38</v>
      </c>
      <c r="P265">
        <v>1</v>
      </c>
      <c r="R265" t="s">
        <v>29</v>
      </c>
      <c r="S265" t="s">
        <v>30</v>
      </c>
      <c r="T265" t="s">
        <v>66</v>
      </c>
      <c r="U265">
        <v>48.864716000000001</v>
      </c>
      <c r="V265">
        <v>2.3490139999999999</v>
      </c>
      <c r="W265" t="str">
        <f t="shared" si="28"/>
        <v>ok</v>
      </c>
      <c r="X265" t="str">
        <f t="shared" si="33"/>
        <v>ok</v>
      </c>
      <c r="Y265" t="str">
        <f t="shared" si="29"/>
        <v>ok</v>
      </c>
      <c r="Z265" t="str">
        <f t="shared" si="30"/>
        <v>ok</v>
      </c>
      <c r="AA265" s="4" t="str">
        <f t="shared" si="31"/>
        <v>ok</v>
      </c>
      <c r="AB265" s="4" t="str">
        <f t="shared" si="32"/>
        <v>no resolution</v>
      </c>
      <c r="AC265" s="6" t="str">
        <f t="shared" si="27"/>
        <v/>
      </c>
    </row>
    <row r="266" spans="1:29" x14ac:dyDescent="0.3">
      <c r="A266" t="s">
        <v>22</v>
      </c>
      <c r="B266">
        <v>1336</v>
      </c>
      <c r="C266" t="s">
        <v>23</v>
      </c>
      <c r="D266" t="s">
        <v>24</v>
      </c>
      <c r="E266" t="s">
        <v>39</v>
      </c>
      <c r="F266" t="s">
        <v>26</v>
      </c>
      <c r="G266" t="s">
        <v>49</v>
      </c>
      <c r="H266" s="1">
        <v>44964.794178240743</v>
      </c>
      <c r="I266" s="1">
        <v>44966.794178240743</v>
      </c>
      <c r="J266" s="1">
        <v>44964.835844907408</v>
      </c>
      <c r="K266" s="2">
        <v>44964.815214710645</v>
      </c>
      <c r="L266" t="s">
        <v>28</v>
      </c>
      <c r="M266" s="2">
        <v>44965.349375937498</v>
      </c>
      <c r="N266" t="s">
        <v>28</v>
      </c>
      <c r="O266" s="2">
        <v>44971.040366550929</v>
      </c>
      <c r="P266">
        <v>2</v>
      </c>
      <c r="Q266">
        <v>4</v>
      </c>
      <c r="R266" t="s">
        <v>29</v>
      </c>
      <c r="S266" t="s">
        <v>30</v>
      </c>
      <c r="T266" t="s">
        <v>57</v>
      </c>
      <c r="U266">
        <v>51.165691000000002</v>
      </c>
      <c r="V266">
        <v>10.451525999999999</v>
      </c>
      <c r="W266" t="str">
        <f t="shared" si="28"/>
        <v>ok</v>
      </c>
      <c r="X266" t="str">
        <f t="shared" si="33"/>
        <v>ok</v>
      </c>
      <c r="Y266" t="str">
        <f t="shared" si="29"/>
        <v>ok</v>
      </c>
      <c r="Z266" t="str">
        <f t="shared" si="30"/>
        <v>ok</v>
      </c>
      <c r="AA266" s="4" t="str">
        <f t="shared" si="31"/>
        <v>ok</v>
      </c>
      <c r="AB266" s="4" t="str">
        <f t="shared" si="32"/>
        <v>ok</v>
      </c>
      <c r="AC266" s="6">
        <f t="shared" si="27"/>
        <v>13.324744722107425</v>
      </c>
    </row>
    <row r="267" spans="1:29" x14ac:dyDescent="0.3">
      <c r="A267" t="s">
        <v>22</v>
      </c>
      <c r="B267">
        <v>1337</v>
      </c>
      <c r="C267" t="s">
        <v>33</v>
      </c>
      <c r="D267" t="s">
        <v>43</v>
      </c>
      <c r="E267" t="s">
        <v>48</v>
      </c>
      <c r="F267" t="s">
        <v>26</v>
      </c>
      <c r="G267" t="s">
        <v>60</v>
      </c>
      <c r="H267" s="1">
        <v>44965.20685185185</v>
      </c>
      <c r="I267" s="1">
        <v>44966.20685185185</v>
      </c>
      <c r="J267" s="1">
        <v>44965.208240740743</v>
      </c>
      <c r="K267" s="2">
        <v>44965.207541886572</v>
      </c>
      <c r="L267" t="s">
        <v>28</v>
      </c>
      <c r="M267" s="2">
        <v>44965.705670925927</v>
      </c>
      <c r="N267" t="s">
        <v>28</v>
      </c>
      <c r="O267" s="2">
        <v>44969.245098101848</v>
      </c>
      <c r="P267">
        <v>2</v>
      </c>
      <c r="Q267">
        <v>4</v>
      </c>
      <c r="R267" t="s">
        <v>50</v>
      </c>
      <c r="S267" t="s">
        <v>30</v>
      </c>
      <c r="T267" t="s">
        <v>63</v>
      </c>
      <c r="U267">
        <v>55.378051999999997</v>
      </c>
      <c r="V267">
        <v>-3.4359730000000002</v>
      </c>
      <c r="W267" t="str">
        <f t="shared" si="28"/>
        <v>ok</v>
      </c>
      <c r="X267" t="str">
        <f t="shared" si="33"/>
        <v>ok</v>
      </c>
      <c r="Y267" t="str">
        <f t="shared" si="29"/>
        <v>ok</v>
      </c>
      <c r="Z267" t="str">
        <f t="shared" si="30"/>
        <v>ok</v>
      </c>
      <c r="AA267" s="4" t="str">
        <f t="shared" si="31"/>
        <v>ok</v>
      </c>
      <c r="AB267" s="4" t="str">
        <f t="shared" si="32"/>
        <v>ok</v>
      </c>
      <c r="AC267" s="6">
        <f t="shared" si="27"/>
        <v>11.971657777845394</v>
      </c>
    </row>
    <row r="268" spans="1:29" x14ac:dyDescent="0.3">
      <c r="A268" t="s">
        <v>22</v>
      </c>
      <c r="B268">
        <v>1338</v>
      </c>
      <c r="C268" t="s">
        <v>23</v>
      </c>
      <c r="D268" t="s">
        <v>24</v>
      </c>
      <c r="E268" t="s">
        <v>35</v>
      </c>
      <c r="F268" t="s">
        <v>26</v>
      </c>
      <c r="G268" t="s">
        <v>52</v>
      </c>
      <c r="H268" s="1">
        <v>44965.673530092594</v>
      </c>
      <c r="I268" s="1">
        <v>44967.673530092594</v>
      </c>
      <c r="J268" s="1">
        <v>44965.715196759258</v>
      </c>
      <c r="K268" s="2">
        <v>44965.682819699075</v>
      </c>
      <c r="L268" t="s">
        <v>28</v>
      </c>
      <c r="M268" s="2">
        <v>44967.192165972221</v>
      </c>
      <c r="N268" t="s">
        <v>28</v>
      </c>
      <c r="O268" s="2">
        <v>44967.826439618053</v>
      </c>
      <c r="P268">
        <v>2</v>
      </c>
      <c r="Q268">
        <v>3</v>
      </c>
      <c r="R268" t="s">
        <v>55</v>
      </c>
      <c r="S268" t="s">
        <v>30</v>
      </c>
      <c r="T268" t="s">
        <v>63</v>
      </c>
      <c r="U268">
        <v>55.378051999999997</v>
      </c>
      <c r="V268">
        <v>-3.4359730000000002</v>
      </c>
      <c r="W268" t="str">
        <f t="shared" si="28"/>
        <v>ok</v>
      </c>
      <c r="X268" t="str">
        <f t="shared" si="33"/>
        <v>ok</v>
      </c>
      <c r="Y268" t="str">
        <f t="shared" si="29"/>
        <v>ok</v>
      </c>
      <c r="Z268" t="str">
        <f t="shared" si="30"/>
        <v>ok</v>
      </c>
      <c r="AA268" s="4" t="str">
        <f t="shared" si="31"/>
        <v>ok</v>
      </c>
      <c r="AB268" s="4" t="str">
        <f t="shared" si="32"/>
        <v>ok</v>
      </c>
      <c r="AC268" s="6">
        <f t="shared" si="27"/>
        <v>36.447261111054104</v>
      </c>
    </row>
    <row r="269" spans="1:29" x14ac:dyDescent="0.3">
      <c r="A269" t="s">
        <v>42</v>
      </c>
      <c r="B269">
        <v>1339</v>
      </c>
      <c r="C269" t="s">
        <v>23</v>
      </c>
      <c r="D269" t="s">
        <v>24</v>
      </c>
      <c r="E269" t="s">
        <v>48</v>
      </c>
      <c r="F269" t="s">
        <v>26</v>
      </c>
      <c r="G269" t="s">
        <v>27</v>
      </c>
      <c r="H269" s="1">
        <v>44965.670381944445</v>
      </c>
      <c r="I269" s="1">
        <v>44967.670381944445</v>
      </c>
      <c r="J269" s="1">
        <v>44965.712048611109</v>
      </c>
      <c r="K269" s="2">
        <v>44965.692653020837</v>
      </c>
      <c r="L269" t="s">
        <v>28</v>
      </c>
      <c r="M269" s="2">
        <v>44966.703350729164</v>
      </c>
      <c r="N269" t="s">
        <v>28</v>
      </c>
      <c r="P269">
        <v>1</v>
      </c>
      <c r="R269" t="s">
        <v>55</v>
      </c>
      <c r="S269" t="s">
        <v>30</v>
      </c>
      <c r="T269" t="s">
        <v>46</v>
      </c>
      <c r="U269">
        <v>47.696471899999999</v>
      </c>
      <c r="V269">
        <v>13.3457347</v>
      </c>
      <c r="W269" t="str">
        <f t="shared" si="28"/>
        <v>ok</v>
      </c>
      <c r="X269" t="str">
        <f t="shared" si="33"/>
        <v>ok</v>
      </c>
      <c r="Y269" t="str">
        <f t="shared" si="29"/>
        <v>ok</v>
      </c>
      <c r="Z269" t="str">
        <f t="shared" si="30"/>
        <v>ok</v>
      </c>
      <c r="AA269" s="4" t="str">
        <f t="shared" si="31"/>
        <v>ok</v>
      </c>
      <c r="AB269" s="4" t="str">
        <f t="shared" si="32"/>
        <v>ok</v>
      </c>
      <c r="AC269" s="6">
        <f t="shared" si="27"/>
        <v>24.791250833251979</v>
      </c>
    </row>
    <row r="270" spans="1:29" x14ac:dyDescent="0.3">
      <c r="A270" t="s">
        <v>22</v>
      </c>
      <c r="B270">
        <v>1340</v>
      </c>
      <c r="C270" t="s">
        <v>23</v>
      </c>
      <c r="D270" t="s">
        <v>34</v>
      </c>
      <c r="E270" t="s">
        <v>39</v>
      </c>
      <c r="F270" t="s">
        <v>36</v>
      </c>
      <c r="G270" t="s">
        <v>54</v>
      </c>
      <c r="H270" s="1">
        <v>44965.193715277775</v>
      </c>
      <c r="I270" s="1">
        <v>44967.193715277775</v>
      </c>
      <c r="J270" s="1">
        <v>44965.195104166669</v>
      </c>
      <c r="K270" s="2">
        <v>44965.194289768522</v>
      </c>
      <c r="L270" t="s">
        <v>28</v>
      </c>
      <c r="M270" s="2">
        <v>44966.152503958336</v>
      </c>
      <c r="N270" t="s">
        <v>28</v>
      </c>
      <c r="O270" s="2">
        <v>44965.597291805556</v>
      </c>
      <c r="P270">
        <v>3</v>
      </c>
      <c r="Q270">
        <v>5</v>
      </c>
      <c r="R270" t="s">
        <v>50</v>
      </c>
      <c r="S270" t="s">
        <v>40</v>
      </c>
      <c r="T270" t="s">
        <v>56</v>
      </c>
      <c r="U270">
        <v>52.536273000000001</v>
      </c>
      <c r="V270">
        <v>19.050639</v>
      </c>
      <c r="W270" t="str">
        <f t="shared" si="28"/>
        <v>ok</v>
      </c>
      <c r="X270" t="str">
        <f t="shared" si="33"/>
        <v>ok</v>
      </c>
      <c r="Y270" t="str">
        <f t="shared" si="29"/>
        <v>check</v>
      </c>
      <c r="Z270" t="str">
        <f t="shared" si="30"/>
        <v>ok</v>
      </c>
      <c r="AA270" s="4" t="str">
        <f t="shared" si="31"/>
        <v>ok</v>
      </c>
      <c r="AB270" s="4" t="str">
        <f t="shared" si="32"/>
        <v>ok</v>
      </c>
      <c r="AC270" s="6">
        <f t="shared" si="27"/>
        <v>23.010928333445918</v>
      </c>
    </row>
    <row r="271" spans="1:29" x14ac:dyDescent="0.3">
      <c r="A271" t="s">
        <v>32</v>
      </c>
      <c r="B271">
        <v>1341</v>
      </c>
      <c r="C271" t="s">
        <v>47</v>
      </c>
      <c r="D271" t="s">
        <v>34</v>
      </c>
      <c r="E271" t="s">
        <v>67</v>
      </c>
      <c r="F271" t="s">
        <v>26</v>
      </c>
      <c r="G271" t="s">
        <v>27</v>
      </c>
      <c r="H271" s="1">
        <v>44965.572650462964</v>
      </c>
      <c r="I271" s="1">
        <v>44967.572650462964</v>
      </c>
      <c r="J271" s="1">
        <v>44965.57403935185</v>
      </c>
      <c r="K271" s="2">
        <v>44965.573865231483</v>
      </c>
      <c r="L271" t="s">
        <v>28</v>
      </c>
      <c r="N271" t="s">
        <v>38</v>
      </c>
      <c r="P271">
        <v>1</v>
      </c>
      <c r="R271" t="s">
        <v>29</v>
      </c>
      <c r="S271" t="s">
        <v>30</v>
      </c>
      <c r="T271" t="s">
        <v>56</v>
      </c>
      <c r="U271">
        <v>52.536273000000001</v>
      </c>
      <c r="V271">
        <v>19.050639</v>
      </c>
      <c r="W271" t="str">
        <f t="shared" si="28"/>
        <v>ok</v>
      </c>
      <c r="X271" t="str">
        <f t="shared" si="33"/>
        <v>ok</v>
      </c>
      <c r="Y271" t="str">
        <f t="shared" si="29"/>
        <v>ok</v>
      </c>
      <c r="Z271" t="str">
        <f t="shared" si="30"/>
        <v>ok</v>
      </c>
      <c r="AA271" s="4" t="str">
        <f t="shared" si="31"/>
        <v>ok</v>
      </c>
      <c r="AB271" s="4" t="str">
        <f t="shared" si="32"/>
        <v>no resolution</v>
      </c>
      <c r="AC271" s="6" t="str">
        <f t="shared" si="27"/>
        <v/>
      </c>
    </row>
    <row r="272" spans="1:29" x14ac:dyDescent="0.3">
      <c r="A272" t="s">
        <v>42</v>
      </c>
      <c r="B272">
        <v>1342</v>
      </c>
      <c r="C272" t="s">
        <v>23</v>
      </c>
      <c r="D272" t="s">
        <v>24</v>
      </c>
      <c r="E272" t="s">
        <v>48</v>
      </c>
      <c r="F272" t="s">
        <v>36</v>
      </c>
      <c r="G272" t="s">
        <v>54</v>
      </c>
      <c r="H272" s="1">
        <v>44966.368495370371</v>
      </c>
      <c r="I272" s="1">
        <v>44968.368495370371</v>
      </c>
      <c r="J272" s="1">
        <v>44966.410162037035</v>
      </c>
      <c r="K272" s="2">
        <v>44966.390706527774</v>
      </c>
      <c r="L272" t="s">
        <v>28</v>
      </c>
      <c r="M272" s="2">
        <v>44967.575990474536</v>
      </c>
      <c r="N272" t="s">
        <v>28</v>
      </c>
      <c r="P272">
        <v>1</v>
      </c>
      <c r="R272" t="s">
        <v>55</v>
      </c>
      <c r="S272" t="s">
        <v>40</v>
      </c>
      <c r="T272" t="s">
        <v>65</v>
      </c>
      <c r="U272">
        <v>46.149166399999999</v>
      </c>
      <c r="V272">
        <v>14.9860106</v>
      </c>
      <c r="W272" t="str">
        <f t="shared" si="28"/>
        <v>ok</v>
      </c>
      <c r="X272" t="str">
        <f t="shared" si="33"/>
        <v>ok</v>
      </c>
      <c r="Y272" t="str">
        <f t="shared" si="29"/>
        <v>ok</v>
      </c>
      <c r="Z272" t="str">
        <f t="shared" si="30"/>
        <v>ok</v>
      </c>
      <c r="AA272" s="4" t="str">
        <f t="shared" si="31"/>
        <v>ok</v>
      </c>
      <c r="AB272" s="4" t="str">
        <f t="shared" si="32"/>
        <v>ok</v>
      </c>
      <c r="AC272" s="6">
        <f t="shared" si="27"/>
        <v>28.979882499959785</v>
      </c>
    </row>
    <row r="273" spans="1:29" x14ac:dyDescent="0.3">
      <c r="A273" t="s">
        <v>42</v>
      </c>
      <c r="B273">
        <v>1343</v>
      </c>
      <c r="C273" t="s">
        <v>23</v>
      </c>
      <c r="D273" t="s">
        <v>43</v>
      </c>
      <c r="E273" t="s">
        <v>48</v>
      </c>
      <c r="F273" t="s">
        <v>26</v>
      </c>
      <c r="G273" t="s">
        <v>27</v>
      </c>
      <c r="H273" s="1">
        <v>44966.276817129627</v>
      </c>
      <c r="I273" s="1">
        <v>44967.276817129627</v>
      </c>
      <c r="J273" s="1">
        <v>44966.27820601852</v>
      </c>
      <c r="K273" s="2">
        <v>44966.277461782411</v>
      </c>
      <c r="L273" t="s">
        <v>28</v>
      </c>
      <c r="M273" s="2">
        <v>44967.096365104167</v>
      </c>
      <c r="N273" t="s">
        <v>28</v>
      </c>
      <c r="P273">
        <v>60</v>
      </c>
      <c r="R273" t="s">
        <v>50</v>
      </c>
      <c r="S273" t="s">
        <v>30</v>
      </c>
      <c r="T273" t="s">
        <v>57</v>
      </c>
      <c r="U273">
        <v>51.165691000000002</v>
      </c>
      <c r="V273">
        <v>10.451525999999999</v>
      </c>
      <c r="W273" t="str">
        <f t="shared" si="28"/>
        <v>ok</v>
      </c>
      <c r="X273" t="str">
        <f t="shared" si="33"/>
        <v>ok</v>
      </c>
      <c r="Y273" t="str">
        <f t="shared" si="29"/>
        <v>ok</v>
      </c>
      <c r="Z273" t="str">
        <f t="shared" si="30"/>
        <v>ok</v>
      </c>
      <c r="AA273" s="4" t="str">
        <f t="shared" si="31"/>
        <v>ok</v>
      </c>
      <c r="AB273" s="4" t="str">
        <f t="shared" si="32"/>
        <v>ok</v>
      </c>
      <c r="AC273" s="6">
        <f t="shared" si="27"/>
        <v>19.669151388981845</v>
      </c>
    </row>
    <row r="274" spans="1:29" x14ac:dyDescent="0.3">
      <c r="A274" t="s">
        <v>32</v>
      </c>
      <c r="B274">
        <v>1344</v>
      </c>
      <c r="C274" t="s">
        <v>33</v>
      </c>
      <c r="D274" t="s">
        <v>43</v>
      </c>
      <c r="E274" t="s">
        <v>35</v>
      </c>
      <c r="F274" t="s">
        <v>26</v>
      </c>
      <c r="G274" t="s">
        <v>52</v>
      </c>
      <c r="H274" s="1">
        <v>44966.329606481479</v>
      </c>
      <c r="I274" s="1">
        <v>44967.329606481479</v>
      </c>
      <c r="J274" s="1">
        <v>44966.330995370372</v>
      </c>
      <c r="K274" s="2">
        <v>44966.333051851849</v>
      </c>
      <c r="L274" t="s">
        <v>38</v>
      </c>
      <c r="N274" t="s">
        <v>38</v>
      </c>
      <c r="P274">
        <v>4</v>
      </c>
      <c r="R274" t="s">
        <v>39</v>
      </c>
      <c r="S274" t="s">
        <v>30</v>
      </c>
      <c r="T274" t="s">
        <v>41</v>
      </c>
      <c r="U274">
        <v>43.036776000000003</v>
      </c>
      <c r="V274">
        <v>12.678565000000001</v>
      </c>
      <c r="W274" t="str">
        <f t="shared" si="28"/>
        <v>ok</v>
      </c>
      <c r="X274" t="str">
        <f t="shared" si="33"/>
        <v>ok</v>
      </c>
      <c r="Y274" t="str">
        <f t="shared" si="29"/>
        <v>ok</v>
      </c>
      <c r="Z274" t="str">
        <f t="shared" si="30"/>
        <v>ok</v>
      </c>
      <c r="AA274" s="4" t="str">
        <f t="shared" si="31"/>
        <v>ok</v>
      </c>
      <c r="AB274" s="4" t="str">
        <f t="shared" si="32"/>
        <v>no resolution</v>
      </c>
      <c r="AC274" s="6" t="str">
        <f t="shared" si="27"/>
        <v/>
      </c>
    </row>
    <row r="275" spans="1:29" x14ac:dyDescent="0.3">
      <c r="A275" t="s">
        <v>42</v>
      </c>
      <c r="B275">
        <v>1345</v>
      </c>
      <c r="C275" t="s">
        <v>47</v>
      </c>
      <c r="D275" t="s">
        <v>24</v>
      </c>
      <c r="E275" t="s">
        <v>35</v>
      </c>
      <c r="F275" t="s">
        <v>36</v>
      </c>
      <c r="G275" t="s">
        <v>37</v>
      </c>
      <c r="H275" s="1">
        <v>44966.806226851855</v>
      </c>
      <c r="I275" s="1">
        <v>44968.806226851855</v>
      </c>
      <c r="J275" s="1">
        <v>44966.847893518519</v>
      </c>
      <c r="K275" s="2">
        <v>44966.810440995374</v>
      </c>
      <c r="L275" t="s">
        <v>28</v>
      </c>
      <c r="M275" s="2">
        <v>44967.284594490739</v>
      </c>
      <c r="N275" t="s">
        <v>28</v>
      </c>
      <c r="P275">
        <v>2</v>
      </c>
      <c r="R275" t="s">
        <v>29</v>
      </c>
      <c r="S275" t="s">
        <v>40</v>
      </c>
      <c r="T275" t="s">
        <v>65</v>
      </c>
      <c r="U275">
        <v>46.149166399999999</v>
      </c>
      <c r="V275">
        <v>14.9860106</v>
      </c>
      <c r="W275" t="str">
        <f t="shared" si="28"/>
        <v>ok</v>
      </c>
      <c r="X275" t="str">
        <f t="shared" si="33"/>
        <v>ok</v>
      </c>
      <c r="Y275" t="str">
        <f t="shared" si="29"/>
        <v>ok</v>
      </c>
      <c r="Z275" t="str">
        <f t="shared" si="30"/>
        <v>ok</v>
      </c>
      <c r="AA275" s="4" t="str">
        <f t="shared" si="31"/>
        <v>ok</v>
      </c>
      <c r="AB275" s="4" t="str">
        <f t="shared" si="32"/>
        <v>ok</v>
      </c>
      <c r="AC275" s="6">
        <f t="shared" si="27"/>
        <v>11.480823333200533</v>
      </c>
    </row>
    <row r="276" spans="1:29" x14ac:dyDescent="0.3">
      <c r="A276" t="s">
        <v>32</v>
      </c>
      <c r="B276">
        <v>1346</v>
      </c>
      <c r="C276" t="s">
        <v>47</v>
      </c>
      <c r="D276" t="s">
        <v>43</v>
      </c>
      <c r="E276" t="s">
        <v>59</v>
      </c>
      <c r="F276" t="s">
        <v>26</v>
      </c>
      <c r="G276" t="s">
        <v>52</v>
      </c>
      <c r="H276" s="1">
        <v>44966.160451388889</v>
      </c>
      <c r="I276" s="1">
        <v>44967.160451388889</v>
      </c>
      <c r="J276" s="1">
        <v>44966.161840277775</v>
      </c>
      <c r="K276" s="2">
        <v>44966.16095730324</v>
      </c>
      <c r="L276" t="s">
        <v>28</v>
      </c>
      <c r="N276" t="s">
        <v>38</v>
      </c>
      <c r="P276">
        <v>6</v>
      </c>
      <c r="R276" t="s">
        <v>29</v>
      </c>
      <c r="S276" t="s">
        <v>30</v>
      </c>
      <c r="T276" t="s">
        <v>46</v>
      </c>
      <c r="U276">
        <v>47.696471899999999</v>
      </c>
      <c r="V276">
        <v>13.3457347</v>
      </c>
      <c r="W276" t="str">
        <f t="shared" si="28"/>
        <v>ok</v>
      </c>
      <c r="X276" t="str">
        <f t="shared" si="33"/>
        <v>ok</v>
      </c>
      <c r="Y276" t="str">
        <f t="shared" si="29"/>
        <v>ok</v>
      </c>
      <c r="Z276" t="str">
        <f t="shared" si="30"/>
        <v>ok</v>
      </c>
      <c r="AA276" s="4" t="str">
        <f t="shared" si="31"/>
        <v>ok</v>
      </c>
      <c r="AB276" s="4" t="str">
        <f t="shared" si="32"/>
        <v>no resolution</v>
      </c>
      <c r="AC276" s="6" t="str">
        <f t="shared" si="27"/>
        <v/>
      </c>
    </row>
    <row r="277" spans="1:29" x14ac:dyDescent="0.3">
      <c r="A277" t="s">
        <v>32</v>
      </c>
      <c r="B277">
        <v>1347</v>
      </c>
      <c r="C277" t="s">
        <v>23</v>
      </c>
      <c r="D277" t="s">
        <v>24</v>
      </c>
      <c r="E277" t="s">
        <v>35</v>
      </c>
      <c r="F277" t="s">
        <v>26</v>
      </c>
      <c r="G277" t="s">
        <v>60</v>
      </c>
      <c r="H277" s="1">
        <v>44966.862500000003</v>
      </c>
      <c r="I277" s="1">
        <v>44968.862500000003</v>
      </c>
      <c r="J277" s="1">
        <v>44966.904166666667</v>
      </c>
      <c r="K277" s="2">
        <v>44966.898880891204</v>
      </c>
      <c r="L277" t="s">
        <v>28</v>
      </c>
      <c r="N277" t="s">
        <v>38</v>
      </c>
      <c r="P277">
        <v>9</v>
      </c>
      <c r="R277" t="s">
        <v>50</v>
      </c>
      <c r="S277" t="s">
        <v>30</v>
      </c>
      <c r="T277" t="s">
        <v>41</v>
      </c>
      <c r="U277">
        <v>43.036776000000003</v>
      </c>
      <c r="V277">
        <v>12.678565000000001</v>
      </c>
      <c r="W277" t="str">
        <f t="shared" si="28"/>
        <v>ok</v>
      </c>
      <c r="X277" t="str">
        <f t="shared" si="33"/>
        <v>ok</v>
      </c>
      <c r="Y277" t="str">
        <f t="shared" si="29"/>
        <v>ok</v>
      </c>
      <c r="Z277" t="str">
        <f t="shared" si="30"/>
        <v>ok</v>
      </c>
      <c r="AA277" s="4" t="str">
        <f t="shared" si="31"/>
        <v>ok</v>
      </c>
      <c r="AB277" s="4" t="str">
        <f t="shared" si="32"/>
        <v>no resolution</v>
      </c>
      <c r="AC277" s="6" t="str">
        <f t="shared" si="27"/>
        <v/>
      </c>
    </row>
    <row r="278" spans="1:29" x14ac:dyDescent="0.3">
      <c r="A278" t="s">
        <v>42</v>
      </c>
      <c r="B278">
        <v>1348</v>
      </c>
      <c r="C278" t="s">
        <v>33</v>
      </c>
      <c r="D278" t="s">
        <v>24</v>
      </c>
      <c r="E278" t="s">
        <v>59</v>
      </c>
      <c r="F278" t="s">
        <v>36</v>
      </c>
      <c r="G278" t="s">
        <v>54</v>
      </c>
      <c r="H278" s="1">
        <v>44966.857233796298</v>
      </c>
      <c r="I278" s="1">
        <v>44968.857233796298</v>
      </c>
      <c r="J278" s="1">
        <v>44966.898900462962</v>
      </c>
      <c r="K278" s="2">
        <v>44966.888338194447</v>
      </c>
      <c r="L278" t="s">
        <v>28</v>
      </c>
      <c r="M278" s="2">
        <v>44967.431327442129</v>
      </c>
      <c r="N278" t="s">
        <v>28</v>
      </c>
      <c r="P278">
        <v>6</v>
      </c>
      <c r="R278" t="s">
        <v>55</v>
      </c>
      <c r="S278" t="s">
        <v>40</v>
      </c>
      <c r="T278" t="s">
        <v>57</v>
      </c>
      <c r="U278">
        <v>51.165691000000002</v>
      </c>
      <c r="V278">
        <v>10.451525999999999</v>
      </c>
      <c r="W278" t="str">
        <f t="shared" si="28"/>
        <v>ok</v>
      </c>
      <c r="X278" t="str">
        <f t="shared" si="33"/>
        <v>ok</v>
      </c>
      <c r="Y278" t="str">
        <f t="shared" si="29"/>
        <v>ok</v>
      </c>
      <c r="Z278" t="str">
        <f t="shared" si="30"/>
        <v>ok</v>
      </c>
      <c r="AA278" s="4" t="str">
        <f t="shared" si="31"/>
        <v>ok</v>
      </c>
      <c r="AB278" s="4" t="str">
        <f t="shared" si="32"/>
        <v>ok</v>
      </c>
      <c r="AC278" s="6">
        <f t="shared" ref="AC278:AC341" si="34">IF(M278="","",(M278-H278)*24)</f>
        <v>13.778247499954887</v>
      </c>
    </row>
    <row r="279" spans="1:29" x14ac:dyDescent="0.3">
      <c r="A279" t="s">
        <v>42</v>
      </c>
      <c r="B279">
        <v>1349</v>
      </c>
      <c r="C279" t="s">
        <v>23</v>
      </c>
      <c r="D279" t="s">
        <v>24</v>
      </c>
      <c r="E279" t="s">
        <v>59</v>
      </c>
      <c r="F279" t="s">
        <v>26</v>
      </c>
      <c r="G279" t="s">
        <v>52</v>
      </c>
      <c r="H279" s="1">
        <v>44966.128032407411</v>
      </c>
      <c r="I279" s="1">
        <v>44968.128032407411</v>
      </c>
      <c r="J279" s="1">
        <v>44966.169699074075</v>
      </c>
      <c r="K279" s="2">
        <v>44966.147552118055</v>
      </c>
      <c r="L279" t="s">
        <v>28</v>
      </c>
      <c r="M279" s="2">
        <v>44967.400774340276</v>
      </c>
      <c r="N279" t="s">
        <v>28</v>
      </c>
      <c r="P279">
        <v>5</v>
      </c>
      <c r="R279" t="s">
        <v>50</v>
      </c>
      <c r="S279" t="s">
        <v>30</v>
      </c>
      <c r="T279" t="s">
        <v>53</v>
      </c>
      <c r="U279">
        <v>39.368279000000001</v>
      </c>
      <c r="V279">
        <v>21.863140999999999</v>
      </c>
      <c r="W279" t="str">
        <f t="shared" si="28"/>
        <v>ok</v>
      </c>
      <c r="X279" t="str">
        <f t="shared" si="33"/>
        <v>ok</v>
      </c>
      <c r="Y279" t="str">
        <f t="shared" si="29"/>
        <v>ok</v>
      </c>
      <c r="Z279" t="str">
        <f t="shared" si="30"/>
        <v>ok</v>
      </c>
      <c r="AA279" s="4" t="str">
        <f t="shared" si="31"/>
        <v>ok</v>
      </c>
      <c r="AB279" s="4" t="str">
        <f t="shared" si="32"/>
        <v>ok</v>
      </c>
      <c r="AC279" s="6">
        <f t="shared" si="34"/>
        <v>30.545806388778146</v>
      </c>
    </row>
    <row r="280" spans="1:29" x14ac:dyDescent="0.3">
      <c r="A280" t="s">
        <v>22</v>
      </c>
      <c r="B280">
        <v>1350</v>
      </c>
      <c r="C280" t="s">
        <v>23</v>
      </c>
      <c r="D280" t="s">
        <v>24</v>
      </c>
      <c r="E280" t="s">
        <v>25</v>
      </c>
      <c r="F280" t="s">
        <v>26</v>
      </c>
      <c r="G280" t="s">
        <v>27</v>
      </c>
      <c r="H280" s="1">
        <v>44966.41741898148</v>
      </c>
      <c r="I280" s="1">
        <v>44968.41741898148</v>
      </c>
      <c r="J280" s="1">
        <v>44966.459085648145</v>
      </c>
      <c r="K280" s="2">
        <v>44966.455488692132</v>
      </c>
      <c r="L280" t="s">
        <v>28</v>
      </c>
      <c r="M280" s="2">
        <v>44966.599980023151</v>
      </c>
      <c r="N280" t="s">
        <v>28</v>
      </c>
      <c r="O280" s="2">
        <v>44968.855949733799</v>
      </c>
      <c r="P280">
        <v>10</v>
      </c>
      <c r="Q280">
        <v>5</v>
      </c>
      <c r="R280" t="s">
        <v>39</v>
      </c>
      <c r="S280" t="s">
        <v>30</v>
      </c>
      <c r="T280" t="s">
        <v>51</v>
      </c>
      <c r="U280">
        <v>39.673369999999998</v>
      </c>
      <c r="V280">
        <v>-4.7677259999999997</v>
      </c>
      <c r="W280" t="str">
        <f t="shared" si="28"/>
        <v>ok</v>
      </c>
      <c r="X280" t="str">
        <f t="shared" si="33"/>
        <v>ok</v>
      </c>
      <c r="Y280" t="str">
        <f t="shared" si="29"/>
        <v>ok</v>
      </c>
      <c r="Z280" t="str">
        <f t="shared" si="30"/>
        <v>ok</v>
      </c>
      <c r="AA280" s="4" t="str">
        <f t="shared" si="31"/>
        <v>ok</v>
      </c>
      <c r="AB280" s="4" t="str">
        <f t="shared" si="32"/>
        <v>ok</v>
      </c>
      <c r="AC280" s="6">
        <f t="shared" si="34"/>
        <v>4.3814650001004338</v>
      </c>
    </row>
    <row r="281" spans="1:29" x14ac:dyDescent="0.3">
      <c r="A281" t="s">
        <v>32</v>
      </c>
      <c r="B281">
        <v>1351</v>
      </c>
      <c r="C281" t="s">
        <v>47</v>
      </c>
      <c r="D281" t="s">
        <v>24</v>
      </c>
      <c r="E281" t="s">
        <v>44</v>
      </c>
      <c r="F281" t="s">
        <v>26</v>
      </c>
      <c r="G281" t="s">
        <v>52</v>
      </c>
      <c r="H281" s="1">
        <v>44966.477870370371</v>
      </c>
      <c r="I281" s="1">
        <v>44968.477870370371</v>
      </c>
      <c r="J281" s="1">
        <v>44966.519537037035</v>
      </c>
      <c r="K281" s="2">
        <v>44966.494483333336</v>
      </c>
      <c r="L281" t="s">
        <v>28</v>
      </c>
      <c r="N281" t="s">
        <v>38</v>
      </c>
      <c r="P281">
        <v>3</v>
      </c>
      <c r="R281" t="s">
        <v>29</v>
      </c>
      <c r="S281" t="s">
        <v>30</v>
      </c>
      <c r="T281" t="s">
        <v>53</v>
      </c>
      <c r="U281">
        <v>39.368279000000001</v>
      </c>
      <c r="V281">
        <v>21.863140999999999</v>
      </c>
      <c r="W281" t="str">
        <f t="shared" si="28"/>
        <v>ok</v>
      </c>
      <c r="X281" t="str">
        <f t="shared" si="33"/>
        <v>ok</v>
      </c>
      <c r="Y281" t="str">
        <f t="shared" si="29"/>
        <v>ok</v>
      </c>
      <c r="Z281" t="str">
        <f t="shared" si="30"/>
        <v>ok</v>
      </c>
      <c r="AA281" s="4" t="str">
        <f t="shared" si="31"/>
        <v>ok</v>
      </c>
      <c r="AB281" s="4" t="str">
        <f t="shared" si="32"/>
        <v>no resolution</v>
      </c>
      <c r="AC281" s="6" t="str">
        <f t="shared" si="34"/>
        <v/>
      </c>
    </row>
    <row r="282" spans="1:29" x14ac:dyDescent="0.3">
      <c r="A282" t="s">
        <v>32</v>
      </c>
      <c r="B282">
        <v>1352</v>
      </c>
      <c r="C282" t="s">
        <v>47</v>
      </c>
      <c r="D282" t="s">
        <v>24</v>
      </c>
      <c r="E282" t="s">
        <v>35</v>
      </c>
      <c r="F282" t="s">
        <v>26</v>
      </c>
      <c r="G282" t="s">
        <v>49</v>
      </c>
      <c r="H282" s="1">
        <v>44967.969594907408</v>
      </c>
      <c r="I282" s="1">
        <v>44969.969594907408</v>
      </c>
      <c r="J282" s="1">
        <v>44968.011261574073</v>
      </c>
      <c r="K282" s="2">
        <v>44967.98575122685</v>
      </c>
      <c r="L282" t="s">
        <v>28</v>
      </c>
      <c r="N282" t="s">
        <v>38</v>
      </c>
      <c r="P282">
        <v>2</v>
      </c>
      <c r="R282" t="s">
        <v>39</v>
      </c>
      <c r="S282" t="s">
        <v>30</v>
      </c>
      <c r="T282" t="s">
        <v>31</v>
      </c>
      <c r="U282">
        <v>53.094023999999997</v>
      </c>
      <c r="V282">
        <v>-8.0196749999999994</v>
      </c>
      <c r="W282" t="str">
        <f t="shared" si="28"/>
        <v>ok</v>
      </c>
      <c r="X282" t="str">
        <f t="shared" si="33"/>
        <v>ok</v>
      </c>
      <c r="Y282" t="str">
        <f t="shared" si="29"/>
        <v>ok</v>
      </c>
      <c r="Z282" t="str">
        <f t="shared" si="30"/>
        <v>ok</v>
      </c>
      <c r="AA282" s="4" t="str">
        <f t="shared" si="31"/>
        <v>ok</v>
      </c>
      <c r="AB282" s="4" t="str">
        <f t="shared" si="32"/>
        <v>no resolution</v>
      </c>
      <c r="AC282" s="6" t="str">
        <f t="shared" si="34"/>
        <v/>
      </c>
    </row>
    <row r="283" spans="1:29" x14ac:dyDescent="0.3">
      <c r="A283" t="s">
        <v>42</v>
      </c>
      <c r="B283">
        <v>1353</v>
      </c>
      <c r="C283" t="s">
        <v>23</v>
      </c>
      <c r="D283" t="s">
        <v>34</v>
      </c>
      <c r="E283" t="s">
        <v>39</v>
      </c>
      <c r="F283" t="s">
        <v>26</v>
      </c>
      <c r="G283" t="s">
        <v>49</v>
      </c>
      <c r="H283" s="1">
        <v>44967.889594907407</v>
      </c>
      <c r="I283" s="1">
        <v>44969.889594907407</v>
      </c>
      <c r="J283" s="1">
        <v>44967.890983796293</v>
      </c>
      <c r="K283" s="2">
        <v>44967.890363761573</v>
      </c>
      <c r="L283" t="s">
        <v>28</v>
      </c>
      <c r="M283" s="2">
        <v>44968.22709497685</v>
      </c>
      <c r="N283" t="s">
        <v>28</v>
      </c>
      <c r="P283">
        <v>3</v>
      </c>
      <c r="R283" t="s">
        <v>29</v>
      </c>
      <c r="S283" t="s">
        <v>30</v>
      </c>
      <c r="T283" t="s">
        <v>57</v>
      </c>
      <c r="U283">
        <v>51.165691000000002</v>
      </c>
      <c r="V283">
        <v>10.451525999999999</v>
      </c>
      <c r="W283" t="str">
        <f t="shared" si="28"/>
        <v>ok</v>
      </c>
      <c r="X283" t="str">
        <f t="shared" si="33"/>
        <v>ok</v>
      </c>
      <c r="Y283" t="str">
        <f t="shared" si="29"/>
        <v>ok</v>
      </c>
      <c r="Z283" t="str">
        <f t="shared" si="30"/>
        <v>ok</v>
      </c>
      <c r="AA283" s="4" t="str">
        <f t="shared" si="31"/>
        <v>ok</v>
      </c>
      <c r="AB283" s="4" t="str">
        <f t="shared" si="32"/>
        <v>ok</v>
      </c>
      <c r="AC283" s="6">
        <f t="shared" si="34"/>
        <v>8.1000016666366719</v>
      </c>
    </row>
    <row r="284" spans="1:29" x14ac:dyDescent="0.3">
      <c r="A284" t="s">
        <v>22</v>
      </c>
      <c r="B284">
        <v>1354</v>
      </c>
      <c r="C284" t="s">
        <v>47</v>
      </c>
      <c r="D284" t="s">
        <v>24</v>
      </c>
      <c r="E284" t="s">
        <v>39</v>
      </c>
      <c r="F284" t="s">
        <v>26</v>
      </c>
      <c r="G284" t="s">
        <v>60</v>
      </c>
      <c r="H284" s="1">
        <v>44967.164178240739</v>
      </c>
      <c r="I284" s="1">
        <v>44969.164178240739</v>
      </c>
      <c r="J284" s="1">
        <v>44967.20584490741</v>
      </c>
      <c r="K284" s="2">
        <v>44967.167967905094</v>
      </c>
      <c r="L284" t="s">
        <v>28</v>
      </c>
      <c r="M284" s="2">
        <v>44970.316606192129</v>
      </c>
      <c r="N284" t="s">
        <v>38</v>
      </c>
      <c r="O284" s="2">
        <v>44970.560179814813</v>
      </c>
      <c r="P284">
        <v>10</v>
      </c>
      <c r="Q284">
        <v>5</v>
      </c>
      <c r="R284" t="s">
        <v>50</v>
      </c>
      <c r="S284" t="s">
        <v>30</v>
      </c>
      <c r="T284" t="s">
        <v>56</v>
      </c>
      <c r="U284">
        <v>52.536273000000001</v>
      </c>
      <c r="V284">
        <v>19.050639</v>
      </c>
      <c r="W284" t="str">
        <f t="shared" si="28"/>
        <v>ok</v>
      </c>
      <c r="X284" t="str">
        <f t="shared" si="33"/>
        <v>ok</v>
      </c>
      <c r="Y284" t="str">
        <f t="shared" si="29"/>
        <v>ok</v>
      </c>
      <c r="Z284" t="str">
        <f t="shared" si="30"/>
        <v>ok</v>
      </c>
      <c r="AA284" s="4" t="str">
        <f t="shared" si="31"/>
        <v>ok</v>
      </c>
      <c r="AB284" s="4" t="str">
        <f t="shared" si="32"/>
        <v>ok</v>
      </c>
      <c r="AC284" s="6">
        <f t="shared" si="34"/>
        <v>75.658270833373535</v>
      </c>
    </row>
    <row r="285" spans="1:29" x14ac:dyDescent="0.3">
      <c r="A285" t="s">
        <v>22</v>
      </c>
      <c r="B285">
        <v>1355</v>
      </c>
      <c r="C285" t="s">
        <v>33</v>
      </c>
      <c r="D285" t="s">
        <v>34</v>
      </c>
      <c r="E285" t="s">
        <v>48</v>
      </c>
      <c r="F285" t="s">
        <v>26</v>
      </c>
      <c r="G285" t="s">
        <v>49</v>
      </c>
      <c r="H285" s="1">
        <v>44967.444085648145</v>
      </c>
      <c r="I285" s="1">
        <v>44969.444085648145</v>
      </c>
      <c r="J285" s="1">
        <v>44967.445474537039</v>
      </c>
      <c r="K285" s="2">
        <v>44967.446693877311</v>
      </c>
      <c r="L285" t="s">
        <v>38</v>
      </c>
      <c r="M285" s="2">
        <v>44970.385597743058</v>
      </c>
      <c r="N285" t="s">
        <v>38</v>
      </c>
      <c r="O285" s="2">
        <v>44971.356938194447</v>
      </c>
      <c r="P285">
        <v>2</v>
      </c>
      <c r="Q285">
        <v>3</v>
      </c>
      <c r="R285" t="s">
        <v>50</v>
      </c>
      <c r="S285" t="s">
        <v>30</v>
      </c>
      <c r="T285" t="s">
        <v>63</v>
      </c>
      <c r="U285">
        <v>55.378051999999997</v>
      </c>
      <c r="V285">
        <v>-3.4359730000000002</v>
      </c>
      <c r="W285" t="str">
        <f t="shared" si="28"/>
        <v>ok</v>
      </c>
      <c r="X285" t="str">
        <f t="shared" si="33"/>
        <v>ok</v>
      </c>
      <c r="Y285" t="str">
        <f t="shared" si="29"/>
        <v>ok</v>
      </c>
      <c r="Z285" t="str">
        <f t="shared" si="30"/>
        <v>ok</v>
      </c>
      <c r="AA285" s="4" t="str">
        <f t="shared" si="31"/>
        <v>ok</v>
      </c>
      <c r="AB285" s="4" t="str">
        <f t="shared" si="32"/>
        <v>ok</v>
      </c>
      <c r="AC285" s="6">
        <f t="shared" si="34"/>
        <v>70.596290277899243</v>
      </c>
    </row>
    <row r="286" spans="1:29" x14ac:dyDescent="0.3">
      <c r="A286" t="s">
        <v>42</v>
      </c>
      <c r="B286">
        <v>1356</v>
      </c>
      <c r="C286" t="s">
        <v>33</v>
      </c>
      <c r="D286" t="s">
        <v>43</v>
      </c>
      <c r="E286" t="s">
        <v>48</v>
      </c>
      <c r="F286" t="s">
        <v>26</v>
      </c>
      <c r="G286" t="s">
        <v>60</v>
      </c>
      <c r="H286" s="1">
        <v>44967.325428240743</v>
      </c>
      <c r="I286" s="1">
        <v>44968.325428240743</v>
      </c>
      <c r="J286" s="1">
        <v>44967.326817129629</v>
      </c>
      <c r="K286" s="2">
        <v>44967.325713738428</v>
      </c>
      <c r="L286" t="s">
        <v>28</v>
      </c>
      <c r="M286" s="2">
        <v>44968.03252458333</v>
      </c>
      <c r="N286" t="s">
        <v>28</v>
      </c>
      <c r="P286">
        <v>6</v>
      </c>
      <c r="R286" t="s">
        <v>29</v>
      </c>
      <c r="S286" t="s">
        <v>30</v>
      </c>
      <c r="T286" t="s">
        <v>41</v>
      </c>
      <c r="U286">
        <v>43.036776000000003</v>
      </c>
      <c r="V286">
        <v>12.678565000000001</v>
      </c>
      <c r="W286" t="str">
        <f t="shared" si="28"/>
        <v>ok</v>
      </c>
      <c r="X286" t="str">
        <f t="shared" si="33"/>
        <v>ok</v>
      </c>
      <c r="Y286" t="str">
        <f t="shared" si="29"/>
        <v>ok</v>
      </c>
      <c r="Z286" t="str">
        <f t="shared" si="30"/>
        <v>ok</v>
      </c>
      <c r="AA286" s="4" t="str">
        <f t="shared" si="31"/>
        <v>ok</v>
      </c>
      <c r="AB286" s="4" t="str">
        <f t="shared" si="32"/>
        <v>ok</v>
      </c>
      <c r="AC286" s="6">
        <f t="shared" si="34"/>
        <v>16.970312222081702</v>
      </c>
    </row>
    <row r="287" spans="1:29" x14ac:dyDescent="0.3">
      <c r="A287" t="s">
        <v>42</v>
      </c>
      <c r="B287">
        <v>1357</v>
      </c>
      <c r="C287" t="s">
        <v>23</v>
      </c>
      <c r="D287" t="s">
        <v>24</v>
      </c>
      <c r="E287" t="s">
        <v>35</v>
      </c>
      <c r="F287" t="s">
        <v>26</v>
      </c>
      <c r="G287" t="s">
        <v>27</v>
      </c>
      <c r="H287" s="1">
        <v>44968.969166666669</v>
      </c>
      <c r="I287" s="1">
        <v>44970.969166666669</v>
      </c>
      <c r="J287" s="1">
        <v>44969.010833333334</v>
      </c>
      <c r="K287" s="2">
        <v>44969.007026956016</v>
      </c>
      <c r="L287" t="s">
        <v>28</v>
      </c>
      <c r="M287" s="2">
        <v>44970.341918784725</v>
      </c>
      <c r="N287" t="s">
        <v>28</v>
      </c>
      <c r="P287">
        <v>6</v>
      </c>
      <c r="R287" t="s">
        <v>55</v>
      </c>
      <c r="S287" t="s">
        <v>30</v>
      </c>
      <c r="T287" t="s">
        <v>51</v>
      </c>
      <c r="U287">
        <v>39.673369999999998</v>
      </c>
      <c r="V287">
        <v>-4.7677259999999997</v>
      </c>
      <c r="W287" t="str">
        <f t="shared" si="28"/>
        <v>ok</v>
      </c>
      <c r="X287" t="str">
        <f t="shared" si="33"/>
        <v>ok</v>
      </c>
      <c r="Y287" t="str">
        <f t="shared" si="29"/>
        <v>ok</v>
      </c>
      <c r="Z287" t="str">
        <f t="shared" si="30"/>
        <v>ok</v>
      </c>
      <c r="AA287" s="4" t="str">
        <f t="shared" si="31"/>
        <v>ok</v>
      </c>
      <c r="AB287" s="4" t="str">
        <f t="shared" si="32"/>
        <v>ok</v>
      </c>
      <c r="AC287" s="6">
        <f t="shared" si="34"/>
        <v>32.946050833328627</v>
      </c>
    </row>
    <row r="288" spans="1:29" x14ac:dyDescent="0.3">
      <c r="A288" t="s">
        <v>32</v>
      </c>
      <c r="B288">
        <v>1358</v>
      </c>
      <c r="C288" t="s">
        <v>47</v>
      </c>
      <c r="D288" t="s">
        <v>24</v>
      </c>
      <c r="E288" t="s">
        <v>59</v>
      </c>
      <c r="F288" t="s">
        <v>26</v>
      </c>
      <c r="G288" t="s">
        <v>60</v>
      </c>
      <c r="H288" s="1">
        <v>44968.717719907407</v>
      </c>
      <c r="I288" s="1">
        <v>44970.717719907407</v>
      </c>
      <c r="J288" s="1">
        <v>44968.759386574071</v>
      </c>
      <c r="K288" s="2">
        <v>44968.93211991898</v>
      </c>
      <c r="L288" t="s">
        <v>38</v>
      </c>
      <c r="N288" t="s">
        <v>38</v>
      </c>
      <c r="P288">
        <v>4</v>
      </c>
      <c r="R288" t="s">
        <v>29</v>
      </c>
      <c r="S288" t="s">
        <v>30</v>
      </c>
      <c r="T288" t="s">
        <v>41</v>
      </c>
      <c r="U288">
        <v>43.036776000000003</v>
      </c>
      <c r="V288">
        <v>12.678565000000001</v>
      </c>
      <c r="W288" t="str">
        <f t="shared" si="28"/>
        <v>ok</v>
      </c>
      <c r="X288" t="str">
        <f t="shared" si="33"/>
        <v>ok</v>
      </c>
      <c r="Y288" t="str">
        <f t="shared" si="29"/>
        <v>ok</v>
      </c>
      <c r="Z288" t="str">
        <f t="shared" si="30"/>
        <v>ok</v>
      </c>
      <c r="AA288" s="4" t="str">
        <f t="shared" si="31"/>
        <v>ok</v>
      </c>
      <c r="AB288" s="4" t="str">
        <f t="shared" si="32"/>
        <v>no resolution</v>
      </c>
      <c r="AC288" s="6" t="str">
        <f t="shared" si="34"/>
        <v/>
      </c>
    </row>
    <row r="289" spans="1:29" x14ac:dyDescent="0.3">
      <c r="A289" t="s">
        <v>22</v>
      </c>
      <c r="B289">
        <v>1359</v>
      </c>
      <c r="C289" t="s">
        <v>47</v>
      </c>
      <c r="D289" t="s">
        <v>43</v>
      </c>
      <c r="E289" t="s">
        <v>35</v>
      </c>
      <c r="F289" t="s">
        <v>26</v>
      </c>
      <c r="G289" t="s">
        <v>45</v>
      </c>
      <c r="H289" s="1">
        <v>44968.95884259259</v>
      </c>
      <c r="I289" s="1">
        <v>44969.95884259259</v>
      </c>
      <c r="J289" s="1">
        <v>44968.960231481484</v>
      </c>
      <c r="K289" s="2">
        <v>44968.960150810184</v>
      </c>
      <c r="L289" t="s">
        <v>28</v>
      </c>
      <c r="M289" s="2">
        <v>44969.917571678241</v>
      </c>
      <c r="N289" t="s">
        <v>28</v>
      </c>
      <c r="O289" s="2">
        <v>44973.296142291663</v>
      </c>
      <c r="P289">
        <v>2</v>
      </c>
      <c r="Q289">
        <v>3</v>
      </c>
      <c r="R289" t="s">
        <v>50</v>
      </c>
      <c r="S289" t="s">
        <v>30</v>
      </c>
      <c r="T289" t="s">
        <v>63</v>
      </c>
      <c r="U289">
        <v>55.378051999999997</v>
      </c>
      <c r="V289">
        <v>-3.4359730000000002</v>
      </c>
      <c r="W289" t="str">
        <f t="shared" si="28"/>
        <v>ok</v>
      </c>
      <c r="X289" t="str">
        <f t="shared" si="33"/>
        <v>ok</v>
      </c>
      <c r="Y289" t="str">
        <f t="shared" si="29"/>
        <v>ok</v>
      </c>
      <c r="Z289" t="str">
        <f t="shared" si="30"/>
        <v>ok</v>
      </c>
      <c r="AA289" s="4" t="str">
        <f t="shared" si="31"/>
        <v>ok</v>
      </c>
      <c r="AB289" s="4" t="str">
        <f t="shared" si="32"/>
        <v>ok</v>
      </c>
      <c r="AC289" s="6">
        <f t="shared" si="34"/>
        <v>23.009498055616859</v>
      </c>
    </row>
    <row r="290" spans="1:29" x14ac:dyDescent="0.3">
      <c r="A290" t="s">
        <v>42</v>
      </c>
      <c r="B290">
        <v>1368</v>
      </c>
      <c r="C290" t="s">
        <v>33</v>
      </c>
      <c r="D290" t="s">
        <v>43</v>
      </c>
      <c r="E290" t="s">
        <v>39</v>
      </c>
      <c r="F290" t="s">
        <v>26</v>
      </c>
      <c r="G290" t="s">
        <v>27</v>
      </c>
      <c r="H290" s="1">
        <v>44969.746967592589</v>
      </c>
      <c r="I290" s="1">
        <v>44970.746967592589</v>
      </c>
      <c r="J290" s="1">
        <v>44969.748356481483</v>
      </c>
      <c r="K290" s="2">
        <v>44969.750219548609</v>
      </c>
      <c r="L290" t="s">
        <v>38</v>
      </c>
      <c r="M290" s="2">
        <v>44970.715032499997</v>
      </c>
      <c r="N290" t="s">
        <v>28</v>
      </c>
      <c r="P290">
        <v>6</v>
      </c>
      <c r="R290" t="s">
        <v>39</v>
      </c>
      <c r="S290" t="s">
        <v>30</v>
      </c>
      <c r="T290" t="s">
        <v>51</v>
      </c>
      <c r="U290">
        <v>39.673369999999998</v>
      </c>
      <c r="V290">
        <v>-4.7677259999999997</v>
      </c>
      <c r="W290" t="str">
        <f t="shared" si="28"/>
        <v>ok</v>
      </c>
      <c r="X290" t="str">
        <f t="shared" si="33"/>
        <v>ok</v>
      </c>
      <c r="Y290" t="str">
        <f t="shared" si="29"/>
        <v>ok</v>
      </c>
      <c r="Z290" t="str">
        <f t="shared" si="30"/>
        <v>ok</v>
      </c>
      <c r="AA290" s="4" t="str">
        <f t="shared" si="31"/>
        <v>ok</v>
      </c>
      <c r="AB290" s="4" t="str">
        <f t="shared" si="32"/>
        <v>ok</v>
      </c>
      <c r="AC290" s="6">
        <f t="shared" si="34"/>
        <v>23.233557777770329</v>
      </c>
    </row>
    <row r="291" spans="1:29" x14ac:dyDescent="0.3">
      <c r="A291" t="s">
        <v>22</v>
      </c>
      <c r="B291">
        <v>1372</v>
      </c>
      <c r="C291" t="s">
        <v>23</v>
      </c>
      <c r="D291" t="s">
        <v>24</v>
      </c>
      <c r="E291" t="s">
        <v>39</v>
      </c>
      <c r="F291" t="s">
        <v>26</v>
      </c>
      <c r="G291" t="s">
        <v>60</v>
      </c>
      <c r="H291" s="1">
        <v>44969.868113425924</v>
      </c>
      <c r="I291" s="1">
        <v>44971.868113425924</v>
      </c>
      <c r="J291" s="1">
        <v>44969.909780092596</v>
      </c>
      <c r="K291" s="2">
        <v>44969.876676342596</v>
      </c>
      <c r="L291" t="s">
        <v>28</v>
      </c>
      <c r="M291" s="2">
        <v>44970.608447847226</v>
      </c>
      <c r="N291" t="s">
        <v>28</v>
      </c>
      <c r="O291" s="2">
        <v>44971.428976620373</v>
      </c>
      <c r="P291">
        <v>5</v>
      </c>
      <c r="Q291">
        <v>3</v>
      </c>
      <c r="R291" t="s">
        <v>55</v>
      </c>
      <c r="S291" t="s">
        <v>30</v>
      </c>
      <c r="T291" t="s">
        <v>63</v>
      </c>
      <c r="U291">
        <v>55.378051999999997</v>
      </c>
      <c r="V291">
        <v>-3.4359730000000002</v>
      </c>
      <c r="W291" t="str">
        <f t="shared" si="28"/>
        <v>ok</v>
      </c>
      <c r="X291" t="str">
        <f t="shared" si="33"/>
        <v>ok</v>
      </c>
      <c r="Y291" t="str">
        <f t="shared" si="29"/>
        <v>ok</v>
      </c>
      <c r="Z291" t="str">
        <f t="shared" si="30"/>
        <v>ok</v>
      </c>
      <c r="AA291" s="4" t="str">
        <f t="shared" si="31"/>
        <v>ok</v>
      </c>
      <c r="AB291" s="4" t="str">
        <f t="shared" si="32"/>
        <v>ok</v>
      </c>
      <c r="AC291" s="6">
        <f t="shared" si="34"/>
        <v>17.768026111240033</v>
      </c>
    </row>
    <row r="292" spans="1:29" x14ac:dyDescent="0.3">
      <c r="A292" t="s">
        <v>42</v>
      </c>
      <c r="B292">
        <v>1373</v>
      </c>
      <c r="C292" t="s">
        <v>33</v>
      </c>
      <c r="D292" t="s">
        <v>43</v>
      </c>
      <c r="E292" t="s">
        <v>35</v>
      </c>
      <c r="F292" t="s">
        <v>26</v>
      </c>
      <c r="G292" t="s">
        <v>45</v>
      </c>
      <c r="H292" s="1">
        <v>44969.573993055557</v>
      </c>
      <c r="I292" s="1">
        <v>44970.573993055557</v>
      </c>
      <c r="J292" s="1">
        <v>44969.575381944444</v>
      </c>
      <c r="K292" s="2">
        <v>44969.574431331021</v>
      </c>
      <c r="L292" t="s">
        <v>28</v>
      </c>
      <c r="M292" s="2">
        <v>44970.348524953704</v>
      </c>
      <c r="N292" t="s">
        <v>28</v>
      </c>
      <c r="P292">
        <v>6</v>
      </c>
      <c r="R292" t="s">
        <v>50</v>
      </c>
      <c r="S292" t="s">
        <v>30</v>
      </c>
      <c r="T292" t="s">
        <v>61</v>
      </c>
      <c r="U292">
        <v>42.724992499999999</v>
      </c>
      <c r="V292">
        <v>25.483303899999999</v>
      </c>
      <c r="W292" t="str">
        <f t="shared" si="28"/>
        <v>ok</v>
      </c>
      <c r="X292" t="str">
        <f t="shared" si="33"/>
        <v>ok</v>
      </c>
      <c r="Y292" t="str">
        <f t="shared" si="29"/>
        <v>ok</v>
      </c>
      <c r="Z292" t="str">
        <f t="shared" si="30"/>
        <v>ok</v>
      </c>
      <c r="AA292" s="4" t="str">
        <f t="shared" si="31"/>
        <v>ok</v>
      </c>
      <c r="AB292" s="4" t="str">
        <f t="shared" si="32"/>
        <v>ok</v>
      </c>
      <c r="AC292" s="6">
        <f t="shared" si="34"/>
        <v>18.588765555527061</v>
      </c>
    </row>
    <row r="293" spans="1:29" x14ac:dyDescent="0.3">
      <c r="A293" t="s">
        <v>22</v>
      </c>
      <c r="B293">
        <v>1374</v>
      </c>
      <c r="C293" t="s">
        <v>33</v>
      </c>
      <c r="D293" t="s">
        <v>24</v>
      </c>
      <c r="E293" t="s">
        <v>35</v>
      </c>
      <c r="F293" t="s">
        <v>26</v>
      </c>
      <c r="G293" t="s">
        <v>52</v>
      </c>
      <c r="H293" s="1">
        <v>44970.707476851851</v>
      </c>
      <c r="I293" s="1">
        <v>44972.707476851851</v>
      </c>
      <c r="J293" s="1">
        <v>44970.749143518522</v>
      </c>
      <c r="K293" s="2">
        <v>44970.726995439814</v>
      </c>
      <c r="L293" t="s">
        <v>28</v>
      </c>
      <c r="M293" s="2">
        <v>44972.119350856483</v>
      </c>
      <c r="N293" t="s">
        <v>28</v>
      </c>
      <c r="O293" s="2">
        <v>44976.648507627317</v>
      </c>
      <c r="P293">
        <v>7</v>
      </c>
      <c r="Q293">
        <v>4</v>
      </c>
      <c r="R293" t="s">
        <v>50</v>
      </c>
      <c r="S293" t="s">
        <v>30</v>
      </c>
      <c r="T293" t="s">
        <v>53</v>
      </c>
      <c r="U293">
        <v>39.368279000000001</v>
      </c>
      <c r="V293">
        <v>21.863140999999999</v>
      </c>
      <c r="W293" t="str">
        <f t="shared" si="28"/>
        <v>ok</v>
      </c>
      <c r="X293" t="str">
        <f t="shared" si="33"/>
        <v>ok</v>
      </c>
      <c r="Y293" t="str">
        <f t="shared" si="29"/>
        <v>ok</v>
      </c>
      <c r="Z293" t="str">
        <f t="shared" si="30"/>
        <v>ok</v>
      </c>
      <c r="AA293" s="4" t="str">
        <f t="shared" si="31"/>
        <v>ok</v>
      </c>
      <c r="AB293" s="4" t="str">
        <f t="shared" si="32"/>
        <v>ok</v>
      </c>
      <c r="AC293" s="6">
        <f t="shared" si="34"/>
        <v>33.884976111177821</v>
      </c>
    </row>
    <row r="294" spans="1:29" x14ac:dyDescent="0.3">
      <c r="A294" t="s">
        <v>22</v>
      </c>
      <c r="B294">
        <v>1375</v>
      </c>
      <c r="C294" t="s">
        <v>33</v>
      </c>
      <c r="D294" t="s">
        <v>43</v>
      </c>
      <c r="E294" t="s">
        <v>25</v>
      </c>
      <c r="F294" t="s">
        <v>26</v>
      </c>
      <c r="G294" t="s">
        <v>27</v>
      </c>
      <c r="H294" s="1">
        <v>44970.245937500003</v>
      </c>
      <c r="I294" s="1">
        <v>44971.245937500003</v>
      </c>
      <c r="J294" s="1">
        <v>44970.24732638889</v>
      </c>
      <c r="K294" s="2">
        <v>44970.245983854169</v>
      </c>
      <c r="L294" t="s">
        <v>28</v>
      </c>
      <c r="M294" s="2">
        <v>44970.405119513889</v>
      </c>
      <c r="N294" t="s">
        <v>28</v>
      </c>
      <c r="O294" s="2">
        <v>44972.389337604167</v>
      </c>
      <c r="P294">
        <v>8</v>
      </c>
      <c r="Q294">
        <v>4</v>
      </c>
      <c r="R294" t="s">
        <v>29</v>
      </c>
      <c r="S294" t="s">
        <v>30</v>
      </c>
      <c r="T294" t="s">
        <v>63</v>
      </c>
      <c r="U294">
        <v>55.378051999999997</v>
      </c>
      <c r="V294">
        <v>-3.4359730000000002</v>
      </c>
      <c r="W294" t="str">
        <f t="shared" si="28"/>
        <v>ok</v>
      </c>
      <c r="X294" t="str">
        <f t="shared" si="33"/>
        <v>ok</v>
      </c>
      <c r="Y294" t="str">
        <f t="shared" si="29"/>
        <v>ok</v>
      </c>
      <c r="Z294" t="str">
        <f t="shared" si="30"/>
        <v>ok</v>
      </c>
      <c r="AA294" s="4" t="str">
        <f t="shared" si="31"/>
        <v>ok</v>
      </c>
      <c r="AB294" s="4" t="str">
        <f t="shared" si="32"/>
        <v>ok</v>
      </c>
      <c r="AC294" s="6">
        <f t="shared" si="34"/>
        <v>3.8203683332540095</v>
      </c>
    </row>
    <row r="295" spans="1:29" x14ac:dyDescent="0.3">
      <c r="A295" t="s">
        <v>22</v>
      </c>
      <c r="B295">
        <v>1376</v>
      </c>
      <c r="C295" t="s">
        <v>47</v>
      </c>
      <c r="D295" t="s">
        <v>24</v>
      </c>
      <c r="E295" t="s">
        <v>25</v>
      </c>
      <c r="F295" t="s">
        <v>36</v>
      </c>
      <c r="G295" t="s">
        <v>64</v>
      </c>
      <c r="H295" s="1">
        <v>44970.917210648149</v>
      </c>
      <c r="I295" s="1">
        <v>44972.917210648149</v>
      </c>
      <c r="J295" s="1">
        <v>44970.958877314813</v>
      </c>
      <c r="K295" s="2">
        <v>44970.943735347224</v>
      </c>
      <c r="L295" t="s">
        <v>28</v>
      </c>
      <c r="M295" s="2">
        <v>44971.771386215281</v>
      </c>
      <c r="N295" t="s">
        <v>28</v>
      </c>
      <c r="O295" s="2">
        <v>44974.031869247687</v>
      </c>
      <c r="P295">
        <v>1</v>
      </c>
      <c r="Q295">
        <v>5</v>
      </c>
      <c r="R295" t="s">
        <v>29</v>
      </c>
      <c r="S295" t="s">
        <v>40</v>
      </c>
      <c r="T295" t="s">
        <v>66</v>
      </c>
      <c r="U295">
        <v>48.864716000000001</v>
      </c>
      <c r="V295">
        <v>2.3490139999999999</v>
      </c>
      <c r="W295" t="str">
        <f t="shared" si="28"/>
        <v>ok</v>
      </c>
      <c r="X295" t="str">
        <f t="shared" si="33"/>
        <v>ok</v>
      </c>
      <c r="Y295" t="str">
        <f t="shared" si="29"/>
        <v>ok</v>
      </c>
      <c r="Z295" t="str">
        <f t="shared" si="30"/>
        <v>ok</v>
      </c>
      <c r="AA295" s="4" t="str">
        <f t="shared" si="31"/>
        <v>ok</v>
      </c>
      <c r="AB295" s="4" t="str">
        <f t="shared" si="32"/>
        <v>ok</v>
      </c>
      <c r="AC295" s="6">
        <f t="shared" si="34"/>
        <v>20.500213611172512</v>
      </c>
    </row>
    <row r="296" spans="1:29" x14ac:dyDescent="0.3">
      <c r="A296" t="s">
        <v>22</v>
      </c>
      <c r="B296">
        <v>1377</v>
      </c>
      <c r="C296" t="s">
        <v>47</v>
      </c>
      <c r="D296" t="s">
        <v>43</v>
      </c>
      <c r="E296" t="s">
        <v>35</v>
      </c>
      <c r="F296" t="s">
        <v>26</v>
      </c>
      <c r="G296" t="s">
        <v>27</v>
      </c>
      <c r="H296" s="1">
        <v>44970.649722222224</v>
      </c>
      <c r="I296" s="1">
        <v>44971.649722222224</v>
      </c>
      <c r="J296" s="1">
        <v>44970.65111111111</v>
      </c>
      <c r="K296" s="2">
        <v>44970.65052239583</v>
      </c>
      <c r="L296" t="s">
        <v>28</v>
      </c>
      <c r="M296" s="2">
        <v>44970.916378796297</v>
      </c>
      <c r="N296" t="s">
        <v>28</v>
      </c>
      <c r="O296" s="2">
        <v>44975.534664756946</v>
      </c>
      <c r="P296">
        <v>2</v>
      </c>
      <c r="Q296">
        <v>5</v>
      </c>
      <c r="R296" t="s">
        <v>50</v>
      </c>
      <c r="S296" t="s">
        <v>30</v>
      </c>
      <c r="T296" t="s">
        <v>46</v>
      </c>
      <c r="U296">
        <v>47.696471899999999</v>
      </c>
      <c r="V296">
        <v>13.3457347</v>
      </c>
      <c r="W296" t="str">
        <f t="shared" si="28"/>
        <v>ok</v>
      </c>
      <c r="X296" t="str">
        <f t="shared" si="33"/>
        <v>ok</v>
      </c>
      <c r="Y296" t="str">
        <f t="shared" si="29"/>
        <v>ok</v>
      </c>
      <c r="Z296" t="str">
        <f t="shared" si="30"/>
        <v>ok</v>
      </c>
      <c r="AA296" s="4" t="str">
        <f t="shared" si="31"/>
        <v>ok</v>
      </c>
      <c r="AB296" s="4" t="str">
        <f t="shared" si="32"/>
        <v>ok</v>
      </c>
      <c r="AC296" s="6">
        <f t="shared" si="34"/>
        <v>6.3997577777481638</v>
      </c>
    </row>
    <row r="297" spans="1:29" x14ac:dyDescent="0.3">
      <c r="A297" t="s">
        <v>32</v>
      </c>
      <c r="B297">
        <v>1378</v>
      </c>
      <c r="C297" t="s">
        <v>33</v>
      </c>
      <c r="D297" t="s">
        <v>43</v>
      </c>
      <c r="E297" t="s">
        <v>48</v>
      </c>
      <c r="F297" t="s">
        <v>26</v>
      </c>
      <c r="G297" t="s">
        <v>60</v>
      </c>
      <c r="H297" s="1">
        <v>44970.494305555556</v>
      </c>
      <c r="I297" s="1">
        <v>44971.494305555556</v>
      </c>
      <c r="J297" s="1">
        <v>44970.495694444442</v>
      </c>
      <c r="K297" s="2">
        <v>44970.495628530094</v>
      </c>
      <c r="L297" t="s">
        <v>28</v>
      </c>
      <c r="N297" t="s">
        <v>38</v>
      </c>
      <c r="P297">
        <v>6</v>
      </c>
      <c r="R297" t="s">
        <v>39</v>
      </c>
      <c r="S297" t="s">
        <v>30</v>
      </c>
      <c r="T297" t="s">
        <v>57</v>
      </c>
      <c r="U297">
        <v>51.165691000000002</v>
      </c>
      <c r="V297">
        <v>10.451525999999999</v>
      </c>
      <c r="W297" t="str">
        <f t="shared" si="28"/>
        <v>ok</v>
      </c>
      <c r="X297" t="str">
        <f t="shared" si="33"/>
        <v>ok</v>
      </c>
      <c r="Y297" t="str">
        <f t="shared" si="29"/>
        <v>ok</v>
      </c>
      <c r="Z297" t="str">
        <f t="shared" si="30"/>
        <v>ok</v>
      </c>
      <c r="AA297" s="4" t="str">
        <f t="shared" si="31"/>
        <v>ok</v>
      </c>
      <c r="AB297" s="4" t="str">
        <f t="shared" si="32"/>
        <v>no resolution</v>
      </c>
      <c r="AC297" s="6" t="str">
        <f t="shared" si="34"/>
        <v/>
      </c>
    </row>
    <row r="298" spans="1:29" x14ac:dyDescent="0.3">
      <c r="A298" t="s">
        <v>22</v>
      </c>
      <c r="B298">
        <v>1379</v>
      </c>
      <c r="C298" t="s">
        <v>23</v>
      </c>
      <c r="D298" t="s">
        <v>24</v>
      </c>
      <c r="E298" t="s">
        <v>35</v>
      </c>
      <c r="F298" t="s">
        <v>26</v>
      </c>
      <c r="G298" t="s">
        <v>52</v>
      </c>
      <c r="H298" s="1">
        <v>44971.666585648149</v>
      </c>
      <c r="I298" s="1">
        <v>44973.666585648149</v>
      </c>
      <c r="J298" s="1">
        <v>44971.708252314813</v>
      </c>
      <c r="K298" s="2">
        <v>44971.674747199075</v>
      </c>
      <c r="L298" t="s">
        <v>28</v>
      </c>
      <c r="M298" s="2">
        <v>44973.513929421293</v>
      </c>
      <c r="N298" t="s">
        <v>28</v>
      </c>
      <c r="O298" s="2">
        <v>44972.829781643515</v>
      </c>
      <c r="P298">
        <v>3</v>
      </c>
      <c r="Q298">
        <v>4</v>
      </c>
      <c r="R298" t="s">
        <v>50</v>
      </c>
      <c r="S298" t="s">
        <v>30</v>
      </c>
      <c r="T298" t="s">
        <v>56</v>
      </c>
      <c r="U298">
        <v>52.536273000000001</v>
      </c>
      <c r="V298">
        <v>19.050639</v>
      </c>
      <c r="W298" t="str">
        <f t="shared" si="28"/>
        <v>ok</v>
      </c>
      <c r="X298" t="str">
        <f t="shared" si="33"/>
        <v>ok</v>
      </c>
      <c r="Y298" t="str">
        <f t="shared" si="29"/>
        <v>check</v>
      </c>
      <c r="Z298" t="str">
        <f t="shared" si="30"/>
        <v>ok</v>
      </c>
      <c r="AA298" s="4" t="str">
        <f t="shared" si="31"/>
        <v>ok</v>
      </c>
      <c r="AB298" s="4" t="str">
        <f t="shared" si="32"/>
        <v>ok</v>
      </c>
      <c r="AC298" s="6">
        <f t="shared" si="34"/>
        <v>44.336250555468723</v>
      </c>
    </row>
    <row r="299" spans="1:29" x14ac:dyDescent="0.3">
      <c r="A299" t="s">
        <v>32</v>
      </c>
      <c r="B299">
        <v>1380</v>
      </c>
      <c r="C299" t="s">
        <v>23</v>
      </c>
      <c r="D299" t="s">
        <v>24</v>
      </c>
      <c r="E299" t="s">
        <v>59</v>
      </c>
      <c r="F299" t="s">
        <v>36</v>
      </c>
      <c r="G299" t="s">
        <v>37</v>
      </c>
      <c r="H299" s="1">
        <v>44971.609444444446</v>
      </c>
      <c r="I299" s="1">
        <v>44973.609444444446</v>
      </c>
      <c r="J299" s="1">
        <v>44971.65111111111</v>
      </c>
      <c r="K299" s="2">
        <v>44971.64492392361</v>
      </c>
      <c r="L299" t="s">
        <v>28</v>
      </c>
      <c r="N299" t="s">
        <v>38</v>
      </c>
      <c r="P299">
        <v>2</v>
      </c>
      <c r="R299" t="s">
        <v>50</v>
      </c>
      <c r="S299" t="s">
        <v>40</v>
      </c>
      <c r="T299" t="s">
        <v>63</v>
      </c>
      <c r="U299">
        <v>55.378051999999997</v>
      </c>
      <c r="V299">
        <v>-3.4359730000000002</v>
      </c>
      <c r="W299" t="str">
        <f t="shared" si="28"/>
        <v>ok</v>
      </c>
      <c r="X299" t="str">
        <f t="shared" si="33"/>
        <v>ok</v>
      </c>
      <c r="Y299" t="str">
        <f t="shared" si="29"/>
        <v>ok</v>
      </c>
      <c r="Z299" t="str">
        <f t="shared" si="30"/>
        <v>ok</v>
      </c>
      <c r="AA299" s="4" t="str">
        <f t="shared" si="31"/>
        <v>ok</v>
      </c>
      <c r="AB299" s="4" t="str">
        <f t="shared" si="32"/>
        <v>no resolution</v>
      </c>
      <c r="AC299" s="6" t="str">
        <f t="shared" si="34"/>
        <v/>
      </c>
    </row>
    <row r="300" spans="1:29" x14ac:dyDescent="0.3">
      <c r="A300" t="s">
        <v>22</v>
      </c>
      <c r="B300">
        <v>1381</v>
      </c>
      <c r="C300" t="s">
        <v>47</v>
      </c>
      <c r="D300" t="s">
        <v>24</v>
      </c>
      <c r="E300" t="s">
        <v>48</v>
      </c>
      <c r="F300" t="s">
        <v>36</v>
      </c>
      <c r="G300" t="s">
        <v>64</v>
      </c>
      <c r="H300" s="1">
        <v>44971.576874999999</v>
      </c>
      <c r="I300" s="1">
        <v>44973.576874999999</v>
      </c>
      <c r="J300" s="1">
        <v>44971.618541666663</v>
      </c>
      <c r="K300" s="2">
        <v>44971.606946574073</v>
      </c>
      <c r="L300" t="s">
        <v>28</v>
      </c>
      <c r="M300" s="2">
        <v>44972.410135057871</v>
      </c>
      <c r="N300" t="s">
        <v>28</v>
      </c>
      <c r="O300" s="2">
        <v>44977.040088981485</v>
      </c>
      <c r="P300">
        <v>1</v>
      </c>
      <c r="Q300">
        <v>1</v>
      </c>
      <c r="R300" t="s">
        <v>29</v>
      </c>
      <c r="S300" t="s">
        <v>40</v>
      </c>
      <c r="T300" t="s">
        <v>57</v>
      </c>
      <c r="U300">
        <v>51.165691000000002</v>
      </c>
      <c r="V300">
        <v>10.451525999999999</v>
      </c>
      <c r="W300" t="str">
        <f t="shared" si="28"/>
        <v>ok</v>
      </c>
      <c r="X300" t="str">
        <f t="shared" si="33"/>
        <v>ok</v>
      </c>
      <c r="Y300" t="str">
        <f t="shared" si="29"/>
        <v>ok</v>
      </c>
      <c r="Z300" t="str">
        <f t="shared" si="30"/>
        <v>ok</v>
      </c>
      <c r="AA300" s="4" t="str">
        <f t="shared" si="31"/>
        <v>ok</v>
      </c>
      <c r="AB300" s="4" t="str">
        <f t="shared" si="32"/>
        <v>ok</v>
      </c>
      <c r="AC300" s="6">
        <f t="shared" si="34"/>
        <v>19.998241388937458</v>
      </c>
    </row>
    <row r="301" spans="1:29" x14ac:dyDescent="0.3">
      <c r="A301" t="s">
        <v>42</v>
      </c>
      <c r="B301">
        <v>1382</v>
      </c>
      <c r="C301" t="s">
        <v>33</v>
      </c>
      <c r="D301" t="s">
        <v>24</v>
      </c>
      <c r="E301" t="s">
        <v>48</v>
      </c>
      <c r="F301" t="s">
        <v>26</v>
      </c>
      <c r="G301" t="s">
        <v>49</v>
      </c>
      <c r="H301" s="1">
        <v>44971.948831018519</v>
      </c>
      <c r="I301" s="1">
        <v>44973.948831018519</v>
      </c>
      <c r="J301" s="1">
        <v>44971.990497685183</v>
      </c>
      <c r="K301" s="2">
        <v>44971.99798270833</v>
      </c>
      <c r="L301" t="s">
        <v>38</v>
      </c>
      <c r="M301" s="2">
        <v>44972.307031469907</v>
      </c>
      <c r="N301" t="s">
        <v>28</v>
      </c>
      <c r="P301">
        <v>3</v>
      </c>
      <c r="R301" t="s">
        <v>39</v>
      </c>
      <c r="S301" t="s">
        <v>30</v>
      </c>
      <c r="T301" t="s">
        <v>53</v>
      </c>
      <c r="U301">
        <v>39.368279000000001</v>
      </c>
      <c r="V301">
        <v>21.863140999999999</v>
      </c>
      <c r="W301" t="str">
        <f t="shared" si="28"/>
        <v>ok</v>
      </c>
      <c r="X301" t="str">
        <f t="shared" si="33"/>
        <v>ok</v>
      </c>
      <c r="Y301" t="str">
        <f t="shared" si="29"/>
        <v>ok</v>
      </c>
      <c r="Z301" t="str">
        <f t="shared" si="30"/>
        <v>ok</v>
      </c>
      <c r="AA301" s="4" t="str">
        <f t="shared" si="31"/>
        <v>ok</v>
      </c>
      <c r="AB301" s="4" t="str">
        <f t="shared" si="32"/>
        <v>ok</v>
      </c>
      <c r="AC301" s="6">
        <f t="shared" si="34"/>
        <v>8.596810833318159</v>
      </c>
    </row>
    <row r="302" spans="1:29" x14ac:dyDescent="0.3">
      <c r="A302" t="s">
        <v>42</v>
      </c>
      <c r="B302">
        <v>1383</v>
      </c>
      <c r="C302" t="s">
        <v>23</v>
      </c>
      <c r="D302" t="s">
        <v>43</v>
      </c>
      <c r="E302" t="s">
        <v>35</v>
      </c>
      <c r="F302" t="s">
        <v>26</v>
      </c>
      <c r="G302" t="s">
        <v>27</v>
      </c>
      <c r="H302" s="1">
        <v>44971.241030092591</v>
      </c>
      <c r="I302" s="1">
        <v>44972.241030092591</v>
      </c>
      <c r="J302" s="1">
        <v>44971.242418981485</v>
      </c>
      <c r="K302" s="2">
        <v>44971.242121898147</v>
      </c>
      <c r="L302" t="s">
        <v>28</v>
      </c>
      <c r="M302" s="2">
        <v>44971.381217708331</v>
      </c>
      <c r="N302" t="s">
        <v>28</v>
      </c>
      <c r="P302">
        <v>7</v>
      </c>
      <c r="R302" t="s">
        <v>50</v>
      </c>
      <c r="S302" t="s">
        <v>30</v>
      </c>
      <c r="T302" t="s">
        <v>61</v>
      </c>
      <c r="U302">
        <v>42.724992499999999</v>
      </c>
      <c r="V302">
        <v>25.483303899999999</v>
      </c>
      <c r="W302" t="str">
        <f t="shared" si="28"/>
        <v>ok</v>
      </c>
      <c r="X302" t="str">
        <f t="shared" si="33"/>
        <v>ok</v>
      </c>
      <c r="Y302" t="str">
        <f t="shared" si="29"/>
        <v>ok</v>
      </c>
      <c r="Z302" t="str">
        <f t="shared" si="30"/>
        <v>ok</v>
      </c>
      <c r="AA302" s="4" t="str">
        <f t="shared" si="31"/>
        <v>ok</v>
      </c>
      <c r="AB302" s="4" t="str">
        <f t="shared" si="32"/>
        <v>ok</v>
      </c>
      <c r="AC302" s="6">
        <f t="shared" si="34"/>
        <v>3.3645027777529322</v>
      </c>
    </row>
    <row r="303" spans="1:29" x14ac:dyDescent="0.3">
      <c r="A303" t="s">
        <v>42</v>
      </c>
      <c r="B303">
        <v>1384</v>
      </c>
      <c r="C303" t="s">
        <v>23</v>
      </c>
      <c r="D303" t="s">
        <v>34</v>
      </c>
      <c r="E303" t="s">
        <v>48</v>
      </c>
      <c r="F303" t="s">
        <v>26</v>
      </c>
      <c r="G303" t="s">
        <v>27</v>
      </c>
      <c r="H303" s="1">
        <v>44971.662581018521</v>
      </c>
      <c r="I303" s="1">
        <v>44973.662581018521</v>
      </c>
      <c r="J303" s="1">
        <v>44971.663969907408</v>
      </c>
      <c r="K303" s="2">
        <v>44971.664371932871</v>
      </c>
      <c r="L303" t="s">
        <v>38</v>
      </c>
      <c r="M303" s="2">
        <v>44971.860428182874</v>
      </c>
      <c r="N303" t="s">
        <v>28</v>
      </c>
      <c r="P303">
        <v>6</v>
      </c>
      <c r="R303" t="s">
        <v>50</v>
      </c>
      <c r="S303" t="s">
        <v>30</v>
      </c>
      <c r="T303" t="s">
        <v>57</v>
      </c>
      <c r="U303">
        <v>51.165691000000002</v>
      </c>
      <c r="V303">
        <v>10.451525999999999</v>
      </c>
      <c r="W303" t="str">
        <f t="shared" si="28"/>
        <v>ok</v>
      </c>
      <c r="X303" t="str">
        <f t="shared" si="33"/>
        <v>ok</v>
      </c>
      <c r="Y303" t="str">
        <f t="shared" si="29"/>
        <v>ok</v>
      </c>
      <c r="Z303" t="str">
        <f t="shared" si="30"/>
        <v>ok</v>
      </c>
      <c r="AA303" s="4" t="str">
        <f t="shared" si="31"/>
        <v>ok</v>
      </c>
      <c r="AB303" s="4" t="str">
        <f t="shared" si="32"/>
        <v>ok</v>
      </c>
      <c r="AC303" s="6">
        <f t="shared" si="34"/>
        <v>4.7483319444581866</v>
      </c>
    </row>
    <row r="304" spans="1:29" x14ac:dyDescent="0.3">
      <c r="A304" t="s">
        <v>22</v>
      </c>
      <c r="B304">
        <v>1385</v>
      </c>
      <c r="C304" t="s">
        <v>23</v>
      </c>
      <c r="D304" t="s">
        <v>24</v>
      </c>
      <c r="E304" t="s">
        <v>35</v>
      </c>
      <c r="F304" t="s">
        <v>36</v>
      </c>
      <c r="G304" t="s">
        <v>54</v>
      </c>
      <c r="H304" s="1">
        <v>44971.436655092592</v>
      </c>
      <c r="I304" s="1">
        <v>44973.436655092592</v>
      </c>
      <c r="J304" s="1">
        <v>44971.478321759256</v>
      </c>
      <c r="K304" s="2">
        <v>44971.457802696757</v>
      </c>
      <c r="L304" t="s">
        <v>28</v>
      </c>
      <c r="M304" s="2">
        <v>44972.353239270837</v>
      </c>
      <c r="N304" t="s">
        <v>28</v>
      </c>
      <c r="O304" s="2">
        <v>44977.241081689812</v>
      </c>
      <c r="P304">
        <v>1</v>
      </c>
      <c r="Q304">
        <v>1</v>
      </c>
      <c r="R304" t="s">
        <v>50</v>
      </c>
      <c r="S304" t="s">
        <v>40</v>
      </c>
      <c r="T304" t="s">
        <v>46</v>
      </c>
      <c r="U304">
        <v>47.696471899999999</v>
      </c>
      <c r="V304">
        <v>13.3457347</v>
      </c>
      <c r="W304" t="str">
        <f t="shared" si="28"/>
        <v>ok</v>
      </c>
      <c r="X304" t="str">
        <f t="shared" si="33"/>
        <v>ok</v>
      </c>
      <c r="Y304" t="str">
        <f t="shared" si="29"/>
        <v>ok</v>
      </c>
      <c r="Z304" t="str">
        <f t="shared" si="30"/>
        <v>ok</v>
      </c>
      <c r="AA304" s="4" t="str">
        <f t="shared" si="31"/>
        <v>ok</v>
      </c>
      <c r="AB304" s="4" t="str">
        <f t="shared" si="32"/>
        <v>ok</v>
      </c>
      <c r="AC304" s="6">
        <f t="shared" si="34"/>
        <v>21.998020277882461</v>
      </c>
    </row>
    <row r="305" spans="1:29" x14ac:dyDescent="0.3">
      <c r="A305" t="s">
        <v>22</v>
      </c>
      <c r="B305">
        <v>1386</v>
      </c>
      <c r="C305" t="s">
        <v>33</v>
      </c>
      <c r="D305" t="s">
        <v>34</v>
      </c>
      <c r="E305" t="s">
        <v>25</v>
      </c>
      <c r="F305" t="s">
        <v>36</v>
      </c>
      <c r="G305" t="s">
        <v>54</v>
      </c>
      <c r="H305" s="1">
        <v>44971.350405092591</v>
      </c>
      <c r="I305" s="1">
        <v>44973.350405092591</v>
      </c>
      <c r="J305" s="1">
        <v>44971.351793981485</v>
      </c>
      <c r="K305" s="2">
        <v>44971.352446111108</v>
      </c>
      <c r="L305" t="s">
        <v>38</v>
      </c>
      <c r="M305" s="2">
        <v>44971.718334131947</v>
      </c>
      <c r="N305" t="s">
        <v>28</v>
      </c>
      <c r="O305" s="2">
        <v>44973.140458518516</v>
      </c>
      <c r="P305">
        <v>2</v>
      </c>
      <c r="Q305">
        <v>1</v>
      </c>
      <c r="R305" t="s">
        <v>39</v>
      </c>
      <c r="S305" t="s">
        <v>40</v>
      </c>
      <c r="T305" t="s">
        <v>41</v>
      </c>
      <c r="U305">
        <v>43.036776000000003</v>
      </c>
      <c r="V305">
        <v>12.678565000000001</v>
      </c>
      <c r="W305" t="str">
        <f t="shared" si="28"/>
        <v>ok</v>
      </c>
      <c r="X305" t="str">
        <f t="shared" si="33"/>
        <v>ok</v>
      </c>
      <c r="Y305" t="str">
        <f t="shared" si="29"/>
        <v>ok</v>
      </c>
      <c r="Z305" t="str">
        <f t="shared" si="30"/>
        <v>ok</v>
      </c>
      <c r="AA305" s="4" t="str">
        <f t="shared" si="31"/>
        <v>ok</v>
      </c>
      <c r="AB305" s="4" t="str">
        <f t="shared" si="32"/>
        <v>ok</v>
      </c>
      <c r="AC305" s="6">
        <f t="shared" si="34"/>
        <v>8.830296944535803</v>
      </c>
    </row>
    <row r="306" spans="1:29" x14ac:dyDescent="0.3">
      <c r="A306" t="s">
        <v>32</v>
      </c>
      <c r="B306">
        <v>1387</v>
      </c>
      <c r="C306" t="s">
        <v>47</v>
      </c>
      <c r="D306" t="s">
        <v>34</v>
      </c>
      <c r="E306" t="s">
        <v>39</v>
      </c>
      <c r="F306" t="s">
        <v>26</v>
      </c>
      <c r="G306" t="s">
        <v>27</v>
      </c>
      <c r="H306" s="1">
        <v>44972.763356481482</v>
      </c>
      <c r="I306" s="1">
        <v>44974.763356481482</v>
      </c>
      <c r="J306" s="1">
        <v>44972.764745370368</v>
      </c>
      <c r="K306" s="2">
        <v>44972.763515254628</v>
      </c>
      <c r="L306" t="s">
        <v>28</v>
      </c>
      <c r="N306" t="s">
        <v>38</v>
      </c>
      <c r="P306">
        <v>2</v>
      </c>
      <c r="R306" t="s">
        <v>50</v>
      </c>
      <c r="S306" t="s">
        <v>30</v>
      </c>
      <c r="T306" t="s">
        <v>56</v>
      </c>
      <c r="U306">
        <v>52.536273000000001</v>
      </c>
      <c r="V306">
        <v>19.050639</v>
      </c>
      <c r="W306" t="str">
        <f t="shared" si="28"/>
        <v>ok</v>
      </c>
      <c r="X306" t="str">
        <f t="shared" si="33"/>
        <v>ok</v>
      </c>
      <c r="Y306" t="str">
        <f t="shared" si="29"/>
        <v>ok</v>
      </c>
      <c r="Z306" t="str">
        <f t="shared" si="30"/>
        <v>ok</v>
      </c>
      <c r="AA306" s="4" t="str">
        <f t="shared" si="31"/>
        <v>ok</v>
      </c>
      <c r="AB306" s="4" t="str">
        <f t="shared" si="32"/>
        <v>no resolution</v>
      </c>
      <c r="AC306" s="6" t="str">
        <f t="shared" si="34"/>
        <v/>
      </c>
    </row>
    <row r="307" spans="1:29" x14ac:dyDescent="0.3">
      <c r="A307" t="s">
        <v>22</v>
      </c>
      <c r="B307">
        <v>1388</v>
      </c>
      <c r="C307" t="s">
        <v>23</v>
      </c>
      <c r="D307" t="s">
        <v>24</v>
      </c>
      <c r="E307" t="s">
        <v>48</v>
      </c>
      <c r="F307" t="s">
        <v>26</v>
      </c>
      <c r="G307" t="s">
        <v>52</v>
      </c>
      <c r="H307" s="1">
        <v>44972.728310185186</v>
      </c>
      <c r="I307" s="1">
        <v>44974.728310185186</v>
      </c>
      <c r="J307" s="1">
        <v>44972.769976851851</v>
      </c>
      <c r="K307" s="2">
        <v>44972.752051701391</v>
      </c>
      <c r="L307" t="s">
        <v>28</v>
      </c>
      <c r="M307" s="2">
        <v>44974.537319467592</v>
      </c>
      <c r="N307" t="s">
        <v>28</v>
      </c>
      <c r="O307" s="2">
        <v>44978.301924155094</v>
      </c>
      <c r="P307">
        <v>7</v>
      </c>
      <c r="Q307">
        <v>5</v>
      </c>
      <c r="R307" t="s">
        <v>50</v>
      </c>
      <c r="S307" t="s">
        <v>30</v>
      </c>
      <c r="T307" t="s">
        <v>41</v>
      </c>
      <c r="U307">
        <v>43.036776000000003</v>
      </c>
      <c r="V307">
        <v>12.678565000000001</v>
      </c>
      <c r="W307" t="str">
        <f t="shared" si="28"/>
        <v>ok</v>
      </c>
      <c r="X307" t="str">
        <f t="shared" si="33"/>
        <v>ok</v>
      </c>
      <c r="Y307" t="str">
        <f t="shared" si="29"/>
        <v>ok</v>
      </c>
      <c r="Z307" t="str">
        <f t="shared" si="30"/>
        <v>ok</v>
      </c>
      <c r="AA307" s="4" t="str">
        <f t="shared" si="31"/>
        <v>ok</v>
      </c>
      <c r="AB307" s="4" t="str">
        <f t="shared" si="32"/>
        <v>ok</v>
      </c>
      <c r="AC307" s="6">
        <f t="shared" si="34"/>
        <v>43.416222777741496</v>
      </c>
    </row>
    <row r="308" spans="1:29" x14ac:dyDescent="0.3">
      <c r="A308" t="s">
        <v>22</v>
      </c>
      <c r="B308">
        <v>1389</v>
      </c>
      <c r="C308" t="s">
        <v>23</v>
      </c>
      <c r="D308" t="s">
        <v>24</v>
      </c>
      <c r="E308" t="s">
        <v>48</v>
      </c>
      <c r="F308" t="s">
        <v>36</v>
      </c>
      <c r="G308" t="s">
        <v>54</v>
      </c>
      <c r="H308" s="1">
        <v>44972.717395833337</v>
      </c>
      <c r="I308" s="1">
        <v>44974.717395833337</v>
      </c>
      <c r="J308" s="1">
        <v>44972.759062500001</v>
      </c>
      <c r="K308" s="2">
        <v>44972.724922037036</v>
      </c>
      <c r="L308" t="s">
        <v>28</v>
      </c>
      <c r="M308" s="2">
        <v>44973.613331875</v>
      </c>
      <c r="N308" t="s">
        <v>28</v>
      </c>
      <c r="O308" s="2">
        <v>44974.568836631945</v>
      </c>
      <c r="P308">
        <v>6</v>
      </c>
      <c r="Q308">
        <v>1</v>
      </c>
      <c r="R308" t="s">
        <v>29</v>
      </c>
      <c r="S308" t="s">
        <v>40</v>
      </c>
      <c r="T308" t="s">
        <v>53</v>
      </c>
      <c r="U308">
        <v>39.368279000000001</v>
      </c>
      <c r="V308">
        <v>21.863140999999999</v>
      </c>
      <c r="W308" t="str">
        <f t="shared" si="28"/>
        <v>ok</v>
      </c>
      <c r="X308" t="str">
        <f t="shared" si="33"/>
        <v>ok</v>
      </c>
      <c r="Y308" t="str">
        <f t="shared" si="29"/>
        <v>ok</v>
      </c>
      <c r="Z308" t="str">
        <f t="shared" si="30"/>
        <v>ok</v>
      </c>
      <c r="AA308" s="4" t="str">
        <f t="shared" si="31"/>
        <v>ok</v>
      </c>
      <c r="AB308" s="4" t="str">
        <f t="shared" si="32"/>
        <v>ok</v>
      </c>
      <c r="AC308" s="6">
        <f t="shared" si="34"/>
        <v>21.502464999910444</v>
      </c>
    </row>
    <row r="309" spans="1:29" x14ac:dyDescent="0.3">
      <c r="A309" t="s">
        <v>42</v>
      </c>
      <c r="B309">
        <v>1390</v>
      </c>
      <c r="C309" t="s">
        <v>33</v>
      </c>
      <c r="D309" t="s">
        <v>24</v>
      </c>
      <c r="E309" t="s">
        <v>35</v>
      </c>
      <c r="F309" t="s">
        <v>26</v>
      </c>
      <c r="G309" t="s">
        <v>60</v>
      </c>
      <c r="H309" s="1">
        <v>44972.08425925926</v>
      </c>
      <c r="I309" s="1">
        <v>44974.08425925926</v>
      </c>
      <c r="J309" s="1">
        <v>44972.125925925924</v>
      </c>
      <c r="K309" s="2">
        <v>44972.10241078704</v>
      </c>
      <c r="L309" t="s">
        <v>28</v>
      </c>
      <c r="M309" s="2">
        <v>44974.001831388887</v>
      </c>
      <c r="N309" t="s">
        <v>28</v>
      </c>
      <c r="P309">
        <v>10</v>
      </c>
      <c r="R309" t="s">
        <v>50</v>
      </c>
      <c r="S309" t="s">
        <v>30</v>
      </c>
      <c r="T309" t="s">
        <v>56</v>
      </c>
      <c r="U309">
        <v>52.536273000000001</v>
      </c>
      <c r="V309">
        <v>19.050639</v>
      </c>
      <c r="W309" t="str">
        <f t="shared" si="28"/>
        <v>ok</v>
      </c>
      <c r="X309" t="str">
        <f t="shared" si="33"/>
        <v>ok</v>
      </c>
      <c r="Y309" t="str">
        <f t="shared" si="29"/>
        <v>ok</v>
      </c>
      <c r="Z309" t="str">
        <f t="shared" si="30"/>
        <v>ok</v>
      </c>
      <c r="AA309" s="4" t="str">
        <f t="shared" si="31"/>
        <v>ok</v>
      </c>
      <c r="AB309" s="4" t="str">
        <f t="shared" si="32"/>
        <v>ok</v>
      </c>
      <c r="AC309" s="6">
        <f t="shared" si="34"/>
        <v>46.021731111046392</v>
      </c>
    </row>
    <row r="310" spans="1:29" x14ac:dyDescent="0.3">
      <c r="A310" t="s">
        <v>42</v>
      </c>
      <c r="B310">
        <v>1391</v>
      </c>
      <c r="C310" t="s">
        <v>23</v>
      </c>
      <c r="D310" t="s">
        <v>24</v>
      </c>
      <c r="E310" t="s">
        <v>59</v>
      </c>
      <c r="F310" t="s">
        <v>26</v>
      </c>
      <c r="G310" t="s">
        <v>52</v>
      </c>
      <c r="H310" s="1">
        <v>44972.004594907405</v>
      </c>
      <c r="I310" s="1">
        <v>44974.004594907405</v>
      </c>
      <c r="J310" s="1">
        <v>44972.046261574076</v>
      </c>
      <c r="K310" s="2">
        <v>44972.016316979163</v>
      </c>
      <c r="L310" t="s">
        <v>28</v>
      </c>
      <c r="M310" s="2">
        <v>44972.463580810188</v>
      </c>
      <c r="N310" t="s">
        <v>28</v>
      </c>
      <c r="P310">
        <v>8</v>
      </c>
      <c r="R310" t="s">
        <v>50</v>
      </c>
      <c r="S310" t="s">
        <v>30</v>
      </c>
      <c r="T310" t="s">
        <v>63</v>
      </c>
      <c r="U310">
        <v>55.378051999999997</v>
      </c>
      <c r="V310">
        <v>-3.4359730000000002</v>
      </c>
      <c r="W310" t="str">
        <f t="shared" si="28"/>
        <v>ok</v>
      </c>
      <c r="X310" t="str">
        <f t="shared" si="33"/>
        <v>ok</v>
      </c>
      <c r="Y310" t="str">
        <f t="shared" si="29"/>
        <v>ok</v>
      </c>
      <c r="Z310" t="str">
        <f t="shared" si="30"/>
        <v>ok</v>
      </c>
      <c r="AA310" s="4" t="str">
        <f t="shared" si="31"/>
        <v>ok</v>
      </c>
      <c r="AB310" s="4" t="str">
        <f t="shared" si="32"/>
        <v>ok</v>
      </c>
      <c r="AC310" s="6">
        <f t="shared" si="34"/>
        <v>11.015661666810047</v>
      </c>
    </row>
    <row r="311" spans="1:29" x14ac:dyDescent="0.3">
      <c r="A311" t="s">
        <v>22</v>
      </c>
      <c r="B311">
        <v>1392</v>
      </c>
      <c r="C311" t="s">
        <v>23</v>
      </c>
      <c r="D311" t="s">
        <v>24</v>
      </c>
      <c r="E311" t="s">
        <v>67</v>
      </c>
      <c r="F311" t="s">
        <v>26</v>
      </c>
      <c r="G311" t="s">
        <v>45</v>
      </c>
      <c r="H311" s="1">
        <v>44972.512662037036</v>
      </c>
      <c r="I311" s="1">
        <v>44974.512662037036</v>
      </c>
      <c r="J311" s="1">
        <v>44972.554328703707</v>
      </c>
      <c r="K311" s="2">
        <v>44972.514500532408</v>
      </c>
      <c r="L311" t="s">
        <v>28</v>
      </c>
      <c r="M311" s="2">
        <v>44975.651428483798</v>
      </c>
      <c r="N311" t="s">
        <v>38</v>
      </c>
      <c r="O311" s="2">
        <v>44977.247792847222</v>
      </c>
      <c r="P311">
        <v>5</v>
      </c>
      <c r="Q311">
        <v>5</v>
      </c>
      <c r="R311" t="s">
        <v>29</v>
      </c>
      <c r="S311" t="s">
        <v>30</v>
      </c>
      <c r="T311" t="s">
        <v>51</v>
      </c>
      <c r="U311">
        <v>39.673369999999998</v>
      </c>
      <c r="V311">
        <v>-4.7677259999999997</v>
      </c>
      <c r="W311" t="str">
        <f t="shared" si="28"/>
        <v>ok</v>
      </c>
      <c r="X311" t="str">
        <f t="shared" si="33"/>
        <v>ok</v>
      </c>
      <c r="Y311" t="str">
        <f t="shared" si="29"/>
        <v>ok</v>
      </c>
      <c r="Z311" t="str">
        <f t="shared" si="30"/>
        <v>ok</v>
      </c>
      <c r="AA311" s="4" t="str">
        <f t="shared" si="31"/>
        <v>ok</v>
      </c>
      <c r="AB311" s="4" t="str">
        <f t="shared" si="32"/>
        <v>ok</v>
      </c>
      <c r="AC311" s="6">
        <f t="shared" si="34"/>
        <v>75.330394722288474</v>
      </c>
    </row>
    <row r="312" spans="1:29" x14ac:dyDescent="0.3">
      <c r="A312" t="s">
        <v>42</v>
      </c>
      <c r="B312">
        <v>1393</v>
      </c>
      <c r="C312" t="s">
        <v>33</v>
      </c>
      <c r="D312" t="s">
        <v>34</v>
      </c>
      <c r="E312" t="s">
        <v>67</v>
      </c>
      <c r="F312" t="s">
        <v>26</v>
      </c>
      <c r="G312" t="s">
        <v>27</v>
      </c>
      <c r="H312" s="1">
        <v>44972.020185185182</v>
      </c>
      <c r="I312" s="1">
        <v>44974.020185185182</v>
      </c>
      <c r="J312" s="1">
        <v>44972.021574074075</v>
      </c>
      <c r="K312" s="2">
        <v>44972.020723472226</v>
      </c>
      <c r="L312" t="s">
        <v>28</v>
      </c>
      <c r="M312" s="2">
        <v>44972.744940243057</v>
      </c>
      <c r="N312" t="s">
        <v>28</v>
      </c>
      <c r="P312">
        <v>1</v>
      </c>
      <c r="R312" t="s">
        <v>29</v>
      </c>
      <c r="S312" t="s">
        <v>30</v>
      </c>
      <c r="T312" t="s">
        <v>41</v>
      </c>
      <c r="U312">
        <v>43.036776000000003</v>
      </c>
      <c r="V312">
        <v>12.678565000000001</v>
      </c>
      <c r="W312" t="str">
        <f t="shared" si="28"/>
        <v>ok</v>
      </c>
      <c r="X312" t="str">
        <f t="shared" si="33"/>
        <v>ok</v>
      </c>
      <c r="Y312" t="str">
        <f t="shared" si="29"/>
        <v>ok</v>
      </c>
      <c r="Z312" t="str">
        <f t="shared" si="30"/>
        <v>ok</v>
      </c>
      <c r="AA312" s="4" t="str">
        <f t="shared" si="31"/>
        <v>ok</v>
      </c>
      <c r="AB312" s="4" t="str">
        <f t="shared" si="32"/>
        <v>ok</v>
      </c>
      <c r="AC312" s="6">
        <f t="shared" si="34"/>
        <v>17.394121389021166</v>
      </c>
    </row>
    <row r="313" spans="1:29" x14ac:dyDescent="0.3">
      <c r="A313" t="s">
        <v>42</v>
      </c>
      <c r="B313">
        <v>1394</v>
      </c>
      <c r="C313" t="s">
        <v>33</v>
      </c>
      <c r="D313" t="s">
        <v>24</v>
      </c>
      <c r="E313" t="s">
        <v>48</v>
      </c>
      <c r="F313" t="s">
        <v>36</v>
      </c>
      <c r="G313" t="s">
        <v>64</v>
      </c>
      <c r="H313" s="1">
        <v>44972.670057870368</v>
      </c>
      <c r="I313" s="1">
        <v>44974.670057870368</v>
      </c>
      <c r="J313" s="1">
        <v>44972.711724537039</v>
      </c>
      <c r="K313" s="2">
        <v>44972.677148692128</v>
      </c>
      <c r="L313" t="s">
        <v>28</v>
      </c>
      <c r="M313" s="2">
        <v>44974.310633969908</v>
      </c>
      <c r="N313" t="s">
        <v>28</v>
      </c>
      <c r="P313">
        <v>1</v>
      </c>
      <c r="R313" t="s">
        <v>50</v>
      </c>
      <c r="S313" t="s">
        <v>40</v>
      </c>
      <c r="T313" t="s">
        <v>63</v>
      </c>
      <c r="U313">
        <v>55.378051999999997</v>
      </c>
      <c r="V313">
        <v>-3.4359730000000002</v>
      </c>
      <c r="W313" t="str">
        <f t="shared" si="28"/>
        <v>ok</v>
      </c>
      <c r="X313" t="str">
        <f t="shared" si="33"/>
        <v>ok</v>
      </c>
      <c r="Y313" t="str">
        <f t="shared" si="29"/>
        <v>ok</v>
      </c>
      <c r="Z313" t="str">
        <f t="shared" si="30"/>
        <v>ok</v>
      </c>
      <c r="AA313" s="4" t="str">
        <f t="shared" si="31"/>
        <v>ok</v>
      </c>
      <c r="AB313" s="4" t="str">
        <f t="shared" si="32"/>
        <v>ok</v>
      </c>
      <c r="AC313" s="6">
        <f t="shared" si="34"/>
        <v>39.373826388968155</v>
      </c>
    </row>
    <row r="314" spans="1:29" x14ac:dyDescent="0.3">
      <c r="A314" t="s">
        <v>22</v>
      </c>
      <c r="B314">
        <v>1395</v>
      </c>
      <c r="C314" t="s">
        <v>47</v>
      </c>
      <c r="D314" t="s">
        <v>43</v>
      </c>
      <c r="E314" t="s">
        <v>35</v>
      </c>
      <c r="F314" t="s">
        <v>26</v>
      </c>
      <c r="G314" t="s">
        <v>45</v>
      </c>
      <c r="H314" s="1">
        <v>44972.419548611113</v>
      </c>
      <c r="I314" s="1">
        <v>44973.419548611113</v>
      </c>
      <c r="J314" s="1">
        <v>44972.420937499999</v>
      </c>
      <c r="K314" s="2">
        <v>44972.42050054398</v>
      </c>
      <c r="L314" t="s">
        <v>28</v>
      </c>
      <c r="M314" s="2">
        <v>44972.7231546412</v>
      </c>
      <c r="N314" t="s">
        <v>28</v>
      </c>
      <c r="O314" s="2">
        <v>44978.173202754631</v>
      </c>
      <c r="P314">
        <v>6</v>
      </c>
      <c r="Q314">
        <v>4</v>
      </c>
      <c r="R314" t="s">
        <v>39</v>
      </c>
      <c r="S314" t="s">
        <v>30</v>
      </c>
      <c r="T314" t="s">
        <v>56</v>
      </c>
      <c r="U314">
        <v>52.536273000000001</v>
      </c>
      <c r="V314">
        <v>19.050639</v>
      </c>
      <c r="W314" t="str">
        <f t="shared" si="28"/>
        <v>ok</v>
      </c>
      <c r="X314" t="str">
        <f t="shared" si="33"/>
        <v>ok</v>
      </c>
      <c r="Y314" t="str">
        <f t="shared" si="29"/>
        <v>ok</v>
      </c>
      <c r="Z314" t="str">
        <f t="shared" si="30"/>
        <v>ok</v>
      </c>
      <c r="AA314" s="4" t="str">
        <f t="shared" si="31"/>
        <v>ok</v>
      </c>
      <c r="AB314" s="4" t="str">
        <f t="shared" si="32"/>
        <v>ok</v>
      </c>
      <c r="AC314" s="6">
        <f t="shared" si="34"/>
        <v>7.2865447220974602</v>
      </c>
    </row>
    <row r="315" spans="1:29" x14ac:dyDescent="0.3">
      <c r="A315" t="s">
        <v>42</v>
      </c>
      <c r="B315">
        <v>1396</v>
      </c>
      <c r="C315" t="s">
        <v>23</v>
      </c>
      <c r="D315" t="s">
        <v>24</v>
      </c>
      <c r="E315" t="s">
        <v>44</v>
      </c>
      <c r="F315" t="s">
        <v>26</v>
      </c>
      <c r="G315" t="s">
        <v>27</v>
      </c>
      <c r="H315" s="1">
        <v>44972.191307870373</v>
      </c>
      <c r="I315" s="1">
        <v>44974.191307870373</v>
      </c>
      <c r="J315" s="1">
        <v>44972.232974537037</v>
      </c>
      <c r="K315" s="2">
        <v>44972.290655983794</v>
      </c>
      <c r="L315" t="s">
        <v>38</v>
      </c>
      <c r="M315" s="2">
        <v>44973.530812129633</v>
      </c>
      <c r="N315" t="s">
        <v>28</v>
      </c>
      <c r="P315">
        <v>1</v>
      </c>
      <c r="R315" t="s">
        <v>50</v>
      </c>
      <c r="S315" t="s">
        <v>30</v>
      </c>
      <c r="T315" t="s">
        <v>41</v>
      </c>
      <c r="U315">
        <v>43.036776000000003</v>
      </c>
      <c r="V315">
        <v>12.678565000000001</v>
      </c>
      <c r="W315" t="str">
        <f t="shared" si="28"/>
        <v>ok</v>
      </c>
      <c r="X315" t="str">
        <f t="shared" si="33"/>
        <v>ok</v>
      </c>
      <c r="Y315" t="str">
        <f t="shared" si="29"/>
        <v>ok</v>
      </c>
      <c r="Z315" t="str">
        <f t="shared" si="30"/>
        <v>ok</v>
      </c>
      <c r="AA315" s="4" t="str">
        <f t="shared" si="31"/>
        <v>ok</v>
      </c>
      <c r="AB315" s="4" t="str">
        <f t="shared" si="32"/>
        <v>ok</v>
      </c>
      <c r="AC315" s="6">
        <f t="shared" si="34"/>
        <v>32.148102222243324</v>
      </c>
    </row>
    <row r="316" spans="1:29" x14ac:dyDescent="0.3">
      <c r="A316" t="s">
        <v>42</v>
      </c>
      <c r="B316">
        <v>1397</v>
      </c>
      <c r="C316" t="s">
        <v>23</v>
      </c>
      <c r="D316" t="s">
        <v>24</v>
      </c>
      <c r="E316" t="s">
        <v>35</v>
      </c>
      <c r="F316" t="s">
        <v>26</v>
      </c>
      <c r="G316" t="s">
        <v>52</v>
      </c>
      <c r="H316" s="1">
        <v>44973.018333333333</v>
      </c>
      <c r="I316" s="1">
        <v>44975.018333333333</v>
      </c>
      <c r="J316" s="1">
        <v>44973.06</v>
      </c>
      <c r="K316" s="2">
        <v>44973.038477557871</v>
      </c>
      <c r="L316" t="s">
        <v>28</v>
      </c>
      <c r="M316" s="2">
        <v>44973.271224618053</v>
      </c>
      <c r="N316" t="s">
        <v>28</v>
      </c>
      <c r="P316">
        <v>1</v>
      </c>
      <c r="R316" t="s">
        <v>39</v>
      </c>
      <c r="S316" t="s">
        <v>30</v>
      </c>
      <c r="T316" t="s">
        <v>61</v>
      </c>
      <c r="U316">
        <v>42.724992499999999</v>
      </c>
      <c r="V316">
        <v>25.483303899999999</v>
      </c>
      <c r="W316" t="str">
        <f t="shared" si="28"/>
        <v>ok</v>
      </c>
      <c r="X316" t="str">
        <f t="shared" si="33"/>
        <v>ok</v>
      </c>
      <c r="Y316" t="str">
        <f t="shared" si="29"/>
        <v>ok</v>
      </c>
      <c r="Z316" t="str">
        <f t="shared" si="30"/>
        <v>ok</v>
      </c>
      <c r="AA316" s="4" t="str">
        <f t="shared" si="31"/>
        <v>ok</v>
      </c>
      <c r="AB316" s="4" t="str">
        <f t="shared" si="32"/>
        <v>ok</v>
      </c>
      <c r="AC316" s="6">
        <f t="shared" si="34"/>
        <v>6.0693908332614228</v>
      </c>
    </row>
    <row r="317" spans="1:29" x14ac:dyDescent="0.3">
      <c r="A317" t="s">
        <v>22</v>
      </c>
      <c r="B317">
        <v>1398</v>
      </c>
      <c r="C317" t="s">
        <v>33</v>
      </c>
      <c r="D317" t="s">
        <v>24</v>
      </c>
      <c r="E317" t="s">
        <v>25</v>
      </c>
      <c r="F317" t="s">
        <v>26</v>
      </c>
      <c r="G317" t="s">
        <v>52</v>
      </c>
      <c r="H317" s="1">
        <v>44973.318611111114</v>
      </c>
      <c r="I317" s="1">
        <v>44975.318611111114</v>
      </c>
      <c r="J317" s="1">
        <v>44973.360277777778</v>
      </c>
      <c r="K317" s="2">
        <v>44973.346401747687</v>
      </c>
      <c r="L317" t="s">
        <v>28</v>
      </c>
      <c r="M317" s="2">
        <v>44974.77236920139</v>
      </c>
      <c r="N317" t="s">
        <v>28</v>
      </c>
      <c r="O317" s="2">
        <v>44976.405063692131</v>
      </c>
      <c r="P317">
        <v>9</v>
      </c>
      <c r="Q317">
        <v>4</v>
      </c>
      <c r="R317" t="s">
        <v>50</v>
      </c>
      <c r="S317" t="s">
        <v>30</v>
      </c>
      <c r="T317" t="s">
        <v>57</v>
      </c>
      <c r="U317">
        <v>51.165691000000002</v>
      </c>
      <c r="V317">
        <v>10.451525999999999</v>
      </c>
      <c r="W317" t="str">
        <f t="shared" si="28"/>
        <v>ok</v>
      </c>
      <c r="X317" t="str">
        <f t="shared" si="33"/>
        <v>ok</v>
      </c>
      <c r="Y317" t="str">
        <f t="shared" si="29"/>
        <v>ok</v>
      </c>
      <c r="Z317" t="str">
        <f t="shared" si="30"/>
        <v>ok</v>
      </c>
      <c r="AA317" s="4" t="str">
        <f t="shared" si="31"/>
        <v>ok</v>
      </c>
      <c r="AB317" s="4" t="str">
        <f t="shared" si="32"/>
        <v>ok</v>
      </c>
      <c r="AC317" s="6">
        <f t="shared" si="34"/>
        <v>34.890194166626316</v>
      </c>
    </row>
    <row r="318" spans="1:29" x14ac:dyDescent="0.3">
      <c r="A318" t="s">
        <v>32</v>
      </c>
      <c r="B318">
        <v>1399</v>
      </c>
      <c r="C318" t="s">
        <v>47</v>
      </c>
      <c r="D318" t="s">
        <v>43</v>
      </c>
      <c r="E318" t="s">
        <v>48</v>
      </c>
      <c r="F318" t="s">
        <v>36</v>
      </c>
      <c r="G318" t="s">
        <v>54</v>
      </c>
      <c r="H318" s="1">
        <v>44973.500034722223</v>
      </c>
      <c r="I318" s="1">
        <v>44974.500034722223</v>
      </c>
      <c r="J318" s="1">
        <v>44973.501423611109</v>
      </c>
      <c r="K318" s="2">
        <v>44973.500924513886</v>
      </c>
      <c r="L318" t="s">
        <v>28</v>
      </c>
      <c r="N318" t="s">
        <v>38</v>
      </c>
      <c r="P318">
        <v>60</v>
      </c>
      <c r="R318" t="s">
        <v>29</v>
      </c>
      <c r="S318" t="s">
        <v>40</v>
      </c>
      <c r="T318" t="s">
        <v>56</v>
      </c>
      <c r="U318">
        <v>52.536273000000001</v>
      </c>
      <c r="V318">
        <v>19.050639</v>
      </c>
      <c r="W318" t="str">
        <f t="shared" si="28"/>
        <v>ok</v>
      </c>
      <c r="X318" t="str">
        <f t="shared" si="33"/>
        <v>ok</v>
      </c>
      <c r="Y318" t="str">
        <f t="shared" si="29"/>
        <v>ok</v>
      </c>
      <c r="Z318" t="str">
        <f t="shared" si="30"/>
        <v>ok</v>
      </c>
      <c r="AA318" s="4" t="str">
        <f t="shared" si="31"/>
        <v>ok</v>
      </c>
      <c r="AB318" s="4" t="str">
        <f t="shared" si="32"/>
        <v>no resolution</v>
      </c>
      <c r="AC318" s="6" t="str">
        <f t="shared" si="34"/>
        <v/>
      </c>
    </row>
    <row r="319" spans="1:29" x14ac:dyDescent="0.3">
      <c r="A319" t="s">
        <v>22</v>
      </c>
      <c r="B319">
        <v>1400</v>
      </c>
      <c r="C319" t="s">
        <v>47</v>
      </c>
      <c r="D319" t="s">
        <v>43</v>
      </c>
      <c r="E319" t="s">
        <v>35</v>
      </c>
      <c r="F319" t="s">
        <v>26</v>
      </c>
      <c r="G319" t="s">
        <v>60</v>
      </c>
      <c r="H319" s="1">
        <v>44973.789583333331</v>
      </c>
      <c r="I319" s="1">
        <v>44974.789583333331</v>
      </c>
      <c r="J319" s="1">
        <v>44973.790972222225</v>
      </c>
      <c r="K319" s="2">
        <v>44973.790029317126</v>
      </c>
      <c r="L319" t="s">
        <v>28</v>
      </c>
      <c r="M319" s="2">
        <v>44973.9819240625</v>
      </c>
      <c r="N319" t="s">
        <v>28</v>
      </c>
      <c r="O319" s="2">
        <v>44979.962354178242</v>
      </c>
      <c r="P319">
        <v>6</v>
      </c>
      <c r="Q319">
        <v>4</v>
      </c>
      <c r="R319" t="s">
        <v>55</v>
      </c>
      <c r="S319" t="s">
        <v>30</v>
      </c>
      <c r="T319" t="s">
        <v>65</v>
      </c>
      <c r="U319">
        <v>46.149166399999999</v>
      </c>
      <c r="V319">
        <v>14.9860106</v>
      </c>
      <c r="W319" t="str">
        <f t="shared" si="28"/>
        <v>ok</v>
      </c>
      <c r="X319" t="str">
        <f t="shared" si="33"/>
        <v>ok</v>
      </c>
      <c r="Y319" t="str">
        <f t="shared" si="29"/>
        <v>ok</v>
      </c>
      <c r="Z319" t="str">
        <f t="shared" si="30"/>
        <v>ok</v>
      </c>
      <c r="AA319" s="4" t="str">
        <f t="shared" si="31"/>
        <v>ok</v>
      </c>
      <c r="AB319" s="4" t="str">
        <f t="shared" si="32"/>
        <v>ok</v>
      </c>
      <c r="AC319" s="6">
        <f t="shared" si="34"/>
        <v>4.6161775000509806</v>
      </c>
    </row>
    <row r="320" spans="1:29" x14ac:dyDescent="0.3">
      <c r="A320" t="s">
        <v>42</v>
      </c>
      <c r="B320">
        <v>1401</v>
      </c>
      <c r="C320" t="s">
        <v>23</v>
      </c>
      <c r="D320" t="s">
        <v>24</v>
      </c>
      <c r="E320" t="s">
        <v>35</v>
      </c>
      <c r="F320" t="s">
        <v>36</v>
      </c>
      <c r="G320" t="s">
        <v>64</v>
      </c>
      <c r="H320" s="1">
        <v>44973.28466435185</v>
      </c>
      <c r="I320" s="1">
        <v>44975.28466435185</v>
      </c>
      <c r="J320" s="1">
        <v>44973.326331018521</v>
      </c>
      <c r="K320" s="2">
        <v>44973.298293599539</v>
      </c>
      <c r="L320" t="s">
        <v>28</v>
      </c>
      <c r="M320" s="2">
        <v>44973.886507337964</v>
      </c>
      <c r="N320" t="s">
        <v>28</v>
      </c>
      <c r="P320">
        <v>1</v>
      </c>
      <c r="R320" t="s">
        <v>29</v>
      </c>
      <c r="S320" t="s">
        <v>40</v>
      </c>
      <c r="T320" t="s">
        <v>56</v>
      </c>
      <c r="U320">
        <v>52.536273000000001</v>
      </c>
      <c r="V320">
        <v>19.050639</v>
      </c>
      <c r="W320" t="str">
        <f t="shared" si="28"/>
        <v>ok</v>
      </c>
      <c r="X320" t="str">
        <f t="shared" si="33"/>
        <v>ok</v>
      </c>
      <c r="Y320" t="str">
        <f t="shared" si="29"/>
        <v>ok</v>
      </c>
      <c r="Z320" t="str">
        <f t="shared" si="30"/>
        <v>ok</v>
      </c>
      <c r="AA320" s="4" t="str">
        <f t="shared" si="31"/>
        <v>ok</v>
      </c>
      <c r="AB320" s="4" t="str">
        <f t="shared" si="32"/>
        <v>ok</v>
      </c>
      <c r="AC320" s="6">
        <f t="shared" si="34"/>
        <v>14.444231666740961</v>
      </c>
    </row>
    <row r="321" spans="1:29" x14ac:dyDescent="0.3">
      <c r="A321" t="s">
        <v>42</v>
      </c>
      <c r="B321">
        <v>1402</v>
      </c>
      <c r="C321" t="s">
        <v>23</v>
      </c>
      <c r="D321" t="s">
        <v>43</v>
      </c>
      <c r="E321" t="s">
        <v>35</v>
      </c>
      <c r="F321" t="s">
        <v>26</v>
      </c>
      <c r="G321" t="s">
        <v>45</v>
      </c>
      <c r="H321" s="1">
        <v>44974.879837962966</v>
      </c>
      <c r="I321" s="1">
        <v>44975.879837962966</v>
      </c>
      <c r="J321" s="1">
        <v>44974.881226851852</v>
      </c>
      <c r="K321" s="2">
        <v>44974.882822037034</v>
      </c>
      <c r="L321" t="s">
        <v>38</v>
      </c>
      <c r="M321" s="2">
        <v>44975.628250520836</v>
      </c>
      <c r="N321" t="s">
        <v>28</v>
      </c>
      <c r="P321">
        <v>6</v>
      </c>
      <c r="R321" t="s">
        <v>55</v>
      </c>
      <c r="S321" t="s">
        <v>30</v>
      </c>
      <c r="T321" t="s">
        <v>57</v>
      </c>
      <c r="U321">
        <v>51.165691000000002</v>
      </c>
      <c r="V321">
        <v>10.451525999999999</v>
      </c>
      <c r="W321" t="str">
        <f t="shared" si="28"/>
        <v>ok</v>
      </c>
      <c r="X321" t="str">
        <f t="shared" si="33"/>
        <v>ok</v>
      </c>
      <c r="Y321" t="str">
        <f t="shared" si="29"/>
        <v>ok</v>
      </c>
      <c r="Z321" t="str">
        <f t="shared" si="30"/>
        <v>ok</v>
      </c>
      <c r="AA321" s="4" t="str">
        <f t="shared" si="31"/>
        <v>ok</v>
      </c>
      <c r="AB321" s="4" t="str">
        <f t="shared" si="32"/>
        <v>ok</v>
      </c>
      <c r="AC321" s="6">
        <f t="shared" si="34"/>
        <v>17.961901388887782</v>
      </c>
    </row>
    <row r="322" spans="1:29" x14ac:dyDescent="0.3">
      <c r="A322" t="s">
        <v>32</v>
      </c>
      <c r="B322">
        <v>1403</v>
      </c>
      <c r="C322" t="s">
        <v>23</v>
      </c>
      <c r="D322" t="s">
        <v>24</v>
      </c>
      <c r="E322" t="s">
        <v>35</v>
      </c>
      <c r="F322" t="s">
        <v>26</v>
      </c>
      <c r="G322" t="s">
        <v>45</v>
      </c>
      <c r="H322" s="1">
        <v>44974.322754629633</v>
      </c>
      <c r="I322" s="1">
        <v>44976.322754629633</v>
      </c>
      <c r="J322" s="1">
        <v>44974.364421296297</v>
      </c>
      <c r="K322" s="2">
        <v>44974.344732627316</v>
      </c>
      <c r="L322" t="s">
        <v>28</v>
      </c>
      <c r="N322" t="s">
        <v>38</v>
      </c>
      <c r="P322">
        <v>5</v>
      </c>
      <c r="R322" t="s">
        <v>39</v>
      </c>
      <c r="S322" t="s">
        <v>30</v>
      </c>
      <c r="T322" t="s">
        <v>41</v>
      </c>
      <c r="U322">
        <v>43.036776000000003</v>
      </c>
      <c r="V322">
        <v>12.678565000000001</v>
      </c>
      <c r="W322" t="str">
        <f t="shared" ref="W322:W385" si="35">IF(K322&lt;H322,"check","ok")</f>
        <v>ok</v>
      </c>
      <c r="X322" t="str">
        <f t="shared" si="33"/>
        <v>ok</v>
      </c>
      <c r="Y322" t="str">
        <f t="shared" ref="Y322:Y385" si="36">IF(AND(M322&lt;&gt;"",O322&lt;&gt;"",O322&lt;M322),"check","ok")</f>
        <v>ok</v>
      </c>
      <c r="Z322" t="str">
        <f t="shared" ref="Z322:Z385" si="37">IF(AND(OR(CA322="Closed",A322="Resolved"),M322=""),"check","ok")</f>
        <v>ok</v>
      </c>
      <c r="AA322" s="4" t="str">
        <f t="shared" ref="AA322:AA385" si="38">IF(K322="","no response",IF(OR(AND(K322&lt;=J322,L322="Within SLA"),AND(K322&gt;J322,L322="SLA Violated")),"ok","check"))</f>
        <v>ok</v>
      </c>
      <c r="AB322" s="4" t="str">
        <f t="shared" ref="AB322:AB385" si="39">IF(M322="","no resolution",IF(OR(AND(M322&lt;=I322,N322="Within SLA"),AND(M322&gt;I322,N322="SLA Violated")),"ok","check"))</f>
        <v>no resolution</v>
      </c>
      <c r="AC322" s="6" t="str">
        <f t="shared" si="34"/>
        <v/>
      </c>
    </row>
    <row r="323" spans="1:29" x14ac:dyDescent="0.3">
      <c r="A323" t="s">
        <v>42</v>
      </c>
      <c r="B323">
        <v>1404</v>
      </c>
      <c r="C323" t="s">
        <v>23</v>
      </c>
      <c r="D323" t="s">
        <v>24</v>
      </c>
      <c r="E323" t="s">
        <v>35</v>
      </c>
      <c r="F323" t="s">
        <v>36</v>
      </c>
      <c r="G323" t="s">
        <v>64</v>
      </c>
      <c r="H323" s="1">
        <v>44974.662094907406</v>
      </c>
      <c r="I323" s="1">
        <v>44976.662094907406</v>
      </c>
      <c r="J323" s="1">
        <v>44974.703761574077</v>
      </c>
      <c r="K323" s="2">
        <v>44974.666619537034</v>
      </c>
      <c r="L323" t="s">
        <v>28</v>
      </c>
      <c r="M323" s="2">
        <v>44976.299150763887</v>
      </c>
      <c r="N323" t="s">
        <v>28</v>
      </c>
      <c r="P323">
        <v>4</v>
      </c>
      <c r="R323" t="s">
        <v>39</v>
      </c>
      <c r="S323" t="s">
        <v>40</v>
      </c>
      <c r="T323" t="s">
        <v>56</v>
      </c>
      <c r="U323">
        <v>52.536273000000001</v>
      </c>
      <c r="V323">
        <v>19.050639</v>
      </c>
      <c r="W323" t="str">
        <f t="shared" si="35"/>
        <v>ok</v>
      </c>
      <c r="X323" t="str">
        <f t="shared" ref="X323:X386" si="40">IF(AND(M323&lt;&gt;"",M323&lt;H323),"check","ok")</f>
        <v>ok</v>
      </c>
      <c r="Y323" t="str">
        <f t="shared" si="36"/>
        <v>ok</v>
      </c>
      <c r="Z323" t="str">
        <f t="shared" si="37"/>
        <v>ok</v>
      </c>
      <c r="AA323" s="4" t="str">
        <f t="shared" si="38"/>
        <v>ok</v>
      </c>
      <c r="AB323" s="4" t="str">
        <f t="shared" si="39"/>
        <v>ok</v>
      </c>
      <c r="AC323" s="6">
        <f t="shared" si="34"/>
        <v>39.289340555551462</v>
      </c>
    </row>
    <row r="324" spans="1:29" x14ac:dyDescent="0.3">
      <c r="A324" t="s">
        <v>42</v>
      </c>
      <c r="B324">
        <v>1405</v>
      </c>
      <c r="C324" t="s">
        <v>23</v>
      </c>
      <c r="D324" t="s">
        <v>24</v>
      </c>
      <c r="E324" t="s">
        <v>48</v>
      </c>
      <c r="F324" t="s">
        <v>26</v>
      </c>
      <c r="G324" t="s">
        <v>52</v>
      </c>
      <c r="H324" s="1">
        <v>44974.112719907411</v>
      </c>
      <c r="I324" s="1">
        <v>44976.112719907411</v>
      </c>
      <c r="J324" s="1">
        <v>44974.154386574075</v>
      </c>
      <c r="K324" s="2">
        <v>44974.142411712965</v>
      </c>
      <c r="L324" t="s">
        <v>28</v>
      </c>
      <c r="M324" s="2">
        <v>44975.509879432873</v>
      </c>
      <c r="N324" t="s">
        <v>28</v>
      </c>
      <c r="P324">
        <v>1</v>
      </c>
      <c r="R324" t="s">
        <v>29</v>
      </c>
      <c r="S324" t="s">
        <v>30</v>
      </c>
      <c r="T324" t="s">
        <v>57</v>
      </c>
      <c r="U324">
        <v>51.165691000000002</v>
      </c>
      <c r="V324">
        <v>10.451525999999999</v>
      </c>
      <c r="W324" t="str">
        <f t="shared" si="35"/>
        <v>ok</v>
      </c>
      <c r="X324" t="str">
        <f t="shared" si="40"/>
        <v>ok</v>
      </c>
      <c r="Y324" t="str">
        <f t="shared" si="36"/>
        <v>ok</v>
      </c>
      <c r="Z324" t="str">
        <f t="shared" si="37"/>
        <v>ok</v>
      </c>
      <c r="AA324" s="4" t="str">
        <f t="shared" si="38"/>
        <v>ok</v>
      </c>
      <c r="AB324" s="4" t="str">
        <f t="shared" si="39"/>
        <v>ok</v>
      </c>
      <c r="AC324" s="6">
        <f t="shared" si="34"/>
        <v>33.531828611099627</v>
      </c>
    </row>
    <row r="325" spans="1:29" x14ac:dyDescent="0.3">
      <c r="A325" t="s">
        <v>32</v>
      </c>
      <c r="B325">
        <v>1406</v>
      </c>
      <c r="C325" t="s">
        <v>23</v>
      </c>
      <c r="D325" t="s">
        <v>24</v>
      </c>
      <c r="E325" t="s">
        <v>48</v>
      </c>
      <c r="F325" t="s">
        <v>26</v>
      </c>
      <c r="G325" t="s">
        <v>49</v>
      </c>
      <c r="H325" s="1">
        <v>44974.185868055552</v>
      </c>
      <c r="I325" s="1">
        <v>44976.185868055552</v>
      </c>
      <c r="J325" s="1">
        <v>44974.227534722224</v>
      </c>
      <c r="K325" s="2">
        <v>44974.209993750002</v>
      </c>
      <c r="L325" t="s">
        <v>28</v>
      </c>
      <c r="N325" t="s">
        <v>38</v>
      </c>
      <c r="P325">
        <v>2</v>
      </c>
      <c r="R325" t="s">
        <v>39</v>
      </c>
      <c r="S325" t="s">
        <v>30</v>
      </c>
      <c r="T325" t="s">
        <v>63</v>
      </c>
      <c r="U325">
        <v>55.378051999999997</v>
      </c>
      <c r="V325">
        <v>-3.4359730000000002</v>
      </c>
      <c r="W325" t="str">
        <f t="shared" si="35"/>
        <v>ok</v>
      </c>
      <c r="X325" t="str">
        <f t="shared" si="40"/>
        <v>ok</v>
      </c>
      <c r="Y325" t="str">
        <f t="shared" si="36"/>
        <v>ok</v>
      </c>
      <c r="Z325" t="str">
        <f t="shared" si="37"/>
        <v>ok</v>
      </c>
      <c r="AA325" s="4" t="str">
        <f t="shared" si="38"/>
        <v>ok</v>
      </c>
      <c r="AB325" s="4" t="str">
        <f t="shared" si="39"/>
        <v>no resolution</v>
      </c>
      <c r="AC325" s="6" t="str">
        <f t="shared" si="34"/>
        <v/>
      </c>
    </row>
    <row r="326" spans="1:29" x14ac:dyDescent="0.3">
      <c r="A326" t="s">
        <v>32</v>
      </c>
      <c r="B326">
        <v>1407</v>
      </c>
      <c r="C326" t="s">
        <v>47</v>
      </c>
      <c r="D326" t="s">
        <v>24</v>
      </c>
      <c r="E326" t="s">
        <v>67</v>
      </c>
      <c r="F326" t="s">
        <v>26</v>
      </c>
      <c r="G326" t="s">
        <v>45</v>
      </c>
      <c r="H326" s="1">
        <v>44974.82267361111</v>
      </c>
      <c r="I326" s="1">
        <v>44976.82267361111</v>
      </c>
      <c r="J326" s="1">
        <v>44974.864340277774</v>
      </c>
      <c r="K326" s="2">
        <v>44975.017764143522</v>
      </c>
      <c r="L326" t="s">
        <v>38</v>
      </c>
      <c r="N326" t="s">
        <v>38</v>
      </c>
      <c r="P326">
        <v>1</v>
      </c>
      <c r="R326" t="s">
        <v>29</v>
      </c>
      <c r="S326" t="s">
        <v>30</v>
      </c>
      <c r="T326" t="s">
        <v>41</v>
      </c>
      <c r="U326">
        <v>43.036776000000003</v>
      </c>
      <c r="V326">
        <v>12.678565000000001</v>
      </c>
      <c r="W326" t="str">
        <f t="shared" si="35"/>
        <v>ok</v>
      </c>
      <c r="X326" t="str">
        <f t="shared" si="40"/>
        <v>ok</v>
      </c>
      <c r="Y326" t="str">
        <f t="shared" si="36"/>
        <v>ok</v>
      </c>
      <c r="Z326" t="str">
        <f t="shared" si="37"/>
        <v>ok</v>
      </c>
      <c r="AA326" s="4" t="str">
        <f t="shared" si="38"/>
        <v>ok</v>
      </c>
      <c r="AB326" s="4" t="str">
        <f t="shared" si="39"/>
        <v>no resolution</v>
      </c>
      <c r="AC326" s="6" t="str">
        <f t="shared" si="34"/>
        <v/>
      </c>
    </row>
    <row r="327" spans="1:29" x14ac:dyDescent="0.3">
      <c r="A327" t="s">
        <v>22</v>
      </c>
      <c r="B327">
        <v>1408</v>
      </c>
      <c r="C327" t="s">
        <v>23</v>
      </c>
      <c r="D327" t="s">
        <v>24</v>
      </c>
      <c r="E327" t="s">
        <v>25</v>
      </c>
      <c r="F327" t="s">
        <v>26</v>
      </c>
      <c r="G327" t="s">
        <v>27</v>
      </c>
      <c r="H327" s="1">
        <v>44974.128206018519</v>
      </c>
      <c r="I327" s="1">
        <v>44976.128206018519</v>
      </c>
      <c r="J327" s="1">
        <v>44974.169872685183</v>
      </c>
      <c r="K327" s="2">
        <v>44974.136025694446</v>
      </c>
      <c r="L327" t="s">
        <v>28</v>
      </c>
      <c r="M327" s="2">
        <v>44974.219258888887</v>
      </c>
      <c r="N327" t="s">
        <v>28</v>
      </c>
      <c r="O327" s="2">
        <v>44975.837498356479</v>
      </c>
      <c r="P327">
        <v>9</v>
      </c>
      <c r="Q327">
        <v>2</v>
      </c>
      <c r="R327" t="s">
        <v>29</v>
      </c>
      <c r="S327" t="s">
        <v>30</v>
      </c>
      <c r="T327" t="s">
        <v>56</v>
      </c>
      <c r="U327">
        <v>52.536273000000001</v>
      </c>
      <c r="V327">
        <v>19.050639</v>
      </c>
      <c r="W327" t="str">
        <f t="shared" si="35"/>
        <v>ok</v>
      </c>
      <c r="X327" t="str">
        <f t="shared" si="40"/>
        <v>ok</v>
      </c>
      <c r="Y327" t="str">
        <f t="shared" si="36"/>
        <v>ok</v>
      </c>
      <c r="Z327" t="str">
        <f t="shared" si="37"/>
        <v>ok</v>
      </c>
      <c r="AA327" s="4" t="str">
        <f t="shared" si="38"/>
        <v>ok</v>
      </c>
      <c r="AB327" s="4" t="str">
        <f t="shared" si="39"/>
        <v>ok</v>
      </c>
      <c r="AC327" s="6">
        <f t="shared" si="34"/>
        <v>2.1852688888320699</v>
      </c>
    </row>
    <row r="328" spans="1:29" x14ac:dyDescent="0.3">
      <c r="A328" t="s">
        <v>42</v>
      </c>
      <c r="B328">
        <v>1409</v>
      </c>
      <c r="C328" t="s">
        <v>33</v>
      </c>
      <c r="D328" t="s">
        <v>34</v>
      </c>
      <c r="E328" t="s">
        <v>25</v>
      </c>
      <c r="F328" t="s">
        <v>36</v>
      </c>
      <c r="G328" t="s">
        <v>64</v>
      </c>
      <c r="H328" s="1">
        <v>44974.536944444444</v>
      </c>
      <c r="I328" s="1">
        <v>44976.536944444444</v>
      </c>
      <c r="J328" s="1">
        <v>44974.53833333333</v>
      </c>
      <c r="K328" s="2">
        <v>44974.538040381944</v>
      </c>
      <c r="L328" t="s">
        <v>28</v>
      </c>
      <c r="M328" s="2">
        <v>44974.789485046298</v>
      </c>
      <c r="N328" t="s">
        <v>28</v>
      </c>
      <c r="P328">
        <v>2</v>
      </c>
      <c r="R328" t="s">
        <v>50</v>
      </c>
      <c r="S328" t="s">
        <v>40</v>
      </c>
      <c r="T328" t="s">
        <v>65</v>
      </c>
      <c r="U328">
        <v>46.149166399999999</v>
      </c>
      <c r="V328">
        <v>14.9860106</v>
      </c>
      <c r="W328" t="str">
        <f t="shared" si="35"/>
        <v>ok</v>
      </c>
      <c r="X328" t="str">
        <f t="shared" si="40"/>
        <v>ok</v>
      </c>
      <c r="Y328" t="str">
        <f t="shared" si="36"/>
        <v>ok</v>
      </c>
      <c r="Z328" t="str">
        <f t="shared" si="37"/>
        <v>ok</v>
      </c>
      <c r="AA328" s="4" t="str">
        <f t="shared" si="38"/>
        <v>ok</v>
      </c>
      <c r="AB328" s="4" t="str">
        <f t="shared" si="39"/>
        <v>ok</v>
      </c>
      <c r="AC328" s="6">
        <f t="shared" si="34"/>
        <v>6.060974444495514</v>
      </c>
    </row>
    <row r="329" spans="1:29" x14ac:dyDescent="0.3">
      <c r="A329" t="s">
        <v>22</v>
      </c>
      <c r="B329">
        <v>1410</v>
      </c>
      <c r="C329" t="s">
        <v>33</v>
      </c>
      <c r="D329" t="s">
        <v>24</v>
      </c>
      <c r="E329" t="s">
        <v>35</v>
      </c>
      <c r="F329" t="s">
        <v>36</v>
      </c>
      <c r="G329" t="s">
        <v>37</v>
      </c>
      <c r="H329" s="1">
        <v>44974.495185185187</v>
      </c>
      <c r="I329" s="1">
        <v>44976.495185185187</v>
      </c>
      <c r="J329" s="1">
        <v>44974.536851851852</v>
      </c>
      <c r="K329" s="2">
        <v>44974.534767997684</v>
      </c>
      <c r="L329" t="s">
        <v>28</v>
      </c>
      <c r="M329" s="2">
        <v>44974.874156041667</v>
      </c>
      <c r="N329" t="s">
        <v>28</v>
      </c>
      <c r="O329" s="2">
        <v>44975.356818402775</v>
      </c>
      <c r="P329">
        <v>5</v>
      </c>
      <c r="Q329">
        <v>5</v>
      </c>
      <c r="R329" t="s">
        <v>39</v>
      </c>
      <c r="S329" t="s">
        <v>40</v>
      </c>
      <c r="T329" t="s">
        <v>31</v>
      </c>
      <c r="U329">
        <v>53.094023999999997</v>
      </c>
      <c r="V329">
        <v>-8.0196749999999994</v>
      </c>
      <c r="W329" t="str">
        <f t="shared" si="35"/>
        <v>ok</v>
      </c>
      <c r="X329" t="str">
        <f t="shared" si="40"/>
        <v>ok</v>
      </c>
      <c r="Y329" t="str">
        <f t="shared" si="36"/>
        <v>ok</v>
      </c>
      <c r="Z329" t="str">
        <f t="shared" si="37"/>
        <v>ok</v>
      </c>
      <c r="AA329" s="4" t="str">
        <f t="shared" si="38"/>
        <v>ok</v>
      </c>
      <c r="AB329" s="4" t="str">
        <f t="shared" si="39"/>
        <v>ok</v>
      </c>
      <c r="AC329" s="6">
        <f t="shared" si="34"/>
        <v>9.0953005555202253</v>
      </c>
    </row>
    <row r="330" spans="1:29" x14ac:dyDescent="0.3">
      <c r="A330" t="s">
        <v>68</v>
      </c>
      <c r="B330">
        <v>1411</v>
      </c>
      <c r="C330" t="s">
        <v>47</v>
      </c>
      <c r="D330" t="s">
        <v>24</v>
      </c>
      <c r="E330" t="s">
        <v>48</v>
      </c>
      <c r="F330" t="s">
        <v>26</v>
      </c>
      <c r="G330" t="s">
        <v>27</v>
      </c>
      <c r="H330" s="1">
        <v>44975.069988425923</v>
      </c>
      <c r="I330" s="1">
        <v>44977.069988425923</v>
      </c>
      <c r="J330" s="1">
        <v>44975.111655092594</v>
      </c>
      <c r="L330" t="s">
        <v>38</v>
      </c>
      <c r="N330" t="s">
        <v>38</v>
      </c>
      <c r="R330" t="s">
        <v>50</v>
      </c>
      <c r="S330" t="s">
        <v>30</v>
      </c>
      <c r="T330" t="s">
        <v>51</v>
      </c>
      <c r="U330">
        <v>39.673369999999998</v>
      </c>
      <c r="V330">
        <v>-4.7677259999999997</v>
      </c>
      <c r="W330" t="str">
        <f t="shared" si="35"/>
        <v>check</v>
      </c>
      <c r="X330" t="str">
        <f t="shared" si="40"/>
        <v>ok</v>
      </c>
      <c r="Y330" t="str">
        <f t="shared" si="36"/>
        <v>ok</v>
      </c>
      <c r="Z330" t="str">
        <f t="shared" si="37"/>
        <v>ok</v>
      </c>
      <c r="AA330" s="4" t="str">
        <f t="shared" si="38"/>
        <v>no response</v>
      </c>
      <c r="AB330" s="4" t="str">
        <f t="shared" si="39"/>
        <v>no resolution</v>
      </c>
      <c r="AC330" s="6" t="str">
        <f t="shared" si="34"/>
        <v/>
      </c>
    </row>
    <row r="331" spans="1:29" x14ac:dyDescent="0.3">
      <c r="A331" t="s">
        <v>42</v>
      </c>
      <c r="B331">
        <v>1412</v>
      </c>
      <c r="C331" t="s">
        <v>33</v>
      </c>
      <c r="D331" t="s">
        <v>24</v>
      </c>
      <c r="E331" t="s">
        <v>25</v>
      </c>
      <c r="F331" t="s">
        <v>36</v>
      </c>
      <c r="G331" t="s">
        <v>37</v>
      </c>
      <c r="H331" s="1">
        <v>44975.049421296295</v>
      </c>
      <c r="I331" s="1">
        <v>44977.049421296295</v>
      </c>
      <c r="J331" s="1">
        <v>44975.091087962966</v>
      </c>
      <c r="K331" s="2">
        <v>44975.080594270832</v>
      </c>
      <c r="L331" t="s">
        <v>38</v>
      </c>
      <c r="M331" s="2">
        <v>44980.428313078701</v>
      </c>
      <c r="N331" t="s">
        <v>38</v>
      </c>
      <c r="P331">
        <v>2</v>
      </c>
      <c r="R331" t="s">
        <v>50</v>
      </c>
      <c r="S331" t="s">
        <v>40</v>
      </c>
      <c r="T331" t="s">
        <v>53</v>
      </c>
      <c r="U331">
        <v>39.368279000000001</v>
      </c>
      <c r="V331">
        <v>21.863140999999999</v>
      </c>
      <c r="W331" t="str">
        <f t="shared" si="35"/>
        <v>ok</v>
      </c>
      <c r="X331" t="str">
        <f t="shared" si="40"/>
        <v>ok</v>
      </c>
      <c r="Y331" t="str">
        <f t="shared" si="36"/>
        <v>ok</v>
      </c>
      <c r="Z331" t="str">
        <f t="shared" si="37"/>
        <v>ok</v>
      </c>
      <c r="AA331" s="4" t="str">
        <f t="shared" si="38"/>
        <v>check</v>
      </c>
      <c r="AB331" s="4" t="str">
        <f t="shared" si="39"/>
        <v>ok</v>
      </c>
      <c r="AC331" s="6">
        <f t="shared" si="34"/>
        <v>129.09340277774027</v>
      </c>
    </row>
    <row r="332" spans="1:29" x14ac:dyDescent="0.3">
      <c r="A332" t="s">
        <v>22</v>
      </c>
      <c r="B332">
        <v>1413</v>
      </c>
      <c r="C332" t="s">
        <v>33</v>
      </c>
      <c r="D332" t="s">
        <v>24</v>
      </c>
      <c r="E332" t="s">
        <v>35</v>
      </c>
      <c r="F332" t="s">
        <v>36</v>
      </c>
      <c r="G332" t="s">
        <v>64</v>
      </c>
      <c r="H332" s="1">
        <v>44975.429155092592</v>
      </c>
      <c r="I332" s="1">
        <v>44977.429155092592</v>
      </c>
      <c r="J332" s="1">
        <v>44975.470821759256</v>
      </c>
      <c r="K332" s="2">
        <v>44975.458584456021</v>
      </c>
      <c r="L332" t="s">
        <v>38</v>
      </c>
      <c r="M332" s="2">
        <v>44977.625000949076</v>
      </c>
      <c r="N332" t="s">
        <v>38</v>
      </c>
      <c r="O332" s="2">
        <v>44979.452973935186</v>
      </c>
      <c r="P332">
        <v>1</v>
      </c>
      <c r="Q332">
        <v>4</v>
      </c>
      <c r="R332" t="s">
        <v>50</v>
      </c>
      <c r="S332" t="s">
        <v>40</v>
      </c>
      <c r="T332" t="s">
        <v>46</v>
      </c>
      <c r="U332">
        <v>47.696471899999999</v>
      </c>
      <c r="V332">
        <v>13.3457347</v>
      </c>
      <c r="W332" t="str">
        <f t="shared" si="35"/>
        <v>ok</v>
      </c>
      <c r="X332" t="str">
        <f t="shared" si="40"/>
        <v>ok</v>
      </c>
      <c r="Y332" t="str">
        <f t="shared" si="36"/>
        <v>ok</v>
      </c>
      <c r="Z332" t="str">
        <f t="shared" si="37"/>
        <v>ok</v>
      </c>
      <c r="AA332" s="4" t="str">
        <f t="shared" si="38"/>
        <v>check</v>
      </c>
      <c r="AB332" s="4" t="str">
        <f t="shared" si="39"/>
        <v>ok</v>
      </c>
      <c r="AC332" s="6">
        <f t="shared" si="34"/>
        <v>52.700300555618014</v>
      </c>
    </row>
    <row r="333" spans="1:29" x14ac:dyDescent="0.3">
      <c r="A333" t="s">
        <v>22</v>
      </c>
      <c r="B333">
        <v>1420</v>
      </c>
      <c r="C333" t="s">
        <v>23</v>
      </c>
      <c r="D333" t="s">
        <v>24</v>
      </c>
      <c r="E333" t="s">
        <v>44</v>
      </c>
      <c r="F333" t="s">
        <v>26</v>
      </c>
      <c r="G333" t="s">
        <v>45</v>
      </c>
      <c r="H333" s="1">
        <v>44976.03052083333</v>
      </c>
      <c r="I333" s="1">
        <v>44978.03052083333</v>
      </c>
      <c r="J333" s="1">
        <v>44976.072187500002</v>
      </c>
      <c r="K333" s="2">
        <v>44976.042829641206</v>
      </c>
      <c r="L333" t="s">
        <v>38</v>
      </c>
      <c r="M333" s="2">
        <v>44977.286866886578</v>
      </c>
      <c r="N333" t="s">
        <v>28</v>
      </c>
      <c r="O333" s="2">
        <v>44979.436690092596</v>
      </c>
      <c r="P333">
        <v>10</v>
      </c>
      <c r="Q333">
        <v>4</v>
      </c>
      <c r="R333" t="s">
        <v>39</v>
      </c>
      <c r="S333" t="s">
        <v>30</v>
      </c>
      <c r="T333" t="s">
        <v>63</v>
      </c>
      <c r="U333">
        <v>55.378051999999997</v>
      </c>
      <c r="V333">
        <v>-3.4359730000000002</v>
      </c>
      <c r="W333" t="str">
        <f t="shared" si="35"/>
        <v>ok</v>
      </c>
      <c r="X333" t="str">
        <f t="shared" si="40"/>
        <v>ok</v>
      </c>
      <c r="Y333" t="str">
        <f t="shared" si="36"/>
        <v>ok</v>
      </c>
      <c r="Z333" t="str">
        <f t="shared" si="37"/>
        <v>ok</v>
      </c>
      <c r="AA333" s="4" t="str">
        <f t="shared" si="38"/>
        <v>check</v>
      </c>
      <c r="AB333" s="4" t="str">
        <f t="shared" si="39"/>
        <v>ok</v>
      </c>
      <c r="AC333" s="6">
        <f t="shared" si="34"/>
        <v>30.152305277937558</v>
      </c>
    </row>
    <row r="334" spans="1:29" x14ac:dyDescent="0.3">
      <c r="A334" t="s">
        <v>22</v>
      </c>
      <c r="B334">
        <v>1421</v>
      </c>
      <c r="C334" t="s">
        <v>47</v>
      </c>
      <c r="D334" t="s">
        <v>24</v>
      </c>
      <c r="E334" t="s">
        <v>44</v>
      </c>
      <c r="F334" t="s">
        <v>26</v>
      </c>
      <c r="G334" t="s">
        <v>27</v>
      </c>
      <c r="H334" s="1">
        <v>44976.944108796299</v>
      </c>
      <c r="I334" s="1">
        <v>44978.944108796299</v>
      </c>
      <c r="J334" s="1">
        <v>44976.985775462963</v>
      </c>
      <c r="K334" s="2">
        <v>44976.977451435188</v>
      </c>
      <c r="L334" t="s">
        <v>38</v>
      </c>
      <c r="M334" s="2">
        <v>44978.03917827546</v>
      </c>
      <c r="N334" t="s">
        <v>28</v>
      </c>
      <c r="O334" s="2">
        <v>44980.474593483799</v>
      </c>
      <c r="P334">
        <v>9</v>
      </c>
      <c r="Q334">
        <v>5</v>
      </c>
      <c r="R334" t="s">
        <v>39</v>
      </c>
      <c r="S334" t="s">
        <v>30</v>
      </c>
      <c r="T334" t="s">
        <v>51</v>
      </c>
      <c r="U334">
        <v>39.673369999999998</v>
      </c>
      <c r="V334">
        <v>-4.7677259999999997</v>
      </c>
      <c r="W334" t="str">
        <f t="shared" si="35"/>
        <v>ok</v>
      </c>
      <c r="X334" t="str">
        <f t="shared" si="40"/>
        <v>ok</v>
      </c>
      <c r="Y334" t="str">
        <f t="shared" si="36"/>
        <v>ok</v>
      </c>
      <c r="Z334" t="str">
        <f t="shared" si="37"/>
        <v>ok</v>
      </c>
      <c r="AA334" s="4" t="str">
        <f t="shared" si="38"/>
        <v>check</v>
      </c>
      <c r="AB334" s="4" t="str">
        <f t="shared" si="39"/>
        <v>ok</v>
      </c>
      <c r="AC334" s="6">
        <f t="shared" si="34"/>
        <v>26.281667499861214</v>
      </c>
    </row>
    <row r="335" spans="1:29" x14ac:dyDescent="0.3">
      <c r="A335" t="s">
        <v>42</v>
      </c>
      <c r="B335">
        <v>1422</v>
      </c>
      <c r="C335" t="s">
        <v>47</v>
      </c>
      <c r="D335" t="s">
        <v>34</v>
      </c>
      <c r="E335" t="s">
        <v>25</v>
      </c>
      <c r="F335" t="s">
        <v>26</v>
      </c>
      <c r="G335" t="s">
        <v>49</v>
      </c>
      <c r="H335" s="1">
        <v>44976.936979166669</v>
      </c>
      <c r="I335" s="1">
        <v>44978.936979166669</v>
      </c>
      <c r="J335" s="1">
        <v>44976.938368055555</v>
      </c>
      <c r="K335" s="2">
        <v>44976.938989780094</v>
      </c>
      <c r="L335" t="s">
        <v>38</v>
      </c>
      <c r="M335" s="2">
        <v>44978.77574060185</v>
      </c>
      <c r="N335" t="s">
        <v>28</v>
      </c>
      <c r="P335">
        <v>1</v>
      </c>
      <c r="R335" t="s">
        <v>39</v>
      </c>
      <c r="S335" t="s">
        <v>30</v>
      </c>
      <c r="T335" t="s">
        <v>63</v>
      </c>
      <c r="U335">
        <v>55.378051999999997</v>
      </c>
      <c r="V335">
        <v>-3.4359730000000002</v>
      </c>
      <c r="W335" t="str">
        <f t="shared" si="35"/>
        <v>ok</v>
      </c>
      <c r="X335" t="str">
        <f t="shared" si="40"/>
        <v>ok</v>
      </c>
      <c r="Y335" t="str">
        <f t="shared" si="36"/>
        <v>ok</v>
      </c>
      <c r="Z335" t="str">
        <f t="shared" si="37"/>
        <v>ok</v>
      </c>
      <c r="AA335" s="4" t="str">
        <f t="shared" si="38"/>
        <v>ok</v>
      </c>
      <c r="AB335" s="4" t="str">
        <f t="shared" si="39"/>
        <v>ok</v>
      </c>
      <c r="AC335" s="6">
        <f t="shared" si="34"/>
        <v>44.130274444352835</v>
      </c>
    </row>
    <row r="336" spans="1:29" x14ac:dyDescent="0.3">
      <c r="A336" t="s">
        <v>68</v>
      </c>
      <c r="B336">
        <v>1423</v>
      </c>
      <c r="C336" t="s">
        <v>23</v>
      </c>
      <c r="D336" t="s">
        <v>24</v>
      </c>
      <c r="E336" t="s">
        <v>25</v>
      </c>
      <c r="F336" t="s">
        <v>26</v>
      </c>
      <c r="G336" t="s">
        <v>27</v>
      </c>
      <c r="H336" s="1">
        <v>44976.310300925928</v>
      </c>
      <c r="I336" s="1">
        <v>44978.310300925928</v>
      </c>
      <c r="J336" s="1">
        <v>44976.351967592593</v>
      </c>
      <c r="L336" t="s">
        <v>38</v>
      </c>
      <c r="N336" t="s">
        <v>38</v>
      </c>
      <c r="R336" t="s">
        <v>39</v>
      </c>
      <c r="S336" t="s">
        <v>30</v>
      </c>
      <c r="T336" t="s">
        <v>63</v>
      </c>
      <c r="U336">
        <v>55.378051999999997</v>
      </c>
      <c r="V336">
        <v>-3.4359730000000002</v>
      </c>
      <c r="W336" t="str">
        <f t="shared" si="35"/>
        <v>check</v>
      </c>
      <c r="X336" t="str">
        <f t="shared" si="40"/>
        <v>ok</v>
      </c>
      <c r="Y336" t="str">
        <f t="shared" si="36"/>
        <v>ok</v>
      </c>
      <c r="Z336" t="str">
        <f t="shared" si="37"/>
        <v>ok</v>
      </c>
      <c r="AA336" s="4" t="str">
        <f t="shared" si="38"/>
        <v>no response</v>
      </c>
      <c r="AB336" s="4" t="str">
        <f t="shared" si="39"/>
        <v>no resolution</v>
      </c>
      <c r="AC336" s="6" t="str">
        <f t="shared" si="34"/>
        <v/>
      </c>
    </row>
    <row r="337" spans="1:29" x14ac:dyDescent="0.3">
      <c r="A337" t="s">
        <v>22</v>
      </c>
      <c r="B337">
        <v>1424</v>
      </c>
      <c r="C337" t="s">
        <v>23</v>
      </c>
      <c r="D337" t="s">
        <v>34</v>
      </c>
      <c r="E337" t="s">
        <v>48</v>
      </c>
      <c r="F337" t="s">
        <v>26</v>
      </c>
      <c r="G337" t="s">
        <v>45</v>
      </c>
      <c r="H337" s="1">
        <v>44976.015081018515</v>
      </c>
      <c r="I337" s="1">
        <v>44978.015081018515</v>
      </c>
      <c r="J337" s="1">
        <v>44976.016469907408</v>
      </c>
      <c r="K337" s="2">
        <v>44976.015454155095</v>
      </c>
      <c r="L337" t="s">
        <v>38</v>
      </c>
      <c r="M337" s="2">
        <v>44977.12415585648</v>
      </c>
      <c r="N337" t="s">
        <v>28</v>
      </c>
      <c r="O337" s="2">
        <v>44980.475663194447</v>
      </c>
      <c r="P337">
        <v>2</v>
      </c>
      <c r="Q337">
        <v>5</v>
      </c>
      <c r="R337" t="s">
        <v>50</v>
      </c>
      <c r="S337" t="s">
        <v>30</v>
      </c>
      <c r="T337" t="s">
        <v>56</v>
      </c>
      <c r="U337">
        <v>52.536273000000001</v>
      </c>
      <c r="V337">
        <v>19.050639</v>
      </c>
      <c r="W337" t="str">
        <f t="shared" si="35"/>
        <v>ok</v>
      </c>
      <c r="X337" t="str">
        <f t="shared" si="40"/>
        <v>ok</v>
      </c>
      <c r="Y337" t="str">
        <f t="shared" si="36"/>
        <v>ok</v>
      </c>
      <c r="Z337" t="str">
        <f t="shared" si="37"/>
        <v>ok</v>
      </c>
      <c r="AA337" s="4" t="str">
        <f t="shared" si="38"/>
        <v>check</v>
      </c>
      <c r="AB337" s="4" t="str">
        <f t="shared" si="39"/>
        <v>ok</v>
      </c>
      <c r="AC337" s="6">
        <f t="shared" si="34"/>
        <v>26.617796111153439</v>
      </c>
    </row>
    <row r="338" spans="1:29" x14ac:dyDescent="0.3">
      <c r="A338" t="s">
        <v>22</v>
      </c>
      <c r="B338">
        <v>1425</v>
      </c>
      <c r="C338" t="s">
        <v>47</v>
      </c>
      <c r="D338" t="s">
        <v>24</v>
      </c>
      <c r="E338" t="s">
        <v>48</v>
      </c>
      <c r="F338" t="s">
        <v>26</v>
      </c>
      <c r="G338" t="s">
        <v>45</v>
      </c>
      <c r="H338" s="1">
        <v>44976.198912037034</v>
      </c>
      <c r="I338" s="1">
        <v>44978.198912037034</v>
      </c>
      <c r="J338" s="1">
        <v>44976.240578703706</v>
      </c>
      <c r="K338" s="2">
        <v>44976.201500219904</v>
      </c>
      <c r="L338" t="s">
        <v>38</v>
      </c>
      <c r="M338" s="2">
        <v>44977.445914016207</v>
      </c>
      <c r="N338" t="s">
        <v>28</v>
      </c>
      <c r="O338" s="2">
        <v>44979.764681840279</v>
      </c>
      <c r="P338">
        <v>8</v>
      </c>
      <c r="Q338">
        <v>1</v>
      </c>
      <c r="R338" t="s">
        <v>29</v>
      </c>
      <c r="S338" t="s">
        <v>30</v>
      </c>
      <c r="T338" t="s">
        <v>63</v>
      </c>
      <c r="U338">
        <v>55.378051999999997</v>
      </c>
      <c r="V338">
        <v>-3.4359730000000002</v>
      </c>
      <c r="W338" t="str">
        <f t="shared" si="35"/>
        <v>ok</v>
      </c>
      <c r="X338" t="str">
        <f t="shared" si="40"/>
        <v>ok</v>
      </c>
      <c r="Y338" t="str">
        <f t="shared" si="36"/>
        <v>ok</v>
      </c>
      <c r="Z338" t="str">
        <f t="shared" si="37"/>
        <v>ok</v>
      </c>
      <c r="AA338" s="4" t="str">
        <f t="shared" si="38"/>
        <v>check</v>
      </c>
      <c r="AB338" s="4" t="str">
        <f t="shared" si="39"/>
        <v>ok</v>
      </c>
      <c r="AC338" s="6">
        <f t="shared" si="34"/>
        <v>29.928047500143293</v>
      </c>
    </row>
    <row r="339" spans="1:29" x14ac:dyDescent="0.3">
      <c r="A339" t="s">
        <v>42</v>
      </c>
      <c r="B339">
        <v>1426</v>
      </c>
      <c r="C339" t="s">
        <v>47</v>
      </c>
      <c r="D339" t="s">
        <v>34</v>
      </c>
      <c r="E339" t="s">
        <v>62</v>
      </c>
      <c r="F339" t="s">
        <v>36</v>
      </c>
      <c r="G339" t="s">
        <v>54</v>
      </c>
      <c r="H339" s="1">
        <v>44977.133379629631</v>
      </c>
      <c r="I339" s="1">
        <v>44979.133379629631</v>
      </c>
      <c r="J339" s="1">
        <v>44977.134768518517</v>
      </c>
      <c r="K339" s="2">
        <v>44977.133392175929</v>
      </c>
      <c r="L339" t="s">
        <v>38</v>
      </c>
      <c r="M339" s="2">
        <v>44978.627797037036</v>
      </c>
      <c r="N339" t="s">
        <v>28</v>
      </c>
      <c r="P339">
        <v>6</v>
      </c>
      <c r="R339" t="s">
        <v>55</v>
      </c>
      <c r="S339" t="s">
        <v>40</v>
      </c>
      <c r="T339" t="s">
        <v>57</v>
      </c>
      <c r="U339">
        <v>51.165691000000002</v>
      </c>
      <c r="V339">
        <v>10.451525999999999</v>
      </c>
      <c r="W339" t="str">
        <f t="shared" si="35"/>
        <v>ok</v>
      </c>
      <c r="X339" t="str">
        <f t="shared" si="40"/>
        <v>ok</v>
      </c>
      <c r="Y339" t="str">
        <f t="shared" si="36"/>
        <v>ok</v>
      </c>
      <c r="Z339" t="str">
        <f t="shared" si="37"/>
        <v>ok</v>
      </c>
      <c r="AA339" s="4" t="str">
        <f t="shared" si="38"/>
        <v>check</v>
      </c>
      <c r="AB339" s="4" t="str">
        <f t="shared" si="39"/>
        <v>ok</v>
      </c>
      <c r="AC339" s="6">
        <f t="shared" si="34"/>
        <v>35.866017777705565</v>
      </c>
    </row>
    <row r="340" spans="1:29" x14ac:dyDescent="0.3">
      <c r="A340" t="s">
        <v>42</v>
      </c>
      <c r="B340">
        <v>1427</v>
      </c>
      <c r="C340" t="s">
        <v>47</v>
      </c>
      <c r="D340" t="s">
        <v>24</v>
      </c>
      <c r="E340" t="s">
        <v>59</v>
      </c>
      <c r="F340" t="s">
        <v>26</v>
      </c>
      <c r="G340" t="s">
        <v>60</v>
      </c>
      <c r="H340" s="1">
        <v>44977.253391203703</v>
      </c>
      <c r="I340" s="1">
        <v>44979.253391203703</v>
      </c>
      <c r="J340" s="1">
        <v>44977.295057870368</v>
      </c>
      <c r="K340" s="2">
        <v>44977.277287245372</v>
      </c>
      <c r="L340" t="s">
        <v>38</v>
      </c>
      <c r="M340" s="2">
        <v>44978.997643738425</v>
      </c>
      <c r="N340" t="s">
        <v>28</v>
      </c>
      <c r="P340">
        <v>2</v>
      </c>
      <c r="R340" t="s">
        <v>50</v>
      </c>
      <c r="S340" t="s">
        <v>30</v>
      </c>
      <c r="T340" t="s">
        <v>53</v>
      </c>
      <c r="U340">
        <v>39.368279000000001</v>
      </c>
      <c r="V340">
        <v>21.863140999999999</v>
      </c>
      <c r="W340" t="str">
        <f t="shared" si="35"/>
        <v>ok</v>
      </c>
      <c r="X340" t="str">
        <f t="shared" si="40"/>
        <v>ok</v>
      </c>
      <c r="Y340" t="str">
        <f t="shared" si="36"/>
        <v>ok</v>
      </c>
      <c r="Z340" t="str">
        <f t="shared" si="37"/>
        <v>ok</v>
      </c>
      <c r="AA340" s="4" t="str">
        <f t="shared" si="38"/>
        <v>check</v>
      </c>
      <c r="AB340" s="4" t="str">
        <f t="shared" si="39"/>
        <v>ok</v>
      </c>
      <c r="AC340" s="6">
        <f t="shared" si="34"/>
        <v>41.862060833314899</v>
      </c>
    </row>
    <row r="341" spans="1:29" x14ac:dyDescent="0.3">
      <c r="A341" t="s">
        <v>42</v>
      </c>
      <c r="B341">
        <v>1428</v>
      </c>
      <c r="C341" t="s">
        <v>47</v>
      </c>
      <c r="D341" t="s">
        <v>24</v>
      </c>
      <c r="E341" t="s">
        <v>44</v>
      </c>
      <c r="F341" t="s">
        <v>26</v>
      </c>
      <c r="G341" t="s">
        <v>60</v>
      </c>
      <c r="H341" s="1">
        <v>44977.348981481482</v>
      </c>
      <c r="I341" s="1">
        <v>44979.348981481482</v>
      </c>
      <c r="J341" s="1">
        <v>44977.390648148146</v>
      </c>
      <c r="K341" s="2">
        <v>44977.388264907408</v>
      </c>
      <c r="L341" t="s">
        <v>38</v>
      </c>
      <c r="M341" s="2">
        <v>44978.82455986111</v>
      </c>
      <c r="N341" t="s">
        <v>28</v>
      </c>
      <c r="P341">
        <v>3</v>
      </c>
      <c r="R341" t="s">
        <v>39</v>
      </c>
      <c r="S341" t="s">
        <v>30</v>
      </c>
      <c r="T341" t="s">
        <v>58</v>
      </c>
      <c r="U341">
        <v>49.8037633</v>
      </c>
      <c r="V341">
        <v>15.4749126</v>
      </c>
      <c r="W341" t="str">
        <f t="shared" si="35"/>
        <v>ok</v>
      </c>
      <c r="X341" t="str">
        <f t="shared" si="40"/>
        <v>ok</v>
      </c>
      <c r="Y341" t="str">
        <f t="shared" si="36"/>
        <v>ok</v>
      </c>
      <c r="Z341" t="str">
        <f t="shared" si="37"/>
        <v>ok</v>
      </c>
      <c r="AA341" s="4" t="str">
        <f t="shared" si="38"/>
        <v>check</v>
      </c>
      <c r="AB341" s="4" t="str">
        <f t="shared" si="39"/>
        <v>ok</v>
      </c>
      <c r="AC341" s="6">
        <f t="shared" si="34"/>
        <v>35.41388111107517</v>
      </c>
    </row>
    <row r="342" spans="1:29" x14ac:dyDescent="0.3">
      <c r="A342" t="s">
        <v>42</v>
      </c>
      <c r="B342">
        <v>1429</v>
      </c>
      <c r="C342" t="s">
        <v>23</v>
      </c>
      <c r="D342" t="s">
        <v>24</v>
      </c>
      <c r="E342" t="s">
        <v>25</v>
      </c>
      <c r="F342" t="s">
        <v>36</v>
      </c>
      <c r="G342" t="s">
        <v>37</v>
      </c>
      <c r="H342" s="1">
        <v>44977.717893518522</v>
      </c>
      <c r="I342" s="1">
        <v>44979.717893518522</v>
      </c>
      <c r="J342" s="1">
        <v>44977.759560185186</v>
      </c>
      <c r="K342" s="2">
        <v>44977.753152627316</v>
      </c>
      <c r="L342" t="s">
        <v>38</v>
      </c>
      <c r="M342" s="2">
        <v>44978.752792372688</v>
      </c>
      <c r="N342" t="s">
        <v>28</v>
      </c>
      <c r="P342">
        <v>2</v>
      </c>
      <c r="R342" t="s">
        <v>39</v>
      </c>
      <c r="S342" t="s">
        <v>40</v>
      </c>
      <c r="T342" t="s">
        <v>41</v>
      </c>
      <c r="U342">
        <v>43.036776000000003</v>
      </c>
      <c r="V342">
        <v>12.678565000000001</v>
      </c>
      <c r="W342" t="str">
        <f t="shared" si="35"/>
        <v>ok</v>
      </c>
      <c r="X342" t="str">
        <f t="shared" si="40"/>
        <v>ok</v>
      </c>
      <c r="Y342" t="str">
        <f t="shared" si="36"/>
        <v>ok</v>
      </c>
      <c r="Z342" t="str">
        <f t="shared" si="37"/>
        <v>ok</v>
      </c>
      <c r="AA342" s="4" t="str">
        <f t="shared" si="38"/>
        <v>check</v>
      </c>
      <c r="AB342" s="4" t="str">
        <f t="shared" si="39"/>
        <v>ok</v>
      </c>
      <c r="AC342" s="6">
        <f t="shared" ref="AC342:AC405" si="41">IF(M342="","",(M342-H342)*24)</f>
        <v>24.837572499993257</v>
      </c>
    </row>
    <row r="343" spans="1:29" x14ac:dyDescent="0.3">
      <c r="A343" t="s">
        <v>22</v>
      </c>
      <c r="B343">
        <v>1430</v>
      </c>
      <c r="C343" t="s">
        <v>23</v>
      </c>
      <c r="D343" t="s">
        <v>24</v>
      </c>
      <c r="E343" t="s">
        <v>35</v>
      </c>
      <c r="F343" t="s">
        <v>26</v>
      </c>
      <c r="G343" t="s">
        <v>60</v>
      </c>
      <c r="H343" s="1">
        <v>44977.890289351853</v>
      </c>
      <c r="I343" s="1">
        <v>44979.890289351853</v>
      </c>
      <c r="J343" s="1">
        <v>44977.931956018518</v>
      </c>
      <c r="K343" s="2">
        <v>44977.913838159722</v>
      </c>
      <c r="L343" t="s">
        <v>38</v>
      </c>
      <c r="M343" s="2">
        <v>44977.968097268516</v>
      </c>
      <c r="N343" t="s">
        <v>28</v>
      </c>
      <c r="O343" s="2">
        <v>44979.917367928239</v>
      </c>
      <c r="P343">
        <v>1</v>
      </c>
      <c r="Q343">
        <v>1</v>
      </c>
      <c r="R343" t="s">
        <v>39</v>
      </c>
      <c r="S343" t="s">
        <v>30</v>
      </c>
      <c r="T343" t="s">
        <v>65</v>
      </c>
      <c r="U343">
        <v>46.149166399999999</v>
      </c>
      <c r="V343">
        <v>14.9860106</v>
      </c>
      <c r="W343" t="str">
        <f t="shared" si="35"/>
        <v>ok</v>
      </c>
      <c r="X343" t="str">
        <f t="shared" si="40"/>
        <v>ok</v>
      </c>
      <c r="Y343" t="str">
        <f t="shared" si="36"/>
        <v>ok</v>
      </c>
      <c r="Z343" t="str">
        <f t="shared" si="37"/>
        <v>ok</v>
      </c>
      <c r="AA343" s="4" t="str">
        <f t="shared" si="38"/>
        <v>check</v>
      </c>
      <c r="AB343" s="4" t="str">
        <f t="shared" si="39"/>
        <v>ok</v>
      </c>
      <c r="AC343" s="6">
        <f t="shared" si="41"/>
        <v>1.8673899999121204</v>
      </c>
    </row>
    <row r="344" spans="1:29" x14ac:dyDescent="0.3">
      <c r="A344" t="s">
        <v>42</v>
      </c>
      <c r="B344">
        <v>1431</v>
      </c>
      <c r="C344" t="s">
        <v>23</v>
      </c>
      <c r="D344" t="s">
        <v>43</v>
      </c>
      <c r="E344" t="s">
        <v>44</v>
      </c>
      <c r="F344" t="s">
        <v>36</v>
      </c>
      <c r="G344" t="s">
        <v>64</v>
      </c>
      <c r="H344" s="1">
        <v>44977.917743055557</v>
      </c>
      <c r="I344" s="1">
        <v>44978.917743055557</v>
      </c>
      <c r="J344" s="1">
        <v>44977.919131944444</v>
      </c>
      <c r="K344" s="2">
        <v>44977.919513622684</v>
      </c>
      <c r="L344" t="s">
        <v>38</v>
      </c>
      <c r="M344" s="2">
        <v>44978.439836111109</v>
      </c>
      <c r="N344" t="s">
        <v>28</v>
      </c>
      <c r="P344">
        <v>2</v>
      </c>
      <c r="R344" t="s">
        <v>29</v>
      </c>
      <c r="S344" t="s">
        <v>40</v>
      </c>
      <c r="T344" t="s">
        <v>57</v>
      </c>
      <c r="U344">
        <v>51.165691000000002</v>
      </c>
      <c r="V344">
        <v>10.451525999999999</v>
      </c>
      <c r="W344" t="str">
        <f t="shared" si="35"/>
        <v>ok</v>
      </c>
      <c r="X344" t="str">
        <f t="shared" si="40"/>
        <v>ok</v>
      </c>
      <c r="Y344" t="str">
        <f t="shared" si="36"/>
        <v>ok</v>
      </c>
      <c r="Z344" t="str">
        <f t="shared" si="37"/>
        <v>ok</v>
      </c>
      <c r="AA344" s="4" t="str">
        <f t="shared" si="38"/>
        <v>ok</v>
      </c>
      <c r="AB344" s="4" t="str">
        <f t="shared" si="39"/>
        <v>ok</v>
      </c>
      <c r="AC344" s="6">
        <f t="shared" si="41"/>
        <v>12.530233333236538</v>
      </c>
    </row>
    <row r="345" spans="1:29" x14ac:dyDescent="0.3">
      <c r="A345" t="s">
        <v>42</v>
      </c>
      <c r="B345">
        <v>1432</v>
      </c>
      <c r="C345" t="s">
        <v>47</v>
      </c>
      <c r="D345" t="s">
        <v>24</v>
      </c>
      <c r="E345" t="s">
        <v>25</v>
      </c>
      <c r="F345" t="s">
        <v>26</v>
      </c>
      <c r="G345" t="s">
        <v>45</v>
      </c>
      <c r="H345" s="1">
        <v>44977.088796296295</v>
      </c>
      <c r="I345" s="1">
        <v>44979.088796296295</v>
      </c>
      <c r="J345" s="1">
        <v>44977.130462962959</v>
      </c>
      <c r="K345" s="2">
        <v>44977.115514178244</v>
      </c>
      <c r="L345" t="s">
        <v>38</v>
      </c>
      <c r="M345" s="2">
        <v>44977.734291597226</v>
      </c>
      <c r="N345" t="s">
        <v>28</v>
      </c>
      <c r="P345">
        <v>1</v>
      </c>
      <c r="R345" t="s">
        <v>39</v>
      </c>
      <c r="S345" t="s">
        <v>30</v>
      </c>
      <c r="T345" t="s">
        <v>53</v>
      </c>
      <c r="U345">
        <v>39.368279000000001</v>
      </c>
      <c r="V345">
        <v>21.863140999999999</v>
      </c>
      <c r="W345" t="str">
        <f t="shared" si="35"/>
        <v>ok</v>
      </c>
      <c r="X345" t="str">
        <f t="shared" si="40"/>
        <v>ok</v>
      </c>
      <c r="Y345" t="str">
        <f t="shared" si="36"/>
        <v>ok</v>
      </c>
      <c r="Z345" t="str">
        <f t="shared" si="37"/>
        <v>ok</v>
      </c>
      <c r="AA345" s="4" t="str">
        <f t="shared" si="38"/>
        <v>check</v>
      </c>
      <c r="AB345" s="4" t="str">
        <f t="shared" si="39"/>
        <v>ok</v>
      </c>
      <c r="AC345" s="6">
        <f t="shared" si="41"/>
        <v>15.491887222335208</v>
      </c>
    </row>
    <row r="346" spans="1:29" x14ac:dyDescent="0.3">
      <c r="A346" t="s">
        <v>22</v>
      </c>
      <c r="B346">
        <v>1433</v>
      </c>
      <c r="C346" t="s">
        <v>23</v>
      </c>
      <c r="D346" t="s">
        <v>43</v>
      </c>
      <c r="E346" t="s">
        <v>48</v>
      </c>
      <c r="F346" t="s">
        <v>36</v>
      </c>
      <c r="G346" t="s">
        <v>64</v>
      </c>
      <c r="H346" s="1">
        <v>44977.894375000003</v>
      </c>
      <c r="I346" s="1">
        <v>44978.894375000003</v>
      </c>
      <c r="J346" s="1">
        <v>44977.89576388889</v>
      </c>
      <c r="K346" s="2">
        <v>44977.895673113424</v>
      </c>
      <c r="L346" t="s">
        <v>38</v>
      </c>
      <c r="M346" s="2">
        <v>44978.87561383102</v>
      </c>
      <c r="N346" t="s">
        <v>28</v>
      </c>
      <c r="O346" s="2">
        <v>44983.328485821759</v>
      </c>
      <c r="P346">
        <v>2</v>
      </c>
      <c r="Q346">
        <v>5</v>
      </c>
      <c r="R346" t="s">
        <v>50</v>
      </c>
      <c r="S346" t="s">
        <v>40</v>
      </c>
      <c r="T346" t="s">
        <v>41</v>
      </c>
      <c r="U346">
        <v>43.036776000000003</v>
      </c>
      <c r="V346">
        <v>12.678565000000001</v>
      </c>
      <c r="W346" t="str">
        <f t="shared" si="35"/>
        <v>ok</v>
      </c>
      <c r="X346" t="str">
        <f t="shared" si="40"/>
        <v>ok</v>
      </c>
      <c r="Y346" t="str">
        <f t="shared" si="36"/>
        <v>ok</v>
      </c>
      <c r="Z346" t="str">
        <f t="shared" si="37"/>
        <v>ok</v>
      </c>
      <c r="AA346" s="4" t="str">
        <f t="shared" si="38"/>
        <v>check</v>
      </c>
      <c r="AB346" s="4" t="str">
        <f t="shared" si="39"/>
        <v>ok</v>
      </c>
      <c r="AC346" s="6">
        <f t="shared" si="41"/>
        <v>23.549731944396626</v>
      </c>
    </row>
    <row r="347" spans="1:29" x14ac:dyDescent="0.3">
      <c r="A347" t="s">
        <v>32</v>
      </c>
      <c r="B347">
        <v>1434</v>
      </c>
      <c r="C347" t="s">
        <v>23</v>
      </c>
      <c r="D347" t="s">
        <v>24</v>
      </c>
      <c r="E347" t="s">
        <v>48</v>
      </c>
      <c r="F347" t="s">
        <v>36</v>
      </c>
      <c r="G347" t="s">
        <v>54</v>
      </c>
      <c r="H347" s="1">
        <v>44977.465775462966</v>
      </c>
      <c r="I347" s="1">
        <v>44979.465775462966</v>
      </c>
      <c r="J347" s="1">
        <v>44977.50744212963</v>
      </c>
      <c r="K347" s="2">
        <v>44977.468413819443</v>
      </c>
      <c r="L347" t="s">
        <v>38</v>
      </c>
      <c r="N347" t="s">
        <v>38</v>
      </c>
      <c r="P347">
        <v>2</v>
      </c>
      <c r="R347" t="s">
        <v>55</v>
      </c>
      <c r="S347" t="s">
        <v>40</v>
      </c>
      <c r="T347" t="s">
        <v>46</v>
      </c>
      <c r="U347">
        <v>47.696471899999999</v>
      </c>
      <c r="V347">
        <v>13.3457347</v>
      </c>
      <c r="W347" t="str">
        <f t="shared" si="35"/>
        <v>ok</v>
      </c>
      <c r="X347" t="str">
        <f t="shared" si="40"/>
        <v>ok</v>
      </c>
      <c r="Y347" t="str">
        <f t="shared" si="36"/>
        <v>ok</v>
      </c>
      <c r="Z347" t="str">
        <f t="shared" si="37"/>
        <v>ok</v>
      </c>
      <c r="AA347" s="4" t="str">
        <f t="shared" si="38"/>
        <v>check</v>
      </c>
      <c r="AB347" s="4" t="str">
        <f t="shared" si="39"/>
        <v>no resolution</v>
      </c>
      <c r="AC347" s="6" t="str">
        <f t="shared" si="41"/>
        <v/>
      </c>
    </row>
    <row r="348" spans="1:29" x14ac:dyDescent="0.3">
      <c r="A348" t="s">
        <v>22</v>
      </c>
      <c r="B348">
        <v>1435</v>
      </c>
      <c r="C348" t="s">
        <v>33</v>
      </c>
      <c r="D348" t="s">
        <v>34</v>
      </c>
      <c r="E348" t="s">
        <v>35</v>
      </c>
      <c r="F348" t="s">
        <v>36</v>
      </c>
      <c r="G348" t="s">
        <v>64</v>
      </c>
      <c r="H348" s="1">
        <v>44978.813125000001</v>
      </c>
      <c r="I348" s="1">
        <v>44980.813125000001</v>
      </c>
      <c r="J348" s="1">
        <v>44978.814513888887</v>
      </c>
      <c r="K348" s="2">
        <v>44978.813212326386</v>
      </c>
      <c r="L348" t="s">
        <v>28</v>
      </c>
      <c r="M348" s="2">
        <v>44979.878525509259</v>
      </c>
      <c r="N348" t="s">
        <v>28</v>
      </c>
      <c r="O348" s="2">
        <v>44979.221771898148</v>
      </c>
      <c r="P348">
        <v>1</v>
      </c>
      <c r="Q348">
        <v>3</v>
      </c>
      <c r="R348" t="s">
        <v>50</v>
      </c>
      <c r="S348" t="s">
        <v>40</v>
      </c>
      <c r="T348" t="s">
        <v>41</v>
      </c>
      <c r="U348">
        <v>43.036776000000003</v>
      </c>
      <c r="V348">
        <v>12.678565000000001</v>
      </c>
      <c r="W348" t="str">
        <f t="shared" si="35"/>
        <v>ok</v>
      </c>
      <c r="X348" t="str">
        <f t="shared" si="40"/>
        <v>ok</v>
      </c>
      <c r="Y348" t="str">
        <f t="shared" si="36"/>
        <v>check</v>
      </c>
      <c r="Z348" t="str">
        <f t="shared" si="37"/>
        <v>ok</v>
      </c>
      <c r="AA348" s="4" t="str">
        <f t="shared" si="38"/>
        <v>ok</v>
      </c>
      <c r="AB348" s="4" t="str">
        <f t="shared" si="39"/>
        <v>ok</v>
      </c>
      <c r="AC348" s="6">
        <f t="shared" si="41"/>
        <v>25.569612222199794</v>
      </c>
    </row>
    <row r="349" spans="1:29" x14ac:dyDescent="0.3">
      <c r="A349" t="s">
        <v>32</v>
      </c>
      <c r="B349">
        <v>1436</v>
      </c>
      <c r="C349" t="s">
        <v>33</v>
      </c>
      <c r="D349" t="s">
        <v>43</v>
      </c>
      <c r="E349" t="s">
        <v>35</v>
      </c>
      <c r="F349" t="s">
        <v>26</v>
      </c>
      <c r="G349" t="s">
        <v>52</v>
      </c>
      <c r="H349" s="1">
        <v>44978.181886574072</v>
      </c>
      <c r="I349" s="1">
        <v>44979.181886574072</v>
      </c>
      <c r="J349" s="1">
        <v>44978.183275462965</v>
      </c>
      <c r="K349" s="2">
        <v>44978.183039687501</v>
      </c>
      <c r="L349" t="s">
        <v>28</v>
      </c>
      <c r="N349" t="s">
        <v>38</v>
      </c>
      <c r="P349">
        <v>4</v>
      </c>
      <c r="R349" t="s">
        <v>55</v>
      </c>
      <c r="S349" t="s">
        <v>30</v>
      </c>
      <c r="T349" t="s">
        <v>41</v>
      </c>
      <c r="U349">
        <v>43.036776000000003</v>
      </c>
      <c r="V349">
        <v>12.678565000000001</v>
      </c>
      <c r="W349" t="str">
        <f t="shared" si="35"/>
        <v>ok</v>
      </c>
      <c r="X349" t="str">
        <f t="shared" si="40"/>
        <v>ok</v>
      </c>
      <c r="Y349" t="str">
        <f t="shared" si="36"/>
        <v>ok</v>
      </c>
      <c r="Z349" t="str">
        <f t="shared" si="37"/>
        <v>ok</v>
      </c>
      <c r="AA349" s="4" t="str">
        <f t="shared" si="38"/>
        <v>ok</v>
      </c>
      <c r="AB349" s="4" t="str">
        <f t="shared" si="39"/>
        <v>no resolution</v>
      </c>
      <c r="AC349" s="6" t="str">
        <f t="shared" si="41"/>
        <v/>
      </c>
    </row>
    <row r="350" spans="1:29" x14ac:dyDescent="0.3">
      <c r="A350" t="s">
        <v>32</v>
      </c>
      <c r="B350">
        <v>1437</v>
      </c>
      <c r="C350" t="s">
        <v>23</v>
      </c>
      <c r="D350" t="s">
        <v>43</v>
      </c>
      <c r="E350" t="s">
        <v>48</v>
      </c>
      <c r="F350" t="s">
        <v>26</v>
      </c>
      <c r="G350" t="s">
        <v>60</v>
      </c>
      <c r="H350" s="1">
        <v>44978.497314814813</v>
      </c>
      <c r="I350" s="1">
        <v>44979.497314814813</v>
      </c>
      <c r="J350" s="1">
        <v>44978.498703703706</v>
      </c>
      <c r="K350" s="2">
        <v>44978.498482395837</v>
      </c>
      <c r="L350" t="s">
        <v>28</v>
      </c>
      <c r="N350" t="s">
        <v>38</v>
      </c>
      <c r="P350">
        <v>6</v>
      </c>
      <c r="R350" t="s">
        <v>39</v>
      </c>
      <c r="S350" t="s">
        <v>30</v>
      </c>
      <c r="T350" t="s">
        <v>57</v>
      </c>
      <c r="U350">
        <v>51.165691000000002</v>
      </c>
      <c r="V350">
        <v>10.451525999999999</v>
      </c>
      <c r="W350" t="str">
        <f t="shared" si="35"/>
        <v>ok</v>
      </c>
      <c r="X350" t="str">
        <f t="shared" si="40"/>
        <v>ok</v>
      </c>
      <c r="Y350" t="str">
        <f t="shared" si="36"/>
        <v>ok</v>
      </c>
      <c r="Z350" t="str">
        <f t="shared" si="37"/>
        <v>ok</v>
      </c>
      <c r="AA350" s="4" t="str">
        <f t="shared" si="38"/>
        <v>ok</v>
      </c>
      <c r="AB350" s="4" t="str">
        <f t="shared" si="39"/>
        <v>no resolution</v>
      </c>
      <c r="AC350" s="6" t="str">
        <f t="shared" si="41"/>
        <v/>
      </c>
    </row>
    <row r="351" spans="1:29" x14ac:dyDescent="0.3">
      <c r="A351" t="s">
        <v>32</v>
      </c>
      <c r="B351">
        <v>1438</v>
      </c>
      <c r="C351" t="s">
        <v>33</v>
      </c>
      <c r="D351" t="s">
        <v>24</v>
      </c>
      <c r="E351" t="s">
        <v>39</v>
      </c>
      <c r="F351" t="s">
        <v>26</v>
      </c>
      <c r="G351" t="s">
        <v>45</v>
      </c>
      <c r="H351" s="1">
        <v>44978.739652777775</v>
      </c>
      <c r="I351" s="1">
        <v>44980.739652777775</v>
      </c>
      <c r="J351" s="1">
        <v>44978.781319444446</v>
      </c>
      <c r="K351" s="2">
        <v>44978.761337094904</v>
      </c>
      <c r="L351" t="s">
        <v>28</v>
      </c>
      <c r="N351" t="s">
        <v>38</v>
      </c>
      <c r="P351">
        <v>1</v>
      </c>
      <c r="R351" t="s">
        <v>29</v>
      </c>
      <c r="S351" t="s">
        <v>30</v>
      </c>
      <c r="T351" t="s">
        <v>56</v>
      </c>
      <c r="U351">
        <v>52.536273000000001</v>
      </c>
      <c r="V351">
        <v>19.050639</v>
      </c>
      <c r="W351" t="str">
        <f t="shared" si="35"/>
        <v>ok</v>
      </c>
      <c r="X351" t="str">
        <f t="shared" si="40"/>
        <v>ok</v>
      </c>
      <c r="Y351" t="str">
        <f t="shared" si="36"/>
        <v>ok</v>
      </c>
      <c r="Z351" t="str">
        <f t="shared" si="37"/>
        <v>ok</v>
      </c>
      <c r="AA351" s="4" t="str">
        <f t="shared" si="38"/>
        <v>ok</v>
      </c>
      <c r="AB351" s="4" t="str">
        <f t="shared" si="39"/>
        <v>no resolution</v>
      </c>
      <c r="AC351" s="6" t="str">
        <f t="shared" si="41"/>
        <v/>
      </c>
    </row>
    <row r="352" spans="1:29" x14ac:dyDescent="0.3">
      <c r="A352" t="s">
        <v>22</v>
      </c>
      <c r="B352">
        <v>1439</v>
      </c>
      <c r="C352" t="s">
        <v>47</v>
      </c>
      <c r="D352" t="s">
        <v>24</v>
      </c>
      <c r="E352" t="s">
        <v>48</v>
      </c>
      <c r="F352" t="s">
        <v>26</v>
      </c>
      <c r="G352" t="s">
        <v>60</v>
      </c>
      <c r="H352" s="1">
        <v>44978.895891203705</v>
      </c>
      <c r="I352" s="1">
        <v>44980.895891203705</v>
      </c>
      <c r="J352" s="1">
        <v>44978.937557870369</v>
      </c>
      <c r="K352" s="2">
        <v>44978.92267349537</v>
      </c>
      <c r="L352" t="s">
        <v>28</v>
      </c>
      <c r="M352" s="2">
        <v>44980.499853379632</v>
      </c>
      <c r="N352" t="s">
        <v>28</v>
      </c>
      <c r="O352" s="2">
        <v>44981.613460451386</v>
      </c>
      <c r="P352">
        <v>2</v>
      </c>
      <c r="Q352">
        <v>1</v>
      </c>
      <c r="R352" t="s">
        <v>50</v>
      </c>
      <c r="S352" t="s">
        <v>30</v>
      </c>
      <c r="T352" t="s">
        <v>46</v>
      </c>
      <c r="U352">
        <v>47.696471899999999</v>
      </c>
      <c r="V352">
        <v>13.3457347</v>
      </c>
      <c r="W352" t="str">
        <f t="shared" si="35"/>
        <v>ok</v>
      </c>
      <c r="X352" t="str">
        <f t="shared" si="40"/>
        <v>ok</v>
      </c>
      <c r="Y352" t="str">
        <f t="shared" si="36"/>
        <v>ok</v>
      </c>
      <c r="Z352" t="str">
        <f t="shared" si="37"/>
        <v>ok</v>
      </c>
      <c r="AA352" s="4" t="str">
        <f t="shared" si="38"/>
        <v>ok</v>
      </c>
      <c r="AB352" s="4" t="str">
        <f t="shared" si="39"/>
        <v>ok</v>
      </c>
      <c r="AC352" s="6">
        <f t="shared" si="41"/>
        <v>38.495092222234234</v>
      </c>
    </row>
    <row r="353" spans="1:29" x14ac:dyDescent="0.3">
      <c r="A353" t="s">
        <v>42</v>
      </c>
      <c r="B353">
        <v>1440</v>
      </c>
      <c r="C353" t="s">
        <v>47</v>
      </c>
      <c r="D353" t="s">
        <v>24</v>
      </c>
      <c r="E353" t="s">
        <v>59</v>
      </c>
      <c r="F353" t="s">
        <v>26</v>
      </c>
      <c r="G353" t="s">
        <v>27</v>
      </c>
      <c r="H353" s="1">
        <v>44979.067118055558</v>
      </c>
      <c r="I353" s="1">
        <v>44981.067118055558</v>
      </c>
      <c r="J353" s="1">
        <v>44979.108784722222</v>
      </c>
      <c r="K353" s="2">
        <v>44979.074466111109</v>
      </c>
      <c r="L353" t="s">
        <v>28</v>
      </c>
      <c r="M353" s="2">
        <v>44982.646008171294</v>
      </c>
      <c r="N353" t="s">
        <v>38</v>
      </c>
      <c r="P353">
        <v>6</v>
      </c>
      <c r="R353" t="s">
        <v>50</v>
      </c>
      <c r="S353" t="s">
        <v>30</v>
      </c>
      <c r="T353" t="s">
        <v>56</v>
      </c>
      <c r="U353">
        <v>52.536273000000001</v>
      </c>
      <c r="V353">
        <v>19.050639</v>
      </c>
      <c r="W353" t="str">
        <f t="shared" si="35"/>
        <v>ok</v>
      </c>
      <c r="X353" t="str">
        <f t="shared" si="40"/>
        <v>ok</v>
      </c>
      <c r="Y353" t="str">
        <f t="shared" si="36"/>
        <v>ok</v>
      </c>
      <c r="Z353" t="str">
        <f t="shared" si="37"/>
        <v>ok</v>
      </c>
      <c r="AA353" s="4" t="str">
        <f t="shared" si="38"/>
        <v>ok</v>
      </c>
      <c r="AB353" s="4" t="str">
        <f t="shared" si="39"/>
        <v>ok</v>
      </c>
      <c r="AC353" s="6">
        <f t="shared" si="41"/>
        <v>85.893362777656876</v>
      </c>
    </row>
    <row r="354" spans="1:29" x14ac:dyDescent="0.3">
      <c r="A354" t="s">
        <v>42</v>
      </c>
      <c r="B354">
        <v>1441</v>
      </c>
      <c r="C354" t="s">
        <v>47</v>
      </c>
      <c r="D354" t="s">
        <v>43</v>
      </c>
      <c r="E354" t="s">
        <v>48</v>
      </c>
      <c r="F354" t="s">
        <v>26</v>
      </c>
      <c r="G354" t="s">
        <v>49</v>
      </c>
      <c r="H354" s="1">
        <v>44979.653854166667</v>
      </c>
      <c r="I354" s="1">
        <v>44980.653854166667</v>
      </c>
      <c r="J354" s="1">
        <v>44979.655243055553</v>
      </c>
      <c r="K354" s="2">
        <v>44979.655026909721</v>
      </c>
      <c r="L354" t="s">
        <v>28</v>
      </c>
      <c r="M354" s="2">
        <v>44979.996699988427</v>
      </c>
      <c r="N354" t="s">
        <v>28</v>
      </c>
      <c r="P354">
        <v>4</v>
      </c>
      <c r="R354" t="s">
        <v>50</v>
      </c>
      <c r="S354" t="s">
        <v>30</v>
      </c>
      <c r="T354" t="s">
        <v>41</v>
      </c>
      <c r="U354">
        <v>43.036776000000003</v>
      </c>
      <c r="V354">
        <v>12.678565000000001</v>
      </c>
      <c r="W354" t="str">
        <f t="shared" si="35"/>
        <v>ok</v>
      </c>
      <c r="X354" t="str">
        <f t="shared" si="40"/>
        <v>ok</v>
      </c>
      <c r="Y354" t="str">
        <f t="shared" si="36"/>
        <v>ok</v>
      </c>
      <c r="Z354" t="str">
        <f t="shared" si="37"/>
        <v>ok</v>
      </c>
      <c r="AA354" s="4" t="str">
        <f t="shared" si="38"/>
        <v>ok</v>
      </c>
      <c r="AB354" s="4" t="str">
        <f t="shared" si="39"/>
        <v>ok</v>
      </c>
      <c r="AC354" s="6">
        <f t="shared" si="41"/>
        <v>8.2282997222500853</v>
      </c>
    </row>
    <row r="355" spans="1:29" x14ac:dyDescent="0.3">
      <c r="A355" t="s">
        <v>32</v>
      </c>
      <c r="B355">
        <v>1442</v>
      </c>
      <c r="C355" t="s">
        <v>23</v>
      </c>
      <c r="D355" t="s">
        <v>24</v>
      </c>
      <c r="E355" t="s">
        <v>48</v>
      </c>
      <c r="F355" t="s">
        <v>26</v>
      </c>
      <c r="G355" t="s">
        <v>27</v>
      </c>
      <c r="H355" s="1">
        <v>44979.676030092596</v>
      </c>
      <c r="I355" s="1">
        <v>44981.676030092596</v>
      </c>
      <c r="J355" s="1">
        <v>44979.71769675926</v>
      </c>
      <c r="K355" s="2">
        <v>44979.854307037036</v>
      </c>
      <c r="L355" t="s">
        <v>38</v>
      </c>
      <c r="N355" t="s">
        <v>38</v>
      </c>
      <c r="P355">
        <v>2</v>
      </c>
      <c r="R355" t="s">
        <v>29</v>
      </c>
      <c r="S355" t="s">
        <v>30</v>
      </c>
      <c r="T355" t="s">
        <v>46</v>
      </c>
      <c r="U355">
        <v>47.696471899999999</v>
      </c>
      <c r="V355">
        <v>13.3457347</v>
      </c>
      <c r="W355" t="str">
        <f t="shared" si="35"/>
        <v>ok</v>
      </c>
      <c r="X355" t="str">
        <f t="shared" si="40"/>
        <v>ok</v>
      </c>
      <c r="Y355" t="str">
        <f t="shared" si="36"/>
        <v>ok</v>
      </c>
      <c r="Z355" t="str">
        <f t="shared" si="37"/>
        <v>ok</v>
      </c>
      <c r="AA355" s="4" t="str">
        <f t="shared" si="38"/>
        <v>ok</v>
      </c>
      <c r="AB355" s="4" t="str">
        <f t="shared" si="39"/>
        <v>no resolution</v>
      </c>
      <c r="AC355" s="6" t="str">
        <f t="shared" si="41"/>
        <v/>
      </c>
    </row>
    <row r="356" spans="1:29" x14ac:dyDescent="0.3">
      <c r="A356" t="s">
        <v>42</v>
      </c>
      <c r="B356">
        <v>1443</v>
      </c>
      <c r="C356" t="s">
        <v>23</v>
      </c>
      <c r="D356" t="s">
        <v>24</v>
      </c>
      <c r="E356" t="s">
        <v>62</v>
      </c>
      <c r="F356" t="s">
        <v>36</v>
      </c>
      <c r="G356" t="s">
        <v>64</v>
      </c>
      <c r="H356" s="1">
        <v>44979.150185185186</v>
      </c>
      <c r="I356" s="1">
        <v>44981.150185185186</v>
      </c>
      <c r="J356" s="1">
        <v>44979.191851851851</v>
      </c>
      <c r="K356" s="2">
        <v>44979.171558923612</v>
      </c>
      <c r="L356" t="s">
        <v>28</v>
      </c>
      <c r="M356" s="2">
        <v>44979.989670555558</v>
      </c>
      <c r="N356" t="s">
        <v>28</v>
      </c>
      <c r="P356">
        <v>1</v>
      </c>
      <c r="R356" t="s">
        <v>55</v>
      </c>
      <c r="S356" t="s">
        <v>40</v>
      </c>
      <c r="T356" t="s">
        <v>58</v>
      </c>
      <c r="U356">
        <v>49.8037633</v>
      </c>
      <c r="V356">
        <v>15.4749126</v>
      </c>
      <c r="W356" t="str">
        <f t="shared" si="35"/>
        <v>ok</v>
      </c>
      <c r="X356" t="str">
        <f t="shared" si="40"/>
        <v>ok</v>
      </c>
      <c r="Y356" t="str">
        <f t="shared" si="36"/>
        <v>ok</v>
      </c>
      <c r="Z356" t="str">
        <f t="shared" si="37"/>
        <v>ok</v>
      </c>
      <c r="AA356" s="4" t="str">
        <f t="shared" si="38"/>
        <v>ok</v>
      </c>
      <c r="AB356" s="4" t="str">
        <f t="shared" si="39"/>
        <v>ok</v>
      </c>
      <c r="AC356" s="6">
        <f t="shared" si="41"/>
        <v>20.147648888931144</v>
      </c>
    </row>
    <row r="357" spans="1:29" x14ac:dyDescent="0.3">
      <c r="A357" t="s">
        <v>42</v>
      </c>
      <c r="B357">
        <v>1444</v>
      </c>
      <c r="C357" t="s">
        <v>23</v>
      </c>
      <c r="D357" t="s">
        <v>24</v>
      </c>
      <c r="E357" t="s">
        <v>48</v>
      </c>
      <c r="F357" t="s">
        <v>26</v>
      </c>
      <c r="G357" t="s">
        <v>27</v>
      </c>
      <c r="H357" s="1">
        <v>44979.730069444442</v>
      </c>
      <c r="I357" s="1">
        <v>44981.730069444442</v>
      </c>
      <c r="J357" s="1">
        <v>44979.771736111114</v>
      </c>
      <c r="K357" s="2">
        <v>44979.75520417824</v>
      </c>
      <c r="L357" t="s">
        <v>28</v>
      </c>
      <c r="M357" s="2">
        <v>44980.927243298611</v>
      </c>
      <c r="N357" t="s">
        <v>28</v>
      </c>
      <c r="P357">
        <v>10</v>
      </c>
      <c r="R357" t="s">
        <v>55</v>
      </c>
      <c r="S357" t="s">
        <v>30</v>
      </c>
      <c r="T357" t="s">
        <v>66</v>
      </c>
      <c r="U357">
        <v>48.864716000000001</v>
      </c>
      <c r="V357">
        <v>2.3490139999999999</v>
      </c>
      <c r="W357" t="str">
        <f t="shared" si="35"/>
        <v>ok</v>
      </c>
      <c r="X357" t="str">
        <f t="shared" si="40"/>
        <v>ok</v>
      </c>
      <c r="Y357" t="str">
        <f t="shared" si="36"/>
        <v>ok</v>
      </c>
      <c r="Z357" t="str">
        <f t="shared" si="37"/>
        <v>ok</v>
      </c>
      <c r="AA357" s="4" t="str">
        <f t="shared" si="38"/>
        <v>ok</v>
      </c>
      <c r="AB357" s="4" t="str">
        <f t="shared" si="39"/>
        <v>ok</v>
      </c>
      <c r="AC357" s="6">
        <f t="shared" si="41"/>
        <v>28.732172500051092</v>
      </c>
    </row>
    <row r="358" spans="1:29" x14ac:dyDescent="0.3">
      <c r="A358" t="s">
        <v>22</v>
      </c>
      <c r="B358">
        <v>1445</v>
      </c>
      <c r="C358" t="s">
        <v>47</v>
      </c>
      <c r="D358" t="s">
        <v>24</v>
      </c>
      <c r="E358" t="s">
        <v>59</v>
      </c>
      <c r="F358" t="s">
        <v>36</v>
      </c>
      <c r="G358" t="s">
        <v>54</v>
      </c>
      <c r="H358" s="1">
        <v>44980.315358796295</v>
      </c>
      <c r="I358" s="1">
        <v>44982.315358796295</v>
      </c>
      <c r="J358" s="1">
        <v>44980.357025462959</v>
      </c>
      <c r="K358" s="2">
        <v>44980.352128726852</v>
      </c>
      <c r="L358" t="s">
        <v>28</v>
      </c>
      <c r="M358" s="2">
        <v>44981.142005914349</v>
      </c>
      <c r="N358" t="s">
        <v>28</v>
      </c>
      <c r="O358" s="2">
        <v>44985.52695900463</v>
      </c>
      <c r="P358">
        <v>10</v>
      </c>
      <c r="Q358">
        <v>5</v>
      </c>
      <c r="R358" t="s">
        <v>29</v>
      </c>
      <c r="S358" t="s">
        <v>40</v>
      </c>
      <c r="T358" t="s">
        <v>56</v>
      </c>
      <c r="U358">
        <v>52.536273000000001</v>
      </c>
      <c r="V358">
        <v>19.050639</v>
      </c>
      <c r="W358" t="str">
        <f t="shared" si="35"/>
        <v>ok</v>
      </c>
      <c r="X358" t="str">
        <f t="shared" si="40"/>
        <v>ok</v>
      </c>
      <c r="Y358" t="str">
        <f t="shared" si="36"/>
        <v>ok</v>
      </c>
      <c r="Z358" t="str">
        <f t="shared" si="37"/>
        <v>ok</v>
      </c>
      <c r="AA358" s="4" t="str">
        <f t="shared" si="38"/>
        <v>ok</v>
      </c>
      <c r="AB358" s="4" t="str">
        <f t="shared" si="39"/>
        <v>ok</v>
      </c>
      <c r="AC358" s="6">
        <f t="shared" si="41"/>
        <v>19.83953083329834</v>
      </c>
    </row>
    <row r="359" spans="1:29" x14ac:dyDescent="0.3">
      <c r="A359" t="s">
        <v>32</v>
      </c>
      <c r="B359">
        <v>1446</v>
      </c>
      <c r="C359" t="s">
        <v>23</v>
      </c>
      <c r="D359" t="s">
        <v>24</v>
      </c>
      <c r="E359" t="s">
        <v>62</v>
      </c>
      <c r="F359" t="s">
        <v>26</v>
      </c>
      <c r="G359" t="s">
        <v>27</v>
      </c>
      <c r="H359" s="1">
        <v>44980.531458333331</v>
      </c>
      <c r="I359" s="1">
        <v>44982.531458333331</v>
      </c>
      <c r="J359" s="1">
        <v>44980.573125000003</v>
      </c>
      <c r="K359" s="2">
        <v>44980.555681874997</v>
      </c>
      <c r="L359" t="s">
        <v>28</v>
      </c>
      <c r="N359" t="s">
        <v>38</v>
      </c>
      <c r="P359">
        <v>9</v>
      </c>
      <c r="R359" t="s">
        <v>55</v>
      </c>
      <c r="S359" t="s">
        <v>30</v>
      </c>
      <c r="T359" t="s">
        <v>57</v>
      </c>
      <c r="U359">
        <v>51.165691000000002</v>
      </c>
      <c r="V359">
        <v>10.451525999999999</v>
      </c>
      <c r="W359" t="str">
        <f t="shared" si="35"/>
        <v>ok</v>
      </c>
      <c r="X359" t="str">
        <f t="shared" si="40"/>
        <v>ok</v>
      </c>
      <c r="Y359" t="str">
        <f t="shared" si="36"/>
        <v>ok</v>
      </c>
      <c r="Z359" t="str">
        <f t="shared" si="37"/>
        <v>ok</v>
      </c>
      <c r="AA359" s="4" t="str">
        <f t="shared" si="38"/>
        <v>ok</v>
      </c>
      <c r="AB359" s="4" t="str">
        <f t="shared" si="39"/>
        <v>no resolution</v>
      </c>
      <c r="AC359" s="6" t="str">
        <f t="shared" si="41"/>
        <v/>
      </c>
    </row>
    <row r="360" spans="1:29" x14ac:dyDescent="0.3">
      <c r="A360" t="s">
        <v>32</v>
      </c>
      <c r="B360">
        <v>1447</v>
      </c>
      <c r="C360" t="s">
        <v>33</v>
      </c>
      <c r="D360" t="s">
        <v>24</v>
      </c>
      <c r="E360" t="s">
        <v>35</v>
      </c>
      <c r="F360" t="s">
        <v>26</v>
      </c>
      <c r="G360" t="s">
        <v>45</v>
      </c>
      <c r="H360" s="1">
        <v>44980.043437499997</v>
      </c>
      <c r="I360" s="1">
        <v>44982.043437499997</v>
      </c>
      <c r="J360" s="1">
        <v>44980.085104166668</v>
      </c>
      <c r="K360" s="2">
        <v>44980.054899421295</v>
      </c>
      <c r="L360" t="s">
        <v>28</v>
      </c>
      <c r="N360" t="s">
        <v>38</v>
      </c>
      <c r="P360">
        <v>3</v>
      </c>
      <c r="R360" t="s">
        <v>50</v>
      </c>
      <c r="S360" t="s">
        <v>30</v>
      </c>
      <c r="T360" t="s">
        <v>58</v>
      </c>
      <c r="U360">
        <v>49.8037633</v>
      </c>
      <c r="V360">
        <v>15.4749126</v>
      </c>
      <c r="W360" t="str">
        <f t="shared" si="35"/>
        <v>ok</v>
      </c>
      <c r="X360" t="str">
        <f t="shared" si="40"/>
        <v>ok</v>
      </c>
      <c r="Y360" t="str">
        <f t="shared" si="36"/>
        <v>ok</v>
      </c>
      <c r="Z360" t="str">
        <f t="shared" si="37"/>
        <v>ok</v>
      </c>
      <c r="AA360" s="4" t="str">
        <f t="shared" si="38"/>
        <v>ok</v>
      </c>
      <c r="AB360" s="4" t="str">
        <f t="shared" si="39"/>
        <v>no resolution</v>
      </c>
      <c r="AC360" s="6" t="str">
        <f t="shared" si="41"/>
        <v/>
      </c>
    </row>
    <row r="361" spans="1:29" x14ac:dyDescent="0.3">
      <c r="A361" t="s">
        <v>32</v>
      </c>
      <c r="B361">
        <v>1448</v>
      </c>
      <c r="C361" t="s">
        <v>23</v>
      </c>
      <c r="D361" t="s">
        <v>43</v>
      </c>
      <c r="E361" t="s">
        <v>67</v>
      </c>
      <c r="F361" t="s">
        <v>26</v>
      </c>
      <c r="G361" t="s">
        <v>60</v>
      </c>
      <c r="H361" s="1">
        <v>44980.841608796298</v>
      </c>
      <c r="I361" s="1">
        <v>44981.841608796298</v>
      </c>
      <c r="J361" s="1">
        <v>44980.842997685184</v>
      </c>
      <c r="K361" s="2">
        <v>44980.842290428242</v>
      </c>
      <c r="L361" t="s">
        <v>28</v>
      </c>
      <c r="N361" t="s">
        <v>38</v>
      </c>
      <c r="P361">
        <v>6</v>
      </c>
      <c r="R361" t="s">
        <v>29</v>
      </c>
      <c r="S361" t="s">
        <v>30</v>
      </c>
      <c r="T361" t="s">
        <v>41</v>
      </c>
      <c r="U361">
        <v>43.036776000000003</v>
      </c>
      <c r="V361">
        <v>12.678565000000001</v>
      </c>
      <c r="W361" t="str">
        <f t="shared" si="35"/>
        <v>ok</v>
      </c>
      <c r="X361" t="str">
        <f t="shared" si="40"/>
        <v>ok</v>
      </c>
      <c r="Y361" t="str">
        <f t="shared" si="36"/>
        <v>ok</v>
      </c>
      <c r="Z361" t="str">
        <f t="shared" si="37"/>
        <v>ok</v>
      </c>
      <c r="AA361" s="4" t="str">
        <f t="shared" si="38"/>
        <v>ok</v>
      </c>
      <c r="AB361" s="4" t="str">
        <f t="shared" si="39"/>
        <v>no resolution</v>
      </c>
      <c r="AC361" s="6" t="str">
        <f t="shared" si="41"/>
        <v/>
      </c>
    </row>
    <row r="362" spans="1:29" x14ac:dyDescent="0.3">
      <c r="A362" t="s">
        <v>22</v>
      </c>
      <c r="B362">
        <v>1449</v>
      </c>
      <c r="C362" t="s">
        <v>33</v>
      </c>
      <c r="D362" t="s">
        <v>43</v>
      </c>
      <c r="E362" t="s">
        <v>44</v>
      </c>
      <c r="F362" t="s">
        <v>36</v>
      </c>
      <c r="G362" t="s">
        <v>37</v>
      </c>
      <c r="H362" s="1">
        <v>44981.193935185183</v>
      </c>
      <c r="I362" s="1">
        <v>44982.193935185183</v>
      </c>
      <c r="J362" s="1">
        <v>44981.195324074077</v>
      </c>
      <c r="K362" s="2">
        <v>44981.196999930558</v>
      </c>
      <c r="L362" t="s">
        <v>38</v>
      </c>
      <c r="M362" s="2">
        <v>44982.02488109954</v>
      </c>
      <c r="N362" t="s">
        <v>28</v>
      </c>
      <c r="O362" s="2">
        <v>44983.664167673611</v>
      </c>
      <c r="P362">
        <v>6</v>
      </c>
      <c r="Q362">
        <v>3</v>
      </c>
      <c r="R362" t="s">
        <v>50</v>
      </c>
      <c r="S362" t="s">
        <v>40</v>
      </c>
      <c r="T362" t="s">
        <v>41</v>
      </c>
      <c r="U362">
        <v>43.036776000000003</v>
      </c>
      <c r="V362">
        <v>12.678565000000001</v>
      </c>
      <c r="W362" t="str">
        <f t="shared" si="35"/>
        <v>ok</v>
      </c>
      <c r="X362" t="str">
        <f t="shared" si="40"/>
        <v>ok</v>
      </c>
      <c r="Y362" t="str">
        <f t="shared" si="36"/>
        <v>ok</v>
      </c>
      <c r="Z362" t="str">
        <f t="shared" si="37"/>
        <v>ok</v>
      </c>
      <c r="AA362" s="4" t="str">
        <f t="shared" si="38"/>
        <v>ok</v>
      </c>
      <c r="AB362" s="4" t="str">
        <f t="shared" si="39"/>
        <v>ok</v>
      </c>
      <c r="AC362" s="6">
        <f t="shared" si="41"/>
        <v>19.942701944557484</v>
      </c>
    </row>
    <row r="363" spans="1:29" x14ac:dyDescent="0.3">
      <c r="A363" t="s">
        <v>22</v>
      </c>
      <c r="B363">
        <v>1450</v>
      </c>
      <c r="C363" t="s">
        <v>23</v>
      </c>
      <c r="D363" t="s">
        <v>43</v>
      </c>
      <c r="E363" t="s">
        <v>59</v>
      </c>
      <c r="F363" t="s">
        <v>26</v>
      </c>
      <c r="G363" t="s">
        <v>60</v>
      </c>
      <c r="H363" s="1">
        <v>44981.409837962965</v>
      </c>
      <c r="I363" s="1">
        <v>44982.409837962965</v>
      </c>
      <c r="J363" s="1">
        <v>44981.411226851851</v>
      </c>
      <c r="K363" s="2">
        <v>44981.411129097221</v>
      </c>
      <c r="L363" t="s">
        <v>28</v>
      </c>
      <c r="M363" s="2">
        <v>44981.515685312501</v>
      </c>
      <c r="N363" t="s">
        <v>28</v>
      </c>
      <c r="O363" s="2">
        <v>44985.190923553244</v>
      </c>
      <c r="P363">
        <v>2</v>
      </c>
      <c r="Q363">
        <v>4</v>
      </c>
      <c r="R363" t="s">
        <v>50</v>
      </c>
      <c r="S363" t="s">
        <v>30</v>
      </c>
      <c r="T363" t="s">
        <v>66</v>
      </c>
      <c r="U363">
        <v>48.864716000000001</v>
      </c>
      <c r="V363">
        <v>2.3490139999999999</v>
      </c>
      <c r="W363" t="str">
        <f t="shared" si="35"/>
        <v>ok</v>
      </c>
      <c r="X363" t="str">
        <f t="shared" si="40"/>
        <v>ok</v>
      </c>
      <c r="Y363" t="str">
        <f t="shared" si="36"/>
        <v>ok</v>
      </c>
      <c r="Z363" t="str">
        <f t="shared" si="37"/>
        <v>ok</v>
      </c>
      <c r="AA363" s="4" t="str">
        <f t="shared" si="38"/>
        <v>ok</v>
      </c>
      <c r="AB363" s="4" t="str">
        <f t="shared" si="39"/>
        <v>ok</v>
      </c>
      <c r="AC363" s="6">
        <f t="shared" si="41"/>
        <v>2.5403363888617605</v>
      </c>
    </row>
    <row r="364" spans="1:29" x14ac:dyDescent="0.3">
      <c r="A364" t="s">
        <v>32</v>
      </c>
      <c r="B364">
        <v>1451</v>
      </c>
      <c r="C364" t="s">
        <v>33</v>
      </c>
      <c r="D364" t="s">
        <v>24</v>
      </c>
      <c r="E364" t="s">
        <v>44</v>
      </c>
      <c r="F364" t="s">
        <v>26</v>
      </c>
      <c r="G364" t="s">
        <v>60</v>
      </c>
      <c r="H364" s="1">
        <v>44981.382488425923</v>
      </c>
      <c r="I364" s="1">
        <v>44983.382488425923</v>
      </c>
      <c r="J364" s="1">
        <v>44981.424155092594</v>
      </c>
      <c r="K364" s="2">
        <v>44981.385760671299</v>
      </c>
      <c r="L364" t="s">
        <v>28</v>
      </c>
      <c r="N364" t="s">
        <v>38</v>
      </c>
      <c r="P364">
        <v>2</v>
      </c>
      <c r="R364" t="s">
        <v>55</v>
      </c>
      <c r="S364" t="s">
        <v>30</v>
      </c>
      <c r="T364" t="s">
        <v>66</v>
      </c>
      <c r="U364">
        <v>48.864716000000001</v>
      </c>
      <c r="V364">
        <v>2.3490139999999999</v>
      </c>
      <c r="W364" t="str">
        <f t="shared" si="35"/>
        <v>ok</v>
      </c>
      <c r="X364" t="str">
        <f t="shared" si="40"/>
        <v>ok</v>
      </c>
      <c r="Y364" t="str">
        <f t="shared" si="36"/>
        <v>ok</v>
      </c>
      <c r="Z364" t="str">
        <f t="shared" si="37"/>
        <v>ok</v>
      </c>
      <c r="AA364" s="4" t="str">
        <f t="shared" si="38"/>
        <v>ok</v>
      </c>
      <c r="AB364" s="4" t="str">
        <f t="shared" si="39"/>
        <v>no resolution</v>
      </c>
      <c r="AC364" s="6" t="str">
        <f t="shared" si="41"/>
        <v/>
      </c>
    </row>
    <row r="365" spans="1:29" x14ac:dyDescent="0.3">
      <c r="A365" t="s">
        <v>32</v>
      </c>
      <c r="B365">
        <v>1452</v>
      </c>
      <c r="C365" t="s">
        <v>23</v>
      </c>
      <c r="D365" t="s">
        <v>24</v>
      </c>
      <c r="E365" t="s">
        <v>39</v>
      </c>
      <c r="F365" t="s">
        <v>36</v>
      </c>
      <c r="G365" t="s">
        <v>64</v>
      </c>
      <c r="H365" s="1">
        <v>44981.186365740738</v>
      </c>
      <c r="I365" s="1">
        <v>44983.186365740738</v>
      </c>
      <c r="J365" s="1">
        <v>44981.228032407409</v>
      </c>
      <c r="K365" s="2">
        <v>44981.19729611111</v>
      </c>
      <c r="L365" t="s">
        <v>28</v>
      </c>
      <c r="N365" t="s">
        <v>38</v>
      </c>
      <c r="P365">
        <v>7</v>
      </c>
      <c r="R365" t="s">
        <v>29</v>
      </c>
      <c r="S365" t="s">
        <v>40</v>
      </c>
      <c r="T365" t="s">
        <v>46</v>
      </c>
      <c r="U365">
        <v>47.696471899999999</v>
      </c>
      <c r="V365">
        <v>13.3457347</v>
      </c>
      <c r="W365" t="str">
        <f t="shared" si="35"/>
        <v>ok</v>
      </c>
      <c r="X365" t="str">
        <f t="shared" si="40"/>
        <v>ok</v>
      </c>
      <c r="Y365" t="str">
        <f t="shared" si="36"/>
        <v>ok</v>
      </c>
      <c r="Z365" t="str">
        <f t="shared" si="37"/>
        <v>ok</v>
      </c>
      <c r="AA365" s="4" t="str">
        <f t="shared" si="38"/>
        <v>ok</v>
      </c>
      <c r="AB365" s="4" t="str">
        <f t="shared" si="39"/>
        <v>no resolution</v>
      </c>
      <c r="AC365" s="6" t="str">
        <f t="shared" si="41"/>
        <v/>
      </c>
    </row>
    <row r="366" spans="1:29" x14ac:dyDescent="0.3">
      <c r="A366" t="s">
        <v>22</v>
      </c>
      <c r="B366">
        <v>1453</v>
      </c>
      <c r="C366" t="s">
        <v>33</v>
      </c>
      <c r="D366" t="s">
        <v>24</v>
      </c>
      <c r="E366" t="s">
        <v>48</v>
      </c>
      <c r="F366" t="s">
        <v>26</v>
      </c>
      <c r="G366" t="s">
        <v>60</v>
      </c>
      <c r="H366" s="1">
        <v>44981.882430555554</v>
      </c>
      <c r="I366" s="1">
        <v>44983.882430555554</v>
      </c>
      <c r="J366" s="1">
        <v>44981.924097222225</v>
      </c>
      <c r="K366" s="2">
        <v>44981.902819872688</v>
      </c>
      <c r="L366" t="s">
        <v>28</v>
      </c>
      <c r="M366" s="2">
        <v>44983.139833923611</v>
      </c>
      <c r="N366" t="s">
        <v>28</v>
      </c>
      <c r="O366" s="2">
        <v>44984.317145925925</v>
      </c>
      <c r="P366">
        <v>6</v>
      </c>
      <c r="Q366">
        <v>1</v>
      </c>
      <c r="R366" t="s">
        <v>29</v>
      </c>
      <c r="S366" t="s">
        <v>30</v>
      </c>
      <c r="T366" t="s">
        <v>57</v>
      </c>
      <c r="U366">
        <v>51.165691000000002</v>
      </c>
      <c r="V366">
        <v>10.451525999999999</v>
      </c>
      <c r="W366" t="str">
        <f t="shared" si="35"/>
        <v>ok</v>
      </c>
      <c r="X366" t="str">
        <f t="shared" si="40"/>
        <v>ok</v>
      </c>
      <c r="Y366" t="str">
        <f t="shared" si="36"/>
        <v>ok</v>
      </c>
      <c r="Z366" t="str">
        <f t="shared" si="37"/>
        <v>ok</v>
      </c>
      <c r="AA366" s="4" t="str">
        <f t="shared" si="38"/>
        <v>ok</v>
      </c>
      <c r="AB366" s="4" t="str">
        <f t="shared" si="39"/>
        <v>ok</v>
      </c>
      <c r="AC366" s="6">
        <f t="shared" si="41"/>
        <v>30.177680833381601</v>
      </c>
    </row>
    <row r="367" spans="1:29" x14ac:dyDescent="0.3">
      <c r="A367" t="s">
        <v>32</v>
      </c>
      <c r="B367">
        <v>1454</v>
      </c>
      <c r="C367" t="s">
        <v>23</v>
      </c>
      <c r="D367" t="s">
        <v>24</v>
      </c>
      <c r="E367" t="s">
        <v>67</v>
      </c>
      <c r="F367" t="s">
        <v>26</v>
      </c>
      <c r="G367" t="s">
        <v>60</v>
      </c>
      <c r="H367" s="1">
        <v>44982.077453703707</v>
      </c>
      <c r="I367" s="1">
        <v>44984.077453703707</v>
      </c>
      <c r="J367" s="1">
        <v>44982.119120370371</v>
      </c>
      <c r="K367" s="2">
        <v>44982.286485810182</v>
      </c>
      <c r="L367" t="s">
        <v>38</v>
      </c>
      <c r="N367" t="s">
        <v>38</v>
      </c>
      <c r="P367">
        <v>1</v>
      </c>
      <c r="R367" t="s">
        <v>29</v>
      </c>
      <c r="S367" t="s">
        <v>30</v>
      </c>
      <c r="T367" t="s">
        <v>57</v>
      </c>
      <c r="U367">
        <v>51.165691000000002</v>
      </c>
      <c r="V367">
        <v>10.451525999999999</v>
      </c>
      <c r="W367" t="str">
        <f t="shared" si="35"/>
        <v>ok</v>
      </c>
      <c r="X367" t="str">
        <f t="shared" si="40"/>
        <v>ok</v>
      </c>
      <c r="Y367" t="str">
        <f t="shared" si="36"/>
        <v>ok</v>
      </c>
      <c r="Z367" t="str">
        <f t="shared" si="37"/>
        <v>ok</v>
      </c>
      <c r="AA367" s="4" t="str">
        <f t="shared" si="38"/>
        <v>ok</v>
      </c>
      <c r="AB367" s="4" t="str">
        <f t="shared" si="39"/>
        <v>no resolution</v>
      </c>
      <c r="AC367" s="6" t="str">
        <f t="shared" si="41"/>
        <v/>
      </c>
    </row>
    <row r="368" spans="1:29" x14ac:dyDescent="0.3">
      <c r="A368" t="s">
        <v>22</v>
      </c>
      <c r="B368">
        <v>1455</v>
      </c>
      <c r="C368" t="s">
        <v>47</v>
      </c>
      <c r="D368" t="s">
        <v>24</v>
      </c>
      <c r="E368" t="s">
        <v>59</v>
      </c>
      <c r="F368" t="s">
        <v>26</v>
      </c>
      <c r="G368" t="s">
        <v>45</v>
      </c>
      <c r="H368" s="1">
        <v>44982.614930555559</v>
      </c>
      <c r="I368" s="1">
        <v>44984.614930555559</v>
      </c>
      <c r="J368" s="1">
        <v>44982.656597222223</v>
      </c>
      <c r="K368" s="2">
        <v>44982.624851782406</v>
      </c>
      <c r="L368" t="s">
        <v>28</v>
      </c>
      <c r="M368" s="2">
        <v>44983.932967442131</v>
      </c>
      <c r="N368" t="s">
        <v>28</v>
      </c>
      <c r="O368" s="2">
        <v>44987.606309849536</v>
      </c>
      <c r="P368">
        <v>10</v>
      </c>
      <c r="Q368">
        <v>5</v>
      </c>
      <c r="R368" t="s">
        <v>50</v>
      </c>
      <c r="S368" t="s">
        <v>30</v>
      </c>
      <c r="T368" t="s">
        <v>58</v>
      </c>
      <c r="U368">
        <v>49.8037633</v>
      </c>
      <c r="V368">
        <v>15.4749126</v>
      </c>
      <c r="W368" t="str">
        <f t="shared" si="35"/>
        <v>ok</v>
      </c>
      <c r="X368" t="str">
        <f t="shared" si="40"/>
        <v>ok</v>
      </c>
      <c r="Y368" t="str">
        <f t="shared" si="36"/>
        <v>ok</v>
      </c>
      <c r="Z368" t="str">
        <f t="shared" si="37"/>
        <v>ok</v>
      </c>
      <c r="AA368" s="4" t="str">
        <f t="shared" si="38"/>
        <v>ok</v>
      </c>
      <c r="AB368" s="4" t="str">
        <f t="shared" si="39"/>
        <v>ok</v>
      </c>
      <c r="AC368" s="6">
        <f t="shared" si="41"/>
        <v>31.632885277736932</v>
      </c>
    </row>
    <row r="369" spans="1:29" x14ac:dyDescent="0.3">
      <c r="A369" t="s">
        <v>22</v>
      </c>
      <c r="B369">
        <v>1466</v>
      </c>
      <c r="C369" t="s">
        <v>33</v>
      </c>
      <c r="D369" t="s">
        <v>24</v>
      </c>
      <c r="E369" t="s">
        <v>35</v>
      </c>
      <c r="F369" t="s">
        <v>26</v>
      </c>
      <c r="G369" t="s">
        <v>27</v>
      </c>
      <c r="H369" s="1">
        <v>44983.364270833335</v>
      </c>
      <c r="I369" s="1">
        <v>44985.364270833335</v>
      </c>
      <c r="J369" s="1">
        <v>44983.4059375</v>
      </c>
      <c r="K369" s="2">
        <v>44983.36431931713</v>
      </c>
      <c r="L369" t="s">
        <v>28</v>
      </c>
      <c r="M369" s="2">
        <v>44985.227385671293</v>
      </c>
      <c r="N369" t="s">
        <v>28</v>
      </c>
      <c r="O369" s="2">
        <v>44990.422988379629</v>
      </c>
      <c r="P369">
        <v>10</v>
      </c>
      <c r="Q369">
        <v>3</v>
      </c>
      <c r="R369" t="s">
        <v>39</v>
      </c>
      <c r="S369" t="s">
        <v>30</v>
      </c>
      <c r="T369" t="s">
        <v>31</v>
      </c>
      <c r="U369">
        <v>53.094023999999997</v>
      </c>
      <c r="V369">
        <v>-8.0196749999999994</v>
      </c>
      <c r="W369" t="str">
        <f t="shared" si="35"/>
        <v>ok</v>
      </c>
      <c r="X369" t="str">
        <f t="shared" si="40"/>
        <v>ok</v>
      </c>
      <c r="Y369" t="str">
        <f t="shared" si="36"/>
        <v>ok</v>
      </c>
      <c r="Z369" t="str">
        <f t="shared" si="37"/>
        <v>ok</v>
      </c>
      <c r="AA369" s="4" t="str">
        <f t="shared" si="38"/>
        <v>ok</v>
      </c>
      <c r="AB369" s="4" t="str">
        <f t="shared" si="39"/>
        <v>ok</v>
      </c>
      <c r="AC369" s="6">
        <f t="shared" si="41"/>
        <v>44.714756110974122</v>
      </c>
    </row>
    <row r="370" spans="1:29" x14ac:dyDescent="0.3">
      <c r="A370" t="s">
        <v>42</v>
      </c>
      <c r="B370">
        <v>1467</v>
      </c>
      <c r="C370" t="s">
        <v>33</v>
      </c>
      <c r="D370" t="s">
        <v>43</v>
      </c>
      <c r="E370" t="s">
        <v>39</v>
      </c>
      <c r="F370" t="s">
        <v>26</v>
      </c>
      <c r="G370" t="s">
        <v>52</v>
      </c>
      <c r="H370" s="1">
        <v>44983.157997685186</v>
      </c>
      <c r="I370" s="1">
        <v>44984.157997685186</v>
      </c>
      <c r="J370" s="1">
        <v>44983.159386574072</v>
      </c>
      <c r="K370" s="2">
        <v>44983.158548113424</v>
      </c>
      <c r="L370" t="s">
        <v>28</v>
      </c>
      <c r="M370" s="2">
        <v>44983.250119270837</v>
      </c>
      <c r="N370" t="s">
        <v>28</v>
      </c>
      <c r="P370">
        <v>2</v>
      </c>
      <c r="R370" t="s">
        <v>50</v>
      </c>
      <c r="S370" t="s">
        <v>30</v>
      </c>
      <c r="T370" t="s">
        <v>53</v>
      </c>
      <c r="U370">
        <v>39.368279000000001</v>
      </c>
      <c r="V370">
        <v>21.863140999999999</v>
      </c>
      <c r="W370" t="str">
        <f t="shared" si="35"/>
        <v>ok</v>
      </c>
      <c r="X370" t="str">
        <f t="shared" si="40"/>
        <v>ok</v>
      </c>
      <c r="Y370" t="str">
        <f t="shared" si="36"/>
        <v>ok</v>
      </c>
      <c r="Z370" t="str">
        <f t="shared" si="37"/>
        <v>ok</v>
      </c>
      <c r="AA370" s="4" t="str">
        <f t="shared" si="38"/>
        <v>ok</v>
      </c>
      <c r="AB370" s="4" t="str">
        <f t="shared" si="39"/>
        <v>ok</v>
      </c>
      <c r="AC370" s="6">
        <f t="shared" si="41"/>
        <v>2.2109180556144565</v>
      </c>
    </row>
    <row r="371" spans="1:29" x14ac:dyDescent="0.3">
      <c r="A371" t="s">
        <v>22</v>
      </c>
      <c r="B371">
        <v>1468</v>
      </c>
      <c r="C371" t="s">
        <v>23</v>
      </c>
      <c r="D371" t="s">
        <v>24</v>
      </c>
      <c r="E371" t="s">
        <v>25</v>
      </c>
      <c r="F371" t="s">
        <v>26</v>
      </c>
      <c r="G371" t="s">
        <v>27</v>
      </c>
      <c r="H371" s="1">
        <v>44983.91034722222</v>
      </c>
      <c r="I371" s="1">
        <v>44985.91034722222</v>
      </c>
      <c r="J371" s="1">
        <v>44983.952013888891</v>
      </c>
      <c r="K371" s="2">
        <v>44983.943923981482</v>
      </c>
      <c r="L371" t="s">
        <v>28</v>
      </c>
      <c r="M371" s="2">
        <v>44989.004133634262</v>
      </c>
      <c r="N371" t="s">
        <v>38</v>
      </c>
      <c r="O371" s="2">
        <v>44990.419886932868</v>
      </c>
      <c r="P371">
        <v>1</v>
      </c>
      <c r="Q371">
        <v>2</v>
      </c>
      <c r="R371" t="s">
        <v>50</v>
      </c>
      <c r="S371" t="s">
        <v>30</v>
      </c>
      <c r="T371" t="s">
        <v>57</v>
      </c>
      <c r="U371">
        <v>51.165691000000002</v>
      </c>
      <c r="V371">
        <v>10.451525999999999</v>
      </c>
      <c r="W371" t="str">
        <f t="shared" si="35"/>
        <v>ok</v>
      </c>
      <c r="X371" t="str">
        <f t="shared" si="40"/>
        <v>ok</v>
      </c>
      <c r="Y371" t="str">
        <f t="shared" si="36"/>
        <v>ok</v>
      </c>
      <c r="Z371" t="str">
        <f t="shared" si="37"/>
        <v>ok</v>
      </c>
      <c r="AA371" s="4" t="str">
        <f t="shared" si="38"/>
        <v>ok</v>
      </c>
      <c r="AB371" s="4" t="str">
        <f t="shared" si="39"/>
        <v>ok</v>
      </c>
      <c r="AC371" s="6">
        <f t="shared" si="41"/>
        <v>122.25087388901738</v>
      </c>
    </row>
    <row r="372" spans="1:29" x14ac:dyDescent="0.3">
      <c r="A372" t="s">
        <v>22</v>
      </c>
      <c r="B372">
        <v>1469</v>
      </c>
      <c r="C372" t="s">
        <v>33</v>
      </c>
      <c r="D372" t="s">
        <v>34</v>
      </c>
      <c r="E372" t="s">
        <v>48</v>
      </c>
      <c r="F372" t="s">
        <v>26</v>
      </c>
      <c r="G372" t="s">
        <v>52</v>
      </c>
      <c r="H372" s="1">
        <v>44983.778819444444</v>
      </c>
      <c r="I372" s="1">
        <v>44985.778819444444</v>
      </c>
      <c r="J372" s="1">
        <v>44983.78020833333</v>
      </c>
      <c r="K372" s="2">
        <v>44983.779381759261</v>
      </c>
      <c r="L372" t="s">
        <v>28</v>
      </c>
      <c r="M372" s="2">
        <v>44985.770905868056</v>
      </c>
      <c r="N372" t="s">
        <v>28</v>
      </c>
      <c r="O372" s="2">
        <v>44990.584001701391</v>
      </c>
      <c r="P372">
        <v>1</v>
      </c>
      <c r="Q372">
        <v>2</v>
      </c>
      <c r="R372" t="s">
        <v>50</v>
      </c>
      <c r="S372" t="s">
        <v>30</v>
      </c>
      <c r="T372" t="s">
        <v>58</v>
      </c>
      <c r="U372">
        <v>49.8037633</v>
      </c>
      <c r="V372">
        <v>15.4749126</v>
      </c>
      <c r="W372" t="str">
        <f t="shared" si="35"/>
        <v>ok</v>
      </c>
      <c r="X372" t="str">
        <f t="shared" si="40"/>
        <v>ok</v>
      </c>
      <c r="Y372" t="str">
        <f t="shared" si="36"/>
        <v>ok</v>
      </c>
      <c r="Z372" t="str">
        <f t="shared" si="37"/>
        <v>ok</v>
      </c>
      <c r="AA372" s="4" t="str">
        <f t="shared" si="38"/>
        <v>ok</v>
      </c>
      <c r="AB372" s="4" t="str">
        <f t="shared" si="39"/>
        <v>ok</v>
      </c>
      <c r="AC372" s="6">
        <f t="shared" si="41"/>
        <v>47.810074166685808</v>
      </c>
    </row>
    <row r="373" spans="1:29" x14ac:dyDescent="0.3">
      <c r="A373" t="s">
        <v>22</v>
      </c>
      <c r="B373">
        <v>1470</v>
      </c>
      <c r="C373" t="s">
        <v>47</v>
      </c>
      <c r="D373" t="s">
        <v>43</v>
      </c>
      <c r="E373" t="s">
        <v>67</v>
      </c>
      <c r="F373" t="s">
        <v>26</v>
      </c>
      <c r="G373" t="s">
        <v>49</v>
      </c>
      <c r="H373" s="1">
        <v>44984.726273148146</v>
      </c>
      <c r="I373" s="1">
        <v>44985.726273148146</v>
      </c>
      <c r="J373" s="1">
        <v>44984.727662037039</v>
      </c>
      <c r="K373" s="2">
        <v>44984.726566342593</v>
      </c>
      <c r="L373" t="s">
        <v>28</v>
      </c>
      <c r="M373" s="2">
        <v>44984.748918483798</v>
      </c>
      <c r="N373" t="s">
        <v>28</v>
      </c>
      <c r="O373" s="2">
        <v>44987.732284398146</v>
      </c>
      <c r="P373">
        <v>2</v>
      </c>
      <c r="Q373">
        <v>5</v>
      </c>
      <c r="R373" t="s">
        <v>29</v>
      </c>
      <c r="S373" t="s">
        <v>30</v>
      </c>
      <c r="T373" t="s">
        <v>65</v>
      </c>
      <c r="U373">
        <v>46.149166399999999</v>
      </c>
      <c r="V373">
        <v>14.9860106</v>
      </c>
      <c r="W373" t="str">
        <f t="shared" si="35"/>
        <v>ok</v>
      </c>
      <c r="X373" t="str">
        <f t="shared" si="40"/>
        <v>ok</v>
      </c>
      <c r="Y373" t="str">
        <f t="shared" si="36"/>
        <v>ok</v>
      </c>
      <c r="Z373" t="str">
        <f t="shared" si="37"/>
        <v>ok</v>
      </c>
      <c r="AA373" s="4" t="str">
        <f t="shared" si="38"/>
        <v>ok</v>
      </c>
      <c r="AB373" s="4" t="str">
        <f t="shared" si="39"/>
        <v>ok</v>
      </c>
      <c r="AC373" s="6">
        <f t="shared" si="41"/>
        <v>0.54348805564222857</v>
      </c>
    </row>
    <row r="374" spans="1:29" x14ac:dyDescent="0.3">
      <c r="A374" t="s">
        <v>32</v>
      </c>
      <c r="B374">
        <v>1471</v>
      </c>
      <c r="C374" t="s">
        <v>47</v>
      </c>
      <c r="D374" t="s">
        <v>43</v>
      </c>
      <c r="E374" t="s">
        <v>48</v>
      </c>
      <c r="F374" t="s">
        <v>36</v>
      </c>
      <c r="G374" t="s">
        <v>54</v>
      </c>
      <c r="H374" s="1">
        <v>44984.098587962966</v>
      </c>
      <c r="I374" s="1">
        <v>44985.098587962966</v>
      </c>
      <c r="J374" s="1">
        <v>44984.099976851852</v>
      </c>
      <c r="K374" s="2">
        <v>44984.099587928242</v>
      </c>
      <c r="L374" t="s">
        <v>28</v>
      </c>
      <c r="N374" t="s">
        <v>38</v>
      </c>
      <c r="P374">
        <v>6</v>
      </c>
      <c r="R374" t="s">
        <v>29</v>
      </c>
      <c r="S374" t="s">
        <v>40</v>
      </c>
      <c r="T374" t="s">
        <v>57</v>
      </c>
      <c r="U374">
        <v>51.165691000000002</v>
      </c>
      <c r="V374">
        <v>10.451525999999999</v>
      </c>
      <c r="W374" t="str">
        <f t="shared" si="35"/>
        <v>ok</v>
      </c>
      <c r="X374" t="str">
        <f t="shared" si="40"/>
        <v>ok</v>
      </c>
      <c r="Y374" t="str">
        <f t="shared" si="36"/>
        <v>ok</v>
      </c>
      <c r="Z374" t="str">
        <f t="shared" si="37"/>
        <v>ok</v>
      </c>
      <c r="AA374" s="4" t="str">
        <f t="shared" si="38"/>
        <v>ok</v>
      </c>
      <c r="AB374" s="4" t="str">
        <f t="shared" si="39"/>
        <v>no resolution</v>
      </c>
      <c r="AC374" s="6" t="str">
        <f t="shared" si="41"/>
        <v/>
      </c>
    </row>
    <row r="375" spans="1:29" x14ac:dyDescent="0.3">
      <c r="A375" t="s">
        <v>22</v>
      </c>
      <c r="B375">
        <v>1472</v>
      </c>
      <c r="C375" t="s">
        <v>47</v>
      </c>
      <c r="D375" t="s">
        <v>43</v>
      </c>
      <c r="E375" t="s">
        <v>25</v>
      </c>
      <c r="F375" t="s">
        <v>26</v>
      </c>
      <c r="G375" t="s">
        <v>27</v>
      </c>
      <c r="H375" s="1">
        <v>44984.648333333331</v>
      </c>
      <c r="I375" s="1">
        <v>44985.648333333331</v>
      </c>
      <c r="J375" s="1">
        <v>44984.649722222224</v>
      </c>
      <c r="K375" s="2">
        <v>44984.648761458331</v>
      </c>
      <c r="L375" t="s">
        <v>28</v>
      </c>
      <c r="M375" s="2">
        <v>44984.993195069444</v>
      </c>
      <c r="N375" t="s">
        <v>28</v>
      </c>
      <c r="O375" s="2">
        <v>44988.312448217592</v>
      </c>
      <c r="P375">
        <v>4</v>
      </c>
      <c r="Q375">
        <v>5</v>
      </c>
      <c r="R375" t="s">
        <v>50</v>
      </c>
      <c r="S375" t="s">
        <v>30</v>
      </c>
      <c r="T375" t="s">
        <v>53</v>
      </c>
      <c r="U375">
        <v>39.368279000000001</v>
      </c>
      <c r="V375">
        <v>21.863140999999999</v>
      </c>
      <c r="W375" t="str">
        <f t="shared" si="35"/>
        <v>ok</v>
      </c>
      <c r="X375" t="str">
        <f t="shared" si="40"/>
        <v>ok</v>
      </c>
      <c r="Y375" t="str">
        <f t="shared" si="36"/>
        <v>ok</v>
      </c>
      <c r="Z375" t="str">
        <f t="shared" si="37"/>
        <v>ok</v>
      </c>
      <c r="AA375" s="4" t="str">
        <f t="shared" si="38"/>
        <v>ok</v>
      </c>
      <c r="AB375" s="4" t="str">
        <f t="shared" si="39"/>
        <v>ok</v>
      </c>
      <c r="AC375" s="6">
        <f t="shared" si="41"/>
        <v>8.2766816667281091</v>
      </c>
    </row>
    <row r="376" spans="1:29" x14ac:dyDescent="0.3">
      <c r="A376" t="s">
        <v>22</v>
      </c>
      <c r="B376">
        <v>1473</v>
      </c>
      <c r="C376" t="s">
        <v>47</v>
      </c>
      <c r="D376" t="s">
        <v>43</v>
      </c>
      <c r="E376" t="s">
        <v>48</v>
      </c>
      <c r="F376" t="s">
        <v>26</v>
      </c>
      <c r="G376" t="s">
        <v>60</v>
      </c>
      <c r="H376" s="1">
        <v>44984.919861111113</v>
      </c>
      <c r="I376" s="1">
        <v>44985.919861111113</v>
      </c>
      <c r="J376" s="1">
        <v>44984.921249999999</v>
      </c>
      <c r="K376" s="2">
        <v>44984.921064965281</v>
      </c>
      <c r="L376" t="s">
        <v>28</v>
      </c>
      <c r="M376" s="2">
        <v>44985.059279849535</v>
      </c>
      <c r="N376" t="s">
        <v>28</v>
      </c>
      <c r="O376" s="2">
        <v>44989.105831539353</v>
      </c>
      <c r="P376">
        <v>4</v>
      </c>
      <c r="Q376">
        <v>4</v>
      </c>
      <c r="R376" t="s">
        <v>29</v>
      </c>
      <c r="S376" t="s">
        <v>30</v>
      </c>
      <c r="T376" t="s">
        <v>46</v>
      </c>
      <c r="U376">
        <v>47.696471899999999</v>
      </c>
      <c r="V376">
        <v>13.3457347</v>
      </c>
      <c r="W376" t="str">
        <f t="shared" si="35"/>
        <v>ok</v>
      </c>
      <c r="X376" t="str">
        <f t="shared" si="40"/>
        <v>ok</v>
      </c>
      <c r="Y376" t="str">
        <f t="shared" si="36"/>
        <v>ok</v>
      </c>
      <c r="Z376" t="str">
        <f t="shared" si="37"/>
        <v>ok</v>
      </c>
      <c r="AA376" s="4" t="str">
        <f t="shared" si="38"/>
        <v>ok</v>
      </c>
      <c r="AB376" s="4" t="str">
        <f t="shared" si="39"/>
        <v>ok</v>
      </c>
      <c r="AC376" s="6">
        <f t="shared" si="41"/>
        <v>3.3460497221094556</v>
      </c>
    </row>
    <row r="377" spans="1:29" x14ac:dyDescent="0.3">
      <c r="A377" t="s">
        <v>22</v>
      </c>
      <c r="B377">
        <v>1474</v>
      </c>
      <c r="C377" t="s">
        <v>23</v>
      </c>
      <c r="D377" t="s">
        <v>43</v>
      </c>
      <c r="E377" t="s">
        <v>35</v>
      </c>
      <c r="F377" t="s">
        <v>36</v>
      </c>
      <c r="G377" t="s">
        <v>37</v>
      </c>
      <c r="H377" s="1">
        <v>44985.33152777778</v>
      </c>
      <c r="I377" s="1">
        <v>44986.33152777778</v>
      </c>
      <c r="J377" s="1">
        <v>44985.332916666666</v>
      </c>
      <c r="K377" s="2">
        <v>44985.334025567128</v>
      </c>
      <c r="L377" t="s">
        <v>38</v>
      </c>
      <c r="M377" s="2">
        <v>44985.851913229169</v>
      </c>
      <c r="N377" t="s">
        <v>28</v>
      </c>
      <c r="O377" s="2">
        <v>44988.911559884262</v>
      </c>
      <c r="P377">
        <v>5</v>
      </c>
      <c r="Q377">
        <v>4</v>
      </c>
      <c r="R377" t="s">
        <v>50</v>
      </c>
      <c r="S377" t="s">
        <v>40</v>
      </c>
      <c r="T377" t="s">
        <v>65</v>
      </c>
      <c r="U377">
        <v>46.149166399999999</v>
      </c>
      <c r="V377">
        <v>14.9860106</v>
      </c>
      <c r="W377" t="str">
        <f t="shared" si="35"/>
        <v>ok</v>
      </c>
      <c r="X377" t="str">
        <f t="shared" si="40"/>
        <v>ok</v>
      </c>
      <c r="Y377" t="str">
        <f t="shared" si="36"/>
        <v>ok</v>
      </c>
      <c r="Z377" t="str">
        <f t="shared" si="37"/>
        <v>ok</v>
      </c>
      <c r="AA377" s="4" t="str">
        <f t="shared" si="38"/>
        <v>ok</v>
      </c>
      <c r="AB377" s="4" t="str">
        <f t="shared" si="39"/>
        <v>ok</v>
      </c>
      <c r="AC377" s="6">
        <f t="shared" si="41"/>
        <v>12.489250833343249</v>
      </c>
    </row>
    <row r="378" spans="1:29" x14ac:dyDescent="0.3">
      <c r="A378" t="s">
        <v>32</v>
      </c>
      <c r="B378">
        <v>1475</v>
      </c>
      <c r="C378" t="s">
        <v>33</v>
      </c>
      <c r="D378" t="s">
        <v>43</v>
      </c>
      <c r="E378" t="s">
        <v>59</v>
      </c>
      <c r="F378" t="s">
        <v>26</v>
      </c>
      <c r="G378" t="s">
        <v>45</v>
      </c>
      <c r="H378" s="1">
        <v>44985.500567129631</v>
      </c>
      <c r="I378" s="1">
        <v>44986.500567129631</v>
      </c>
      <c r="J378" s="1">
        <v>44985.501956018517</v>
      </c>
      <c r="K378" s="2">
        <v>44985.500691307869</v>
      </c>
      <c r="L378" t="s">
        <v>28</v>
      </c>
      <c r="N378" t="s">
        <v>38</v>
      </c>
      <c r="P378">
        <v>6</v>
      </c>
      <c r="R378" t="s">
        <v>29</v>
      </c>
      <c r="S378" t="s">
        <v>30</v>
      </c>
      <c r="T378" t="s">
        <v>56</v>
      </c>
      <c r="U378">
        <v>52.536273000000001</v>
      </c>
      <c r="V378">
        <v>19.050639</v>
      </c>
      <c r="W378" t="str">
        <f t="shared" si="35"/>
        <v>ok</v>
      </c>
      <c r="X378" t="str">
        <f t="shared" si="40"/>
        <v>ok</v>
      </c>
      <c r="Y378" t="str">
        <f t="shared" si="36"/>
        <v>ok</v>
      </c>
      <c r="Z378" t="str">
        <f t="shared" si="37"/>
        <v>ok</v>
      </c>
      <c r="AA378" s="4" t="str">
        <f t="shared" si="38"/>
        <v>ok</v>
      </c>
      <c r="AB378" s="4" t="str">
        <f t="shared" si="39"/>
        <v>no resolution</v>
      </c>
      <c r="AC378" s="6" t="str">
        <f t="shared" si="41"/>
        <v/>
      </c>
    </row>
    <row r="379" spans="1:29" x14ac:dyDescent="0.3">
      <c r="A379" t="s">
        <v>42</v>
      </c>
      <c r="B379">
        <v>1476</v>
      </c>
      <c r="C379" t="s">
        <v>23</v>
      </c>
      <c r="D379" t="s">
        <v>43</v>
      </c>
      <c r="E379" t="s">
        <v>67</v>
      </c>
      <c r="F379" t="s">
        <v>26</v>
      </c>
      <c r="G379" t="s">
        <v>27</v>
      </c>
      <c r="H379" s="1">
        <v>44985.936921296299</v>
      </c>
      <c r="I379" s="1">
        <v>44986.936921296299</v>
      </c>
      <c r="J379" s="1">
        <v>44985.938310185185</v>
      </c>
      <c r="K379" s="2">
        <v>44985.937777083331</v>
      </c>
      <c r="L379" t="s">
        <v>28</v>
      </c>
      <c r="M379" s="2">
        <v>44986.716023148147</v>
      </c>
      <c r="N379" t="s">
        <v>28</v>
      </c>
      <c r="P379">
        <v>8</v>
      </c>
      <c r="R379" t="s">
        <v>29</v>
      </c>
      <c r="S379" t="s">
        <v>30</v>
      </c>
      <c r="T379" t="s">
        <v>61</v>
      </c>
      <c r="U379">
        <v>42.724992499999999</v>
      </c>
      <c r="V379">
        <v>25.483303899999999</v>
      </c>
      <c r="W379" t="str">
        <f t="shared" si="35"/>
        <v>ok</v>
      </c>
      <c r="X379" t="str">
        <f t="shared" si="40"/>
        <v>ok</v>
      </c>
      <c r="Y379" t="str">
        <f t="shared" si="36"/>
        <v>ok</v>
      </c>
      <c r="Z379" t="str">
        <f t="shared" si="37"/>
        <v>ok</v>
      </c>
      <c r="AA379" s="4" t="str">
        <f t="shared" si="38"/>
        <v>ok</v>
      </c>
      <c r="AB379" s="4" t="str">
        <f t="shared" si="39"/>
        <v>ok</v>
      </c>
      <c r="AC379" s="6">
        <f t="shared" si="41"/>
        <v>18.698444444336928</v>
      </c>
    </row>
    <row r="380" spans="1:29" x14ac:dyDescent="0.3">
      <c r="A380" t="s">
        <v>42</v>
      </c>
      <c r="B380">
        <v>1477</v>
      </c>
      <c r="C380" t="s">
        <v>23</v>
      </c>
      <c r="D380" t="s">
        <v>43</v>
      </c>
      <c r="E380" t="s">
        <v>44</v>
      </c>
      <c r="F380" t="s">
        <v>26</v>
      </c>
      <c r="G380" t="s">
        <v>52</v>
      </c>
      <c r="H380" s="1">
        <v>44985.776701388888</v>
      </c>
      <c r="I380" s="1">
        <v>44986.776701388888</v>
      </c>
      <c r="J380" s="1">
        <v>44985.778090277781</v>
      </c>
      <c r="K380" s="2">
        <v>44985.779625694442</v>
      </c>
      <c r="L380" t="s">
        <v>38</v>
      </c>
      <c r="M380" s="2">
        <v>44985.915943796295</v>
      </c>
      <c r="N380" t="s">
        <v>28</v>
      </c>
      <c r="P380">
        <v>6</v>
      </c>
      <c r="R380" t="s">
        <v>29</v>
      </c>
      <c r="S380" t="s">
        <v>30</v>
      </c>
      <c r="T380" t="s">
        <v>56</v>
      </c>
      <c r="U380">
        <v>52.536273000000001</v>
      </c>
      <c r="V380">
        <v>19.050639</v>
      </c>
      <c r="W380" t="str">
        <f t="shared" si="35"/>
        <v>ok</v>
      </c>
      <c r="X380" t="str">
        <f t="shared" si="40"/>
        <v>ok</v>
      </c>
      <c r="Y380" t="str">
        <f t="shared" si="36"/>
        <v>ok</v>
      </c>
      <c r="Z380" t="str">
        <f t="shared" si="37"/>
        <v>ok</v>
      </c>
      <c r="AA380" s="4" t="str">
        <f t="shared" si="38"/>
        <v>ok</v>
      </c>
      <c r="AB380" s="4" t="str">
        <f t="shared" si="39"/>
        <v>ok</v>
      </c>
      <c r="AC380" s="6">
        <f t="shared" si="41"/>
        <v>3.3418177777784877</v>
      </c>
    </row>
    <row r="381" spans="1:29" x14ac:dyDescent="0.3">
      <c r="A381" t="s">
        <v>22</v>
      </c>
      <c r="B381">
        <v>1478</v>
      </c>
      <c r="C381" t="s">
        <v>33</v>
      </c>
      <c r="D381" t="s">
        <v>24</v>
      </c>
      <c r="E381" t="s">
        <v>59</v>
      </c>
      <c r="F381" t="s">
        <v>26</v>
      </c>
      <c r="G381" t="s">
        <v>45</v>
      </c>
      <c r="H381" s="1">
        <v>44985.737858796296</v>
      </c>
      <c r="I381" s="1">
        <v>44987.737858796296</v>
      </c>
      <c r="J381" s="1">
        <v>44985.77952546296</v>
      </c>
      <c r="K381" s="2">
        <v>44985.74031479167</v>
      </c>
      <c r="L381" t="s">
        <v>28</v>
      </c>
      <c r="M381" s="2">
        <v>44986.544267986108</v>
      </c>
      <c r="N381" t="s">
        <v>28</v>
      </c>
      <c r="O381" s="2">
        <v>44989.772437164349</v>
      </c>
      <c r="P381">
        <v>2</v>
      </c>
      <c r="Q381">
        <v>4</v>
      </c>
      <c r="R381" t="s">
        <v>29</v>
      </c>
      <c r="S381" t="s">
        <v>30</v>
      </c>
      <c r="T381" t="s">
        <v>58</v>
      </c>
      <c r="U381">
        <v>49.8037633</v>
      </c>
      <c r="V381">
        <v>15.4749126</v>
      </c>
      <c r="W381" t="str">
        <f t="shared" si="35"/>
        <v>ok</v>
      </c>
      <c r="X381" t="str">
        <f t="shared" si="40"/>
        <v>ok</v>
      </c>
      <c r="Y381" t="str">
        <f t="shared" si="36"/>
        <v>ok</v>
      </c>
      <c r="Z381" t="str">
        <f t="shared" si="37"/>
        <v>ok</v>
      </c>
      <c r="AA381" s="4" t="str">
        <f t="shared" si="38"/>
        <v>ok</v>
      </c>
      <c r="AB381" s="4" t="str">
        <f t="shared" si="39"/>
        <v>ok</v>
      </c>
      <c r="AC381" s="6">
        <f t="shared" si="41"/>
        <v>19.353820555494167</v>
      </c>
    </row>
    <row r="382" spans="1:29" x14ac:dyDescent="0.3">
      <c r="A382" t="s">
        <v>32</v>
      </c>
      <c r="B382">
        <v>1479</v>
      </c>
      <c r="C382" t="s">
        <v>47</v>
      </c>
      <c r="D382" t="s">
        <v>34</v>
      </c>
      <c r="E382" t="s">
        <v>67</v>
      </c>
      <c r="F382" t="s">
        <v>26</v>
      </c>
      <c r="G382" t="s">
        <v>49</v>
      </c>
      <c r="H382" s="1">
        <v>44985.17664351852</v>
      </c>
      <c r="I382" s="1">
        <v>44987.17664351852</v>
      </c>
      <c r="J382" s="1">
        <v>44985.178032407406</v>
      </c>
      <c r="K382" s="2">
        <v>44985.176834710648</v>
      </c>
      <c r="L382" t="s">
        <v>28</v>
      </c>
      <c r="N382" t="s">
        <v>38</v>
      </c>
      <c r="P382">
        <v>1</v>
      </c>
      <c r="R382" t="s">
        <v>29</v>
      </c>
      <c r="S382" t="s">
        <v>30</v>
      </c>
      <c r="T382" t="s">
        <v>57</v>
      </c>
      <c r="U382">
        <v>51.165691000000002</v>
      </c>
      <c r="V382">
        <v>10.451525999999999</v>
      </c>
      <c r="W382" t="str">
        <f t="shared" si="35"/>
        <v>ok</v>
      </c>
      <c r="X382" t="str">
        <f t="shared" si="40"/>
        <v>ok</v>
      </c>
      <c r="Y382" t="str">
        <f t="shared" si="36"/>
        <v>ok</v>
      </c>
      <c r="Z382" t="str">
        <f t="shared" si="37"/>
        <v>ok</v>
      </c>
      <c r="AA382" s="4" t="str">
        <f t="shared" si="38"/>
        <v>ok</v>
      </c>
      <c r="AB382" s="4" t="str">
        <f t="shared" si="39"/>
        <v>no resolution</v>
      </c>
      <c r="AC382" s="6" t="str">
        <f t="shared" si="41"/>
        <v/>
      </c>
    </row>
    <row r="383" spans="1:29" x14ac:dyDescent="0.3">
      <c r="A383" t="s">
        <v>22</v>
      </c>
      <c r="B383">
        <v>1480</v>
      </c>
      <c r="C383" t="s">
        <v>23</v>
      </c>
      <c r="D383" t="s">
        <v>43</v>
      </c>
      <c r="E383" t="s">
        <v>39</v>
      </c>
      <c r="F383" t="s">
        <v>36</v>
      </c>
      <c r="G383" t="s">
        <v>54</v>
      </c>
      <c r="H383" s="1">
        <v>44985.425879629627</v>
      </c>
      <c r="I383" s="1">
        <v>44986.425879629627</v>
      </c>
      <c r="J383" s="1">
        <v>44985.427268518521</v>
      </c>
      <c r="K383" s="2">
        <v>44985.42646613426</v>
      </c>
      <c r="L383" t="s">
        <v>28</v>
      </c>
      <c r="M383" s="2">
        <v>44986.135405613422</v>
      </c>
      <c r="N383" t="s">
        <v>28</v>
      </c>
      <c r="O383" s="2">
        <v>44989.169467800923</v>
      </c>
      <c r="P383">
        <v>9</v>
      </c>
      <c r="Q383">
        <v>1</v>
      </c>
      <c r="R383" t="s">
        <v>50</v>
      </c>
      <c r="S383" t="s">
        <v>40</v>
      </c>
      <c r="T383" t="s">
        <v>56</v>
      </c>
      <c r="U383">
        <v>52.536273000000001</v>
      </c>
      <c r="V383">
        <v>19.050639</v>
      </c>
      <c r="W383" t="str">
        <f t="shared" si="35"/>
        <v>ok</v>
      </c>
      <c r="X383" t="str">
        <f t="shared" si="40"/>
        <v>ok</v>
      </c>
      <c r="Y383" t="str">
        <f t="shared" si="36"/>
        <v>ok</v>
      </c>
      <c r="Z383" t="str">
        <f t="shared" si="37"/>
        <v>ok</v>
      </c>
      <c r="AA383" s="4" t="str">
        <f t="shared" si="38"/>
        <v>ok</v>
      </c>
      <c r="AB383" s="4" t="str">
        <f t="shared" si="39"/>
        <v>ok</v>
      </c>
      <c r="AC383" s="6">
        <f t="shared" si="41"/>
        <v>17.028623611084186</v>
      </c>
    </row>
    <row r="384" spans="1:29" x14ac:dyDescent="0.3">
      <c r="A384" t="s">
        <v>22</v>
      </c>
      <c r="B384">
        <v>1481</v>
      </c>
      <c r="C384" t="s">
        <v>23</v>
      </c>
      <c r="D384" t="s">
        <v>34</v>
      </c>
      <c r="E384" t="s">
        <v>35</v>
      </c>
      <c r="F384" t="s">
        <v>26</v>
      </c>
      <c r="G384" t="s">
        <v>45</v>
      </c>
      <c r="H384" s="1">
        <v>44985.56046296296</v>
      </c>
      <c r="I384" s="1">
        <v>44987.56046296296</v>
      </c>
      <c r="J384" s="1">
        <v>44985.561851851853</v>
      </c>
      <c r="K384" s="2">
        <v>44985.561154224539</v>
      </c>
      <c r="L384" t="s">
        <v>28</v>
      </c>
      <c r="M384" s="2">
        <v>44986.8653533912</v>
      </c>
      <c r="N384" t="s">
        <v>28</v>
      </c>
      <c r="O384" s="2">
        <v>44987.965117546293</v>
      </c>
      <c r="P384">
        <v>7</v>
      </c>
      <c r="Q384">
        <v>5</v>
      </c>
      <c r="R384" t="s">
        <v>39</v>
      </c>
      <c r="S384" t="s">
        <v>30</v>
      </c>
      <c r="T384" t="s">
        <v>63</v>
      </c>
      <c r="U384">
        <v>55.378051999999997</v>
      </c>
      <c r="V384">
        <v>-3.4359730000000002</v>
      </c>
      <c r="W384" t="str">
        <f t="shared" si="35"/>
        <v>ok</v>
      </c>
      <c r="X384" t="str">
        <f t="shared" si="40"/>
        <v>ok</v>
      </c>
      <c r="Y384" t="str">
        <f t="shared" si="36"/>
        <v>ok</v>
      </c>
      <c r="Z384" t="str">
        <f t="shared" si="37"/>
        <v>ok</v>
      </c>
      <c r="AA384" s="4" t="str">
        <f t="shared" si="38"/>
        <v>ok</v>
      </c>
      <c r="AB384" s="4" t="str">
        <f t="shared" si="39"/>
        <v>ok</v>
      </c>
      <c r="AC384" s="6">
        <f t="shared" si="41"/>
        <v>31.317370277771261</v>
      </c>
    </row>
    <row r="385" spans="1:29" x14ac:dyDescent="0.3">
      <c r="A385" t="s">
        <v>22</v>
      </c>
      <c r="B385">
        <v>1482</v>
      </c>
      <c r="C385" t="s">
        <v>23</v>
      </c>
      <c r="D385" t="s">
        <v>24</v>
      </c>
      <c r="E385" t="s">
        <v>59</v>
      </c>
      <c r="F385" t="s">
        <v>36</v>
      </c>
      <c r="G385" t="s">
        <v>54</v>
      </c>
      <c r="H385" s="1">
        <v>44986.918657407405</v>
      </c>
      <c r="I385" s="1">
        <v>44988.918657407405</v>
      </c>
      <c r="J385" s="1">
        <v>44986.960324074076</v>
      </c>
      <c r="K385" s="2">
        <v>44986.954614641203</v>
      </c>
      <c r="L385" t="s">
        <v>28</v>
      </c>
      <c r="M385" s="2">
        <v>44987.457223194448</v>
      </c>
      <c r="N385" t="s">
        <v>28</v>
      </c>
      <c r="O385" s="2">
        <v>44991.577828877314</v>
      </c>
      <c r="P385">
        <v>8</v>
      </c>
      <c r="Q385">
        <v>5</v>
      </c>
      <c r="R385" t="s">
        <v>55</v>
      </c>
      <c r="S385" t="s">
        <v>40</v>
      </c>
      <c r="T385" t="s">
        <v>56</v>
      </c>
      <c r="U385">
        <v>52.536273000000001</v>
      </c>
      <c r="V385">
        <v>19.050639</v>
      </c>
      <c r="W385" t="str">
        <f t="shared" si="35"/>
        <v>ok</v>
      </c>
      <c r="X385" t="str">
        <f t="shared" si="40"/>
        <v>ok</v>
      </c>
      <c r="Y385" t="str">
        <f t="shared" si="36"/>
        <v>ok</v>
      </c>
      <c r="Z385" t="str">
        <f t="shared" si="37"/>
        <v>ok</v>
      </c>
      <c r="AA385" s="4" t="str">
        <f t="shared" si="38"/>
        <v>ok</v>
      </c>
      <c r="AB385" s="4" t="str">
        <f t="shared" si="39"/>
        <v>ok</v>
      </c>
      <c r="AC385" s="6">
        <f t="shared" si="41"/>
        <v>12.925578889029566</v>
      </c>
    </row>
    <row r="386" spans="1:29" x14ac:dyDescent="0.3">
      <c r="A386" t="s">
        <v>22</v>
      </c>
      <c r="B386">
        <v>1483</v>
      </c>
      <c r="C386" t="s">
        <v>23</v>
      </c>
      <c r="D386" t="s">
        <v>34</v>
      </c>
      <c r="E386" t="s">
        <v>35</v>
      </c>
      <c r="F386" t="s">
        <v>26</v>
      </c>
      <c r="G386" t="s">
        <v>49</v>
      </c>
      <c r="H386" s="1">
        <v>44986.960856481484</v>
      </c>
      <c r="I386" s="1">
        <v>44988.960856481484</v>
      </c>
      <c r="J386" s="1">
        <v>44986.962245370371</v>
      </c>
      <c r="K386" s="2">
        <v>44986.961631168982</v>
      </c>
      <c r="L386" t="s">
        <v>28</v>
      </c>
      <c r="M386" s="2">
        <v>44988.630767870367</v>
      </c>
      <c r="N386" t="s">
        <v>28</v>
      </c>
      <c r="O386" s="2">
        <v>44989.128626122685</v>
      </c>
      <c r="P386">
        <v>4</v>
      </c>
      <c r="Q386">
        <v>4</v>
      </c>
      <c r="R386" t="s">
        <v>50</v>
      </c>
      <c r="S386" t="s">
        <v>30</v>
      </c>
      <c r="T386" t="s">
        <v>31</v>
      </c>
      <c r="U386">
        <v>53.094023999999997</v>
      </c>
      <c r="V386">
        <v>-8.0196749999999994</v>
      </c>
      <c r="W386" t="str">
        <f t="shared" ref="W386:W449" si="42">IF(K386&lt;H386,"check","ok")</f>
        <v>ok</v>
      </c>
      <c r="X386" t="str">
        <f t="shared" si="40"/>
        <v>ok</v>
      </c>
      <c r="Y386" t="str">
        <f t="shared" ref="Y386:Y449" si="43">IF(AND(M386&lt;&gt;"",O386&lt;&gt;"",O386&lt;M386),"check","ok")</f>
        <v>ok</v>
      </c>
      <c r="Z386" t="str">
        <f t="shared" ref="Z386:Z449" si="44">IF(AND(OR(CA386="Closed",A386="Resolved"),M386=""),"check","ok")</f>
        <v>ok</v>
      </c>
      <c r="AA386" s="4" t="str">
        <f t="shared" ref="AA386:AA449" si="45">IF(K386="","no response",IF(OR(AND(K386&lt;=J386,L386="Within SLA"),AND(K386&gt;J386,L386="SLA Violated")),"ok","check"))</f>
        <v>ok</v>
      </c>
      <c r="AB386" s="4" t="str">
        <f t="shared" ref="AB386:AB449" si="46">IF(M386="","no resolution",IF(OR(AND(M386&lt;=I386,N386="Within SLA"),AND(M386&gt;I386,N386="SLA Violated")),"ok","check"))</f>
        <v>ok</v>
      </c>
      <c r="AC386" s="6">
        <f t="shared" si="41"/>
        <v>40.077873333182652</v>
      </c>
    </row>
    <row r="387" spans="1:29" x14ac:dyDescent="0.3">
      <c r="A387" t="s">
        <v>22</v>
      </c>
      <c r="B387">
        <v>1484</v>
      </c>
      <c r="C387" t="s">
        <v>23</v>
      </c>
      <c r="D387" t="s">
        <v>34</v>
      </c>
      <c r="E387" t="s">
        <v>44</v>
      </c>
      <c r="F387" t="s">
        <v>26</v>
      </c>
      <c r="G387" t="s">
        <v>27</v>
      </c>
      <c r="H387" s="1">
        <v>44986.398449074077</v>
      </c>
      <c r="I387" s="1">
        <v>44988.398449074077</v>
      </c>
      <c r="J387" s="1">
        <v>44986.399837962963</v>
      </c>
      <c r="K387" s="2">
        <v>44986.400337974534</v>
      </c>
      <c r="L387" t="s">
        <v>38</v>
      </c>
      <c r="M387" s="2">
        <v>44987.217705532406</v>
      </c>
      <c r="N387" t="s">
        <v>28</v>
      </c>
      <c r="O387" s="2">
        <v>44988.223452002312</v>
      </c>
      <c r="P387">
        <v>4</v>
      </c>
      <c r="Q387">
        <v>4</v>
      </c>
      <c r="R387" t="s">
        <v>50</v>
      </c>
      <c r="S387" t="s">
        <v>30</v>
      </c>
      <c r="T387" t="s">
        <v>41</v>
      </c>
      <c r="U387">
        <v>43.036776000000003</v>
      </c>
      <c r="V387">
        <v>12.678565000000001</v>
      </c>
      <c r="W387" t="str">
        <f t="shared" si="42"/>
        <v>ok</v>
      </c>
      <c r="X387" t="str">
        <f t="shared" ref="X387:X450" si="47">IF(AND(M387&lt;&gt;"",M387&lt;H387),"check","ok")</f>
        <v>ok</v>
      </c>
      <c r="Y387" t="str">
        <f t="shared" si="43"/>
        <v>ok</v>
      </c>
      <c r="Z387" t="str">
        <f t="shared" si="44"/>
        <v>ok</v>
      </c>
      <c r="AA387" s="4" t="str">
        <f t="shared" si="45"/>
        <v>ok</v>
      </c>
      <c r="AB387" s="4" t="str">
        <f t="shared" si="46"/>
        <v>ok</v>
      </c>
      <c r="AC387" s="6">
        <f t="shared" si="41"/>
        <v>19.662154999910854</v>
      </c>
    </row>
    <row r="388" spans="1:29" x14ac:dyDescent="0.3">
      <c r="A388" t="s">
        <v>42</v>
      </c>
      <c r="B388">
        <v>1485</v>
      </c>
      <c r="C388" t="s">
        <v>23</v>
      </c>
      <c r="D388" t="s">
        <v>24</v>
      </c>
      <c r="E388" t="s">
        <v>35</v>
      </c>
      <c r="F388" t="s">
        <v>36</v>
      </c>
      <c r="G388" t="s">
        <v>54</v>
      </c>
      <c r="H388" s="1">
        <v>44986.785208333335</v>
      </c>
      <c r="I388" s="1">
        <v>44988.785208333335</v>
      </c>
      <c r="J388" s="1">
        <v>44986.826874999999</v>
      </c>
      <c r="K388" s="2">
        <v>44986.799528831019</v>
      </c>
      <c r="L388" t="s">
        <v>28</v>
      </c>
      <c r="M388" s="2">
        <v>44987.868344594906</v>
      </c>
      <c r="N388" t="s">
        <v>28</v>
      </c>
      <c r="P388">
        <v>2</v>
      </c>
      <c r="R388" t="s">
        <v>29</v>
      </c>
      <c r="S388" t="s">
        <v>40</v>
      </c>
      <c r="T388" t="s">
        <v>41</v>
      </c>
      <c r="U388">
        <v>43.036776000000003</v>
      </c>
      <c r="V388">
        <v>12.678565000000001</v>
      </c>
      <c r="W388" t="str">
        <f t="shared" si="42"/>
        <v>ok</v>
      </c>
      <c r="X388" t="str">
        <f t="shared" si="47"/>
        <v>ok</v>
      </c>
      <c r="Y388" t="str">
        <f t="shared" si="43"/>
        <v>ok</v>
      </c>
      <c r="Z388" t="str">
        <f t="shared" si="44"/>
        <v>ok</v>
      </c>
      <c r="AA388" s="4" t="str">
        <f t="shared" si="45"/>
        <v>ok</v>
      </c>
      <c r="AB388" s="4" t="str">
        <f t="shared" si="46"/>
        <v>ok</v>
      </c>
      <c r="AC388" s="6">
        <f t="shared" si="41"/>
        <v>25.995270277722739</v>
      </c>
    </row>
    <row r="389" spans="1:29" x14ac:dyDescent="0.3">
      <c r="A389" t="s">
        <v>22</v>
      </c>
      <c r="B389">
        <v>1486</v>
      </c>
      <c r="C389" t="s">
        <v>23</v>
      </c>
      <c r="D389" t="s">
        <v>24</v>
      </c>
      <c r="E389" t="s">
        <v>35</v>
      </c>
      <c r="F389" t="s">
        <v>26</v>
      </c>
      <c r="G389" t="s">
        <v>60</v>
      </c>
      <c r="H389" s="1">
        <v>44986.26494212963</v>
      </c>
      <c r="I389" s="1">
        <v>44988.26494212963</v>
      </c>
      <c r="J389" s="1">
        <v>44986.306608796294</v>
      </c>
      <c r="K389" s="2">
        <v>44986.266398298612</v>
      </c>
      <c r="L389" t="s">
        <v>28</v>
      </c>
      <c r="M389" s="2">
        <v>44987.198850624998</v>
      </c>
      <c r="N389" t="s">
        <v>28</v>
      </c>
      <c r="O389" s="2">
        <v>44987.787294363428</v>
      </c>
      <c r="P389">
        <v>7</v>
      </c>
      <c r="Q389">
        <v>3</v>
      </c>
      <c r="R389" t="s">
        <v>39</v>
      </c>
      <c r="S389" t="s">
        <v>30</v>
      </c>
      <c r="T389" t="s">
        <v>41</v>
      </c>
      <c r="U389">
        <v>43.036776000000003</v>
      </c>
      <c r="V389">
        <v>12.678565000000001</v>
      </c>
      <c r="W389" t="str">
        <f t="shared" si="42"/>
        <v>ok</v>
      </c>
      <c r="X389" t="str">
        <f t="shared" si="47"/>
        <v>ok</v>
      </c>
      <c r="Y389" t="str">
        <f t="shared" si="43"/>
        <v>ok</v>
      </c>
      <c r="Z389" t="str">
        <f t="shared" si="44"/>
        <v>ok</v>
      </c>
      <c r="AA389" s="4" t="str">
        <f t="shared" si="45"/>
        <v>ok</v>
      </c>
      <c r="AB389" s="4" t="str">
        <f t="shared" si="46"/>
        <v>ok</v>
      </c>
      <c r="AC389" s="6">
        <f t="shared" si="41"/>
        <v>22.413803888834082</v>
      </c>
    </row>
    <row r="390" spans="1:29" x14ac:dyDescent="0.3">
      <c r="A390" t="s">
        <v>22</v>
      </c>
      <c r="B390">
        <v>1487</v>
      </c>
      <c r="C390" t="s">
        <v>23</v>
      </c>
      <c r="D390" t="s">
        <v>43</v>
      </c>
      <c r="E390" t="s">
        <v>48</v>
      </c>
      <c r="F390" t="s">
        <v>26</v>
      </c>
      <c r="G390" t="s">
        <v>60</v>
      </c>
      <c r="H390" s="1">
        <v>44987.996990740743</v>
      </c>
      <c r="I390" s="1">
        <v>44988.996990740743</v>
      </c>
      <c r="J390" s="1">
        <v>44987.998379629629</v>
      </c>
      <c r="K390" s="2">
        <v>44987.998305694447</v>
      </c>
      <c r="L390" t="s">
        <v>28</v>
      </c>
      <c r="M390" s="2">
        <v>44988.196827905093</v>
      </c>
      <c r="N390" t="s">
        <v>28</v>
      </c>
      <c r="O390" s="2">
        <v>44992.212011527779</v>
      </c>
      <c r="P390">
        <v>5</v>
      </c>
      <c r="Q390">
        <v>4</v>
      </c>
      <c r="R390" t="s">
        <v>50</v>
      </c>
      <c r="S390" t="s">
        <v>30</v>
      </c>
      <c r="T390" t="s">
        <v>66</v>
      </c>
      <c r="U390">
        <v>48.864716000000001</v>
      </c>
      <c r="V390">
        <v>2.3490139999999999</v>
      </c>
      <c r="W390" t="str">
        <f t="shared" si="42"/>
        <v>ok</v>
      </c>
      <c r="X390" t="str">
        <f t="shared" si="47"/>
        <v>ok</v>
      </c>
      <c r="Y390" t="str">
        <f t="shared" si="43"/>
        <v>ok</v>
      </c>
      <c r="Z390" t="str">
        <f t="shared" si="44"/>
        <v>ok</v>
      </c>
      <c r="AA390" s="4" t="str">
        <f t="shared" si="45"/>
        <v>ok</v>
      </c>
      <c r="AB390" s="4" t="str">
        <f t="shared" si="46"/>
        <v>ok</v>
      </c>
      <c r="AC390" s="6">
        <f t="shared" si="41"/>
        <v>4.7960919443867169</v>
      </c>
    </row>
    <row r="391" spans="1:29" x14ac:dyDescent="0.3">
      <c r="A391" t="s">
        <v>42</v>
      </c>
      <c r="B391">
        <v>1488</v>
      </c>
      <c r="C391" t="s">
        <v>23</v>
      </c>
      <c r="D391" t="s">
        <v>24</v>
      </c>
      <c r="E391" t="s">
        <v>48</v>
      </c>
      <c r="F391" t="s">
        <v>26</v>
      </c>
      <c r="G391" t="s">
        <v>49</v>
      </c>
      <c r="H391" s="1">
        <v>44987.151041666664</v>
      </c>
      <c r="I391" s="1">
        <v>44989.151041666664</v>
      </c>
      <c r="J391" s="1">
        <v>44987.192708333336</v>
      </c>
      <c r="K391" s="2">
        <v>44987.284773136576</v>
      </c>
      <c r="L391" t="s">
        <v>38</v>
      </c>
      <c r="M391" s="2">
        <v>44988.092548564811</v>
      </c>
      <c r="N391" t="s">
        <v>28</v>
      </c>
      <c r="P391">
        <v>1</v>
      </c>
      <c r="R391" t="s">
        <v>50</v>
      </c>
      <c r="S391" t="s">
        <v>30</v>
      </c>
      <c r="T391" t="s">
        <v>51</v>
      </c>
      <c r="U391">
        <v>39.673369999999998</v>
      </c>
      <c r="V391">
        <v>-4.7677259999999997</v>
      </c>
      <c r="W391" t="str">
        <f t="shared" si="42"/>
        <v>ok</v>
      </c>
      <c r="X391" t="str">
        <f t="shared" si="47"/>
        <v>ok</v>
      </c>
      <c r="Y391" t="str">
        <f t="shared" si="43"/>
        <v>ok</v>
      </c>
      <c r="Z391" t="str">
        <f t="shared" si="44"/>
        <v>ok</v>
      </c>
      <c r="AA391" s="4" t="str">
        <f t="shared" si="45"/>
        <v>ok</v>
      </c>
      <c r="AB391" s="4" t="str">
        <f t="shared" si="46"/>
        <v>ok</v>
      </c>
      <c r="AC391" s="6">
        <f t="shared" si="41"/>
        <v>22.596165555529296</v>
      </c>
    </row>
    <row r="392" spans="1:29" x14ac:dyDescent="0.3">
      <c r="A392" t="s">
        <v>22</v>
      </c>
      <c r="B392">
        <v>1489</v>
      </c>
      <c r="C392" t="s">
        <v>33</v>
      </c>
      <c r="D392" t="s">
        <v>34</v>
      </c>
      <c r="E392" t="s">
        <v>25</v>
      </c>
      <c r="F392" t="s">
        <v>26</v>
      </c>
      <c r="G392" t="s">
        <v>27</v>
      </c>
      <c r="H392" s="1">
        <v>44987.302743055552</v>
      </c>
      <c r="I392" s="1">
        <v>44989.302743055552</v>
      </c>
      <c r="J392" s="1">
        <v>44987.304131944446</v>
      </c>
      <c r="K392" s="2">
        <v>44987.30684715278</v>
      </c>
      <c r="L392" t="s">
        <v>38</v>
      </c>
      <c r="M392" s="2">
        <v>44988.410528101849</v>
      </c>
      <c r="N392" t="s">
        <v>28</v>
      </c>
      <c r="O392" s="2">
        <v>44990.335748969905</v>
      </c>
      <c r="P392">
        <v>2</v>
      </c>
      <c r="Q392">
        <v>4</v>
      </c>
      <c r="R392" t="s">
        <v>50</v>
      </c>
      <c r="S392" t="s">
        <v>30</v>
      </c>
      <c r="T392" t="s">
        <v>57</v>
      </c>
      <c r="U392">
        <v>51.165691000000002</v>
      </c>
      <c r="V392">
        <v>10.451525999999999</v>
      </c>
      <c r="W392" t="str">
        <f t="shared" si="42"/>
        <v>ok</v>
      </c>
      <c r="X392" t="str">
        <f t="shared" si="47"/>
        <v>ok</v>
      </c>
      <c r="Y392" t="str">
        <f t="shared" si="43"/>
        <v>ok</v>
      </c>
      <c r="Z392" t="str">
        <f t="shared" si="44"/>
        <v>ok</v>
      </c>
      <c r="AA392" s="4" t="str">
        <f t="shared" si="45"/>
        <v>ok</v>
      </c>
      <c r="AB392" s="4" t="str">
        <f t="shared" si="46"/>
        <v>ok</v>
      </c>
      <c r="AC392" s="6">
        <f t="shared" si="41"/>
        <v>26.586841111129615</v>
      </c>
    </row>
    <row r="393" spans="1:29" x14ac:dyDescent="0.3">
      <c r="A393" t="s">
        <v>42</v>
      </c>
      <c r="B393">
        <v>1490</v>
      </c>
      <c r="C393" t="s">
        <v>23</v>
      </c>
      <c r="D393" t="s">
        <v>43</v>
      </c>
      <c r="E393" t="s">
        <v>59</v>
      </c>
      <c r="F393" t="s">
        <v>36</v>
      </c>
      <c r="G393" t="s">
        <v>64</v>
      </c>
      <c r="H393" s="1">
        <v>44987.865312499998</v>
      </c>
      <c r="I393" s="1">
        <v>44988.865312499998</v>
      </c>
      <c r="J393" s="1">
        <v>44987.866701388892</v>
      </c>
      <c r="K393" s="2">
        <v>44987.866344155096</v>
      </c>
      <c r="L393" t="s">
        <v>28</v>
      </c>
      <c r="M393" s="2">
        <v>44988.310717129629</v>
      </c>
      <c r="N393" t="s">
        <v>28</v>
      </c>
      <c r="P393">
        <v>5</v>
      </c>
      <c r="R393" t="s">
        <v>50</v>
      </c>
      <c r="S393" t="s">
        <v>40</v>
      </c>
      <c r="T393" t="s">
        <v>53</v>
      </c>
      <c r="U393">
        <v>39.368279000000001</v>
      </c>
      <c r="V393">
        <v>21.863140999999999</v>
      </c>
      <c r="W393" t="str">
        <f t="shared" si="42"/>
        <v>ok</v>
      </c>
      <c r="X393" t="str">
        <f t="shared" si="47"/>
        <v>ok</v>
      </c>
      <c r="Y393" t="str">
        <f t="shared" si="43"/>
        <v>ok</v>
      </c>
      <c r="Z393" t="str">
        <f t="shared" si="44"/>
        <v>ok</v>
      </c>
      <c r="AA393" s="4" t="str">
        <f t="shared" si="45"/>
        <v>ok</v>
      </c>
      <c r="AB393" s="4" t="str">
        <f t="shared" si="46"/>
        <v>ok</v>
      </c>
      <c r="AC393" s="6">
        <f t="shared" si="41"/>
        <v>10.689711111132056</v>
      </c>
    </row>
    <row r="394" spans="1:29" x14ac:dyDescent="0.3">
      <c r="A394" t="s">
        <v>42</v>
      </c>
      <c r="B394">
        <v>1491</v>
      </c>
      <c r="C394" t="s">
        <v>23</v>
      </c>
      <c r="D394" t="s">
        <v>43</v>
      </c>
      <c r="E394" t="s">
        <v>39</v>
      </c>
      <c r="F394" t="s">
        <v>36</v>
      </c>
      <c r="G394" t="s">
        <v>37</v>
      </c>
      <c r="H394" s="1">
        <v>44987.010185185187</v>
      </c>
      <c r="I394" s="1">
        <v>44988.010185185187</v>
      </c>
      <c r="J394" s="1">
        <v>44987.011574074073</v>
      </c>
      <c r="K394" s="2">
        <v>44987.011180381945</v>
      </c>
      <c r="L394" t="s">
        <v>28</v>
      </c>
      <c r="M394" s="2">
        <v>44987.265844629626</v>
      </c>
      <c r="N394" t="s">
        <v>28</v>
      </c>
      <c r="P394">
        <v>3</v>
      </c>
      <c r="R394" t="s">
        <v>29</v>
      </c>
      <c r="S394" t="s">
        <v>40</v>
      </c>
      <c r="T394" t="s">
        <v>61</v>
      </c>
      <c r="U394">
        <v>42.724992499999999</v>
      </c>
      <c r="V394">
        <v>25.483303899999999</v>
      </c>
      <c r="W394" t="str">
        <f t="shared" si="42"/>
        <v>ok</v>
      </c>
      <c r="X394" t="str">
        <f t="shared" si="47"/>
        <v>ok</v>
      </c>
      <c r="Y394" t="str">
        <f t="shared" si="43"/>
        <v>ok</v>
      </c>
      <c r="Z394" t="str">
        <f t="shared" si="44"/>
        <v>ok</v>
      </c>
      <c r="AA394" s="4" t="str">
        <f t="shared" si="45"/>
        <v>ok</v>
      </c>
      <c r="AB394" s="4" t="str">
        <f t="shared" si="46"/>
        <v>ok</v>
      </c>
      <c r="AC394" s="6">
        <f t="shared" si="41"/>
        <v>6.1358266665483825</v>
      </c>
    </row>
    <row r="395" spans="1:29" x14ac:dyDescent="0.3">
      <c r="A395" t="s">
        <v>42</v>
      </c>
      <c r="B395">
        <v>1492</v>
      </c>
      <c r="C395" t="s">
        <v>23</v>
      </c>
      <c r="D395" t="s">
        <v>24</v>
      </c>
      <c r="E395" t="s">
        <v>25</v>
      </c>
      <c r="F395" t="s">
        <v>26</v>
      </c>
      <c r="G395" t="s">
        <v>60</v>
      </c>
      <c r="H395" s="1">
        <v>44987.508125</v>
      </c>
      <c r="I395" s="1">
        <v>44989.508125</v>
      </c>
      <c r="J395" s="1">
        <v>44987.549791666665</v>
      </c>
      <c r="K395" s="2">
        <v>44987.540881701389</v>
      </c>
      <c r="L395" t="s">
        <v>28</v>
      </c>
      <c r="M395" s="2">
        <v>44988.171310451391</v>
      </c>
      <c r="N395" t="s">
        <v>28</v>
      </c>
      <c r="P395">
        <v>1</v>
      </c>
      <c r="R395" t="s">
        <v>50</v>
      </c>
      <c r="S395" t="s">
        <v>30</v>
      </c>
      <c r="T395" t="s">
        <v>41</v>
      </c>
      <c r="U395">
        <v>43.036776000000003</v>
      </c>
      <c r="V395">
        <v>12.678565000000001</v>
      </c>
      <c r="W395" t="str">
        <f t="shared" si="42"/>
        <v>ok</v>
      </c>
      <c r="X395" t="str">
        <f t="shared" si="47"/>
        <v>ok</v>
      </c>
      <c r="Y395" t="str">
        <f t="shared" si="43"/>
        <v>ok</v>
      </c>
      <c r="Z395" t="str">
        <f t="shared" si="44"/>
        <v>ok</v>
      </c>
      <c r="AA395" s="4" t="str">
        <f t="shared" si="45"/>
        <v>ok</v>
      </c>
      <c r="AB395" s="4" t="str">
        <f t="shared" si="46"/>
        <v>ok</v>
      </c>
      <c r="AC395" s="6">
        <f t="shared" si="41"/>
        <v>15.916450833377894</v>
      </c>
    </row>
    <row r="396" spans="1:29" x14ac:dyDescent="0.3">
      <c r="A396" t="s">
        <v>22</v>
      </c>
      <c r="B396">
        <v>1493</v>
      </c>
      <c r="C396" t="s">
        <v>23</v>
      </c>
      <c r="D396" t="s">
        <v>24</v>
      </c>
      <c r="E396" t="s">
        <v>35</v>
      </c>
      <c r="F396" t="s">
        <v>26</v>
      </c>
      <c r="G396" t="s">
        <v>49</v>
      </c>
      <c r="H396" s="1">
        <v>44987.182511574072</v>
      </c>
      <c r="I396" s="1">
        <v>44989.182511574072</v>
      </c>
      <c r="J396" s="1">
        <v>44987.224178240744</v>
      </c>
      <c r="K396" s="2">
        <v>44987.19081270833</v>
      </c>
      <c r="L396" t="s">
        <v>28</v>
      </c>
      <c r="M396" s="2">
        <v>44988.846211064818</v>
      </c>
      <c r="N396" t="s">
        <v>28</v>
      </c>
      <c r="O396" s="2">
        <v>44990.401935798611</v>
      </c>
      <c r="P396">
        <v>9</v>
      </c>
      <c r="Q396">
        <v>5</v>
      </c>
      <c r="R396" t="s">
        <v>50</v>
      </c>
      <c r="S396" t="s">
        <v>30</v>
      </c>
      <c r="T396" t="s">
        <v>61</v>
      </c>
      <c r="U396">
        <v>42.724992499999999</v>
      </c>
      <c r="V396">
        <v>25.483303899999999</v>
      </c>
      <c r="W396" t="str">
        <f t="shared" si="42"/>
        <v>ok</v>
      </c>
      <c r="X396" t="str">
        <f t="shared" si="47"/>
        <v>ok</v>
      </c>
      <c r="Y396" t="str">
        <f t="shared" si="43"/>
        <v>ok</v>
      </c>
      <c r="Z396" t="str">
        <f t="shared" si="44"/>
        <v>ok</v>
      </c>
      <c r="AA396" s="4" t="str">
        <f t="shared" si="45"/>
        <v>ok</v>
      </c>
      <c r="AB396" s="4" t="str">
        <f t="shared" si="46"/>
        <v>ok</v>
      </c>
      <c r="AC396" s="6">
        <f t="shared" si="41"/>
        <v>39.928787777898833</v>
      </c>
    </row>
    <row r="397" spans="1:29" x14ac:dyDescent="0.3">
      <c r="A397" t="s">
        <v>22</v>
      </c>
      <c r="B397">
        <v>1494</v>
      </c>
      <c r="C397" t="s">
        <v>47</v>
      </c>
      <c r="D397" t="s">
        <v>24</v>
      </c>
      <c r="E397" t="s">
        <v>35</v>
      </c>
      <c r="F397" t="s">
        <v>26</v>
      </c>
      <c r="G397" t="s">
        <v>45</v>
      </c>
      <c r="H397" s="1">
        <v>44987.647511574076</v>
      </c>
      <c r="I397" s="1">
        <v>44989.647511574076</v>
      </c>
      <c r="J397" s="1">
        <v>44987.68917824074</v>
      </c>
      <c r="K397" s="2">
        <v>44987.649237048608</v>
      </c>
      <c r="L397" t="s">
        <v>28</v>
      </c>
      <c r="M397" s="2">
        <v>44987.893353159721</v>
      </c>
      <c r="N397" t="s">
        <v>28</v>
      </c>
      <c r="O397" s="2">
        <v>44992.435599849538</v>
      </c>
      <c r="P397">
        <v>9</v>
      </c>
      <c r="Q397">
        <v>1</v>
      </c>
      <c r="R397" t="s">
        <v>39</v>
      </c>
      <c r="S397" t="s">
        <v>30</v>
      </c>
      <c r="T397" t="s">
        <v>63</v>
      </c>
      <c r="U397">
        <v>55.378051999999997</v>
      </c>
      <c r="V397">
        <v>-3.4359730000000002</v>
      </c>
      <c r="W397" t="str">
        <f t="shared" si="42"/>
        <v>ok</v>
      </c>
      <c r="X397" t="str">
        <f t="shared" si="47"/>
        <v>ok</v>
      </c>
      <c r="Y397" t="str">
        <f t="shared" si="43"/>
        <v>ok</v>
      </c>
      <c r="Z397" t="str">
        <f t="shared" si="44"/>
        <v>ok</v>
      </c>
      <c r="AA397" s="4" t="str">
        <f t="shared" si="45"/>
        <v>ok</v>
      </c>
      <c r="AB397" s="4" t="str">
        <f t="shared" si="46"/>
        <v>ok</v>
      </c>
      <c r="AC397" s="6">
        <f t="shared" si="41"/>
        <v>5.9001980554894544</v>
      </c>
    </row>
    <row r="398" spans="1:29" x14ac:dyDescent="0.3">
      <c r="A398" t="s">
        <v>32</v>
      </c>
      <c r="B398">
        <v>1495</v>
      </c>
      <c r="C398" t="s">
        <v>47</v>
      </c>
      <c r="D398" t="s">
        <v>43</v>
      </c>
      <c r="E398" t="s">
        <v>25</v>
      </c>
      <c r="F398" t="s">
        <v>26</v>
      </c>
      <c r="G398" t="s">
        <v>49</v>
      </c>
      <c r="H398" s="1">
        <v>44987.740937499999</v>
      </c>
      <c r="I398" s="1">
        <v>44988.740937499999</v>
      </c>
      <c r="J398" s="1">
        <v>44987.742326388892</v>
      </c>
      <c r="K398" s="2">
        <v>44987.742226921298</v>
      </c>
      <c r="L398" t="s">
        <v>28</v>
      </c>
      <c r="N398" t="s">
        <v>38</v>
      </c>
      <c r="P398">
        <v>6</v>
      </c>
      <c r="R398" t="s">
        <v>50</v>
      </c>
      <c r="S398" t="s">
        <v>30</v>
      </c>
      <c r="T398" t="s">
        <v>66</v>
      </c>
      <c r="U398">
        <v>48.864716000000001</v>
      </c>
      <c r="V398">
        <v>2.3490139999999999</v>
      </c>
      <c r="W398" t="str">
        <f t="shared" si="42"/>
        <v>ok</v>
      </c>
      <c r="X398" t="str">
        <f t="shared" si="47"/>
        <v>ok</v>
      </c>
      <c r="Y398" t="str">
        <f t="shared" si="43"/>
        <v>ok</v>
      </c>
      <c r="Z398" t="str">
        <f t="shared" si="44"/>
        <v>ok</v>
      </c>
      <c r="AA398" s="4" t="str">
        <f t="shared" si="45"/>
        <v>ok</v>
      </c>
      <c r="AB398" s="4" t="str">
        <f t="shared" si="46"/>
        <v>no resolution</v>
      </c>
      <c r="AC398" s="6" t="str">
        <f t="shared" si="41"/>
        <v/>
      </c>
    </row>
    <row r="399" spans="1:29" x14ac:dyDescent="0.3">
      <c r="A399" t="s">
        <v>42</v>
      </c>
      <c r="B399">
        <v>1496</v>
      </c>
      <c r="C399" t="s">
        <v>47</v>
      </c>
      <c r="D399" t="s">
        <v>34</v>
      </c>
      <c r="E399" t="s">
        <v>25</v>
      </c>
      <c r="F399" t="s">
        <v>26</v>
      </c>
      <c r="G399" t="s">
        <v>27</v>
      </c>
      <c r="H399" s="1">
        <v>44987.936412037037</v>
      </c>
      <c r="I399" s="1">
        <v>44989.936412037037</v>
      </c>
      <c r="J399" s="1">
        <v>44987.937800925924</v>
      </c>
      <c r="K399" s="2">
        <v>44987.937909479166</v>
      </c>
      <c r="L399" t="s">
        <v>38</v>
      </c>
      <c r="M399" s="2">
        <v>44992.433552997689</v>
      </c>
      <c r="N399" t="s">
        <v>38</v>
      </c>
      <c r="P399">
        <v>1</v>
      </c>
      <c r="R399" t="s">
        <v>50</v>
      </c>
      <c r="S399" t="s">
        <v>30</v>
      </c>
      <c r="T399" t="s">
        <v>65</v>
      </c>
      <c r="U399">
        <v>46.149166399999999</v>
      </c>
      <c r="V399">
        <v>14.9860106</v>
      </c>
      <c r="W399" t="str">
        <f t="shared" si="42"/>
        <v>ok</v>
      </c>
      <c r="X399" t="str">
        <f t="shared" si="47"/>
        <v>ok</v>
      </c>
      <c r="Y399" t="str">
        <f t="shared" si="43"/>
        <v>ok</v>
      </c>
      <c r="Z399" t="str">
        <f t="shared" si="44"/>
        <v>ok</v>
      </c>
      <c r="AA399" s="4" t="str">
        <f t="shared" si="45"/>
        <v>ok</v>
      </c>
      <c r="AB399" s="4" t="str">
        <f t="shared" si="46"/>
        <v>ok</v>
      </c>
      <c r="AC399" s="6">
        <f t="shared" si="41"/>
        <v>107.9313830556348</v>
      </c>
    </row>
    <row r="400" spans="1:29" x14ac:dyDescent="0.3">
      <c r="A400" t="s">
        <v>42</v>
      </c>
      <c r="B400">
        <v>1497</v>
      </c>
      <c r="C400" t="s">
        <v>47</v>
      </c>
      <c r="D400" t="s">
        <v>43</v>
      </c>
      <c r="E400" t="s">
        <v>44</v>
      </c>
      <c r="F400" t="s">
        <v>26</v>
      </c>
      <c r="G400" t="s">
        <v>27</v>
      </c>
      <c r="H400" s="1">
        <v>44988.679375</v>
      </c>
      <c r="I400" s="1">
        <v>44989.679375</v>
      </c>
      <c r="J400" s="1">
        <v>44988.680763888886</v>
      </c>
      <c r="K400" s="2">
        <v>44988.680337939812</v>
      </c>
      <c r="L400" t="s">
        <v>28</v>
      </c>
      <c r="M400" s="2">
        <v>44994.115805821762</v>
      </c>
      <c r="N400" t="s">
        <v>38</v>
      </c>
      <c r="P400">
        <v>6</v>
      </c>
      <c r="R400" t="s">
        <v>50</v>
      </c>
      <c r="S400" t="s">
        <v>30</v>
      </c>
      <c r="T400" t="s">
        <v>65</v>
      </c>
      <c r="U400">
        <v>46.149166399999999</v>
      </c>
      <c r="V400">
        <v>14.9860106</v>
      </c>
      <c r="W400" t="str">
        <f t="shared" si="42"/>
        <v>ok</v>
      </c>
      <c r="X400" t="str">
        <f t="shared" si="47"/>
        <v>ok</v>
      </c>
      <c r="Y400" t="str">
        <f t="shared" si="43"/>
        <v>ok</v>
      </c>
      <c r="Z400" t="str">
        <f t="shared" si="44"/>
        <v>ok</v>
      </c>
      <c r="AA400" s="4" t="str">
        <f t="shared" si="45"/>
        <v>ok</v>
      </c>
      <c r="AB400" s="4" t="str">
        <f t="shared" si="46"/>
        <v>ok</v>
      </c>
      <c r="AC400" s="6">
        <f t="shared" si="41"/>
        <v>130.47433972230647</v>
      </c>
    </row>
    <row r="401" spans="1:29" x14ac:dyDescent="0.3">
      <c r="A401" t="s">
        <v>32</v>
      </c>
      <c r="B401">
        <v>1498</v>
      </c>
      <c r="C401" t="s">
        <v>23</v>
      </c>
      <c r="D401" t="s">
        <v>24</v>
      </c>
      <c r="E401" t="s">
        <v>35</v>
      </c>
      <c r="F401" t="s">
        <v>26</v>
      </c>
      <c r="G401" t="s">
        <v>27</v>
      </c>
      <c r="H401" s="1">
        <v>44988.564074074071</v>
      </c>
      <c r="I401" s="1">
        <v>44990.564074074071</v>
      </c>
      <c r="J401" s="1">
        <v>44988.605740740742</v>
      </c>
      <c r="K401" s="2">
        <v>44988.602857106482</v>
      </c>
      <c r="L401" t="s">
        <v>28</v>
      </c>
      <c r="N401" t="s">
        <v>38</v>
      </c>
      <c r="P401">
        <v>2</v>
      </c>
      <c r="R401" t="s">
        <v>55</v>
      </c>
      <c r="S401" t="s">
        <v>30</v>
      </c>
      <c r="T401" t="s">
        <v>56</v>
      </c>
      <c r="U401">
        <v>52.536273000000001</v>
      </c>
      <c r="V401">
        <v>19.050639</v>
      </c>
      <c r="W401" t="str">
        <f t="shared" si="42"/>
        <v>ok</v>
      </c>
      <c r="X401" t="str">
        <f t="shared" si="47"/>
        <v>ok</v>
      </c>
      <c r="Y401" t="str">
        <f t="shared" si="43"/>
        <v>ok</v>
      </c>
      <c r="Z401" t="str">
        <f t="shared" si="44"/>
        <v>ok</v>
      </c>
      <c r="AA401" s="4" t="str">
        <f t="shared" si="45"/>
        <v>ok</v>
      </c>
      <c r="AB401" s="4" t="str">
        <f t="shared" si="46"/>
        <v>no resolution</v>
      </c>
      <c r="AC401" s="6" t="str">
        <f t="shared" si="41"/>
        <v/>
      </c>
    </row>
    <row r="402" spans="1:29" x14ac:dyDescent="0.3">
      <c r="A402" t="s">
        <v>42</v>
      </c>
      <c r="B402">
        <v>1499</v>
      </c>
      <c r="C402" t="s">
        <v>23</v>
      </c>
      <c r="D402" t="s">
        <v>43</v>
      </c>
      <c r="E402" t="s">
        <v>35</v>
      </c>
      <c r="F402" t="s">
        <v>26</v>
      </c>
      <c r="G402" t="s">
        <v>27</v>
      </c>
      <c r="H402" s="1">
        <v>44988.877592592595</v>
      </c>
      <c r="I402" s="1">
        <v>44989.877592592595</v>
      </c>
      <c r="J402" s="1">
        <v>44988.878981481481</v>
      </c>
      <c r="K402" s="2">
        <v>44988.877615879632</v>
      </c>
      <c r="L402" t="s">
        <v>28</v>
      </c>
      <c r="M402" s="2">
        <v>44989.595156041665</v>
      </c>
      <c r="N402" t="s">
        <v>28</v>
      </c>
      <c r="P402">
        <v>8</v>
      </c>
      <c r="R402" t="s">
        <v>50</v>
      </c>
      <c r="S402" t="s">
        <v>30</v>
      </c>
      <c r="T402" t="s">
        <v>51</v>
      </c>
      <c r="U402">
        <v>39.673369999999998</v>
      </c>
      <c r="V402">
        <v>-4.7677259999999997</v>
      </c>
      <c r="W402" t="str">
        <f t="shared" si="42"/>
        <v>ok</v>
      </c>
      <c r="X402" t="str">
        <f t="shared" si="47"/>
        <v>ok</v>
      </c>
      <c r="Y402" t="str">
        <f t="shared" si="43"/>
        <v>ok</v>
      </c>
      <c r="Z402" t="str">
        <f t="shared" si="44"/>
        <v>ok</v>
      </c>
      <c r="AA402" s="4" t="str">
        <f t="shared" si="45"/>
        <v>ok</v>
      </c>
      <c r="AB402" s="4" t="str">
        <f t="shared" si="46"/>
        <v>ok</v>
      </c>
      <c r="AC402" s="6">
        <f t="shared" si="41"/>
        <v>17.221522777690552</v>
      </c>
    </row>
    <row r="403" spans="1:29" x14ac:dyDescent="0.3">
      <c r="A403" t="s">
        <v>32</v>
      </c>
      <c r="B403">
        <v>1500</v>
      </c>
      <c r="C403" t="s">
        <v>47</v>
      </c>
      <c r="D403" t="s">
        <v>24</v>
      </c>
      <c r="E403" t="s">
        <v>48</v>
      </c>
      <c r="F403" t="s">
        <v>26</v>
      </c>
      <c r="G403" t="s">
        <v>60</v>
      </c>
      <c r="H403" s="1">
        <v>44988.255787037036</v>
      </c>
      <c r="I403" s="1">
        <v>44990.255787037036</v>
      </c>
      <c r="J403" s="1">
        <v>44988.297453703701</v>
      </c>
      <c r="K403" s="2">
        <v>44988.282103275465</v>
      </c>
      <c r="L403" t="s">
        <v>28</v>
      </c>
      <c r="N403" t="s">
        <v>38</v>
      </c>
      <c r="P403">
        <v>1</v>
      </c>
      <c r="R403" t="s">
        <v>29</v>
      </c>
      <c r="S403" t="s">
        <v>30</v>
      </c>
      <c r="T403" t="s">
        <v>53</v>
      </c>
      <c r="U403">
        <v>39.368279000000001</v>
      </c>
      <c r="V403">
        <v>21.863140999999999</v>
      </c>
      <c r="W403" t="str">
        <f t="shared" si="42"/>
        <v>ok</v>
      </c>
      <c r="X403" t="str">
        <f t="shared" si="47"/>
        <v>ok</v>
      </c>
      <c r="Y403" t="str">
        <f t="shared" si="43"/>
        <v>ok</v>
      </c>
      <c r="Z403" t="str">
        <f t="shared" si="44"/>
        <v>ok</v>
      </c>
      <c r="AA403" s="4" t="str">
        <f t="shared" si="45"/>
        <v>ok</v>
      </c>
      <c r="AB403" s="4" t="str">
        <f t="shared" si="46"/>
        <v>no resolution</v>
      </c>
      <c r="AC403" s="6" t="str">
        <f t="shared" si="41"/>
        <v/>
      </c>
    </row>
    <row r="404" spans="1:29" x14ac:dyDescent="0.3">
      <c r="A404" t="s">
        <v>22</v>
      </c>
      <c r="B404">
        <v>1501</v>
      </c>
      <c r="C404" t="s">
        <v>23</v>
      </c>
      <c r="D404" t="s">
        <v>24</v>
      </c>
      <c r="E404" t="s">
        <v>44</v>
      </c>
      <c r="F404" t="s">
        <v>26</v>
      </c>
      <c r="G404" t="s">
        <v>49</v>
      </c>
      <c r="H404" s="1">
        <v>44989.301655092589</v>
      </c>
      <c r="I404" s="1">
        <v>44991.301655092589</v>
      </c>
      <c r="J404" s="1">
        <v>44989.343321759261</v>
      </c>
      <c r="K404" s="2">
        <v>44989.342787245369</v>
      </c>
      <c r="L404" t="s">
        <v>28</v>
      </c>
      <c r="M404" s="2">
        <v>44990.282889467591</v>
      </c>
      <c r="N404" t="s">
        <v>28</v>
      </c>
      <c r="O404" s="2">
        <v>44992.702531840281</v>
      </c>
      <c r="P404">
        <v>6</v>
      </c>
      <c r="Q404">
        <v>3</v>
      </c>
      <c r="R404" t="s">
        <v>29</v>
      </c>
      <c r="S404" t="s">
        <v>30</v>
      </c>
      <c r="T404" t="s">
        <v>63</v>
      </c>
      <c r="U404">
        <v>55.378051999999997</v>
      </c>
      <c r="V404">
        <v>-3.4359730000000002</v>
      </c>
      <c r="W404" t="str">
        <f t="shared" si="42"/>
        <v>ok</v>
      </c>
      <c r="X404" t="str">
        <f t="shared" si="47"/>
        <v>ok</v>
      </c>
      <c r="Y404" t="str">
        <f t="shared" si="43"/>
        <v>ok</v>
      </c>
      <c r="Z404" t="str">
        <f t="shared" si="44"/>
        <v>ok</v>
      </c>
      <c r="AA404" s="4" t="str">
        <f t="shared" si="45"/>
        <v>ok</v>
      </c>
      <c r="AB404" s="4" t="str">
        <f t="shared" si="46"/>
        <v>ok</v>
      </c>
      <c r="AC404" s="6">
        <f t="shared" si="41"/>
        <v>23.549625000043306</v>
      </c>
    </row>
    <row r="405" spans="1:29" x14ac:dyDescent="0.3">
      <c r="A405" t="s">
        <v>42</v>
      </c>
      <c r="B405">
        <v>1502</v>
      </c>
      <c r="C405" t="s">
        <v>23</v>
      </c>
      <c r="D405" t="s">
        <v>43</v>
      </c>
      <c r="E405" t="s">
        <v>39</v>
      </c>
      <c r="F405" t="s">
        <v>26</v>
      </c>
      <c r="G405" t="s">
        <v>49</v>
      </c>
      <c r="H405" s="1">
        <v>44989.769016203703</v>
      </c>
      <c r="I405" s="1">
        <v>44990.769016203703</v>
      </c>
      <c r="J405" s="1">
        <v>44989.770405092589</v>
      </c>
      <c r="K405" s="2">
        <v>44989.769099490739</v>
      </c>
      <c r="L405" t="s">
        <v>28</v>
      </c>
      <c r="M405" s="2">
        <v>44990.25051622685</v>
      </c>
      <c r="N405" t="s">
        <v>28</v>
      </c>
      <c r="P405">
        <v>60</v>
      </c>
      <c r="R405" t="s">
        <v>50</v>
      </c>
      <c r="S405" t="s">
        <v>30</v>
      </c>
      <c r="T405" t="s">
        <v>53</v>
      </c>
      <c r="U405">
        <v>39.368279000000001</v>
      </c>
      <c r="V405">
        <v>21.863140999999999</v>
      </c>
      <c r="W405" t="str">
        <f t="shared" si="42"/>
        <v>ok</v>
      </c>
      <c r="X405" t="str">
        <f t="shared" si="47"/>
        <v>ok</v>
      </c>
      <c r="Y405" t="str">
        <f t="shared" si="43"/>
        <v>ok</v>
      </c>
      <c r="Z405" t="str">
        <f t="shared" si="44"/>
        <v>ok</v>
      </c>
      <c r="AA405" s="4" t="str">
        <f t="shared" si="45"/>
        <v>ok</v>
      </c>
      <c r="AB405" s="4" t="str">
        <f t="shared" si="46"/>
        <v>ok</v>
      </c>
      <c r="AC405" s="6">
        <f t="shared" si="41"/>
        <v>11.556000555516221</v>
      </c>
    </row>
    <row r="406" spans="1:29" x14ac:dyDescent="0.3">
      <c r="A406" t="s">
        <v>32</v>
      </c>
      <c r="B406">
        <v>1503</v>
      </c>
      <c r="C406" t="s">
        <v>23</v>
      </c>
      <c r="D406" t="s">
        <v>24</v>
      </c>
      <c r="E406" t="s">
        <v>39</v>
      </c>
      <c r="F406" t="s">
        <v>26</v>
      </c>
      <c r="G406" t="s">
        <v>60</v>
      </c>
      <c r="H406" s="1">
        <v>44989.43074074074</v>
      </c>
      <c r="I406" s="1">
        <v>44991.43074074074</v>
      </c>
      <c r="J406" s="1">
        <v>44989.472407407404</v>
      </c>
      <c r="K406" s="2">
        <v>44989.637512638888</v>
      </c>
      <c r="L406" t="s">
        <v>38</v>
      </c>
      <c r="N406" t="s">
        <v>38</v>
      </c>
      <c r="P406">
        <v>9</v>
      </c>
      <c r="R406" t="s">
        <v>29</v>
      </c>
      <c r="S406" t="s">
        <v>30</v>
      </c>
      <c r="T406" t="s">
        <v>46</v>
      </c>
      <c r="U406">
        <v>47.696471899999999</v>
      </c>
      <c r="V406">
        <v>13.3457347</v>
      </c>
      <c r="W406" t="str">
        <f t="shared" si="42"/>
        <v>ok</v>
      </c>
      <c r="X406" t="str">
        <f t="shared" si="47"/>
        <v>ok</v>
      </c>
      <c r="Y406" t="str">
        <f t="shared" si="43"/>
        <v>ok</v>
      </c>
      <c r="Z406" t="str">
        <f t="shared" si="44"/>
        <v>ok</v>
      </c>
      <c r="AA406" s="4" t="str">
        <f t="shared" si="45"/>
        <v>ok</v>
      </c>
      <c r="AB406" s="4" t="str">
        <f t="shared" si="46"/>
        <v>no resolution</v>
      </c>
      <c r="AC406" s="6" t="str">
        <f t="shared" ref="AC406:AC469" si="48">IF(M406="","",(M406-H406)*24)</f>
        <v/>
      </c>
    </row>
    <row r="407" spans="1:29" x14ac:dyDescent="0.3">
      <c r="A407" t="s">
        <v>42</v>
      </c>
      <c r="B407">
        <v>1504</v>
      </c>
      <c r="C407" t="s">
        <v>23</v>
      </c>
      <c r="D407" t="s">
        <v>24</v>
      </c>
      <c r="E407" t="s">
        <v>44</v>
      </c>
      <c r="F407" t="s">
        <v>26</v>
      </c>
      <c r="G407" t="s">
        <v>60</v>
      </c>
      <c r="H407" s="1">
        <v>44989.74082175926</v>
      </c>
      <c r="I407" s="1">
        <v>44991.74082175926</v>
      </c>
      <c r="J407" s="1">
        <v>44989.782488425924</v>
      </c>
      <c r="K407" s="2">
        <v>44989.775562326387</v>
      </c>
      <c r="L407" t="s">
        <v>28</v>
      </c>
      <c r="M407" s="2">
        <v>44990.785571921297</v>
      </c>
      <c r="N407" t="s">
        <v>28</v>
      </c>
      <c r="P407">
        <v>5</v>
      </c>
      <c r="R407" t="s">
        <v>39</v>
      </c>
      <c r="S407" t="s">
        <v>30</v>
      </c>
      <c r="T407" t="s">
        <v>56</v>
      </c>
      <c r="U407">
        <v>52.536273000000001</v>
      </c>
      <c r="V407">
        <v>19.050639</v>
      </c>
      <c r="W407" t="str">
        <f t="shared" si="42"/>
        <v>ok</v>
      </c>
      <c r="X407" t="str">
        <f t="shared" si="47"/>
        <v>ok</v>
      </c>
      <c r="Y407" t="str">
        <f t="shared" si="43"/>
        <v>ok</v>
      </c>
      <c r="Z407" t="str">
        <f t="shared" si="44"/>
        <v>ok</v>
      </c>
      <c r="AA407" s="4" t="str">
        <f t="shared" si="45"/>
        <v>ok</v>
      </c>
      <c r="AB407" s="4" t="str">
        <f t="shared" si="46"/>
        <v>ok</v>
      </c>
      <c r="AC407" s="6">
        <f t="shared" si="48"/>
        <v>25.074003888876177</v>
      </c>
    </row>
    <row r="408" spans="1:29" x14ac:dyDescent="0.3">
      <c r="A408" t="s">
        <v>22</v>
      </c>
      <c r="B408">
        <v>1512</v>
      </c>
      <c r="C408" t="s">
        <v>33</v>
      </c>
      <c r="D408" t="s">
        <v>24</v>
      </c>
      <c r="E408" t="s">
        <v>48</v>
      </c>
      <c r="F408" t="s">
        <v>26</v>
      </c>
      <c r="G408" t="s">
        <v>60</v>
      </c>
      <c r="H408" s="1">
        <v>44990.635208333333</v>
      </c>
      <c r="I408" s="1">
        <v>44992.635208333333</v>
      </c>
      <c r="J408" s="1">
        <v>44990.676874999997</v>
      </c>
      <c r="K408" s="2">
        <v>44990.653893171293</v>
      </c>
      <c r="L408" t="s">
        <v>28</v>
      </c>
      <c r="M408" s="2">
        <v>44991.426147465281</v>
      </c>
      <c r="N408" t="s">
        <v>28</v>
      </c>
      <c r="O408" s="2">
        <v>44992.628362175928</v>
      </c>
      <c r="P408">
        <v>1</v>
      </c>
      <c r="Q408">
        <v>4</v>
      </c>
      <c r="R408" t="s">
        <v>29</v>
      </c>
      <c r="S408" t="s">
        <v>30</v>
      </c>
      <c r="T408" t="s">
        <v>56</v>
      </c>
      <c r="U408">
        <v>52.536273000000001</v>
      </c>
      <c r="V408">
        <v>19.050639</v>
      </c>
      <c r="W408" t="str">
        <f t="shared" si="42"/>
        <v>ok</v>
      </c>
      <c r="X408" t="str">
        <f t="shared" si="47"/>
        <v>ok</v>
      </c>
      <c r="Y408" t="str">
        <f t="shared" si="43"/>
        <v>ok</v>
      </c>
      <c r="Z408" t="str">
        <f t="shared" si="44"/>
        <v>ok</v>
      </c>
      <c r="AA408" s="4" t="str">
        <f t="shared" si="45"/>
        <v>ok</v>
      </c>
      <c r="AB408" s="4" t="str">
        <f t="shared" si="46"/>
        <v>ok</v>
      </c>
      <c r="AC408" s="6">
        <f t="shared" si="48"/>
        <v>18.982539166754577</v>
      </c>
    </row>
    <row r="409" spans="1:29" x14ac:dyDescent="0.3">
      <c r="A409" t="s">
        <v>22</v>
      </c>
      <c r="B409">
        <v>1513</v>
      </c>
      <c r="C409" t="s">
        <v>23</v>
      </c>
      <c r="D409" t="s">
        <v>43</v>
      </c>
      <c r="E409" t="s">
        <v>62</v>
      </c>
      <c r="F409" t="s">
        <v>36</v>
      </c>
      <c r="G409" t="s">
        <v>37</v>
      </c>
      <c r="H409" s="1">
        <v>44990.154456018521</v>
      </c>
      <c r="I409" s="1">
        <v>44991.154456018521</v>
      </c>
      <c r="J409" s="1">
        <v>44990.155844907407</v>
      </c>
      <c r="K409" s="2">
        <v>44990.155398877316</v>
      </c>
      <c r="L409" t="s">
        <v>28</v>
      </c>
      <c r="M409" s="2">
        <v>44990.17087814815</v>
      </c>
      <c r="N409" t="s">
        <v>28</v>
      </c>
      <c r="O409" s="2">
        <v>44992.95853708333</v>
      </c>
      <c r="P409">
        <v>6</v>
      </c>
      <c r="Q409">
        <v>4</v>
      </c>
      <c r="R409" t="s">
        <v>55</v>
      </c>
      <c r="S409" t="s">
        <v>40</v>
      </c>
      <c r="T409" t="s">
        <v>53</v>
      </c>
      <c r="U409">
        <v>39.368279000000001</v>
      </c>
      <c r="V409">
        <v>21.863140999999999</v>
      </c>
      <c r="W409" t="str">
        <f t="shared" si="42"/>
        <v>ok</v>
      </c>
      <c r="X409" t="str">
        <f t="shared" si="47"/>
        <v>ok</v>
      </c>
      <c r="Y409" t="str">
        <f t="shared" si="43"/>
        <v>ok</v>
      </c>
      <c r="Z409" t="str">
        <f t="shared" si="44"/>
        <v>ok</v>
      </c>
      <c r="AA409" s="4" t="str">
        <f t="shared" si="45"/>
        <v>ok</v>
      </c>
      <c r="AB409" s="4" t="str">
        <f t="shared" si="46"/>
        <v>ok</v>
      </c>
      <c r="AC409" s="6">
        <f t="shared" si="48"/>
        <v>0.39413111109752208</v>
      </c>
    </row>
    <row r="410" spans="1:29" x14ac:dyDescent="0.3">
      <c r="A410" t="s">
        <v>22</v>
      </c>
      <c r="B410">
        <v>1514</v>
      </c>
      <c r="C410" t="s">
        <v>23</v>
      </c>
      <c r="D410" t="s">
        <v>24</v>
      </c>
      <c r="E410" t="s">
        <v>25</v>
      </c>
      <c r="F410" t="s">
        <v>26</v>
      </c>
      <c r="G410" t="s">
        <v>60</v>
      </c>
      <c r="H410" s="1">
        <v>44990.293993055559</v>
      </c>
      <c r="I410" s="1">
        <v>44992.293993055559</v>
      </c>
      <c r="J410" s="1">
        <v>44990.335659722223</v>
      </c>
      <c r="K410" s="2">
        <v>44990.333966990744</v>
      </c>
      <c r="L410" t="s">
        <v>28</v>
      </c>
      <c r="M410" s="2">
        <v>44992.173541689815</v>
      </c>
      <c r="N410" t="s">
        <v>28</v>
      </c>
      <c r="O410" s="2">
        <v>44996.702229317132</v>
      </c>
      <c r="P410">
        <v>3</v>
      </c>
      <c r="Q410">
        <v>3</v>
      </c>
      <c r="R410" t="s">
        <v>50</v>
      </c>
      <c r="S410" t="s">
        <v>30</v>
      </c>
      <c r="T410" t="s">
        <v>46</v>
      </c>
      <c r="U410">
        <v>47.696471899999999</v>
      </c>
      <c r="V410">
        <v>13.3457347</v>
      </c>
      <c r="W410" t="str">
        <f t="shared" si="42"/>
        <v>ok</v>
      </c>
      <c r="X410" t="str">
        <f t="shared" si="47"/>
        <v>ok</v>
      </c>
      <c r="Y410" t="str">
        <f t="shared" si="43"/>
        <v>ok</v>
      </c>
      <c r="Z410" t="str">
        <f t="shared" si="44"/>
        <v>ok</v>
      </c>
      <c r="AA410" s="4" t="str">
        <f t="shared" si="45"/>
        <v>ok</v>
      </c>
      <c r="AB410" s="4" t="str">
        <f t="shared" si="46"/>
        <v>ok</v>
      </c>
      <c r="AC410" s="6">
        <f t="shared" si="48"/>
        <v>45.109167222166434</v>
      </c>
    </row>
    <row r="411" spans="1:29" x14ac:dyDescent="0.3">
      <c r="A411" t="s">
        <v>42</v>
      </c>
      <c r="B411">
        <v>1515</v>
      </c>
      <c r="C411" t="s">
        <v>23</v>
      </c>
      <c r="D411" t="s">
        <v>24</v>
      </c>
      <c r="E411" t="s">
        <v>25</v>
      </c>
      <c r="F411" t="s">
        <v>26</v>
      </c>
      <c r="G411" t="s">
        <v>60</v>
      </c>
      <c r="H411" s="1">
        <v>44990.206261574072</v>
      </c>
      <c r="I411" s="1">
        <v>44992.206261574072</v>
      </c>
      <c r="J411" s="1">
        <v>44990.247928240744</v>
      </c>
      <c r="K411" s="2">
        <v>44990.233732523149</v>
      </c>
      <c r="L411" t="s">
        <v>28</v>
      </c>
      <c r="M411" s="2">
        <v>44991.999982615744</v>
      </c>
      <c r="N411" t="s">
        <v>28</v>
      </c>
      <c r="P411">
        <v>2</v>
      </c>
      <c r="R411" t="s">
        <v>29</v>
      </c>
      <c r="S411" t="s">
        <v>30</v>
      </c>
      <c r="T411" t="s">
        <v>58</v>
      </c>
      <c r="U411">
        <v>49.8037633</v>
      </c>
      <c r="V411">
        <v>15.4749126</v>
      </c>
      <c r="W411" t="str">
        <f t="shared" si="42"/>
        <v>ok</v>
      </c>
      <c r="X411" t="str">
        <f t="shared" si="47"/>
        <v>ok</v>
      </c>
      <c r="Y411" t="str">
        <f t="shared" si="43"/>
        <v>ok</v>
      </c>
      <c r="Z411" t="str">
        <f t="shared" si="44"/>
        <v>ok</v>
      </c>
      <c r="AA411" s="4" t="str">
        <f t="shared" si="45"/>
        <v>ok</v>
      </c>
      <c r="AB411" s="4" t="str">
        <f t="shared" si="46"/>
        <v>ok</v>
      </c>
      <c r="AC411" s="6">
        <f t="shared" si="48"/>
        <v>43.049305000109598</v>
      </c>
    </row>
    <row r="412" spans="1:29" x14ac:dyDescent="0.3">
      <c r="A412" t="s">
        <v>42</v>
      </c>
      <c r="B412">
        <v>1516</v>
      </c>
      <c r="C412" t="s">
        <v>23</v>
      </c>
      <c r="D412" t="s">
        <v>24</v>
      </c>
      <c r="E412" t="s">
        <v>39</v>
      </c>
      <c r="F412" t="s">
        <v>26</v>
      </c>
      <c r="G412" t="s">
        <v>27</v>
      </c>
      <c r="H412" s="1">
        <v>44990.315532407411</v>
      </c>
      <c r="I412" s="1">
        <v>44992.315532407411</v>
      </c>
      <c r="J412" s="1">
        <v>44990.357199074075</v>
      </c>
      <c r="K412" s="2">
        <v>44990.323463310182</v>
      </c>
      <c r="L412" t="s">
        <v>28</v>
      </c>
      <c r="M412" s="2">
        <v>44991.680864085647</v>
      </c>
      <c r="N412" t="s">
        <v>28</v>
      </c>
      <c r="P412">
        <v>2</v>
      </c>
      <c r="R412" t="s">
        <v>29</v>
      </c>
      <c r="S412" t="s">
        <v>30</v>
      </c>
      <c r="T412" t="s">
        <v>57</v>
      </c>
      <c r="U412">
        <v>51.165691000000002</v>
      </c>
      <c r="V412">
        <v>10.451525999999999</v>
      </c>
      <c r="W412" t="str">
        <f t="shared" si="42"/>
        <v>ok</v>
      </c>
      <c r="X412" t="str">
        <f t="shared" si="47"/>
        <v>ok</v>
      </c>
      <c r="Y412" t="str">
        <f t="shared" si="43"/>
        <v>ok</v>
      </c>
      <c r="Z412" t="str">
        <f t="shared" si="44"/>
        <v>ok</v>
      </c>
      <c r="AA412" s="4" t="str">
        <f t="shared" si="45"/>
        <v>ok</v>
      </c>
      <c r="AB412" s="4" t="str">
        <f t="shared" si="46"/>
        <v>ok</v>
      </c>
      <c r="AC412" s="6">
        <f t="shared" si="48"/>
        <v>32.767960277677048</v>
      </c>
    </row>
    <row r="413" spans="1:29" x14ac:dyDescent="0.3">
      <c r="A413" t="s">
        <v>22</v>
      </c>
      <c r="B413">
        <v>1517</v>
      </c>
      <c r="C413" t="s">
        <v>23</v>
      </c>
      <c r="D413" t="s">
        <v>43</v>
      </c>
      <c r="E413" t="s">
        <v>48</v>
      </c>
      <c r="F413" t="s">
        <v>26</v>
      </c>
      <c r="G413" t="s">
        <v>52</v>
      </c>
      <c r="H413" s="1">
        <v>44991.447384259256</v>
      </c>
      <c r="I413" s="1">
        <v>44992.447384259256</v>
      </c>
      <c r="J413" s="1">
        <v>44991.448773148149</v>
      </c>
      <c r="K413" s="2">
        <v>44991.448608865743</v>
      </c>
      <c r="L413" t="s">
        <v>28</v>
      </c>
      <c r="M413" s="2">
        <v>44994.31018453704</v>
      </c>
      <c r="N413" t="s">
        <v>38</v>
      </c>
      <c r="O413" s="2">
        <v>44995.02200837963</v>
      </c>
      <c r="P413">
        <v>6</v>
      </c>
      <c r="Q413">
        <v>4</v>
      </c>
      <c r="R413" t="s">
        <v>50</v>
      </c>
      <c r="S413" t="s">
        <v>30</v>
      </c>
      <c r="T413" t="s">
        <v>53</v>
      </c>
      <c r="U413">
        <v>39.368279000000001</v>
      </c>
      <c r="V413">
        <v>21.863140999999999</v>
      </c>
      <c r="W413" t="str">
        <f t="shared" si="42"/>
        <v>ok</v>
      </c>
      <c r="X413" t="str">
        <f t="shared" si="47"/>
        <v>ok</v>
      </c>
      <c r="Y413" t="str">
        <f t="shared" si="43"/>
        <v>ok</v>
      </c>
      <c r="Z413" t="str">
        <f t="shared" si="44"/>
        <v>ok</v>
      </c>
      <c r="AA413" s="4" t="str">
        <f t="shared" si="45"/>
        <v>ok</v>
      </c>
      <c r="AB413" s="4" t="str">
        <f t="shared" si="46"/>
        <v>ok</v>
      </c>
      <c r="AC413" s="6">
        <f t="shared" si="48"/>
        <v>68.70720666681882</v>
      </c>
    </row>
    <row r="414" spans="1:29" x14ac:dyDescent="0.3">
      <c r="A414" t="s">
        <v>22</v>
      </c>
      <c r="B414">
        <v>1518</v>
      </c>
      <c r="C414" t="s">
        <v>23</v>
      </c>
      <c r="D414" t="s">
        <v>43</v>
      </c>
      <c r="E414" t="s">
        <v>25</v>
      </c>
      <c r="F414" t="s">
        <v>26</v>
      </c>
      <c r="G414" t="s">
        <v>49</v>
      </c>
      <c r="H414" s="1">
        <v>44991.450370370374</v>
      </c>
      <c r="I414" s="1">
        <v>44992.450370370374</v>
      </c>
      <c r="J414" s="1">
        <v>44991.45175925926</v>
      </c>
      <c r="K414" s="2">
        <v>44991.450953460648</v>
      </c>
      <c r="L414" t="s">
        <v>28</v>
      </c>
      <c r="M414" s="2">
        <v>44991.487477962961</v>
      </c>
      <c r="N414" t="s">
        <v>28</v>
      </c>
      <c r="O414" s="2">
        <v>44996.992339861114</v>
      </c>
      <c r="P414">
        <v>7</v>
      </c>
      <c r="Q414">
        <v>4</v>
      </c>
      <c r="R414" t="s">
        <v>50</v>
      </c>
      <c r="S414" t="s">
        <v>30</v>
      </c>
      <c r="T414" t="s">
        <v>41</v>
      </c>
      <c r="U414">
        <v>43.036776000000003</v>
      </c>
      <c r="V414">
        <v>12.678565000000001</v>
      </c>
      <c r="W414" t="str">
        <f t="shared" si="42"/>
        <v>ok</v>
      </c>
      <c r="X414" t="str">
        <f t="shared" si="47"/>
        <v>ok</v>
      </c>
      <c r="Y414" t="str">
        <f t="shared" si="43"/>
        <v>ok</v>
      </c>
      <c r="Z414" t="str">
        <f t="shared" si="44"/>
        <v>ok</v>
      </c>
      <c r="AA414" s="4" t="str">
        <f t="shared" si="45"/>
        <v>ok</v>
      </c>
      <c r="AB414" s="4" t="str">
        <f t="shared" si="46"/>
        <v>ok</v>
      </c>
      <c r="AC414" s="6">
        <f t="shared" si="48"/>
        <v>0.89058222208404914</v>
      </c>
    </row>
    <row r="415" spans="1:29" x14ac:dyDescent="0.3">
      <c r="A415" t="s">
        <v>22</v>
      </c>
      <c r="B415">
        <v>1519</v>
      </c>
      <c r="C415" t="s">
        <v>23</v>
      </c>
      <c r="D415" t="s">
        <v>34</v>
      </c>
      <c r="E415" t="s">
        <v>48</v>
      </c>
      <c r="F415" t="s">
        <v>36</v>
      </c>
      <c r="G415" t="s">
        <v>64</v>
      </c>
      <c r="H415" s="1">
        <v>44991.292893518519</v>
      </c>
      <c r="I415" s="1">
        <v>44993.292893518519</v>
      </c>
      <c r="J415" s="1">
        <v>44991.294282407405</v>
      </c>
      <c r="K415" s="2">
        <v>44991.294143333333</v>
      </c>
      <c r="L415" t="s">
        <v>28</v>
      </c>
      <c r="M415" s="2">
        <v>44991.535733229168</v>
      </c>
      <c r="N415" t="s">
        <v>28</v>
      </c>
      <c r="O415" s="2">
        <v>44997.670272881944</v>
      </c>
      <c r="P415">
        <v>4</v>
      </c>
      <c r="Q415">
        <v>4</v>
      </c>
      <c r="R415" t="s">
        <v>29</v>
      </c>
      <c r="S415" t="s">
        <v>40</v>
      </c>
      <c r="T415" t="s">
        <v>63</v>
      </c>
      <c r="U415">
        <v>55.378051999999997</v>
      </c>
      <c r="V415">
        <v>-3.4359730000000002</v>
      </c>
      <c r="W415" t="str">
        <f t="shared" si="42"/>
        <v>ok</v>
      </c>
      <c r="X415" t="str">
        <f t="shared" si="47"/>
        <v>ok</v>
      </c>
      <c r="Y415" t="str">
        <f t="shared" si="43"/>
        <v>ok</v>
      </c>
      <c r="Z415" t="str">
        <f t="shared" si="44"/>
        <v>ok</v>
      </c>
      <c r="AA415" s="4" t="str">
        <f t="shared" si="45"/>
        <v>ok</v>
      </c>
      <c r="AB415" s="4" t="str">
        <f t="shared" si="46"/>
        <v>ok</v>
      </c>
      <c r="AC415" s="6">
        <f t="shared" si="48"/>
        <v>5.8281530555686913</v>
      </c>
    </row>
    <row r="416" spans="1:29" x14ac:dyDescent="0.3">
      <c r="A416" t="s">
        <v>32</v>
      </c>
      <c r="B416">
        <v>1520</v>
      </c>
      <c r="C416" t="s">
        <v>23</v>
      </c>
      <c r="D416" t="s">
        <v>43</v>
      </c>
      <c r="E416" t="s">
        <v>48</v>
      </c>
      <c r="F416" t="s">
        <v>26</v>
      </c>
      <c r="G416" t="s">
        <v>45</v>
      </c>
      <c r="H416" s="1">
        <v>44991.888807870368</v>
      </c>
      <c r="I416" s="1">
        <v>44992.888807870368</v>
      </c>
      <c r="J416" s="1">
        <v>44991.890196759261</v>
      </c>
      <c r="K416" s="2">
        <v>44991.889886712961</v>
      </c>
      <c r="L416" t="s">
        <v>28</v>
      </c>
      <c r="N416" t="s">
        <v>38</v>
      </c>
      <c r="P416">
        <v>6</v>
      </c>
      <c r="R416" t="s">
        <v>29</v>
      </c>
      <c r="S416" t="s">
        <v>30</v>
      </c>
      <c r="T416" t="s">
        <v>61</v>
      </c>
      <c r="U416">
        <v>42.724992499999999</v>
      </c>
      <c r="V416">
        <v>25.483303899999999</v>
      </c>
      <c r="W416" t="str">
        <f t="shared" si="42"/>
        <v>ok</v>
      </c>
      <c r="X416" t="str">
        <f t="shared" si="47"/>
        <v>ok</v>
      </c>
      <c r="Y416" t="str">
        <f t="shared" si="43"/>
        <v>ok</v>
      </c>
      <c r="Z416" t="str">
        <f t="shared" si="44"/>
        <v>ok</v>
      </c>
      <c r="AA416" s="4" t="str">
        <f t="shared" si="45"/>
        <v>ok</v>
      </c>
      <c r="AB416" s="4" t="str">
        <f t="shared" si="46"/>
        <v>no resolution</v>
      </c>
      <c r="AC416" s="6" t="str">
        <f t="shared" si="48"/>
        <v/>
      </c>
    </row>
    <row r="417" spans="1:29" x14ac:dyDescent="0.3">
      <c r="A417" t="s">
        <v>32</v>
      </c>
      <c r="B417">
        <v>1521</v>
      </c>
      <c r="C417" t="s">
        <v>23</v>
      </c>
      <c r="D417" t="s">
        <v>43</v>
      </c>
      <c r="E417" t="s">
        <v>48</v>
      </c>
      <c r="F417" t="s">
        <v>36</v>
      </c>
      <c r="G417" t="s">
        <v>64</v>
      </c>
      <c r="H417" s="1">
        <v>44991.430960648147</v>
      </c>
      <c r="I417" s="1">
        <v>44992.430960648147</v>
      </c>
      <c r="J417" s="1">
        <v>44991.432349537034</v>
      </c>
      <c r="K417" s="2">
        <v>44991.433067372687</v>
      </c>
      <c r="L417" t="s">
        <v>38</v>
      </c>
      <c r="N417" t="s">
        <v>38</v>
      </c>
      <c r="P417">
        <v>6</v>
      </c>
      <c r="R417" t="s">
        <v>50</v>
      </c>
      <c r="S417" t="s">
        <v>40</v>
      </c>
      <c r="T417" t="s">
        <v>41</v>
      </c>
      <c r="U417">
        <v>43.036776000000003</v>
      </c>
      <c r="V417">
        <v>12.678565000000001</v>
      </c>
      <c r="W417" t="str">
        <f t="shared" si="42"/>
        <v>ok</v>
      </c>
      <c r="X417" t="str">
        <f t="shared" si="47"/>
        <v>ok</v>
      </c>
      <c r="Y417" t="str">
        <f t="shared" si="43"/>
        <v>ok</v>
      </c>
      <c r="Z417" t="str">
        <f t="shared" si="44"/>
        <v>ok</v>
      </c>
      <c r="AA417" s="4" t="str">
        <f t="shared" si="45"/>
        <v>ok</v>
      </c>
      <c r="AB417" s="4" t="str">
        <f t="shared" si="46"/>
        <v>no resolution</v>
      </c>
      <c r="AC417" s="6" t="str">
        <f t="shared" si="48"/>
        <v/>
      </c>
    </row>
    <row r="418" spans="1:29" x14ac:dyDescent="0.3">
      <c r="A418" t="s">
        <v>22</v>
      </c>
      <c r="B418">
        <v>1522</v>
      </c>
      <c r="C418" t="s">
        <v>47</v>
      </c>
      <c r="D418" t="s">
        <v>24</v>
      </c>
      <c r="E418" t="s">
        <v>44</v>
      </c>
      <c r="F418" t="s">
        <v>26</v>
      </c>
      <c r="G418" t="s">
        <v>45</v>
      </c>
      <c r="H418" s="1">
        <v>44991.261562500003</v>
      </c>
      <c r="I418" s="1">
        <v>44993.261562500003</v>
      </c>
      <c r="J418" s="1">
        <v>44991.303229166668</v>
      </c>
      <c r="K418" s="2">
        <v>44991.432054016201</v>
      </c>
      <c r="L418" t="s">
        <v>38</v>
      </c>
      <c r="M418" s="2">
        <v>44992.892281296299</v>
      </c>
      <c r="N418" t="s">
        <v>28</v>
      </c>
      <c r="O418" s="2">
        <v>44993.345396898148</v>
      </c>
      <c r="P418">
        <v>8</v>
      </c>
      <c r="Q418">
        <v>4</v>
      </c>
      <c r="R418" t="s">
        <v>39</v>
      </c>
      <c r="S418" t="s">
        <v>30</v>
      </c>
      <c r="T418" t="s">
        <v>58</v>
      </c>
      <c r="U418">
        <v>49.8037633</v>
      </c>
      <c r="V418">
        <v>15.4749126</v>
      </c>
      <c r="W418" t="str">
        <f t="shared" si="42"/>
        <v>ok</v>
      </c>
      <c r="X418" t="str">
        <f t="shared" si="47"/>
        <v>ok</v>
      </c>
      <c r="Y418" t="str">
        <f t="shared" si="43"/>
        <v>ok</v>
      </c>
      <c r="Z418" t="str">
        <f t="shared" si="44"/>
        <v>ok</v>
      </c>
      <c r="AA418" s="4" t="str">
        <f t="shared" si="45"/>
        <v>ok</v>
      </c>
      <c r="AB418" s="4" t="str">
        <f t="shared" si="46"/>
        <v>ok</v>
      </c>
      <c r="AC418" s="6">
        <f t="shared" si="48"/>
        <v>39.137251111096703</v>
      </c>
    </row>
    <row r="419" spans="1:29" x14ac:dyDescent="0.3">
      <c r="A419" t="s">
        <v>22</v>
      </c>
      <c r="B419">
        <v>1523</v>
      </c>
      <c r="C419" t="s">
        <v>33</v>
      </c>
      <c r="D419" t="s">
        <v>43</v>
      </c>
      <c r="E419" t="s">
        <v>48</v>
      </c>
      <c r="F419" t="s">
        <v>26</v>
      </c>
      <c r="G419" t="s">
        <v>52</v>
      </c>
      <c r="H419" s="1">
        <v>44991.51703703704</v>
      </c>
      <c r="I419" s="1">
        <v>44992.51703703704</v>
      </c>
      <c r="J419" s="1">
        <v>44991.518425925926</v>
      </c>
      <c r="K419" s="2">
        <v>44991.517296747683</v>
      </c>
      <c r="L419" t="s">
        <v>28</v>
      </c>
      <c r="M419" s="2">
        <v>44991.996420115742</v>
      </c>
      <c r="N419" t="s">
        <v>28</v>
      </c>
      <c r="O419" s="2">
        <v>44997.149162326386</v>
      </c>
      <c r="P419">
        <v>3</v>
      </c>
      <c r="Q419">
        <v>3</v>
      </c>
      <c r="R419" t="s">
        <v>39</v>
      </c>
      <c r="S419" t="s">
        <v>30</v>
      </c>
      <c r="T419" t="s">
        <v>31</v>
      </c>
      <c r="U419">
        <v>53.094023999999997</v>
      </c>
      <c r="V419">
        <v>-8.0196749999999994</v>
      </c>
      <c r="W419" t="str">
        <f t="shared" si="42"/>
        <v>ok</v>
      </c>
      <c r="X419" t="str">
        <f t="shared" si="47"/>
        <v>ok</v>
      </c>
      <c r="Y419" t="str">
        <f t="shared" si="43"/>
        <v>ok</v>
      </c>
      <c r="Z419" t="str">
        <f t="shared" si="44"/>
        <v>ok</v>
      </c>
      <c r="AA419" s="4" t="str">
        <f t="shared" si="45"/>
        <v>ok</v>
      </c>
      <c r="AB419" s="4" t="str">
        <f t="shared" si="46"/>
        <v>ok</v>
      </c>
      <c r="AC419" s="6">
        <f t="shared" si="48"/>
        <v>11.505193888850044</v>
      </c>
    </row>
    <row r="420" spans="1:29" x14ac:dyDescent="0.3">
      <c r="A420" t="s">
        <v>22</v>
      </c>
      <c r="B420">
        <v>1524</v>
      </c>
      <c r="C420" t="s">
        <v>47</v>
      </c>
      <c r="D420" t="s">
        <v>43</v>
      </c>
      <c r="E420" t="s">
        <v>25</v>
      </c>
      <c r="F420" t="s">
        <v>26</v>
      </c>
      <c r="G420" t="s">
        <v>45</v>
      </c>
      <c r="H420" s="1">
        <v>44991.308576388888</v>
      </c>
      <c r="I420" s="1">
        <v>44992.308576388888</v>
      </c>
      <c r="J420" s="1">
        <v>44991.309965277775</v>
      </c>
      <c r="K420" s="2">
        <v>44991.30940849537</v>
      </c>
      <c r="L420" t="s">
        <v>28</v>
      </c>
      <c r="M420" s="2">
        <v>44991.548288368052</v>
      </c>
      <c r="N420" t="s">
        <v>28</v>
      </c>
      <c r="O420" s="2">
        <v>44994.311363171299</v>
      </c>
      <c r="P420">
        <v>4</v>
      </c>
      <c r="Q420">
        <v>4</v>
      </c>
      <c r="R420" t="s">
        <v>29</v>
      </c>
      <c r="S420" t="s">
        <v>30</v>
      </c>
      <c r="T420" t="s">
        <v>66</v>
      </c>
      <c r="U420">
        <v>48.864716000000001</v>
      </c>
      <c r="V420">
        <v>2.3490139999999999</v>
      </c>
      <c r="W420" t="str">
        <f t="shared" si="42"/>
        <v>ok</v>
      </c>
      <c r="X420" t="str">
        <f t="shared" si="47"/>
        <v>ok</v>
      </c>
      <c r="Y420" t="str">
        <f t="shared" si="43"/>
        <v>ok</v>
      </c>
      <c r="Z420" t="str">
        <f t="shared" si="44"/>
        <v>ok</v>
      </c>
      <c r="AA420" s="4" t="str">
        <f t="shared" si="45"/>
        <v>ok</v>
      </c>
      <c r="AB420" s="4" t="str">
        <f t="shared" si="46"/>
        <v>ok</v>
      </c>
      <c r="AC420" s="6">
        <f t="shared" si="48"/>
        <v>5.7530874999356456</v>
      </c>
    </row>
    <row r="421" spans="1:29" x14ac:dyDescent="0.3">
      <c r="A421" t="s">
        <v>42</v>
      </c>
      <c r="B421">
        <v>1525</v>
      </c>
      <c r="C421" t="s">
        <v>33</v>
      </c>
      <c r="D421" t="s">
        <v>24</v>
      </c>
      <c r="E421" t="s">
        <v>48</v>
      </c>
      <c r="F421" t="s">
        <v>26</v>
      </c>
      <c r="G421" t="s">
        <v>52</v>
      </c>
      <c r="H421" s="1">
        <v>44991.664259259262</v>
      </c>
      <c r="I421" s="1">
        <v>44993.664259259262</v>
      </c>
      <c r="J421" s="1">
        <v>44991.705925925926</v>
      </c>
      <c r="K421" s="2">
        <v>44991.679898564813</v>
      </c>
      <c r="L421" t="s">
        <v>28</v>
      </c>
      <c r="M421" s="2">
        <v>44992.351328240744</v>
      </c>
      <c r="N421" t="s">
        <v>28</v>
      </c>
      <c r="P421">
        <v>4</v>
      </c>
      <c r="R421" t="s">
        <v>50</v>
      </c>
      <c r="S421" t="s">
        <v>30</v>
      </c>
      <c r="T421" t="s">
        <v>65</v>
      </c>
      <c r="U421">
        <v>46.149166399999999</v>
      </c>
      <c r="V421">
        <v>14.9860106</v>
      </c>
      <c r="W421" t="str">
        <f t="shared" si="42"/>
        <v>ok</v>
      </c>
      <c r="X421" t="str">
        <f t="shared" si="47"/>
        <v>ok</v>
      </c>
      <c r="Y421" t="str">
        <f t="shared" si="43"/>
        <v>ok</v>
      </c>
      <c r="Z421" t="str">
        <f t="shared" si="44"/>
        <v>ok</v>
      </c>
      <c r="AA421" s="4" t="str">
        <f t="shared" si="45"/>
        <v>ok</v>
      </c>
      <c r="AB421" s="4" t="str">
        <f t="shared" si="46"/>
        <v>ok</v>
      </c>
      <c r="AC421" s="6">
        <f t="shared" si="48"/>
        <v>16.489655555575155</v>
      </c>
    </row>
    <row r="422" spans="1:29" x14ac:dyDescent="0.3">
      <c r="A422" t="s">
        <v>32</v>
      </c>
      <c r="B422">
        <v>1526</v>
      </c>
      <c r="C422" t="s">
        <v>47</v>
      </c>
      <c r="D422" t="s">
        <v>24</v>
      </c>
      <c r="E422" t="s">
        <v>59</v>
      </c>
      <c r="F422" t="s">
        <v>26</v>
      </c>
      <c r="G422" t="s">
        <v>60</v>
      </c>
      <c r="H422" s="1">
        <v>44991.306759259256</v>
      </c>
      <c r="I422" s="1">
        <v>44993.306759259256</v>
      </c>
      <c r="J422" s="1">
        <v>44991.348425925928</v>
      </c>
      <c r="K422" s="2">
        <v>44991.331892997689</v>
      </c>
      <c r="L422" t="s">
        <v>28</v>
      </c>
      <c r="N422" t="s">
        <v>38</v>
      </c>
      <c r="P422">
        <v>2</v>
      </c>
      <c r="R422" t="s">
        <v>50</v>
      </c>
      <c r="S422" t="s">
        <v>30</v>
      </c>
      <c r="T422" t="s">
        <v>41</v>
      </c>
      <c r="U422">
        <v>43.036776000000003</v>
      </c>
      <c r="V422">
        <v>12.678565000000001</v>
      </c>
      <c r="W422" t="str">
        <f t="shared" si="42"/>
        <v>ok</v>
      </c>
      <c r="X422" t="str">
        <f t="shared" si="47"/>
        <v>ok</v>
      </c>
      <c r="Y422" t="str">
        <f t="shared" si="43"/>
        <v>ok</v>
      </c>
      <c r="Z422" t="str">
        <f t="shared" si="44"/>
        <v>ok</v>
      </c>
      <c r="AA422" s="4" t="str">
        <f t="shared" si="45"/>
        <v>ok</v>
      </c>
      <c r="AB422" s="4" t="str">
        <f t="shared" si="46"/>
        <v>no resolution</v>
      </c>
      <c r="AC422" s="6" t="str">
        <f t="shared" si="48"/>
        <v/>
      </c>
    </row>
    <row r="423" spans="1:29" x14ac:dyDescent="0.3">
      <c r="A423" t="s">
        <v>32</v>
      </c>
      <c r="B423">
        <v>1527</v>
      </c>
      <c r="C423" t="s">
        <v>33</v>
      </c>
      <c r="D423" t="s">
        <v>24</v>
      </c>
      <c r="E423" t="s">
        <v>35</v>
      </c>
      <c r="F423" t="s">
        <v>36</v>
      </c>
      <c r="G423" t="s">
        <v>37</v>
      </c>
      <c r="H423" s="1">
        <v>44991.754756944443</v>
      </c>
      <c r="I423" s="1">
        <v>44993.754756944443</v>
      </c>
      <c r="J423" s="1">
        <v>44991.796423611115</v>
      </c>
      <c r="K423" s="2">
        <v>44991.768905729165</v>
      </c>
      <c r="L423" t="s">
        <v>28</v>
      </c>
      <c r="N423" t="s">
        <v>38</v>
      </c>
      <c r="P423">
        <v>7</v>
      </c>
      <c r="R423" t="s">
        <v>55</v>
      </c>
      <c r="S423" t="s">
        <v>40</v>
      </c>
      <c r="T423" t="s">
        <v>63</v>
      </c>
      <c r="U423">
        <v>55.378051999999997</v>
      </c>
      <c r="V423">
        <v>-3.4359730000000002</v>
      </c>
      <c r="W423" t="str">
        <f t="shared" si="42"/>
        <v>ok</v>
      </c>
      <c r="X423" t="str">
        <f t="shared" si="47"/>
        <v>ok</v>
      </c>
      <c r="Y423" t="str">
        <f t="shared" si="43"/>
        <v>ok</v>
      </c>
      <c r="Z423" t="str">
        <f t="shared" si="44"/>
        <v>ok</v>
      </c>
      <c r="AA423" s="4" t="str">
        <f t="shared" si="45"/>
        <v>ok</v>
      </c>
      <c r="AB423" s="4" t="str">
        <f t="shared" si="46"/>
        <v>no resolution</v>
      </c>
      <c r="AC423" s="6" t="str">
        <f t="shared" si="48"/>
        <v/>
      </c>
    </row>
    <row r="424" spans="1:29" x14ac:dyDescent="0.3">
      <c r="A424" t="s">
        <v>42</v>
      </c>
      <c r="B424">
        <v>1528</v>
      </c>
      <c r="C424" t="s">
        <v>23</v>
      </c>
      <c r="D424" t="s">
        <v>34</v>
      </c>
      <c r="E424" t="s">
        <v>48</v>
      </c>
      <c r="F424" t="s">
        <v>26</v>
      </c>
      <c r="G424" t="s">
        <v>49</v>
      </c>
      <c r="H424" s="1">
        <v>44991.192488425928</v>
      </c>
      <c r="I424" s="1">
        <v>44993.192488425928</v>
      </c>
      <c r="J424" s="1">
        <v>44991.193877314814</v>
      </c>
      <c r="K424" s="2">
        <v>44991.192677581021</v>
      </c>
      <c r="L424" t="s">
        <v>28</v>
      </c>
      <c r="M424" s="2">
        <v>44992.789768240742</v>
      </c>
      <c r="N424" t="s">
        <v>28</v>
      </c>
      <c r="P424">
        <v>3</v>
      </c>
      <c r="R424" t="s">
        <v>50</v>
      </c>
      <c r="S424" t="s">
        <v>30</v>
      </c>
      <c r="T424" t="s">
        <v>63</v>
      </c>
      <c r="U424">
        <v>55.378051999999997</v>
      </c>
      <c r="V424">
        <v>-3.4359730000000002</v>
      </c>
      <c r="W424" t="str">
        <f t="shared" si="42"/>
        <v>ok</v>
      </c>
      <c r="X424" t="str">
        <f t="shared" si="47"/>
        <v>ok</v>
      </c>
      <c r="Y424" t="str">
        <f t="shared" si="43"/>
        <v>ok</v>
      </c>
      <c r="Z424" t="str">
        <f t="shared" si="44"/>
        <v>ok</v>
      </c>
      <c r="AA424" s="4" t="str">
        <f t="shared" si="45"/>
        <v>ok</v>
      </c>
      <c r="AB424" s="4" t="str">
        <f t="shared" si="46"/>
        <v>ok</v>
      </c>
      <c r="AC424" s="6">
        <f t="shared" si="48"/>
        <v>38.334715555538423</v>
      </c>
    </row>
    <row r="425" spans="1:29" x14ac:dyDescent="0.3">
      <c r="A425" t="s">
        <v>22</v>
      </c>
      <c r="B425">
        <v>1529</v>
      </c>
      <c r="C425" t="s">
        <v>47</v>
      </c>
      <c r="D425" t="s">
        <v>43</v>
      </c>
      <c r="E425" t="s">
        <v>25</v>
      </c>
      <c r="F425" t="s">
        <v>36</v>
      </c>
      <c r="G425" t="s">
        <v>37</v>
      </c>
      <c r="H425" s="1">
        <v>44991.184374999997</v>
      </c>
      <c r="I425" s="1">
        <v>44992.184374999997</v>
      </c>
      <c r="J425" s="1">
        <v>44991.185763888891</v>
      </c>
      <c r="K425" s="2">
        <v>44991.185082905089</v>
      </c>
      <c r="L425" t="s">
        <v>28</v>
      </c>
      <c r="M425" s="2">
        <v>44991.360524594907</v>
      </c>
      <c r="N425" t="s">
        <v>28</v>
      </c>
      <c r="O425" s="2">
        <v>44995.742249745374</v>
      </c>
      <c r="P425">
        <v>9</v>
      </c>
      <c r="Q425">
        <v>5</v>
      </c>
      <c r="R425" t="s">
        <v>50</v>
      </c>
      <c r="S425" t="s">
        <v>40</v>
      </c>
      <c r="T425" t="s">
        <v>57</v>
      </c>
      <c r="U425">
        <v>51.165691000000002</v>
      </c>
      <c r="V425">
        <v>10.451525999999999</v>
      </c>
      <c r="W425" t="str">
        <f t="shared" si="42"/>
        <v>ok</v>
      </c>
      <c r="X425" t="str">
        <f t="shared" si="47"/>
        <v>ok</v>
      </c>
      <c r="Y425" t="str">
        <f t="shared" si="43"/>
        <v>ok</v>
      </c>
      <c r="Z425" t="str">
        <f t="shared" si="44"/>
        <v>ok</v>
      </c>
      <c r="AA425" s="4" t="str">
        <f t="shared" si="45"/>
        <v>ok</v>
      </c>
      <c r="AB425" s="4" t="str">
        <f t="shared" si="46"/>
        <v>ok</v>
      </c>
      <c r="AC425" s="6">
        <f t="shared" si="48"/>
        <v>4.2275902778492309</v>
      </c>
    </row>
    <row r="426" spans="1:29" x14ac:dyDescent="0.3">
      <c r="A426" t="s">
        <v>42</v>
      </c>
      <c r="B426">
        <v>1530</v>
      </c>
      <c r="C426" t="s">
        <v>23</v>
      </c>
      <c r="D426" t="s">
        <v>43</v>
      </c>
      <c r="E426" t="s">
        <v>48</v>
      </c>
      <c r="F426" t="s">
        <v>26</v>
      </c>
      <c r="G426" t="s">
        <v>60</v>
      </c>
      <c r="H426" s="1">
        <v>44992.563020833331</v>
      </c>
      <c r="I426" s="1">
        <v>44993.563020833331</v>
      </c>
      <c r="J426" s="1">
        <v>44992.564409722225</v>
      </c>
      <c r="K426" s="2">
        <v>44992.563541157404</v>
      </c>
      <c r="L426" t="s">
        <v>28</v>
      </c>
      <c r="M426" s="2">
        <v>44996.066833333331</v>
      </c>
      <c r="N426" t="s">
        <v>38</v>
      </c>
      <c r="P426">
        <v>4</v>
      </c>
      <c r="R426" t="s">
        <v>50</v>
      </c>
      <c r="S426" t="s">
        <v>30</v>
      </c>
      <c r="T426" t="s">
        <v>58</v>
      </c>
      <c r="U426">
        <v>49.8037633</v>
      </c>
      <c r="V426">
        <v>15.4749126</v>
      </c>
      <c r="W426" t="str">
        <f t="shared" si="42"/>
        <v>ok</v>
      </c>
      <c r="X426" t="str">
        <f t="shared" si="47"/>
        <v>ok</v>
      </c>
      <c r="Y426" t="str">
        <f t="shared" si="43"/>
        <v>ok</v>
      </c>
      <c r="Z426" t="str">
        <f t="shared" si="44"/>
        <v>ok</v>
      </c>
      <c r="AA426" s="4" t="str">
        <f t="shared" si="45"/>
        <v>ok</v>
      </c>
      <c r="AB426" s="4" t="str">
        <f t="shared" si="46"/>
        <v>ok</v>
      </c>
      <c r="AC426" s="6">
        <f t="shared" si="48"/>
        <v>84.091499999980442</v>
      </c>
    </row>
    <row r="427" spans="1:29" x14ac:dyDescent="0.3">
      <c r="A427" t="s">
        <v>22</v>
      </c>
      <c r="B427">
        <v>1531</v>
      </c>
      <c r="C427" t="s">
        <v>23</v>
      </c>
      <c r="D427" t="s">
        <v>34</v>
      </c>
      <c r="E427" t="s">
        <v>35</v>
      </c>
      <c r="F427" t="s">
        <v>26</v>
      </c>
      <c r="G427" t="s">
        <v>49</v>
      </c>
      <c r="H427" s="1">
        <v>44992.888414351852</v>
      </c>
      <c r="I427" s="1">
        <v>44994.888414351852</v>
      </c>
      <c r="J427" s="1">
        <v>44992.889803240738</v>
      </c>
      <c r="K427" s="2">
        <v>44992.892185023149</v>
      </c>
      <c r="L427" t="s">
        <v>38</v>
      </c>
      <c r="M427" s="2">
        <v>44994.791543530089</v>
      </c>
      <c r="N427" t="s">
        <v>28</v>
      </c>
      <c r="O427" s="2">
        <v>44995.623697916664</v>
      </c>
      <c r="P427">
        <v>1</v>
      </c>
      <c r="Q427">
        <v>5</v>
      </c>
      <c r="R427" t="s">
        <v>50</v>
      </c>
      <c r="S427" t="s">
        <v>30</v>
      </c>
      <c r="T427" t="s">
        <v>57</v>
      </c>
      <c r="U427">
        <v>51.165691000000002</v>
      </c>
      <c r="V427">
        <v>10.451525999999999</v>
      </c>
      <c r="W427" t="str">
        <f t="shared" si="42"/>
        <v>ok</v>
      </c>
      <c r="X427" t="str">
        <f t="shared" si="47"/>
        <v>ok</v>
      </c>
      <c r="Y427" t="str">
        <f t="shared" si="43"/>
        <v>ok</v>
      </c>
      <c r="Z427" t="str">
        <f t="shared" si="44"/>
        <v>ok</v>
      </c>
      <c r="AA427" s="4" t="str">
        <f t="shared" si="45"/>
        <v>ok</v>
      </c>
      <c r="AB427" s="4" t="str">
        <f t="shared" si="46"/>
        <v>ok</v>
      </c>
      <c r="AC427" s="6">
        <f t="shared" si="48"/>
        <v>45.675100277701858</v>
      </c>
    </row>
    <row r="428" spans="1:29" x14ac:dyDescent="0.3">
      <c r="A428" t="s">
        <v>42</v>
      </c>
      <c r="B428">
        <v>1532</v>
      </c>
      <c r="C428" t="s">
        <v>23</v>
      </c>
      <c r="D428" t="s">
        <v>24</v>
      </c>
      <c r="E428" t="s">
        <v>25</v>
      </c>
      <c r="F428" t="s">
        <v>26</v>
      </c>
      <c r="G428" t="s">
        <v>27</v>
      </c>
      <c r="H428" s="1">
        <v>44992.218773148146</v>
      </c>
      <c r="I428" s="1">
        <v>44994.218773148146</v>
      </c>
      <c r="J428" s="1">
        <v>44992.260439814818</v>
      </c>
      <c r="K428" s="2">
        <v>44992.25208539352</v>
      </c>
      <c r="L428" t="s">
        <v>28</v>
      </c>
      <c r="M428" s="2">
        <v>44993.820727013888</v>
      </c>
      <c r="N428" t="s">
        <v>28</v>
      </c>
      <c r="P428">
        <v>1</v>
      </c>
      <c r="R428" t="s">
        <v>39</v>
      </c>
      <c r="S428" t="s">
        <v>30</v>
      </c>
      <c r="T428" t="s">
        <v>63</v>
      </c>
      <c r="U428">
        <v>55.378051999999997</v>
      </c>
      <c r="V428">
        <v>-3.4359730000000002</v>
      </c>
      <c r="W428" t="str">
        <f t="shared" si="42"/>
        <v>ok</v>
      </c>
      <c r="X428" t="str">
        <f t="shared" si="47"/>
        <v>ok</v>
      </c>
      <c r="Y428" t="str">
        <f t="shared" si="43"/>
        <v>ok</v>
      </c>
      <c r="Z428" t="str">
        <f t="shared" si="44"/>
        <v>ok</v>
      </c>
      <c r="AA428" s="4" t="str">
        <f t="shared" si="45"/>
        <v>ok</v>
      </c>
      <c r="AB428" s="4" t="str">
        <f t="shared" si="46"/>
        <v>ok</v>
      </c>
      <c r="AC428" s="6">
        <f t="shared" si="48"/>
        <v>38.446892777807079</v>
      </c>
    </row>
    <row r="429" spans="1:29" x14ac:dyDescent="0.3">
      <c r="A429" t="s">
        <v>42</v>
      </c>
      <c r="B429">
        <v>1533</v>
      </c>
      <c r="C429" t="s">
        <v>33</v>
      </c>
      <c r="D429" t="s">
        <v>24</v>
      </c>
      <c r="E429" t="s">
        <v>44</v>
      </c>
      <c r="F429" t="s">
        <v>26</v>
      </c>
      <c r="G429" t="s">
        <v>52</v>
      </c>
      <c r="H429" s="1">
        <v>44992.967962962961</v>
      </c>
      <c r="I429" s="1">
        <v>44994.967962962961</v>
      </c>
      <c r="J429" s="1">
        <v>44993.009629629632</v>
      </c>
      <c r="K429" s="2">
        <v>44992.972870173609</v>
      </c>
      <c r="L429" t="s">
        <v>28</v>
      </c>
      <c r="M429" s="2">
        <v>44994.306754143516</v>
      </c>
      <c r="N429" t="s">
        <v>28</v>
      </c>
      <c r="P429">
        <v>9</v>
      </c>
      <c r="R429" t="s">
        <v>55</v>
      </c>
      <c r="S429" t="s">
        <v>30</v>
      </c>
      <c r="T429" t="s">
        <v>63</v>
      </c>
      <c r="U429">
        <v>55.378051999999997</v>
      </c>
      <c r="V429">
        <v>-3.4359730000000002</v>
      </c>
      <c r="W429" t="str">
        <f t="shared" si="42"/>
        <v>ok</v>
      </c>
      <c r="X429" t="str">
        <f t="shared" si="47"/>
        <v>ok</v>
      </c>
      <c r="Y429" t="str">
        <f t="shared" si="43"/>
        <v>ok</v>
      </c>
      <c r="Z429" t="str">
        <f t="shared" si="44"/>
        <v>ok</v>
      </c>
      <c r="AA429" s="4" t="str">
        <f t="shared" si="45"/>
        <v>ok</v>
      </c>
      <c r="AB429" s="4" t="str">
        <f t="shared" si="46"/>
        <v>ok</v>
      </c>
      <c r="AC429" s="6">
        <f t="shared" si="48"/>
        <v>32.130988333316054</v>
      </c>
    </row>
    <row r="430" spans="1:29" x14ac:dyDescent="0.3">
      <c r="A430" t="s">
        <v>22</v>
      </c>
      <c r="B430">
        <v>1534</v>
      </c>
      <c r="C430" t="s">
        <v>33</v>
      </c>
      <c r="D430" t="s">
        <v>24</v>
      </c>
      <c r="E430" t="s">
        <v>48</v>
      </c>
      <c r="F430" t="s">
        <v>26</v>
      </c>
      <c r="G430" t="s">
        <v>52</v>
      </c>
      <c r="H430" s="1">
        <v>44992.861689814818</v>
      </c>
      <c r="I430" s="1">
        <v>44994.861689814818</v>
      </c>
      <c r="J430" s="1">
        <v>44992.903356481482</v>
      </c>
      <c r="K430" s="2">
        <v>44992.877439548611</v>
      </c>
      <c r="L430" t="s">
        <v>28</v>
      </c>
      <c r="M430" s="2">
        <v>44993.775413611111</v>
      </c>
      <c r="N430" t="s">
        <v>28</v>
      </c>
      <c r="O430" s="2">
        <v>44996.682326111113</v>
      </c>
      <c r="P430">
        <v>1</v>
      </c>
      <c r="Q430">
        <v>4</v>
      </c>
      <c r="R430" t="s">
        <v>29</v>
      </c>
      <c r="S430" t="s">
        <v>30</v>
      </c>
      <c r="T430" t="s">
        <v>46</v>
      </c>
      <c r="U430">
        <v>47.696471899999999</v>
      </c>
      <c r="V430">
        <v>13.3457347</v>
      </c>
      <c r="W430" t="str">
        <f t="shared" si="42"/>
        <v>ok</v>
      </c>
      <c r="X430" t="str">
        <f t="shared" si="47"/>
        <v>ok</v>
      </c>
      <c r="Y430" t="str">
        <f t="shared" si="43"/>
        <v>ok</v>
      </c>
      <c r="Z430" t="str">
        <f t="shared" si="44"/>
        <v>ok</v>
      </c>
      <c r="AA430" s="4" t="str">
        <f t="shared" si="45"/>
        <v>ok</v>
      </c>
      <c r="AB430" s="4" t="str">
        <f t="shared" si="46"/>
        <v>ok</v>
      </c>
      <c r="AC430" s="6">
        <f t="shared" si="48"/>
        <v>21.929371111036744</v>
      </c>
    </row>
    <row r="431" spans="1:29" x14ac:dyDescent="0.3">
      <c r="A431" t="s">
        <v>42</v>
      </c>
      <c r="B431">
        <v>1535</v>
      </c>
      <c r="C431" t="s">
        <v>47</v>
      </c>
      <c r="D431" t="s">
        <v>24</v>
      </c>
      <c r="E431" t="s">
        <v>25</v>
      </c>
      <c r="F431" t="s">
        <v>36</v>
      </c>
      <c r="G431" t="s">
        <v>54</v>
      </c>
      <c r="H431" s="1">
        <v>44992.80978009259</v>
      </c>
      <c r="I431" s="1">
        <v>44994.80978009259</v>
      </c>
      <c r="J431" s="1">
        <v>44992.851446759261</v>
      </c>
      <c r="K431" s="2">
        <v>44992.812380659721</v>
      </c>
      <c r="L431" t="s">
        <v>28</v>
      </c>
      <c r="M431" s="2">
        <v>44994.685617280091</v>
      </c>
      <c r="N431" t="s">
        <v>28</v>
      </c>
      <c r="P431">
        <v>2</v>
      </c>
      <c r="R431" t="s">
        <v>39</v>
      </c>
      <c r="S431" t="s">
        <v>40</v>
      </c>
      <c r="T431" t="s">
        <v>63</v>
      </c>
      <c r="U431">
        <v>55.378051999999997</v>
      </c>
      <c r="V431">
        <v>-3.4359730000000002</v>
      </c>
      <c r="W431" t="str">
        <f t="shared" si="42"/>
        <v>ok</v>
      </c>
      <c r="X431" t="str">
        <f t="shared" si="47"/>
        <v>ok</v>
      </c>
      <c r="Y431" t="str">
        <f t="shared" si="43"/>
        <v>ok</v>
      </c>
      <c r="Z431" t="str">
        <f t="shared" si="44"/>
        <v>ok</v>
      </c>
      <c r="AA431" s="4" t="str">
        <f t="shared" si="45"/>
        <v>ok</v>
      </c>
      <c r="AB431" s="4" t="str">
        <f t="shared" si="46"/>
        <v>ok</v>
      </c>
      <c r="AC431" s="6">
        <f t="shared" si="48"/>
        <v>45.020092500024475</v>
      </c>
    </row>
    <row r="432" spans="1:29" x14ac:dyDescent="0.3">
      <c r="A432" t="s">
        <v>42</v>
      </c>
      <c r="B432">
        <v>1536</v>
      </c>
      <c r="C432" t="s">
        <v>47</v>
      </c>
      <c r="D432" t="s">
        <v>24</v>
      </c>
      <c r="E432" t="s">
        <v>35</v>
      </c>
      <c r="F432" t="s">
        <v>26</v>
      </c>
      <c r="G432" t="s">
        <v>60</v>
      </c>
      <c r="H432" s="1">
        <v>44992.090231481481</v>
      </c>
      <c r="I432" s="1">
        <v>44994.090231481481</v>
      </c>
      <c r="J432" s="1">
        <v>44992.131898148145</v>
      </c>
      <c r="K432" s="2">
        <v>44992.102118252318</v>
      </c>
      <c r="L432" t="s">
        <v>28</v>
      </c>
      <c r="M432" s="2">
        <v>44993.573674664352</v>
      </c>
      <c r="N432" t="s">
        <v>28</v>
      </c>
      <c r="P432">
        <v>5</v>
      </c>
      <c r="R432" t="s">
        <v>29</v>
      </c>
      <c r="S432" t="s">
        <v>30</v>
      </c>
      <c r="T432" t="s">
        <v>65</v>
      </c>
      <c r="U432">
        <v>46.149166399999999</v>
      </c>
      <c r="V432">
        <v>14.9860106</v>
      </c>
      <c r="W432" t="str">
        <f t="shared" si="42"/>
        <v>ok</v>
      </c>
      <c r="X432" t="str">
        <f t="shared" si="47"/>
        <v>ok</v>
      </c>
      <c r="Y432" t="str">
        <f t="shared" si="43"/>
        <v>ok</v>
      </c>
      <c r="Z432" t="str">
        <f t="shared" si="44"/>
        <v>ok</v>
      </c>
      <c r="AA432" s="4" t="str">
        <f t="shared" si="45"/>
        <v>ok</v>
      </c>
      <c r="AB432" s="4" t="str">
        <f t="shared" si="46"/>
        <v>ok</v>
      </c>
      <c r="AC432" s="6">
        <f t="shared" si="48"/>
        <v>35.602636388910469</v>
      </c>
    </row>
    <row r="433" spans="1:29" x14ac:dyDescent="0.3">
      <c r="A433" t="s">
        <v>22</v>
      </c>
      <c r="B433">
        <v>1537</v>
      </c>
      <c r="C433" t="s">
        <v>23</v>
      </c>
      <c r="D433" t="s">
        <v>43</v>
      </c>
      <c r="E433" t="s">
        <v>35</v>
      </c>
      <c r="F433" t="s">
        <v>26</v>
      </c>
      <c r="G433" t="s">
        <v>45</v>
      </c>
      <c r="H433" s="1">
        <v>44993.043356481481</v>
      </c>
      <c r="I433" s="1">
        <v>44994.043356481481</v>
      </c>
      <c r="J433" s="1">
        <v>44993.044745370367</v>
      </c>
      <c r="K433" s="2">
        <v>44993.044184525461</v>
      </c>
      <c r="L433" t="s">
        <v>28</v>
      </c>
      <c r="M433" s="2">
        <v>44993.538012141202</v>
      </c>
      <c r="N433" t="s">
        <v>28</v>
      </c>
      <c r="O433" s="2">
        <v>44999.516809305554</v>
      </c>
      <c r="P433">
        <v>5</v>
      </c>
      <c r="Q433">
        <v>4</v>
      </c>
      <c r="R433" t="s">
        <v>29</v>
      </c>
      <c r="S433" t="s">
        <v>30</v>
      </c>
      <c r="T433" t="s">
        <v>65</v>
      </c>
      <c r="U433">
        <v>46.149166399999999</v>
      </c>
      <c r="V433">
        <v>14.9860106</v>
      </c>
      <c r="W433" t="str">
        <f t="shared" si="42"/>
        <v>ok</v>
      </c>
      <c r="X433" t="str">
        <f t="shared" si="47"/>
        <v>ok</v>
      </c>
      <c r="Y433" t="str">
        <f t="shared" si="43"/>
        <v>ok</v>
      </c>
      <c r="Z433" t="str">
        <f t="shared" si="44"/>
        <v>ok</v>
      </c>
      <c r="AA433" s="4" t="str">
        <f t="shared" si="45"/>
        <v>ok</v>
      </c>
      <c r="AB433" s="4" t="str">
        <f t="shared" si="46"/>
        <v>ok</v>
      </c>
      <c r="AC433" s="6">
        <f t="shared" si="48"/>
        <v>11.871735833294224</v>
      </c>
    </row>
    <row r="434" spans="1:29" x14ac:dyDescent="0.3">
      <c r="A434" t="s">
        <v>22</v>
      </c>
      <c r="B434">
        <v>1538</v>
      </c>
      <c r="C434" t="s">
        <v>33</v>
      </c>
      <c r="D434" t="s">
        <v>24</v>
      </c>
      <c r="E434" t="s">
        <v>35</v>
      </c>
      <c r="F434" t="s">
        <v>26</v>
      </c>
      <c r="G434" t="s">
        <v>60</v>
      </c>
      <c r="H434" s="1">
        <v>44993.416990740741</v>
      </c>
      <c r="I434" s="1">
        <v>44995.416990740741</v>
      </c>
      <c r="J434" s="1">
        <v>44993.458657407406</v>
      </c>
      <c r="K434" s="2">
        <v>44993.418061909724</v>
      </c>
      <c r="L434" t="s">
        <v>28</v>
      </c>
      <c r="M434" s="2">
        <v>44994.764955983796</v>
      </c>
      <c r="N434" t="s">
        <v>28</v>
      </c>
      <c r="O434" s="2">
        <v>44998.28144953704</v>
      </c>
      <c r="P434">
        <v>1</v>
      </c>
      <c r="Q434">
        <v>5</v>
      </c>
      <c r="R434" t="s">
        <v>55</v>
      </c>
      <c r="S434" t="s">
        <v>30</v>
      </c>
      <c r="T434" t="s">
        <v>41</v>
      </c>
      <c r="U434">
        <v>43.036776000000003</v>
      </c>
      <c r="V434">
        <v>12.678565000000001</v>
      </c>
      <c r="W434" t="str">
        <f t="shared" si="42"/>
        <v>ok</v>
      </c>
      <c r="X434" t="str">
        <f t="shared" si="47"/>
        <v>ok</v>
      </c>
      <c r="Y434" t="str">
        <f t="shared" si="43"/>
        <v>ok</v>
      </c>
      <c r="Z434" t="str">
        <f t="shared" si="44"/>
        <v>ok</v>
      </c>
      <c r="AA434" s="4" t="str">
        <f t="shared" si="45"/>
        <v>ok</v>
      </c>
      <c r="AB434" s="4" t="str">
        <f t="shared" si="46"/>
        <v>ok</v>
      </c>
      <c r="AC434" s="6">
        <f t="shared" si="48"/>
        <v>32.351165833300911</v>
      </c>
    </row>
    <row r="435" spans="1:29" x14ac:dyDescent="0.3">
      <c r="A435" t="s">
        <v>42</v>
      </c>
      <c r="B435">
        <v>1539</v>
      </c>
      <c r="C435" t="s">
        <v>23</v>
      </c>
      <c r="D435" t="s">
        <v>24</v>
      </c>
      <c r="E435" t="s">
        <v>59</v>
      </c>
      <c r="F435" t="s">
        <v>36</v>
      </c>
      <c r="G435" t="s">
        <v>64</v>
      </c>
      <c r="H435" s="1">
        <v>44993.79420138889</v>
      </c>
      <c r="I435" s="1">
        <v>44995.79420138889</v>
      </c>
      <c r="J435" s="1">
        <v>44993.835868055554</v>
      </c>
      <c r="K435" s="2">
        <v>44993.803888009257</v>
      </c>
      <c r="L435" t="s">
        <v>28</v>
      </c>
      <c r="M435" s="2">
        <v>44993.97773929398</v>
      </c>
      <c r="N435" t="s">
        <v>28</v>
      </c>
      <c r="P435">
        <v>10</v>
      </c>
      <c r="R435" t="s">
        <v>50</v>
      </c>
      <c r="S435" t="s">
        <v>40</v>
      </c>
      <c r="T435" t="s">
        <v>57</v>
      </c>
      <c r="U435">
        <v>51.165691000000002</v>
      </c>
      <c r="V435">
        <v>10.451525999999999</v>
      </c>
      <c r="W435" t="str">
        <f t="shared" si="42"/>
        <v>ok</v>
      </c>
      <c r="X435" t="str">
        <f t="shared" si="47"/>
        <v>ok</v>
      </c>
      <c r="Y435" t="str">
        <f t="shared" si="43"/>
        <v>ok</v>
      </c>
      <c r="Z435" t="str">
        <f t="shared" si="44"/>
        <v>ok</v>
      </c>
      <c r="AA435" s="4" t="str">
        <f t="shared" si="45"/>
        <v>ok</v>
      </c>
      <c r="AB435" s="4" t="str">
        <f t="shared" si="46"/>
        <v>ok</v>
      </c>
      <c r="AC435" s="6">
        <f t="shared" si="48"/>
        <v>4.404909722157754</v>
      </c>
    </row>
    <row r="436" spans="1:29" x14ac:dyDescent="0.3">
      <c r="A436" t="s">
        <v>22</v>
      </c>
      <c r="B436">
        <v>1540</v>
      </c>
      <c r="C436" t="s">
        <v>23</v>
      </c>
      <c r="D436" t="s">
        <v>24</v>
      </c>
      <c r="E436" t="s">
        <v>59</v>
      </c>
      <c r="F436" t="s">
        <v>36</v>
      </c>
      <c r="G436" t="s">
        <v>64</v>
      </c>
      <c r="H436" s="1">
        <v>44993.109548611108</v>
      </c>
      <c r="I436" s="1">
        <v>44995.109548611108</v>
      </c>
      <c r="J436" s="1">
        <v>44993.15121527778</v>
      </c>
      <c r="K436" s="2">
        <v>44993.113521851854</v>
      </c>
      <c r="L436" t="s">
        <v>28</v>
      </c>
      <c r="M436" s="2">
        <v>44994.381489328705</v>
      </c>
      <c r="N436" t="s">
        <v>28</v>
      </c>
      <c r="O436" s="2">
        <v>45000.301381319441</v>
      </c>
      <c r="P436">
        <v>4</v>
      </c>
      <c r="Q436">
        <v>3</v>
      </c>
      <c r="R436" t="s">
        <v>55</v>
      </c>
      <c r="S436" t="s">
        <v>40</v>
      </c>
      <c r="T436" t="s">
        <v>57</v>
      </c>
      <c r="U436">
        <v>51.165691000000002</v>
      </c>
      <c r="V436">
        <v>10.451525999999999</v>
      </c>
      <c r="W436" t="str">
        <f t="shared" si="42"/>
        <v>ok</v>
      </c>
      <c r="X436" t="str">
        <f t="shared" si="47"/>
        <v>ok</v>
      </c>
      <c r="Y436" t="str">
        <f t="shared" si="43"/>
        <v>ok</v>
      </c>
      <c r="Z436" t="str">
        <f t="shared" si="44"/>
        <v>ok</v>
      </c>
      <c r="AA436" s="4" t="str">
        <f t="shared" si="45"/>
        <v>ok</v>
      </c>
      <c r="AB436" s="4" t="str">
        <f t="shared" si="46"/>
        <v>ok</v>
      </c>
      <c r="AC436" s="6">
        <f t="shared" si="48"/>
        <v>30.526577222335618</v>
      </c>
    </row>
    <row r="437" spans="1:29" x14ac:dyDescent="0.3">
      <c r="A437" t="s">
        <v>42</v>
      </c>
      <c r="B437">
        <v>1541</v>
      </c>
      <c r="C437" t="s">
        <v>47</v>
      </c>
      <c r="D437" t="s">
        <v>43</v>
      </c>
      <c r="E437" t="s">
        <v>35</v>
      </c>
      <c r="F437" t="s">
        <v>26</v>
      </c>
      <c r="G437" t="s">
        <v>27</v>
      </c>
      <c r="H437" s="1">
        <v>44993.830381944441</v>
      </c>
      <c r="I437" s="1">
        <v>44994.830381944441</v>
      </c>
      <c r="J437" s="1">
        <v>44993.831770833334</v>
      </c>
      <c r="K437" s="2">
        <v>44993.830699791666</v>
      </c>
      <c r="L437" t="s">
        <v>28</v>
      </c>
      <c r="M437" s="2">
        <v>44993.93448275463</v>
      </c>
      <c r="N437" t="s">
        <v>28</v>
      </c>
      <c r="P437">
        <v>60</v>
      </c>
      <c r="R437" t="s">
        <v>50</v>
      </c>
      <c r="S437" t="s">
        <v>30</v>
      </c>
      <c r="T437" t="s">
        <v>63</v>
      </c>
      <c r="U437">
        <v>55.378051999999997</v>
      </c>
      <c r="V437">
        <v>-3.4359730000000002</v>
      </c>
      <c r="W437" t="str">
        <f t="shared" si="42"/>
        <v>ok</v>
      </c>
      <c r="X437" t="str">
        <f t="shared" si="47"/>
        <v>ok</v>
      </c>
      <c r="Y437" t="str">
        <f t="shared" si="43"/>
        <v>ok</v>
      </c>
      <c r="Z437" t="str">
        <f t="shared" si="44"/>
        <v>ok</v>
      </c>
      <c r="AA437" s="4" t="str">
        <f t="shared" si="45"/>
        <v>ok</v>
      </c>
      <c r="AB437" s="4" t="str">
        <f t="shared" si="46"/>
        <v>ok</v>
      </c>
      <c r="AC437" s="6">
        <f t="shared" si="48"/>
        <v>2.4984194445423782</v>
      </c>
    </row>
    <row r="438" spans="1:29" x14ac:dyDescent="0.3">
      <c r="A438" t="s">
        <v>22</v>
      </c>
      <c r="B438">
        <v>1542</v>
      </c>
      <c r="C438" t="s">
        <v>23</v>
      </c>
      <c r="D438" t="s">
        <v>43</v>
      </c>
      <c r="E438" t="s">
        <v>35</v>
      </c>
      <c r="F438" t="s">
        <v>26</v>
      </c>
      <c r="G438" t="s">
        <v>49</v>
      </c>
      <c r="H438" s="1">
        <v>44993.284328703703</v>
      </c>
      <c r="I438" s="1">
        <v>44994.284328703703</v>
      </c>
      <c r="J438" s="1">
        <v>44993.285717592589</v>
      </c>
      <c r="K438" s="2">
        <v>44993.286354456017</v>
      </c>
      <c r="L438" t="s">
        <v>38</v>
      </c>
      <c r="M438" s="2">
        <v>44996.12886326389</v>
      </c>
      <c r="N438" t="s">
        <v>38</v>
      </c>
      <c r="O438" s="2">
        <v>44996.217289953704</v>
      </c>
      <c r="P438">
        <v>6</v>
      </c>
      <c r="Q438">
        <v>4</v>
      </c>
      <c r="R438" t="s">
        <v>50</v>
      </c>
      <c r="S438" t="s">
        <v>30</v>
      </c>
      <c r="T438" t="s">
        <v>63</v>
      </c>
      <c r="U438">
        <v>55.378051999999997</v>
      </c>
      <c r="V438">
        <v>-3.4359730000000002</v>
      </c>
      <c r="W438" t="str">
        <f t="shared" si="42"/>
        <v>ok</v>
      </c>
      <c r="X438" t="str">
        <f t="shared" si="47"/>
        <v>ok</v>
      </c>
      <c r="Y438" t="str">
        <f t="shared" si="43"/>
        <v>ok</v>
      </c>
      <c r="Z438" t="str">
        <f t="shared" si="44"/>
        <v>ok</v>
      </c>
      <c r="AA438" s="4" t="str">
        <f t="shared" si="45"/>
        <v>ok</v>
      </c>
      <c r="AB438" s="4" t="str">
        <f t="shared" si="46"/>
        <v>ok</v>
      </c>
      <c r="AC438" s="6">
        <f t="shared" si="48"/>
        <v>68.268829444481526</v>
      </c>
    </row>
    <row r="439" spans="1:29" x14ac:dyDescent="0.3">
      <c r="A439" t="s">
        <v>22</v>
      </c>
      <c r="B439">
        <v>1543</v>
      </c>
      <c r="C439" t="s">
        <v>47</v>
      </c>
      <c r="D439" t="s">
        <v>43</v>
      </c>
      <c r="E439" t="s">
        <v>48</v>
      </c>
      <c r="F439" t="s">
        <v>26</v>
      </c>
      <c r="G439" t="s">
        <v>45</v>
      </c>
      <c r="H439" s="1">
        <v>44993.786921296298</v>
      </c>
      <c r="I439" s="1">
        <v>44994.786921296298</v>
      </c>
      <c r="J439" s="1">
        <v>44993.788310185184</v>
      </c>
      <c r="K439" s="2">
        <v>44993.788122268517</v>
      </c>
      <c r="L439" t="s">
        <v>28</v>
      </c>
      <c r="M439" s="2">
        <v>44995.63784372685</v>
      </c>
      <c r="N439" t="s">
        <v>38</v>
      </c>
      <c r="O439" s="2">
        <v>44996.93134072917</v>
      </c>
      <c r="P439">
        <v>9</v>
      </c>
      <c r="Q439">
        <v>4</v>
      </c>
      <c r="R439" t="s">
        <v>55</v>
      </c>
      <c r="S439" t="s">
        <v>30</v>
      </c>
      <c r="T439" t="s">
        <v>56</v>
      </c>
      <c r="U439">
        <v>52.536273000000001</v>
      </c>
      <c r="V439">
        <v>19.050639</v>
      </c>
      <c r="W439" t="str">
        <f t="shared" si="42"/>
        <v>ok</v>
      </c>
      <c r="X439" t="str">
        <f t="shared" si="47"/>
        <v>ok</v>
      </c>
      <c r="Y439" t="str">
        <f t="shared" si="43"/>
        <v>ok</v>
      </c>
      <c r="Z439" t="str">
        <f t="shared" si="44"/>
        <v>ok</v>
      </c>
      <c r="AA439" s="4" t="str">
        <f t="shared" si="45"/>
        <v>ok</v>
      </c>
      <c r="AB439" s="4" t="str">
        <f t="shared" si="46"/>
        <v>ok</v>
      </c>
      <c r="AC439" s="6">
        <f t="shared" si="48"/>
        <v>44.42213833326241</v>
      </c>
    </row>
    <row r="440" spans="1:29" x14ac:dyDescent="0.3">
      <c r="A440" t="s">
        <v>22</v>
      </c>
      <c r="B440">
        <v>1544</v>
      </c>
      <c r="C440" t="s">
        <v>23</v>
      </c>
      <c r="D440" t="s">
        <v>43</v>
      </c>
      <c r="E440" t="s">
        <v>35</v>
      </c>
      <c r="F440" t="s">
        <v>26</v>
      </c>
      <c r="G440" t="s">
        <v>49</v>
      </c>
      <c r="H440" s="1">
        <v>44993.875694444447</v>
      </c>
      <c r="I440" s="1">
        <v>44994.875694444447</v>
      </c>
      <c r="J440" s="1">
        <v>44993.877083333333</v>
      </c>
      <c r="K440" s="2">
        <v>44993.876486157409</v>
      </c>
      <c r="L440" t="s">
        <v>28</v>
      </c>
      <c r="M440" s="2">
        <v>44994.478022766205</v>
      </c>
      <c r="N440" t="s">
        <v>28</v>
      </c>
      <c r="O440" s="2">
        <v>44997.096860405094</v>
      </c>
      <c r="P440">
        <v>6</v>
      </c>
      <c r="Q440">
        <v>4</v>
      </c>
      <c r="R440" t="s">
        <v>29</v>
      </c>
      <c r="S440" t="s">
        <v>30</v>
      </c>
      <c r="T440" t="s">
        <v>66</v>
      </c>
      <c r="U440">
        <v>48.864716000000001</v>
      </c>
      <c r="V440">
        <v>2.3490139999999999</v>
      </c>
      <c r="W440" t="str">
        <f t="shared" si="42"/>
        <v>ok</v>
      </c>
      <c r="X440" t="str">
        <f t="shared" si="47"/>
        <v>ok</v>
      </c>
      <c r="Y440" t="str">
        <f t="shared" si="43"/>
        <v>ok</v>
      </c>
      <c r="Z440" t="str">
        <f t="shared" si="44"/>
        <v>ok</v>
      </c>
      <c r="AA440" s="4" t="str">
        <f t="shared" si="45"/>
        <v>ok</v>
      </c>
      <c r="AB440" s="4" t="str">
        <f t="shared" si="46"/>
        <v>ok</v>
      </c>
      <c r="AC440" s="6">
        <f t="shared" si="48"/>
        <v>14.455879722198006</v>
      </c>
    </row>
    <row r="441" spans="1:29" x14ac:dyDescent="0.3">
      <c r="A441" t="s">
        <v>32</v>
      </c>
      <c r="B441">
        <v>1545</v>
      </c>
      <c r="C441" t="s">
        <v>23</v>
      </c>
      <c r="D441" t="s">
        <v>43</v>
      </c>
      <c r="E441" t="s">
        <v>25</v>
      </c>
      <c r="F441" t="s">
        <v>26</v>
      </c>
      <c r="G441" t="s">
        <v>45</v>
      </c>
      <c r="H441" s="1">
        <v>44993.808807870373</v>
      </c>
      <c r="I441" s="1">
        <v>44994.808807870373</v>
      </c>
      <c r="J441" s="1">
        <v>44993.810196759259</v>
      </c>
      <c r="K441" s="2">
        <v>44993.812864039355</v>
      </c>
      <c r="L441" t="s">
        <v>38</v>
      </c>
      <c r="N441" t="s">
        <v>38</v>
      </c>
      <c r="P441">
        <v>6</v>
      </c>
      <c r="R441" t="s">
        <v>29</v>
      </c>
      <c r="S441" t="s">
        <v>30</v>
      </c>
      <c r="T441" t="s">
        <v>61</v>
      </c>
      <c r="U441">
        <v>42.724992499999999</v>
      </c>
      <c r="V441">
        <v>25.483303899999999</v>
      </c>
      <c r="W441" t="str">
        <f t="shared" si="42"/>
        <v>ok</v>
      </c>
      <c r="X441" t="str">
        <f t="shared" si="47"/>
        <v>ok</v>
      </c>
      <c r="Y441" t="str">
        <f t="shared" si="43"/>
        <v>ok</v>
      </c>
      <c r="Z441" t="str">
        <f t="shared" si="44"/>
        <v>ok</v>
      </c>
      <c r="AA441" s="4" t="str">
        <f t="shared" si="45"/>
        <v>ok</v>
      </c>
      <c r="AB441" s="4" t="str">
        <f t="shared" si="46"/>
        <v>no resolution</v>
      </c>
      <c r="AC441" s="6" t="str">
        <f t="shared" si="48"/>
        <v/>
      </c>
    </row>
    <row r="442" spans="1:29" x14ac:dyDescent="0.3">
      <c r="A442" t="s">
        <v>32</v>
      </c>
      <c r="B442">
        <v>1546</v>
      </c>
      <c r="C442" t="s">
        <v>47</v>
      </c>
      <c r="D442" t="s">
        <v>43</v>
      </c>
      <c r="E442" t="s">
        <v>39</v>
      </c>
      <c r="F442" t="s">
        <v>36</v>
      </c>
      <c r="G442" t="s">
        <v>64</v>
      </c>
      <c r="H442" s="1">
        <v>44993.051678240743</v>
      </c>
      <c r="I442" s="1">
        <v>44994.051678240743</v>
      </c>
      <c r="J442" s="1">
        <v>44993.053067129629</v>
      </c>
      <c r="K442" s="2">
        <v>44993.052881585645</v>
      </c>
      <c r="L442" t="s">
        <v>28</v>
      </c>
      <c r="N442" t="s">
        <v>38</v>
      </c>
      <c r="P442">
        <v>4</v>
      </c>
      <c r="R442" t="s">
        <v>29</v>
      </c>
      <c r="S442" t="s">
        <v>40</v>
      </c>
      <c r="T442" t="s">
        <v>41</v>
      </c>
      <c r="U442">
        <v>43.036776000000003</v>
      </c>
      <c r="V442">
        <v>12.678565000000001</v>
      </c>
      <c r="W442" t="str">
        <f t="shared" si="42"/>
        <v>ok</v>
      </c>
      <c r="X442" t="str">
        <f t="shared" si="47"/>
        <v>ok</v>
      </c>
      <c r="Y442" t="str">
        <f t="shared" si="43"/>
        <v>ok</v>
      </c>
      <c r="Z442" t="str">
        <f t="shared" si="44"/>
        <v>ok</v>
      </c>
      <c r="AA442" s="4" t="str">
        <f t="shared" si="45"/>
        <v>ok</v>
      </c>
      <c r="AB442" s="4" t="str">
        <f t="shared" si="46"/>
        <v>no resolution</v>
      </c>
      <c r="AC442" s="6" t="str">
        <f t="shared" si="48"/>
        <v/>
      </c>
    </row>
    <row r="443" spans="1:29" x14ac:dyDescent="0.3">
      <c r="A443" t="s">
        <v>42</v>
      </c>
      <c r="B443">
        <v>1547</v>
      </c>
      <c r="C443" t="s">
        <v>23</v>
      </c>
      <c r="D443" t="s">
        <v>24</v>
      </c>
      <c r="E443" t="s">
        <v>39</v>
      </c>
      <c r="F443" t="s">
        <v>36</v>
      </c>
      <c r="G443" t="s">
        <v>37</v>
      </c>
      <c r="H443" s="1">
        <v>44993.674212962964</v>
      </c>
      <c r="I443" s="1">
        <v>44995.674212962964</v>
      </c>
      <c r="J443" s="1">
        <v>44993.715879629628</v>
      </c>
      <c r="K443" s="2">
        <v>44993.709507847219</v>
      </c>
      <c r="L443" t="s">
        <v>28</v>
      </c>
      <c r="M443" s="2">
        <v>44995.255312789355</v>
      </c>
      <c r="N443" t="s">
        <v>28</v>
      </c>
      <c r="P443">
        <v>3</v>
      </c>
      <c r="R443" t="s">
        <v>50</v>
      </c>
      <c r="S443" t="s">
        <v>40</v>
      </c>
      <c r="T443" t="s">
        <v>46</v>
      </c>
      <c r="U443">
        <v>47.696471899999999</v>
      </c>
      <c r="V443">
        <v>13.3457347</v>
      </c>
      <c r="W443" t="str">
        <f t="shared" si="42"/>
        <v>ok</v>
      </c>
      <c r="X443" t="str">
        <f t="shared" si="47"/>
        <v>ok</v>
      </c>
      <c r="Y443" t="str">
        <f t="shared" si="43"/>
        <v>ok</v>
      </c>
      <c r="Z443" t="str">
        <f t="shared" si="44"/>
        <v>ok</v>
      </c>
      <c r="AA443" s="4" t="str">
        <f t="shared" si="45"/>
        <v>ok</v>
      </c>
      <c r="AB443" s="4" t="str">
        <f t="shared" si="46"/>
        <v>ok</v>
      </c>
      <c r="AC443" s="6">
        <f t="shared" si="48"/>
        <v>37.94639583339449</v>
      </c>
    </row>
    <row r="444" spans="1:29" x14ac:dyDescent="0.3">
      <c r="A444" t="s">
        <v>22</v>
      </c>
      <c r="B444">
        <v>1548</v>
      </c>
      <c r="C444" t="s">
        <v>47</v>
      </c>
      <c r="D444" t="s">
        <v>24</v>
      </c>
      <c r="E444" t="s">
        <v>39</v>
      </c>
      <c r="F444" t="s">
        <v>26</v>
      </c>
      <c r="G444" t="s">
        <v>60</v>
      </c>
      <c r="H444" s="1">
        <v>44993.324374999997</v>
      </c>
      <c r="I444" s="1">
        <v>44995.324374999997</v>
      </c>
      <c r="J444" s="1">
        <v>44993.366041666668</v>
      </c>
      <c r="K444" s="2">
        <v>44993.64376496528</v>
      </c>
      <c r="L444" t="s">
        <v>38</v>
      </c>
      <c r="M444" s="2">
        <v>44994.714944282408</v>
      </c>
      <c r="N444" t="s">
        <v>28</v>
      </c>
      <c r="O444" s="2">
        <v>45000.844590740744</v>
      </c>
      <c r="P444">
        <v>4</v>
      </c>
      <c r="Q444">
        <v>2</v>
      </c>
      <c r="R444" t="s">
        <v>55</v>
      </c>
      <c r="S444" t="s">
        <v>30</v>
      </c>
      <c r="T444" t="s">
        <v>41</v>
      </c>
      <c r="U444">
        <v>43.036776000000003</v>
      </c>
      <c r="V444">
        <v>12.678565000000001</v>
      </c>
      <c r="W444" t="str">
        <f t="shared" si="42"/>
        <v>ok</v>
      </c>
      <c r="X444" t="str">
        <f t="shared" si="47"/>
        <v>ok</v>
      </c>
      <c r="Y444" t="str">
        <f t="shared" si="43"/>
        <v>ok</v>
      </c>
      <c r="Z444" t="str">
        <f t="shared" si="44"/>
        <v>ok</v>
      </c>
      <c r="AA444" s="4" t="str">
        <f t="shared" si="45"/>
        <v>ok</v>
      </c>
      <c r="AB444" s="4" t="str">
        <f t="shared" si="46"/>
        <v>ok</v>
      </c>
      <c r="AC444" s="6">
        <f t="shared" si="48"/>
        <v>33.373662777885329</v>
      </c>
    </row>
    <row r="445" spans="1:29" x14ac:dyDescent="0.3">
      <c r="A445" t="s">
        <v>32</v>
      </c>
      <c r="B445">
        <v>1549</v>
      </c>
      <c r="C445" t="s">
        <v>23</v>
      </c>
      <c r="D445" t="s">
        <v>43</v>
      </c>
      <c r="E445" t="s">
        <v>44</v>
      </c>
      <c r="F445" t="s">
        <v>26</v>
      </c>
      <c r="G445" t="s">
        <v>52</v>
      </c>
      <c r="H445" s="1">
        <v>44993.807326388887</v>
      </c>
      <c r="I445" s="1">
        <v>44994.807326388887</v>
      </c>
      <c r="J445" s="1">
        <v>44993.808715277781</v>
      </c>
      <c r="K445" s="2">
        <v>44993.807443645834</v>
      </c>
      <c r="L445" t="s">
        <v>28</v>
      </c>
      <c r="N445" t="s">
        <v>38</v>
      </c>
      <c r="P445">
        <v>9</v>
      </c>
      <c r="R445" t="s">
        <v>55</v>
      </c>
      <c r="S445" t="s">
        <v>30</v>
      </c>
      <c r="T445" t="s">
        <v>31</v>
      </c>
      <c r="U445">
        <v>53.094023999999997</v>
      </c>
      <c r="V445">
        <v>-8.0196749999999994</v>
      </c>
      <c r="W445" t="str">
        <f t="shared" si="42"/>
        <v>ok</v>
      </c>
      <c r="X445" t="str">
        <f t="shared" si="47"/>
        <v>ok</v>
      </c>
      <c r="Y445" t="str">
        <f t="shared" si="43"/>
        <v>ok</v>
      </c>
      <c r="Z445" t="str">
        <f t="shared" si="44"/>
        <v>ok</v>
      </c>
      <c r="AA445" s="4" t="str">
        <f t="shared" si="45"/>
        <v>ok</v>
      </c>
      <c r="AB445" s="4" t="str">
        <f t="shared" si="46"/>
        <v>no resolution</v>
      </c>
      <c r="AC445" s="6" t="str">
        <f t="shared" si="48"/>
        <v/>
      </c>
    </row>
    <row r="446" spans="1:29" x14ac:dyDescent="0.3">
      <c r="A446" t="s">
        <v>42</v>
      </c>
      <c r="B446">
        <v>1550</v>
      </c>
      <c r="C446" t="s">
        <v>23</v>
      </c>
      <c r="D446" t="s">
        <v>43</v>
      </c>
      <c r="E446" t="s">
        <v>25</v>
      </c>
      <c r="F446" t="s">
        <v>26</v>
      </c>
      <c r="G446" t="s">
        <v>45</v>
      </c>
      <c r="H446" s="1">
        <v>44994.313252314816</v>
      </c>
      <c r="I446" s="1">
        <v>44995.313252314816</v>
      </c>
      <c r="J446" s="1">
        <v>44994.314641203702</v>
      </c>
      <c r="K446" s="2">
        <v>44994.313737256947</v>
      </c>
      <c r="L446" t="s">
        <v>28</v>
      </c>
      <c r="M446" s="2">
        <v>44994.765713981484</v>
      </c>
      <c r="N446" t="s">
        <v>28</v>
      </c>
      <c r="P446">
        <v>5</v>
      </c>
      <c r="R446" t="s">
        <v>50</v>
      </c>
      <c r="S446" t="s">
        <v>30</v>
      </c>
      <c r="T446" t="s">
        <v>56</v>
      </c>
      <c r="U446">
        <v>52.536273000000001</v>
      </c>
      <c r="V446">
        <v>19.050639</v>
      </c>
      <c r="W446" t="str">
        <f t="shared" si="42"/>
        <v>ok</v>
      </c>
      <c r="X446" t="str">
        <f t="shared" si="47"/>
        <v>ok</v>
      </c>
      <c r="Y446" t="str">
        <f t="shared" si="43"/>
        <v>ok</v>
      </c>
      <c r="Z446" t="str">
        <f t="shared" si="44"/>
        <v>ok</v>
      </c>
      <c r="AA446" s="4" t="str">
        <f t="shared" si="45"/>
        <v>ok</v>
      </c>
      <c r="AB446" s="4" t="str">
        <f t="shared" si="46"/>
        <v>ok</v>
      </c>
      <c r="AC446" s="6">
        <f t="shared" si="48"/>
        <v>10.859080000023823</v>
      </c>
    </row>
    <row r="447" spans="1:29" x14ac:dyDescent="0.3">
      <c r="A447" t="s">
        <v>22</v>
      </c>
      <c r="B447">
        <v>1551</v>
      </c>
      <c r="C447" t="s">
        <v>33</v>
      </c>
      <c r="D447" t="s">
        <v>24</v>
      </c>
      <c r="E447" t="s">
        <v>48</v>
      </c>
      <c r="F447" t="s">
        <v>26</v>
      </c>
      <c r="G447" t="s">
        <v>27</v>
      </c>
      <c r="H447" s="1">
        <v>44994.775891203702</v>
      </c>
      <c r="I447" s="1">
        <v>44996.775891203702</v>
      </c>
      <c r="J447" s="1">
        <v>44994.817557870374</v>
      </c>
      <c r="K447" s="2">
        <v>44994.78480400463</v>
      </c>
      <c r="L447" t="s">
        <v>28</v>
      </c>
      <c r="M447" s="2">
        <v>44995.772108969904</v>
      </c>
      <c r="N447" t="s">
        <v>28</v>
      </c>
      <c r="O447" s="2">
        <v>45000.19385945602</v>
      </c>
      <c r="P447">
        <v>3</v>
      </c>
      <c r="Q447">
        <v>4</v>
      </c>
      <c r="R447" t="s">
        <v>39</v>
      </c>
      <c r="S447" t="s">
        <v>30</v>
      </c>
      <c r="T447" t="s">
        <v>61</v>
      </c>
      <c r="U447">
        <v>42.724992499999999</v>
      </c>
      <c r="V447">
        <v>25.483303899999999</v>
      </c>
      <c r="W447" t="str">
        <f t="shared" si="42"/>
        <v>ok</v>
      </c>
      <c r="X447" t="str">
        <f t="shared" si="47"/>
        <v>ok</v>
      </c>
      <c r="Y447" t="str">
        <f t="shared" si="43"/>
        <v>ok</v>
      </c>
      <c r="Z447" t="str">
        <f t="shared" si="44"/>
        <v>ok</v>
      </c>
      <c r="AA447" s="4" t="str">
        <f t="shared" si="45"/>
        <v>ok</v>
      </c>
      <c r="AB447" s="4" t="str">
        <f t="shared" si="46"/>
        <v>ok</v>
      </c>
      <c r="AC447" s="6">
        <f t="shared" si="48"/>
        <v>23.909226388845127</v>
      </c>
    </row>
    <row r="448" spans="1:29" x14ac:dyDescent="0.3">
      <c r="A448" t="s">
        <v>22</v>
      </c>
      <c r="B448">
        <v>1552</v>
      </c>
      <c r="C448" t="s">
        <v>23</v>
      </c>
      <c r="D448" t="s">
        <v>24</v>
      </c>
      <c r="E448" t="s">
        <v>48</v>
      </c>
      <c r="F448" t="s">
        <v>26</v>
      </c>
      <c r="G448" t="s">
        <v>60</v>
      </c>
      <c r="H448" s="1">
        <v>44994.225416666668</v>
      </c>
      <c r="I448" s="1">
        <v>44996.225416666668</v>
      </c>
      <c r="J448" s="1">
        <v>44994.267083333332</v>
      </c>
      <c r="K448" s="2">
        <v>44994.255053032408</v>
      </c>
      <c r="L448" t="s">
        <v>28</v>
      </c>
      <c r="M448" s="2">
        <v>44995.798513229165</v>
      </c>
      <c r="N448" t="s">
        <v>28</v>
      </c>
      <c r="O448" s="2">
        <v>44995.709133715274</v>
      </c>
      <c r="P448">
        <v>2</v>
      </c>
      <c r="Q448">
        <v>1</v>
      </c>
      <c r="R448" t="s">
        <v>29</v>
      </c>
      <c r="S448" t="s">
        <v>30</v>
      </c>
      <c r="T448" t="s">
        <v>46</v>
      </c>
      <c r="U448">
        <v>47.696471899999999</v>
      </c>
      <c r="V448">
        <v>13.3457347</v>
      </c>
      <c r="W448" t="str">
        <f t="shared" si="42"/>
        <v>ok</v>
      </c>
      <c r="X448" t="str">
        <f t="shared" si="47"/>
        <v>ok</v>
      </c>
      <c r="Y448" t="str">
        <f t="shared" si="43"/>
        <v>check</v>
      </c>
      <c r="Z448" t="str">
        <f t="shared" si="44"/>
        <v>ok</v>
      </c>
      <c r="AA448" s="4" t="str">
        <f t="shared" si="45"/>
        <v>ok</v>
      </c>
      <c r="AB448" s="4" t="str">
        <f t="shared" si="46"/>
        <v>ok</v>
      </c>
      <c r="AC448" s="6">
        <f t="shared" si="48"/>
        <v>37.754317499930039</v>
      </c>
    </row>
    <row r="449" spans="1:29" x14ac:dyDescent="0.3">
      <c r="A449" t="s">
        <v>32</v>
      </c>
      <c r="B449">
        <v>1553</v>
      </c>
      <c r="C449" t="s">
        <v>47</v>
      </c>
      <c r="D449" t="s">
        <v>24</v>
      </c>
      <c r="E449" t="s">
        <v>25</v>
      </c>
      <c r="F449" t="s">
        <v>26</v>
      </c>
      <c r="G449" t="s">
        <v>49</v>
      </c>
      <c r="H449" s="1">
        <v>44994.953240740739</v>
      </c>
      <c r="I449" s="1">
        <v>44996.953240740739</v>
      </c>
      <c r="J449" s="1">
        <v>44994.99490740741</v>
      </c>
      <c r="K449" s="2">
        <v>44994.953918113424</v>
      </c>
      <c r="L449" t="s">
        <v>28</v>
      </c>
      <c r="N449" t="s">
        <v>38</v>
      </c>
      <c r="P449">
        <v>2</v>
      </c>
      <c r="R449" t="s">
        <v>50</v>
      </c>
      <c r="S449" t="s">
        <v>30</v>
      </c>
      <c r="T449" t="s">
        <v>41</v>
      </c>
      <c r="U449">
        <v>43.036776000000003</v>
      </c>
      <c r="V449">
        <v>12.678565000000001</v>
      </c>
      <c r="W449" t="str">
        <f t="shared" si="42"/>
        <v>ok</v>
      </c>
      <c r="X449" t="str">
        <f t="shared" si="47"/>
        <v>ok</v>
      </c>
      <c r="Y449" t="str">
        <f t="shared" si="43"/>
        <v>ok</v>
      </c>
      <c r="Z449" t="str">
        <f t="shared" si="44"/>
        <v>ok</v>
      </c>
      <c r="AA449" s="4" t="str">
        <f t="shared" si="45"/>
        <v>ok</v>
      </c>
      <c r="AB449" s="4" t="str">
        <f t="shared" si="46"/>
        <v>no resolution</v>
      </c>
      <c r="AC449" s="6" t="str">
        <f t="shared" si="48"/>
        <v/>
      </c>
    </row>
    <row r="450" spans="1:29" x14ac:dyDescent="0.3">
      <c r="A450" t="s">
        <v>22</v>
      </c>
      <c r="B450">
        <v>1556</v>
      </c>
      <c r="C450" t="s">
        <v>33</v>
      </c>
      <c r="D450" t="s">
        <v>24</v>
      </c>
      <c r="E450" t="s">
        <v>35</v>
      </c>
      <c r="F450" t="s">
        <v>26</v>
      </c>
      <c r="G450" t="s">
        <v>45</v>
      </c>
      <c r="H450" s="1">
        <v>44994.839537037034</v>
      </c>
      <c r="I450" s="1">
        <v>44996.839537037034</v>
      </c>
      <c r="J450" s="1">
        <v>44994.881203703706</v>
      </c>
      <c r="K450" s="2">
        <v>44994.852050335649</v>
      </c>
      <c r="L450" t="s">
        <v>28</v>
      </c>
      <c r="M450" s="2">
        <v>44995.745562569442</v>
      </c>
      <c r="N450" t="s">
        <v>28</v>
      </c>
      <c r="O450" s="2">
        <v>44996.287738240739</v>
      </c>
      <c r="P450">
        <v>3</v>
      </c>
      <c r="Q450">
        <v>3</v>
      </c>
      <c r="R450" t="s">
        <v>39</v>
      </c>
      <c r="S450" t="s">
        <v>30</v>
      </c>
      <c r="T450" t="s">
        <v>63</v>
      </c>
      <c r="U450">
        <v>55.378051999999997</v>
      </c>
      <c r="V450">
        <v>-3.4359730000000002</v>
      </c>
      <c r="W450" t="str">
        <f t="shared" ref="W450:W513" si="49">IF(K450&lt;H450,"check","ok")</f>
        <v>ok</v>
      </c>
      <c r="X450" t="str">
        <f t="shared" si="47"/>
        <v>ok</v>
      </c>
      <c r="Y450" t="str">
        <f t="shared" ref="Y450:Y513" si="50">IF(AND(M450&lt;&gt;"",O450&lt;&gt;"",O450&lt;M450),"check","ok")</f>
        <v>ok</v>
      </c>
      <c r="Z450" t="str">
        <f t="shared" ref="Z450:Z513" si="51">IF(AND(OR(CA450="Closed",A450="Resolved"),M450=""),"check","ok")</f>
        <v>ok</v>
      </c>
      <c r="AA450" s="4" t="str">
        <f t="shared" ref="AA450:AA513" si="52">IF(K450="","no response",IF(OR(AND(K450&lt;=J450,L450="Within SLA"),AND(K450&gt;J450,L450="SLA Violated")),"ok","check"))</f>
        <v>ok</v>
      </c>
      <c r="AB450" s="4" t="str">
        <f t="shared" ref="AB450:AB513" si="53">IF(M450="","no resolution",IF(OR(AND(M450&lt;=I450,N450="Within SLA"),AND(M450&gt;I450,N450="SLA Violated")),"ok","check"))</f>
        <v>ok</v>
      </c>
      <c r="AC450" s="6">
        <f t="shared" si="48"/>
        <v>21.744612777780276</v>
      </c>
    </row>
    <row r="451" spans="1:29" x14ac:dyDescent="0.3">
      <c r="A451" t="s">
        <v>42</v>
      </c>
      <c r="B451">
        <v>1557</v>
      </c>
      <c r="C451" t="s">
        <v>47</v>
      </c>
      <c r="D451" t="s">
        <v>24</v>
      </c>
      <c r="E451" t="s">
        <v>48</v>
      </c>
      <c r="F451" t="s">
        <v>26</v>
      </c>
      <c r="G451" t="s">
        <v>52</v>
      </c>
      <c r="H451" s="1">
        <v>44994.077407407407</v>
      </c>
      <c r="I451" s="1">
        <v>44996.077407407407</v>
      </c>
      <c r="J451" s="1">
        <v>44994.119074074071</v>
      </c>
      <c r="K451" s="2">
        <v>44994.097943136578</v>
      </c>
      <c r="L451" t="s">
        <v>28</v>
      </c>
      <c r="M451" s="2">
        <v>44996.038263761577</v>
      </c>
      <c r="N451" t="s">
        <v>28</v>
      </c>
      <c r="P451">
        <v>3</v>
      </c>
      <c r="R451" t="s">
        <v>55</v>
      </c>
      <c r="S451" t="s">
        <v>30</v>
      </c>
      <c r="T451" t="s">
        <v>31</v>
      </c>
      <c r="U451">
        <v>53.094023999999997</v>
      </c>
      <c r="V451">
        <v>-8.0196749999999994</v>
      </c>
      <c r="W451" t="str">
        <f t="shared" si="49"/>
        <v>ok</v>
      </c>
      <c r="X451" t="str">
        <f t="shared" ref="X451:X514" si="54">IF(AND(M451&lt;&gt;"",M451&lt;H451),"check","ok")</f>
        <v>ok</v>
      </c>
      <c r="Y451" t="str">
        <f t="shared" si="50"/>
        <v>ok</v>
      </c>
      <c r="Z451" t="str">
        <f t="shared" si="51"/>
        <v>ok</v>
      </c>
      <c r="AA451" s="4" t="str">
        <f t="shared" si="52"/>
        <v>ok</v>
      </c>
      <c r="AB451" s="4" t="str">
        <f t="shared" si="53"/>
        <v>ok</v>
      </c>
      <c r="AC451" s="6">
        <f t="shared" si="48"/>
        <v>47.060552500071935</v>
      </c>
    </row>
    <row r="452" spans="1:29" x14ac:dyDescent="0.3">
      <c r="A452" t="s">
        <v>22</v>
      </c>
      <c r="B452">
        <v>1560</v>
      </c>
      <c r="C452" t="s">
        <v>33</v>
      </c>
      <c r="D452" t="s">
        <v>24</v>
      </c>
      <c r="E452" t="s">
        <v>25</v>
      </c>
      <c r="F452" t="s">
        <v>36</v>
      </c>
      <c r="G452" t="s">
        <v>54</v>
      </c>
      <c r="H452" s="1">
        <v>44995.173043981478</v>
      </c>
      <c r="I452" s="1">
        <v>44997.173043981478</v>
      </c>
      <c r="J452" s="1">
        <v>44995.21471064815</v>
      </c>
      <c r="K452" s="2">
        <v>44995.190409016206</v>
      </c>
      <c r="L452" t="s">
        <v>28</v>
      </c>
      <c r="M452" s="2">
        <v>44996.654599236113</v>
      </c>
      <c r="N452" t="s">
        <v>28</v>
      </c>
      <c r="O452" s="2">
        <v>44998.650827754631</v>
      </c>
      <c r="P452">
        <v>2</v>
      </c>
      <c r="Q452">
        <v>3</v>
      </c>
      <c r="R452" t="s">
        <v>50</v>
      </c>
      <c r="S452" t="s">
        <v>40</v>
      </c>
      <c r="T452" t="s">
        <v>46</v>
      </c>
      <c r="U452">
        <v>47.696471899999999</v>
      </c>
      <c r="V452">
        <v>13.3457347</v>
      </c>
      <c r="W452" t="str">
        <f t="shared" si="49"/>
        <v>ok</v>
      </c>
      <c r="X452" t="str">
        <f t="shared" si="54"/>
        <v>ok</v>
      </c>
      <c r="Y452" t="str">
        <f t="shared" si="50"/>
        <v>ok</v>
      </c>
      <c r="Z452" t="str">
        <f t="shared" si="51"/>
        <v>ok</v>
      </c>
      <c r="AA452" s="4" t="str">
        <f t="shared" si="52"/>
        <v>ok</v>
      </c>
      <c r="AB452" s="4" t="str">
        <f t="shared" si="53"/>
        <v>ok</v>
      </c>
      <c r="AC452" s="6">
        <f t="shared" si="48"/>
        <v>35.557326111244038</v>
      </c>
    </row>
    <row r="453" spans="1:29" x14ac:dyDescent="0.3">
      <c r="A453" t="s">
        <v>22</v>
      </c>
      <c r="B453">
        <v>1561</v>
      </c>
      <c r="C453" t="s">
        <v>23</v>
      </c>
      <c r="D453" t="s">
        <v>43</v>
      </c>
      <c r="E453" t="s">
        <v>25</v>
      </c>
      <c r="F453" t="s">
        <v>36</v>
      </c>
      <c r="G453" t="s">
        <v>37</v>
      </c>
      <c r="H453" s="1">
        <v>44995.736944444441</v>
      </c>
      <c r="I453" s="1">
        <v>44996.736944444441</v>
      </c>
      <c r="J453" s="1">
        <v>44995.738333333335</v>
      </c>
      <c r="K453" s="2">
        <v>44995.738182175926</v>
      </c>
      <c r="L453" t="s">
        <v>28</v>
      </c>
      <c r="M453" s="2">
        <v>44996.133958229169</v>
      </c>
      <c r="N453" t="s">
        <v>28</v>
      </c>
      <c r="O453" s="2">
        <v>44996.768104895833</v>
      </c>
      <c r="P453">
        <v>6</v>
      </c>
      <c r="Q453">
        <v>3</v>
      </c>
      <c r="R453" t="s">
        <v>39</v>
      </c>
      <c r="S453" t="s">
        <v>40</v>
      </c>
      <c r="T453" t="s">
        <v>63</v>
      </c>
      <c r="U453">
        <v>55.378051999999997</v>
      </c>
      <c r="V453">
        <v>-3.4359730000000002</v>
      </c>
      <c r="W453" t="str">
        <f t="shared" si="49"/>
        <v>ok</v>
      </c>
      <c r="X453" t="str">
        <f t="shared" si="54"/>
        <v>ok</v>
      </c>
      <c r="Y453" t="str">
        <f t="shared" si="50"/>
        <v>ok</v>
      </c>
      <c r="Z453" t="str">
        <f t="shared" si="51"/>
        <v>ok</v>
      </c>
      <c r="AA453" s="4" t="str">
        <f t="shared" si="52"/>
        <v>ok</v>
      </c>
      <c r="AB453" s="4" t="str">
        <f t="shared" si="53"/>
        <v>ok</v>
      </c>
      <c r="AC453" s="6">
        <f t="shared" si="48"/>
        <v>9.5283308334765024</v>
      </c>
    </row>
    <row r="454" spans="1:29" x14ac:dyDescent="0.3">
      <c r="A454" t="s">
        <v>32</v>
      </c>
      <c r="B454">
        <v>1562</v>
      </c>
      <c r="C454" t="s">
        <v>23</v>
      </c>
      <c r="D454" t="s">
        <v>24</v>
      </c>
      <c r="E454" t="s">
        <v>25</v>
      </c>
      <c r="F454" t="s">
        <v>36</v>
      </c>
      <c r="G454" t="s">
        <v>37</v>
      </c>
      <c r="H454" s="1">
        <v>44995.022743055553</v>
      </c>
      <c r="I454" s="1">
        <v>44997.022743055553</v>
      </c>
      <c r="J454" s="1">
        <v>44995.064409722225</v>
      </c>
      <c r="K454" s="2">
        <v>44995.05080391204</v>
      </c>
      <c r="L454" t="s">
        <v>28</v>
      </c>
      <c r="N454" t="s">
        <v>38</v>
      </c>
      <c r="P454">
        <v>2</v>
      </c>
      <c r="R454" t="s">
        <v>39</v>
      </c>
      <c r="S454" t="s">
        <v>40</v>
      </c>
      <c r="T454" t="s">
        <v>63</v>
      </c>
      <c r="U454">
        <v>55.378051999999997</v>
      </c>
      <c r="V454">
        <v>-3.4359730000000002</v>
      </c>
      <c r="W454" t="str">
        <f t="shared" si="49"/>
        <v>ok</v>
      </c>
      <c r="X454" t="str">
        <f t="shared" si="54"/>
        <v>ok</v>
      </c>
      <c r="Y454" t="str">
        <f t="shared" si="50"/>
        <v>ok</v>
      </c>
      <c r="Z454" t="str">
        <f t="shared" si="51"/>
        <v>ok</v>
      </c>
      <c r="AA454" s="4" t="str">
        <f t="shared" si="52"/>
        <v>ok</v>
      </c>
      <c r="AB454" s="4" t="str">
        <f t="shared" si="53"/>
        <v>no resolution</v>
      </c>
      <c r="AC454" s="6" t="str">
        <f t="shared" si="48"/>
        <v/>
      </c>
    </row>
    <row r="455" spans="1:29" x14ac:dyDescent="0.3">
      <c r="A455" t="s">
        <v>42</v>
      </c>
      <c r="B455">
        <v>1563</v>
      </c>
      <c r="C455" t="s">
        <v>23</v>
      </c>
      <c r="D455" t="s">
        <v>43</v>
      </c>
      <c r="E455" t="s">
        <v>25</v>
      </c>
      <c r="F455" t="s">
        <v>26</v>
      </c>
      <c r="G455" t="s">
        <v>52</v>
      </c>
      <c r="H455" s="1">
        <v>44995.030324074076</v>
      </c>
      <c r="I455" s="1">
        <v>44996.030324074076</v>
      </c>
      <c r="J455" s="1">
        <v>44995.031712962962</v>
      </c>
      <c r="K455" s="2">
        <v>44995.031454988428</v>
      </c>
      <c r="L455" t="s">
        <v>28</v>
      </c>
      <c r="M455" s="2">
        <v>44995.588695706021</v>
      </c>
      <c r="N455" t="s">
        <v>28</v>
      </c>
      <c r="P455">
        <v>3</v>
      </c>
      <c r="R455" t="s">
        <v>29</v>
      </c>
      <c r="S455" t="s">
        <v>30</v>
      </c>
      <c r="T455" t="s">
        <v>61</v>
      </c>
      <c r="U455">
        <v>42.724992499999999</v>
      </c>
      <c r="V455">
        <v>25.483303899999999</v>
      </c>
      <c r="W455" t="str">
        <f t="shared" si="49"/>
        <v>ok</v>
      </c>
      <c r="X455" t="str">
        <f t="shared" si="54"/>
        <v>ok</v>
      </c>
      <c r="Y455" t="str">
        <f t="shared" si="50"/>
        <v>ok</v>
      </c>
      <c r="Z455" t="str">
        <f t="shared" si="51"/>
        <v>ok</v>
      </c>
      <c r="AA455" s="4" t="str">
        <f t="shared" si="52"/>
        <v>ok</v>
      </c>
      <c r="AB455" s="4" t="str">
        <f t="shared" si="53"/>
        <v>ok</v>
      </c>
      <c r="AC455" s="6">
        <f t="shared" si="48"/>
        <v>13.400919166684616</v>
      </c>
    </row>
    <row r="456" spans="1:29" x14ac:dyDescent="0.3">
      <c r="A456" t="s">
        <v>22</v>
      </c>
      <c r="B456">
        <v>1565</v>
      </c>
      <c r="C456" t="s">
        <v>47</v>
      </c>
      <c r="D456" t="s">
        <v>24</v>
      </c>
      <c r="E456" t="s">
        <v>48</v>
      </c>
      <c r="F456" t="s">
        <v>26</v>
      </c>
      <c r="G456" t="s">
        <v>45</v>
      </c>
      <c r="H456" s="1">
        <v>44995.280706018515</v>
      </c>
      <c r="I456" s="1">
        <v>44997.280706018515</v>
      </c>
      <c r="J456" s="1">
        <v>44995.322372685187</v>
      </c>
      <c r="K456" s="2">
        <v>44995.319794722222</v>
      </c>
      <c r="L456" t="s">
        <v>28</v>
      </c>
      <c r="M456" s="2">
        <v>44995.938322951391</v>
      </c>
      <c r="N456" t="s">
        <v>28</v>
      </c>
      <c r="O456" s="2">
        <v>44998.567260752316</v>
      </c>
      <c r="P456">
        <v>8</v>
      </c>
      <c r="Q456">
        <v>3</v>
      </c>
      <c r="R456" t="s">
        <v>29</v>
      </c>
      <c r="S456" t="s">
        <v>30</v>
      </c>
      <c r="T456" t="s">
        <v>63</v>
      </c>
      <c r="U456">
        <v>55.378051999999997</v>
      </c>
      <c r="V456">
        <v>-3.4359730000000002</v>
      </c>
      <c r="W456" t="str">
        <f t="shared" si="49"/>
        <v>ok</v>
      </c>
      <c r="X456" t="str">
        <f t="shared" si="54"/>
        <v>ok</v>
      </c>
      <c r="Y456" t="str">
        <f t="shared" si="50"/>
        <v>ok</v>
      </c>
      <c r="Z456" t="str">
        <f t="shared" si="51"/>
        <v>ok</v>
      </c>
      <c r="AA456" s="4" t="str">
        <f t="shared" si="52"/>
        <v>ok</v>
      </c>
      <c r="AB456" s="4" t="str">
        <f t="shared" si="53"/>
        <v>ok</v>
      </c>
      <c r="AC456" s="6">
        <f t="shared" si="48"/>
        <v>15.782806389033794</v>
      </c>
    </row>
    <row r="457" spans="1:29" x14ac:dyDescent="0.3">
      <c r="A457" t="s">
        <v>32</v>
      </c>
      <c r="B457">
        <v>1567</v>
      </c>
      <c r="C457" t="s">
        <v>47</v>
      </c>
      <c r="D457" t="s">
        <v>24</v>
      </c>
      <c r="E457" t="s">
        <v>39</v>
      </c>
      <c r="F457" t="s">
        <v>26</v>
      </c>
      <c r="G457" t="s">
        <v>49</v>
      </c>
      <c r="H457" s="1">
        <v>44996.922881944447</v>
      </c>
      <c r="I457" s="1">
        <v>44998.922881944447</v>
      </c>
      <c r="J457" s="1">
        <v>44996.964548611111</v>
      </c>
      <c r="K457" s="2">
        <v>44996.942473888892</v>
      </c>
      <c r="L457" t="s">
        <v>28</v>
      </c>
      <c r="N457" t="s">
        <v>38</v>
      </c>
      <c r="P457">
        <v>3</v>
      </c>
      <c r="R457" t="s">
        <v>50</v>
      </c>
      <c r="S457" t="s">
        <v>30</v>
      </c>
      <c r="T457" t="s">
        <v>46</v>
      </c>
      <c r="U457">
        <v>47.696471899999999</v>
      </c>
      <c r="V457">
        <v>13.3457347</v>
      </c>
      <c r="W457" t="str">
        <f t="shared" si="49"/>
        <v>ok</v>
      </c>
      <c r="X457" t="str">
        <f t="shared" si="54"/>
        <v>ok</v>
      </c>
      <c r="Y457" t="str">
        <f t="shared" si="50"/>
        <v>ok</v>
      </c>
      <c r="Z457" t="str">
        <f t="shared" si="51"/>
        <v>ok</v>
      </c>
      <c r="AA457" s="4" t="str">
        <f t="shared" si="52"/>
        <v>ok</v>
      </c>
      <c r="AB457" s="4" t="str">
        <f t="shared" si="53"/>
        <v>no resolution</v>
      </c>
      <c r="AC457" s="6" t="str">
        <f t="shared" si="48"/>
        <v/>
      </c>
    </row>
    <row r="458" spans="1:29" x14ac:dyDescent="0.3">
      <c r="A458" t="s">
        <v>42</v>
      </c>
      <c r="B458">
        <v>1568</v>
      </c>
      <c r="C458" t="s">
        <v>47</v>
      </c>
      <c r="D458" t="s">
        <v>24</v>
      </c>
      <c r="E458" t="s">
        <v>35</v>
      </c>
      <c r="F458" t="s">
        <v>26</v>
      </c>
      <c r="G458" t="s">
        <v>52</v>
      </c>
      <c r="H458" s="1">
        <v>44996.190682870372</v>
      </c>
      <c r="I458" s="1">
        <v>44998.190682870372</v>
      </c>
      <c r="J458" s="1">
        <v>44996.232349537036</v>
      </c>
      <c r="K458" s="2">
        <v>44996.210003275461</v>
      </c>
      <c r="L458" t="s">
        <v>28</v>
      </c>
      <c r="M458" s="2">
        <v>44997.034108472224</v>
      </c>
      <c r="N458" t="s">
        <v>28</v>
      </c>
      <c r="P458">
        <v>4</v>
      </c>
      <c r="R458" t="s">
        <v>50</v>
      </c>
      <c r="S458" t="s">
        <v>30</v>
      </c>
      <c r="T458" t="s">
        <v>58</v>
      </c>
      <c r="U458">
        <v>49.8037633</v>
      </c>
      <c r="V458">
        <v>15.4749126</v>
      </c>
      <c r="W458" t="str">
        <f t="shared" si="49"/>
        <v>ok</v>
      </c>
      <c r="X458" t="str">
        <f t="shared" si="54"/>
        <v>ok</v>
      </c>
      <c r="Y458" t="str">
        <f t="shared" si="50"/>
        <v>ok</v>
      </c>
      <c r="Z458" t="str">
        <f t="shared" si="51"/>
        <v>ok</v>
      </c>
      <c r="AA458" s="4" t="str">
        <f t="shared" si="52"/>
        <v>ok</v>
      </c>
      <c r="AB458" s="4" t="str">
        <f t="shared" si="53"/>
        <v>ok</v>
      </c>
      <c r="AC458" s="6">
        <f t="shared" si="48"/>
        <v>20.242214444442652</v>
      </c>
    </row>
    <row r="459" spans="1:29" x14ac:dyDescent="0.3">
      <c r="A459" t="s">
        <v>42</v>
      </c>
      <c r="B459">
        <v>1573</v>
      </c>
      <c r="C459" t="s">
        <v>23</v>
      </c>
      <c r="D459" t="s">
        <v>24</v>
      </c>
      <c r="E459" t="s">
        <v>35</v>
      </c>
      <c r="F459" t="s">
        <v>36</v>
      </c>
      <c r="G459" t="s">
        <v>64</v>
      </c>
      <c r="H459" s="1">
        <v>44996.046273148146</v>
      </c>
      <c r="I459" s="1">
        <v>44998.046273148146</v>
      </c>
      <c r="J459" s="1">
        <v>44996.087939814817</v>
      </c>
      <c r="K459" s="2">
        <v>44996.076645763889</v>
      </c>
      <c r="L459" t="s">
        <v>28</v>
      </c>
      <c r="M459" s="2">
        <v>44997.037286597224</v>
      </c>
      <c r="N459" t="s">
        <v>28</v>
      </c>
      <c r="P459">
        <v>2</v>
      </c>
      <c r="R459" t="s">
        <v>50</v>
      </c>
      <c r="S459" t="s">
        <v>40</v>
      </c>
      <c r="T459" t="s">
        <v>63</v>
      </c>
      <c r="U459">
        <v>55.378051999999997</v>
      </c>
      <c r="V459">
        <v>-3.4359730000000002</v>
      </c>
      <c r="W459" t="str">
        <f t="shared" si="49"/>
        <v>ok</v>
      </c>
      <c r="X459" t="str">
        <f t="shared" si="54"/>
        <v>ok</v>
      </c>
      <c r="Y459" t="str">
        <f t="shared" si="50"/>
        <v>ok</v>
      </c>
      <c r="Z459" t="str">
        <f t="shared" si="51"/>
        <v>ok</v>
      </c>
      <c r="AA459" s="4" t="str">
        <f t="shared" si="52"/>
        <v>ok</v>
      </c>
      <c r="AB459" s="4" t="str">
        <f t="shared" si="53"/>
        <v>ok</v>
      </c>
      <c r="AC459" s="6">
        <f t="shared" si="48"/>
        <v>23.784322777879424</v>
      </c>
    </row>
    <row r="460" spans="1:29" x14ac:dyDescent="0.3">
      <c r="A460" t="s">
        <v>42</v>
      </c>
      <c r="B460">
        <v>1574</v>
      </c>
      <c r="C460" t="s">
        <v>47</v>
      </c>
      <c r="D460" t="s">
        <v>43</v>
      </c>
      <c r="E460" t="s">
        <v>39</v>
      </c>
      <c r="F460" t="s">
        <v>26</v>
      </c>
      <c r="G460" t="s">
        <v>60</v>
      </c>
      <c r="H460" s="1">
        <v>44996.649201388886</v>
      </c>
      <c r="I460" s="1">
        <v>44997.649201388886</v>
      </c>
      <c r="J460" s="1">
        <v>44996.650590277779</v>
      </c>
      <c r="K460" s="2">
        <v>44996.64946523148</v>
      </c>
      <c r="L460" t="s">
        <v>28</v>
      </c>
      <c r="M460" s="2">
        <v>44997.396608240742</v>
      </c>
      <c r="N460" t="s">
        <v>28</v>
      </c>
      <c r="P460">
        <v>6</v>
      </c>
      <c r="R460" t="s">
        <v>50</v>
      </c>
      <c r="S460" t="s">
        <v>30</v>
      </c>
      <c r="T460" t="s">
        <v>63</v>
      </c>
      <c r="U460">
        <v>55.378051999999997</v>
      </c>
      <c r="V460">
        <v>-3.4359730000000002</v>
      </c>
      <c r="W460" t="str">
        <f t="shared" si="49"/>
        <v>ok</v>
      </c>
      <c r="X460" t="str">
        <f t="shared" si="54"/>
        <v>ok</v>
      </c>
      <c r="Y460" t="str">
        <f t="shared" si="50"/>
        <v>ok</v>
      </c>
      <c r="Z460" t="str">
        <f t="shared" si="51"/>
        <v>ok</v>
      </c>
      <c r="AA460" s="4" t="str">
        <f t="shared" si="52"/>
        <v>ok</v>
      </c>
      <c r="AB460" s="4" t="str">
        <f t="shared" si="53"/>
        <v>ok</v>
      </c>
      <c r="AC460" s="6">
        <f t="shared" si="48"/>
        <v>17.937764444563072</v>
      </c>
    </row>
    <row r="461" spans="1:29" x14ac:dyDescent="0.3">
      <c r="A461" t="s">
        <v>42</v>
      </c>
      <c r="B461">
        <v>1575</v>
      </c>
      <c r="C461" t="s">
        <v>33</v>
      </c>
      <c r="D461" t="s">
        <v>24</v>
      </c>
      <c r="E461" t="s">
        <v>25</v>
      </c>
      <c r="F461" t="s">
        <v>26</v>
      </c>
      <c r="G461" t="s">
        <v>52</v>
      </c>
      <c r="H461" s="1">
        <v>44997.127789351849</v>
      </c>
      <c r="I461" s="1">
        <v>44999.127789351849</v>
      </c>
      <c r="J461" s="1">
        <v>44997.169456018521</v>
      </c>
      <c r="K461" s="2">
        <v>44997.146542106479</v>
      </c>
      <c r="L461" t="s">
        <v>28</v>
      </c>
      <c r="M461" s="2">
        <v>45000.98778635417</v>
      </c>
      <c r="N461" t="s">
        <v>38</v>
      </c>
      <c r="P461">
        <v>3</v>
      </c>
      <c r="R461" t="s">
        <v>29</v>
      </c>
      <c r="S461" t="s">
        <v>30</v>
      </c>
      <c r="T461" t="s">
        <v>41</v>
      </c>
      <c r="U461">
        <v>43.036776000000003</v>
      </c>
      <c r="V461">
        <v>12.678565000000001</v>
      </c>
      <c r="W461" t="str">
        <f t="shared" si="49"/>
        <v>ok</v>
      </c>
      <c r="X461" t="str">
        <f t="shared" si="54"/>
        <v>ok</v>
      </c>
      <c r="Y461" t="str">
        <f t="shared" si="50"/>
        <v>ok</v>
      </c>
      <c r="Z461" t="str">
        <f t="shared" si="51"/>
        <v>ok</v>
      </c>
      <c r="AA461" s="4" t="str">
        <f t="shared" si="52"/>
        <v>ok</v>
      </c>
      <c r="AB461" s="4" t="str">
        <f t="shared" si="53"/>
        <v>ok</v>
      </c>
      <c r="AC461" s="6">
        <f t="shared" si="48"/>
        <v>92.639928055694327</v>
      </c>
    </row>
    <row r="462" spans="1:29" x14ac:dyDescent="0.3">
      <c r="A462" t="s">
        <v>42</v>
      </c>
      <c r="B462">
        <v>1576</v>
      </c>
      <c r="C462" t="s">
        <v>23</v>
      </c>
      <c r="D462" t="s">
        <v>24</v>
      </c>
      <c r="E462" t="s">
        <v>44</v>
      </c>
      <c r="F462" t="s">
        <v>36</v>
      </c>
      <c r="G462" t="s">
        <v>54</v>
      </c>
      <c r="H462" s="1">
        <v>44997.04173611111</v>
      </c>
      <c r="I462" s="1">
        <v>44999.04173611111</v>
      </c>
      <c r="J462" s="1">
        <v>44997.083402777775</v>
      </c>
      <c r="K462" s="2">
        <v>44997.073789513888</v>
      </c>
      <c r="L462" t="s">
        <v>28</v>
      </c>
      <c r="M462" s="2">
        <v>44997.228796990741</v>
      </c>
      <c r="N462" t="s">
        <v>28</v>
      </c>
      <c r="P462">
        <v>2</v>
      </c>
      <c r="R462" t="s">
        <v>50</v>
      </c>
      <c r="S462" t="s">
        <v>40</v>
      </c>
      <c r="T462" t="s">
        <v>46</v>
      </c>
      <c r="U462">
        <v>47.696471899999999</v>
      </c>
      <c r="V462">
        <v>13.3457347</v>
      </c>
      <c r="W462" t="str">
        <f t="shared" si="49"/>
        <v>ok</v>
      </c>
      <c r="X462" t="str">
        <f t="shared" si="54"/>
        <v>ok</v>
      </c>
      <c r="Y462" t="str">
        <f t="shared" si="50"/>
        <v>ok</v>
      </c>
      <c r="Z462" t="str">
        <f t="shared" si="51"/>
        <v>ok</v>
      </c>
      <c r="AA462" s="4" t="str">
        <f t="shared" si="52"/>
        <v>ok</v>
      </c>
      <c r="AB462" s="4" t="str">
        <f t="shared" si="53"/>
        <v>ok</v>
      </c>
      <c r="AC462" s="6">
        <f t="shared" si="48"/>
        <v>4.4894611111376435</v>
      </c>
    </row>
    <row r="463" spans="1:29" x14ac:dyDescent="0.3">
      <c r="A463" t="s">
        <v>22</v>
      </c>
      <c r="B463">
        <v>1577</v>
      </c>
      <c r="C463" t="s">
        <v>47</v>
      </c>
      <c r="D463" t="s">
        <v>24</v>
      </c>
      <c r="E463" t="s">
        <v>59</v>
      </c>
      <c r="F463" t="s">
        <v>26</v>
      </c>
      <c r="G463" t="s">
        <v>49</v>
      </c>
      <c r="H463" s="1">
        <v>44997.800567129627</v>
      </c>
      <c r="I463" s="1">
        <v>44999.800567129627</v>
      </c>
      <c r="J463" s="1">
        <v>44997.842233796298</v>
      </c>
      <c r="K463" s="2">
        <v>44997.825501481479</v>
      </c>
      <c r="L463" t="s">
        <v>28</v>
      </c>
      <c r="M463" s="2">
        <v>44998.151597222219</v>
      </c>
      <c r="N463" t="s">
        <v>28</v>
      </c>
      <c r="O463" s="2">
        <v>45003.325294930553</v>
      </c>
      <c r="P463">
        <v>8</v>
      </c>
      <c r="Q463">
        <v>3</v>
      </c>
      <c r="R463" t="s">
        <v>50</v>
      </c>
      <c r="S463" t="s">
        <v>30</v>
      </c>
      <c r="T463" t="s">
        <v>63</v>
      </c>
      <c r="U463">
        <v>55.378051999999997</v>
      </c>
      <c r="V463">
        <v>-3.4359730000000002</v>
      </c>
      <c r="W463" t="str">
        <f t="shared" si="49"/>
        <v>ok</v>
      </c>
      <c r="X463" t="str">
        <f t="shared" si="54"/>
        <v>ok</v>
      </c>
      <c r="Y463" t="str">
        <f t="shared" si="50"/>
        <v>ok</v>
      </c>
      <c r="Z463" t="str">
        <f t="shared" si="51"/>
        <v>ok</v>
      </c>
      <c r="AA463" s="4" t="str">
        <f t="shared" si="52"/>
        <v>ok</v>
      </c>
      <c r="AB463" s="4" t="str">
        <f t="shared" si="53"/>
        <v>ok</v>
      </c>
      <c r="AC463" s="6">
        <f t="shared" si="48"/>
        <v>8.4247222222038545</v>
      </c>
    </row>
    <row r="464" spans="1:29" x14ac:dyDescent="0.3">
      <c r="A464" t="s">
        <v>22</v>
      </c>
      <c r="B464">
        <v>1581</v>
      </c>
      <c r="C464" t="s">
        <v>23</v>
      </c>
      <c r="D464" t="s">
        <v>24</v>
      </c>
      <c r="E464" t="s">
        <v>59</v>
      </c>
      <c r="F464" t="s">
        <v>36</v>
      </c>
      <c r="G464" t="s">
        <v>54</v>
      </c>
      <c r="H464" s="1">
        <v>44998.665578703702</v>
      </c>
      <c r="I464" s="1">
        <v>45000.665578703702</v>
      </c>
      <c r="J464" s="1">
        <v>44998.707245370373</v>
      </c>
      <c r="K464" s="2">
        <v>44998.679937962967</v>
      </c>
      <c r="L464" t="s">
        <v>28</v>
      </c>
      <c r="M464" s="2">
        <v>44999.966300081018</v>
      </c>
      <c r="N464" t="s">
        <v>28</v>
      </c>
      <c r="O464" s="2">
        <v>45001.65596611111</v>
      </c>
      <c r="P464">
        <v>6</v>
      </c>
      <c r="Q464">
        <v>4</v>
      </c>
      <c r="R464" t="s">
        <v>50</v>
      </c>
      <c r="S464" t="s">
        <v>40</v>
      </c>
      <c r="T464" t="s">
        <v>61</v>
      </c>
      <c r="U464">
        <v>42.724992499999999</v>
      </c>
      <c r="V464">
        <v>25.483303899999999</v>
      </c>
      <c r="W464" t="str">
        <f t="shared" si="49"/>
        <v>ok</v>
      </c>
      <c r="X464" t="str">
        <f t="shared" si="54"/>
        <v>ok</v>
      </c>
      <c r="Y464" t="str">
        <f t="shared" si="50"/>
        <v>ok</v>
      </c>
      <c r="Z464" t="str">
        <f t="shared" si="51"/>
        <v>ok</v>
      </c>
      <c r="AA464" s="4" t="str">
        <f t="shared" si="52"/>
        <v>ok</v>
      </c>
      <c r="AB464" s="4" t="str">
        <f t="shared" si="53"/>
        <v>ok</v>
      </c>
      <c r="AC464" s="6">
        <f t="shared" si="48"/>
        <v>31.217313055589329</v>
      </c>
    </row>
    <row r="465" spans="1:29" x14ac:dyDescent="0.3">
      <c r="A465" t="s">
        <v>42</v>
      </c>
      <c r="B465">
        <v>1582</v>
      </c>
      <c r="C465" t="s">
        <v>23</v>
      </c>
      <c r="D465" t="s">
        <v>34</v>
      </c>
      <c r="E465" t="s">
        <v>44</v>
      </c>
      <c r="F465" t="s">
        <v>26</v>
      </c>
      <c r="G465" t="s">
        <v>60</v>
      </c>
      <c r="H465" s="1">
        <v>44998.46199074074</v>
      </c>
      <c r="I465" s="1">
        <v>45000.46199074074</v>
      </c>
      <c r="J465" s="1">
        <v>44998.463379629633</v>
      </c>
      <c r="K465" s="2">
        <v>44998.462145358797</v>
      </c>
      <c r="L465" t="s">
        <v>28</v>
      </c>
      <c r="M465" s="2">
        <v>45000.398690127317</v>
      </c>
      <c r="N465" t="s">
        <v>28</v>
      </c>
      <c r="P465">
        <v>3</v>
      </c>
      <c r="R465" t="s">
        <v>50</v>
      </c>
      <c r="S465" t="s">
        <v>30</v>
      </c>
      <c r="T465" t="s">
        <v>56</v>
      </c>
      <c r="U465">
        <v>52.536273000000001</v>
      </c>
      <c r="V465">
        <v>19.050639</v>
      </c>
      <c r="W465" t="str">
        <f t="shared" si="49"/>
        <v>ok</v>
      </c>
      <c r="X465" t="str">
        <f t="shared" si="54"/>
        <v>ok</v>
      </c>
      <c r="Y465" t="str">
        <f t="shared" si="50"/>
        <v>ok</v>
      </c>
      <c r="Z465" t="str">
        <f t="shared" si="51"/>
        <v>ok</v>
      </c>
      <c r="AA465" s="4" t="str">
        <f t="shared" si="52"/>
        <v>ok</v>
      </c>
      <c r="AB465" s="4" t="str">
        <f t="shared" si="53"/>
        <v>ok</v>
      </c>
      <c r="AC465" s="6">
        <f t="shared" si="48"/>
        <v>46.480785277846735</v>
      </c>
    </row>
    <row r="466" spans="1:29" x14ac:dyDescent="0.3">
      <c r="A466" t="s">
        <v>22</v>
      </c>
      <c r="B466">
        <v>1583</v>
      </c>
      <c r="C466" t="s">
        <v>47</v>
      </c>
      <c r="D466" t="s">
        <v>43</v>
      </c>
      <c r="E466" t="s">
        <v>62</v>
      </c>
      <c r="F466" t="s">
        <v>26</v>
      </c>
      <c r="G466" t="s">
        <v>27</v>
      </c>
      <c r="H466" s="1">
        <v>44998.231689814813</v>
      </c>
      <c r="I466" s="1">
        <v>44999.231689814813</v>
      </c>
      <c r="J466" s="1">
        <v>44998.233078703706</v>
      </c>
      <c r="K466" s="2">
        <v>44998.232644317133</v>
      </c>
      <c r="L466" t="s">
        <v>28</v>
      </c>
      <c r="M466" s="2">
        <v>44999.001019525465</v>
      </c>
      <c r="N466" t="s">
        <v>28</v>
      </c>
      <c r="O466" s="2">
        <v>45002.289978425928</v>
      </c>
      <c r="P466">
        <v>3</v>
      </c>
      <c r="Q466">
        <v>5</v>
      </c>
      <c r="R466" t="s">
        <v>55</v>
      </c>
      <c r="S466" t="s">
        <v>30</v>
      </c>
      <c r="T466" t="s">
        <v>56</v>
      </c>
      <c r="U466">
        <v>52.536273000000001</v>
      </c>
      <c r="V466">
        <v>19.050639</v>
      </c>
      <c r="W466" t="str">
        <f t="shared" si="49"/>
        <v>ok</v>
      </c>
      <c r="X466" t="str">
        <f t="shared" si="54"/>
        <v>ok</v>
      </c>
      <c r="Y466" t="str">
        <f t="shared" si="50"/>
        <v>ok</v>
      </c>
      <c r="Z466" t="str">
        <f t="shared" si="51"/>
        <v>ok</v>
      </c>
      <c r="AA466" s="4" t="str">
        <f t="shared" si="52"/>
        <v>ok</v>
      </c>
      <c r="AB466" s="4" t="str">
        <f t="shared" si="53"/>
        <v>ok</v>
      </c>
      <c r="AC466" s="6">
        <f t="shared" si="48"/>
        <v>18.463913055660669</v>
      </c>
    </row>
    <row r="467" spans="1:29" x14ac:dyDescent="0.3">
      <c r="A467" t="s">
        <v>32</v>
      </c>
      <c r="B467">
        <v>1584</v>
      </c>
      <c r="C467" t="s">
        <v>23</v>
      </c>
      <c r="D467" t="s">
        <v>43</v>
      </c>
      <c r="E467" t="s">
        <v>25</v>
      </c>
      <c r="F467" t="s">
        <v>26</v>
      </c>
      <c r="G467" t="s">
        <v>49</v>
      </c>
      <c r="H467" s="1">
        <v>44998.555312500001</v>
      </c>
      <c r="I467" s="1">
        <v>44999.555312500001</v>
      </c>
      <c r="J467" s="1">
        <v>44998.556701388887</v>
      </c>
      <c r="K467" s="2">
        <v>44998.55589210648</v>
      </c>
      <c r="L467" t="s">
        <v>28</v>
      </c>
      <c r="N467" t="s">
        <v>38</v>
      </c>
      <c r="P467">
        <v>9</v>
      </c>
      <c r="R467" t="s">
        <v>39</v>
      </c>
      <c r="S467" t="s">
        <v>30</v>
      </c>
      <c r="T467" t="s">
        <v>63</v>
      </c>
      <c r="U467">
        <v>55.378051999999997</v>
      </c>
      <c r="V467">
        <v>-3.4359730000000002</v>
      </c>
      <c r="W467" t="str">
        <f t="shared" si="49"/>
        <v>ok</v>
      </c>
      <c r="X467" t="str">
        <f t="shared" si="54"/>
        <v>ok</v>
      </c>
      <c r="Y467" t="str">
        <f t="shared" si="50"/>
        <v>ok</v>
      </c>
      <c r="Z467" t="str">
        <f t="shared" si="51"/>
        <v>ok</v>
      </c>
      <c r="AA467" s="4" t="str">
        <f t="shared" si="52"/>
        <v>ok</v>
      </c>
      <c r="AB467" s="4" t="str">
        <f t="shared" si="53"/>
        <v>no resolution</v>
      </c>
      <c r="AC467" s="6" t="str">
        <f t="shared" si="48"/>
        <v/>
      </c>
    </row>
    <row r="468" spans="1:29" x14ac:dyDescent="0.3">
      <c r="A468" t="s">
        <v>22</v>
      </c>
      <c r="B468">
        <v>1585</v>
      </c>
      <c r="C468" t="s">
        <v>23</v>
      </c>
      <c r="D468" t="s">
        <v>24</v>
      </c>
      <c r="E468" t="s">
        <v>35</v>
      </c>
      <c r="F468" t="s">
        <v>36</v>
      </c>
      <c r="G468" t="s">
        <v>54</v>
      </c>
      <c r="H468" s="1">
        <v>44998.900636574072</v>
      </c>
      <c r="I468" s="1">
        <v>45000.900636574072</v>
      </c>
      <c r="J468" s="1">
        <v>44998.942303240743</v>
      </c>
      <c r="K468" s="2">
        <v>44998.938826782411</v>
      </c>
      <c r="L468" t="s">
        <v>28</v>
      </c>
      <c r="M468" s="2">
        <v>44999.797732210645</v>
      </c>
      <c r="N468" t="s">
        <v>28</v>
      </c>
      <c r="O468" s="2">
        <v>45001.680756400463</v>
      </c>
      <c r="P468">
        <v>6</v>
      </c>
      <c r="Q468">
        <v>2</v>
      </c>
      <c r="R468" t="s">
        <v>55</v>
      </c>
      <c r="S468" t="s">
        <v>40</v>
      </c>
      <c r="T468" t="s">
        <v>65</v>
      </c>
      <c r="U468">
        <v>46.149166399999999</v>
      </c>
      <c r="V468">
        <v>14.9860106</v>
      </c>
      <c r="W468" t="str">
        <f t="shared" si="49"/>
        <v>ok</v>
      </c>
      <c r="X468" t="str">
        <f t="shared" si="54"/>
        <v>ok</v>
      </c>
      <c r="Y468" t="str">
        <f t="shared" si="50"/>
        <v>ok</v>
      </c>
      <c r="Z468" t="str">
        <f t="shared" si="51"/>
        <v>ok</v>
      </c>
      <c r="AA468" s="4" t="str">
        <f t="shared" si="52"/>
        <v>ok</v>
      </c>
      <c r="AB468" s="4" t="str">
        <f t="shared" si="53"/>
        <v>ok</v>
      </c>
      <c r="AC468" s="6">
        <f t="shared" si="48"/>
        <v>21.530295277771074</v>
      </c>
    </row>
    <row r="469" spans="1:29" x14ac:dyDescent="0.3">
      <c r="A469" t="s">
        <v>68</v>
      </c>
      <c r="B469">
        <v>1586</v>
      </c>
      <c r="C469" t="s">
        <v>47</v>
      </c>
      <c r="D469" t="s">
        <v>24</v>
      </c>
      <c r="E469" t="s">
        <v>35</v>
      </c>
      <c r="F469" t="s">
        <v>26</v>
      </c>
      <c r="G469" t="s">
        <v>60</v>
      </c>
      <c r="H469" s="1">
        <v>44998.708831018521</v>
      </c>
      <c r="I469" s="1">
        <v>45000.708831018521</v>
      </c>
      <c r="J469" s="1">
        <v>44998.750497685185</v>
      </c>
      <c r="L469" t="s">
        <v>38</v>
      </c>
      <c r="N469" t="s">
        <v>38</v>
      </c>
      <c r="R469" t="s">
        <v>50</v>
      </c>
      <c r="S469" t="s">
        <v>30</v>
      </c>
      <c r="T469" t="s">
        <v>53</v>
      </c>
      <c r="U469">
        <v>39.368279000000001</v>
      </c>
      <c r="V469">
        <v>21.863140999999999</v>
      </c>
      <c r="W469" t="str">
        <f t="shared" si="49"/>
        <v>check</v>
      </c>
      <c r="X469" t="str">
        <f t="shared" si="54"/>
        <v>ok</v>
      </c>
      <c r="Y469" t="str">
        <f t="shared" si="50"/>
        <v>ok</v>
      </c>
      <c r="Z469" t="str">
        <f t="shared" si="51"/>
        <v>ok</v>
      </c>
      <c r="AA469" s="4" t="str">
        <f t="shared" si="52"/>
        <v>no response</v>
      </c>
      <c r="AB469" s="4" t="str">
        <f t="shared" si="53"/>
        <v>no resolution</v>
      </c>
      <c r="AC469" s="6" t="str">
        <f t="shared" si="48"/>
        <v/>
      </c>
    </row>
    <row r="470" spans="1:29" x14ac:dyDescent="0.3">
      <c r="A470" t="s">
        <v>22</v>
      </c>
      <c r="B470">
        <v>1587</v>
      </c>
      <c r="C470" t="s">
        <v>47</v>
      </c>
      <c r="D470" t="s">
        <v>24</v>
      </c>
      <c r="E470" t="s">
        <v>48</v>
      </c>
      <c r="F470" t="s">
        <v>26</v>
      </c>
      <c r="G470" t="s">
        <v>49</v>
      </c>
      <c r="H470" s="1">
        <v>44998.347986111112</v>
      </c>
      <c r="I470" s="1">
        <v>45000.347986111112</v>
      </c>
      <c r="J470" s="1">
        <v>44998.389652777776</v>
      </c>
      <c r="K470" s="2">
        <v>44998.378306458333</v>
      </c>
      <c r="L470" t="s">
        <v>28</v>
      </c>
      <c r="M470" s="2">
        <v>44998.506774363428</v>
      </c>
      <c r="N470" t="s">
        <v>28</v>
      </c>
      <c r="O470" s="2">
        <v>45000.640772141203</v>
      </c>
      <c r="P470">
        <v>8</v>
      </c>
      <c r="Q470">
        <v>3</v>
      </c>
      <c r="R470" t="s">
        <v>39</v>
      </c>
      <c r="S470" t="s">
        <v>30</v>
      </c>
      <c r="T470" t="s">
        <v>63</v>
      </c>
      <c r="U470">
        <v>55.378051999999997</v>
      </c>
      <c r="V470">
        <v>-3.4359730000000002</v>
      </c>
      <c r="W470" t="str">
        <f t="shared" si="49"/>
        <v>ok</v>
      </c>
      <c r="X470" t="str">
        <f t="shared" si="54"/>
        <v>ok</v>
      </c>
      <c r="Y470" t="str">
        <f t="shared" si="50"/>
        <v>ok</v>
      </c>
      <c r="Z470" t="str">
        <f t="shared" si="51"/>
        <v>ok</v>
      </c>
      <c r="AA470" s="4" t="str">
        <f t="shared" si="52"/>
        <v>ok</v>
      </c>
      <c r="AB470" s="4" t="str">
        <f t="shared" si="53"/>
        <v>ok</v>
      </c>
      <c r="AC470" s="6">
        <f t="shared" ref="AC470:AC533" si="55">IF(M470="","",(M470-H470)*24)</f>
        <v>3.8109180555911735</v>
      </c>
    </row>
    <row r="471" spans="1:29" x14ac:dyDescent="0.3">
      <c r="A471" t="s">
        <v>42</v>
      </c>
      <c r="B471">
        <v>1588</v>
      </c>
      <c r="C471" t="s">
        <v>23</v>
      </c>
      <c r="D471" t="s">
        <v>43</v>
      </c>
      <c r="E471" t="s">
        <v>44</v>
      </c>
      <c r="F471" t="s">
        <v>36</v>
      </c>
      <c r="G471" t="s">
        <v>64</v>
      </c>
      <c r="H471" s="1">
        <v>44998.666307870371</v>
      </c>
      <c r="I471" s="1">
        <v>44999.666307870371</v>
      </c>
      <c r="J471" s="1">
        <v>44998.667696759258</v>
      </c>
      <c r="K471" s="2">
        <v>44998.667148171298</v>
      </c>
      <c r="L471" t="s">
        <v>28</v>
      </c>
      <c r="M471" s="2">
        <v>45000.305128726854</v>
      </c>
      <c r="N471" t="s">
        <v>38</v>
      </c>
      <c r="P471">
        <v>4</v>
      </c>
      <c r="R471" t="s">
        <v>50</v>
      </c>
      <c r="S471" t="s">
        <v>40</v>
      </c>
      <c r="T471" t="s">
        <v>53</v>
      </c>
      <c r="U471">
        <v>39.368279000000001</v>
      </c>
      <c r="V471">
        <v>21.863140999999999</v>
      </c>
      <c r="W471" t="str">
        <f t="shared" si="49"/>
        <v>ok</v>
      </c>
      <c r="X471" t="str">
        <f t="shared" si="54"/>
        <v>ok</v>
      </c>
      <c r="Y471" t="str">
        <f t="shared" si="50"/>
        <v>ok</v>
      </c>
      <c r="Z471" t="str">
        <f t="shared" si="51"/>
        <v>ok</v>
      </c>
      <c r="AA471" s="4" t="str">
        <f t="shared" si="52"/>
        <v>ok</v>
      </c>
      <c r="AB471" s="4" t="str">
        <f t="shared" si="53"/>
        <v>ok</v>
      </c>
      <c r="AC471" s="6">
        <f t="shared" si="55"/>
        <v>39.331700555572752</v>
      </c>
    </row>
    <row r="472" spans="1:29" x14ac:dyDescent="0.3">
      <c r="A472" t="s">
        <v>22</v>
      </c>
      <c r="B472">
        <v>1589</v>
      </c>
      <c r="C472" t="s">
        <v>23</v>
      </c>
      <c r="D472" t="s">
        <v>43</v>
      </c>
      <c r="E472" t="s">
        <v>25</v>
      </c>
      <c r="F472" t="s">
        <v>26</v>
      </c>
      <c r="G472" t="s">
        <v>52</v>
      </c>
      <c r="H472" s="1">
        <v>44998.86546296296</v>
      </c>
      <c r="I472" s="1">
        <v>44999.86546296296</v>
      </c>
      <c r="J472" s="1">
        <v>44998.866851851853</v>
      </c>
      <c r="K472" s="2">
        <v>44998.866399293984</v>
      </c>
      <c r="L472" t="s">
        <v>28</v>
      </c>
      <c r="M472" s="2">
        <v>44999.706550706018</v>
      </c>
      <c r="N472" t="s">
        <v>28</v>
      </c>
      <c r="O472" s="2">
        <v>45001.040872199075</v>
      </c>
      <c r="P472">
        <v>8</v>
      </c>
      <c r="Q472">
        <v>2</v>
      </c>
      <c r="R472" t="s">
        <v>39</v>
      </c>
      <c r="S472" t="s">
        <v>30</v>
      </c>
      <c r="T472" t="s">
        <v>53</v>
      </c>
      <c r="U472">
        <v>39.368279000000001</v>
      </c>
      <c r="V472">
        <v>21.863140999999999</v>
      </c>
      <c r="W472" t="str">
        <f t="shared" si="49"/>
        <v>ok</v>
      </c>
      <c r="X472" t="str">
        <f t="shared" si="54"/>
        <v>ok</v>
      </c>
      <c r="Y472" t="str">
        <f t="shared" si="50"/>
        <v>ok</v>
      </c>
      <c r="Z472" t="str">
        <f t="shared" si="51"/>
        <v>ok</v>
      </c>
      <c r="AA472" s="4" t="str">
        <f t="shared" si="52"/>
        <v>ok</v>
      </c>
      <c r="AB472" s="4" t="str">
        <f t="shared" si="53"/>
        <v>ok</v>
      </c>
      <c r="AC472" s="6">
        <f t="shared" si="55"/>
        <v>20.186105833388865</v>
      </c>
    </row>
    <row r="473" spans="1:29" x14ac:dyDescent="0.3">
      <c r="A473" t="s">
        <v>32</v>
      </c>
      <c r="B473">
        <v>1590</v>
      </c>
      <c r="C473" t="s">
        <v>23</v>
      </c>
      <c r="D473" t="s">
        <v>24</v>
      </c>
      <c r="E473" t="s">
        <v>44</v>
      </c>
      <c r="F473" t="s">
        <v>26</v>
      </c>
      <c r="G473" t="s">
        <v>60</v>
      </c>
      <c r="H473" s="1">
        <v>44998.427523148152</v>
      </c>
      <c r="I473" s="1">
        <v>45000.427523148152</v>
      </c>
      <c r="J473" s="1">
        <v>44998.469189814816</v>
      </c>
      <c r="K473" s="2">
        <v>44998.445497430555</v>
      </c>
      <c r="L473" t="s">
        <v>28</v>
      </c>
      <c r="N473" t="s">
        <v>38</v>
      </c>
      <c r="P473">
        <v>2</v>
      </c>
      <c r="R473" t="s">
        <v>55</v>
      </c>
      <c r="S473" t="s">
        <v>30</v>
      </c>
      <c r="T473" t="s">
        <v>58</v>
      </c>
      <c r="U473">
        <v>49.8037633</v>
      </c>
      <c r="V473">
        <v>15.4749126</v>
      </c>
      <c r="W473" t="str">
        <f t="shared" si="49"/>
        <v>ok</v>
      </c>
      <c r="X473" t="str">
        <f t="shared" si="54"/>
        <v>ok</v>
      </c>
      <c r="Y473" t="str">
        <f t="shared" si="50"/>
        <v>ok</v>
      </c>
      <c r="Z473" t="str">
        <f t="shared" si="51"/>
        <v>ok</v>
      </c>
      <c r="AA473" s="4" t="str">
        <f t="shared" si="52"/>
        <v>ok</v>
      </c>
      <c r="AB473" s="4" t="str">
        <f t="shared" si="53"/>
        <v>no resolution</v>
      </c>
      <c r="AC473" s="6" t="str">
        <f t="shared" si="55"/>
        <v/>
      </c>
    </row>
    <row r="474" spans="1:29" x14ac:dyDescent="0.3">
      <c r="A474" t="s">
        <v>22</v>
      </c>
      <c r="B474">
        <v>1591</v>
      </c>
      <c r="C474" t="s">
        <v>23</v>
      </c>
      <c r="D474" t="s">
        <v>43</v>
      </c>
      <c r="E474" t="s">
        <v>25</v>
      </c>
      <c r="F474" t="s">
        <v>26</v>
      </c>
      <c r="G474" t="s">
        <v>52</v>
      </c>
      <c r="H474" s="1">
        <v>44998.46197916667</v>
      </c>
      <c r="I474" s="1">
        <v>44999.46197916667</v>
      </c>
      <c r="J474" s="1">
        <v>44998.463368055556</v>
      </c>
      <c r="K474" s="2">
        <v>44998.462732199077</v>
      </c>
      <c r="L474" t="s">
        <v>28</v>
      </c>
      <c r="M474" s="2">
        <v>44998.768769108799</v>
      </c>
      <c r="N474" t="s">
        <v>28</v>
      </c>
      <c r="O474" s="2">
        <v>44999.712705358797</v>
      </c>
      <c r="P474">
        <v>6</v>
      </c>
      <c r="Q474">
        <v>3</v>
      </c>
      <c r="R474" t="s">
        <v>39</v>
      </c>
      <c r="S474" t="s">
        <v>30</v>
      </c>
      <c r="T474" t="s">
        <v>41</v>
      </c>
      <c r="U474">
        <v>43.036776000000003</v>
      </c>
      <c r="V474">
        <v>12.678565000000001</v>
      </c>
      <c r="W474" t="str">
        <f t="shared" si="49"/>
        <v>ok</v>
      </c>
      <c r="X474" t="str">
        <f t="shared" si="54"/>
        <v>ok</v>
      </c>
      <c r="Y474" t="str">
        <f t="shared" si="50"/>
        <v>ok</v>
      </c>
      <c r="Z474" t="str">
        <f t="shared" si="51"/>
        <v>ok</v>
      </c>
      <c r="AA474" s="4" t="str">
        <f t="shared" si="52"/>
        <v>ok</v>
      </c>
      <c r="AB474" s="4" t="str">
        <f t="shared" si="53"/>
        <v>ok</v>
      </c>
      <c r="AC474" s="6">
        <f t="shared" si="55"/>
        <v>7.3629586111055687</v>
      </c>
    </row>
    <row r="475" spans="1:29" x14ac:dyDescent="0.3">
      <c r="A475" t="s">
        <v>32</v>
      </c>
      <c r="B475">
        <v>1592</v>
      </c>
      <c r="C475" t="s">
        <v>23</v>
      </c>
      <c r="D475" t="s">
        <v>24</v>
      </c>
      <c r="E475" t="s">
        <v>39</v>
      </c>
      <c r="F475" t="s">
        <v>26</v>
      </c>
      <c r="G475" t="s">
        <v>52</v>
      </c>
      <c r="H475" s="1">
        <v>44998.306122685186</v>
      </c>
      <c r="I475" s="1">
        <v>45000.306122685186</v>
      </c>
      <c r="J475" s="1">
        <v>44998.34778935185</v>
      </c>
      <c r="K475" s="2">
        <v>44998.335598333331</v>
      </c>
      <c r="L475" t="s">
        <v>28</v>
      </c>
      <c r="N475" t="s">
        <v>38</v>
      </c>
      <c r="P475">
        <v>5</v>
      </c>
      <c r="R475" t="s">
        <v>50</v>
      </c>
      <c r="S475" t="s">
        <v>30</v>
      </c>
      <c r="T475" t="s">
        <v>65</v>
      </c>
      <c r="U475">
        <v>46.149166399999999</v>
      </c>
      <c r="V475">
        <v>14.9860106</v>
      </c>
      <c r="W475" t="str">
        <f t="shared" si="49"/>
        <v>ok</v>
      </c>
      <c r="X475" t="str">
        <f t="shared" si="54"/>
        <v>ok</v>
      </c>
      <c r="Y475" t="str">
        <f t="shared" si="50"/>
        <v>ok</v>
      </c>
      <c r="Z475" t="str">
        <f t="shared" si="51"/>
        <v>ok</v>
      </c>
      <c r="AA475" s="4" t="str">
        <f t="shared" si="52"/>
        <v>ok</v>
      </c>
      <c r="AB475" s="4" t="str">
        <f t="shared" si="53"/>
        <v>no resolution</v>
      </c>
      <c r="AC475" s="6" t="str">
        <f t="shared" si="55"/>
        <v/>
      </c>
    </row>
    <row r="476" spans="1:29" x14ac:dyDescent="0.3">
      <c r="A476" t="s">
        <v>42</v>
      </c>
      <c r="B476">
        <v>1593</v>
      </c>
      <c r="C476" t="s">
        <v>47</v>
      </c>
      <c r="D476" t="s">
        <v>24</v>
      </c>
      <c r="E476" t="s">
        <v>35</v>
      </c>
      <c r="F476" t="s">
        <v>36</v>
      </c>
      <c r="G476" t="s">
        <v>54</v>
      </c>
      <c r="H476" s="1">
        <v>44999.402685185189</v>
      </c>
      <c r="I476" s="1">
        <v>45001.402685185189</v>
      </c>
      <c r="J476" s="1">
        <v>44999.444351851853</v>
      </c>
      <c r="K476" s="2">
        <v>44999.425529120374</v>
      </c>
      <c r="L476" t="s">
        <v>28</v>
      </c>
      <c r="M476" s="2">
        <v>45001.254166145831</v>
      </c>
      <c r="N476" t="s">
        <v>28</v>
      </c>
      <c r="P476">
        <v>1</v>
      </c>
      <c r="R476" t="s">
        <v>50</v>
      </c>
      <c r="S476" t="s">
        <v>40</v>
      </c>
      <c r="T476" t="s">
        <v>41</v>
      </c>
      <c r="U476">
        <v>43.036776000000003</v>
      </c>
      <c r="V476">
        <v>12.678565000000001</v>
      </c>
      <c r="W476" t="str">
        <f t="shared" si="49"/>
        <v>ok</v>
      </c>
      <c r="X476" t="str">
        <f t="shared" si="54"/>
        <v>ok</v>
      </c>
      <c r="Y476" t="str">
        <f t="shared" si="50"/>
        <v>ok</v>
      </c>
      <c r="Z476" t="str">
        <f t="shared" si="51"/>
        <v>ok</v>
      </c>
      <c r="AA476" s="4" t="str">
        <f t="shared" si="52"/>
        <v>ok</v>
      </c>
      <c r="AB476" s="4" t="str">
        <f t="shared" si="53"/>
        <v>ok</v>
      </c>
      <c r="AC476" s="6">
        <f t="shared" si="55"/>
        <v>44.435543055413291</v>
      </c>
    </row>
    <row r="477" spans="1:29" x14ac:dyDescent="0.3">
      <c r="A477" t="s">
        <v>22</v>
      </c>
      <c r="B477">
        <v>1594</v>
      </c>
      <c r="C477" t="s">
        <v>33</v>
      </c>
      <c r="D477" t="s">
        <v>24</v>
      </c>
      <c r="E477" t="s">
        <v>35</v>
      </c>
      <c r="F477" t="s">
        <v>26</v>
      </c>
      <c r="G477" t="s">
        <v>27</v>
      </c>
      <c r="H477" s="1">
        <v>44999.422662037039</v>
      </c>
      <c r="I477" s="1">
        <v>45001.422662037039</v>
      </c>
      <c r="J477" s="1">
        <v>44999.464328703703</v>
      </c>
      <c r="K477" s="2">
        <v>44999.42962422454</v>
      </c>
      <c r="L477" t="s">
        <v>28</v>
      </c>
      <c r="M477" s="2">
        <v>44999.601834629633</v>
      </c>
      <c r="N477" t="s">
        <v>28</v>
      </c>
      <c r="O477" s="2">
        <v>45006.67600915509</v>
      </c>
      <c r="P477">
        <v>3</v>
      </c>
      <c r="Q477">
        <v>5</v>
      </c>
      <c r="R477" t="s">
        <v>29</v>
      </c>
      <c r="S477" t="s">
        <v>30</v>
      </c>
      <c r="T477" t="s">
        <v>63</v>
      </c>
      <c r="U477">
        <v>55.378051999999997</v>
      </c>
      <c r="V477">
        <v>-3.4359730000000002</v>
      </c>
      <c r="W477" t="str">
        <f t="shared" si="49"/>
        <v>ok</v>
      </c>
      <c r="X477" t="str">
        <f t="shared" si="54"/>
        <v>ok</v>
      </c>
      <c r="Y477" t="str">
        <f t="shared" si="50"/>
        <v>ok</v>
      </c>
      <c r="Z477" t="str">
        <f t="shared" si="51"/>
        <v>ok</v>
      </c>
      <c r="AA477" s="4" t="str">
        <f t="shared" si="52"/>
        <v>ok</v>
      </c>
      <c r="AB477" s="4" t="str">
        <f t="shared" si="53"/>
        <v>ok</v>
      </c>
      <c r="AC477" s="6">
        <f t="shared" si="55"/>
        <v>4.300142222258728</v>
      </c>
    </row>
    <row r="478" spans="1:29" x14ac:dyDescent="0.3">
      <c r="A478" t="s">
        <v>42</v>
      </c>
      <c r="B478">
        <v>1595</v>
      </c>
      <c r="C478" t="s">
        <v>23</v>
      </c>
      <c r="D478" t="s">
        <v>24</v>
      </c>
      <c r="E478" t="s">
        <v>48</v>
      </c>
      <c r="F478" t="s">
        <v>26</v>
      </c>
      <c r="G478" t="s">
        <v>52</v>
      </c>
      <c r="H478" s="1">
        <v>44999.77921296296</v>
      </c>
      <c r="I478" s="1">
        <v>45001.77921296296</v>
      </c>
      <c r="J478" s="1">
        <v>44999.820879629631</v>
      </c>
      <c r="K478" s="2">
        <v>44999.812947025464</v>
      </c>
      <c r="L478" t="s">
        <v>28</v>
      </c>
      <c r="M478" s="2">
        <v>45001.699260729169</v>
      </c>
      <c r="N478" t="s">
        <v>28</v>
      </c>
      <c r="P478">
        <v>10</v>
      </c>
      <c r="R478" t="s">
        <v>39</v>
      </c>
      <c r="S478" t="s">
        <v>30</v>
      </c>
      <c r="T478" t="s">
        <v>51</v>
      </c>
      <c r="U478">
        <v>39.673369999999998</v>
      </c>
      <c r="V478">
        <v>-4.7677259999999997</v>
      </c>
      <c r="W478" t="str">
        <f t="shared" si="49"/>
        <v>ok</v>
      </c>
      <c r="X478" t="str">
        <f t="shared" si="54"/>
        <v>ok</v>
      </c>
      <c r="Y478" t="str">
        <f t="shared" si="50"/>
        <v>ok</v>
      </c>
      <c r="Z478" t="str">
        <f t="shared" si="51"/>
        <v>ok</v>
      </c>
      <c r="AA478" s="4" t="str">
        <f t="shared" si="52"/>
        <v>ok</v>
      </c>
      <c r="AB478" s="4" t="str">
        <f t="shared" si="53"/>
        <v>ok</v>
      </c>
      <c r="AC478" s="6">
        <f t="shared" si="55"/>
        <v>46.081146389013156</v>
      </c>
    </row>
    <row r="479" spans="1:29" x14ac:dyDescent="0.3">
      <c r="A479" t="s">
        <v>22</v>
      </c>
      <c r="B479">
        <v>1596</v>
      </c>
      <c r="C479" t="s">
        <v>23</v>
      </c>
      <c r="D479" t="s">
        <v>43</v>
      </c>
      <c r="E479" t="s">
        <v>35</v>
      </c>
      <c r="F479" t="s">
        <v>26</v>
      </c>
      <c r="G479" t="s">
        <v>45</v>
      </c>
      <c r="H479" s="1">
        <v>44999.138067129628</v>
      </c>
      <c r="I479" s="1">
        <v>45000.138067129628</v>
      </c>
      <c r="J479" s="1">
        <v>44999.139456018522</v>
      </c>
      <c r="K479" s="2">
        <v>44999.140442152777</v>
      </c>
      <c r="L479" t="s">
        <v>38</v>
      </c>
      <c r="M479" s="2">
        <v>44999.208104108795</v>
      </c>
      <c r="N479" t="s">
        <v>28</v>
      </c>
      <c r="O479" s="2">
        <v>45003.51821328704</v>
      </c>
      <c r="P479">
        <v>3</v>
      </c>
      <c r="Q479">
        <v>3</v>
      </c>
      <c r="R479" t="s">
        <v>29</v>
      </c>
      <c r="S479" t="s">
        <v>30</v>
      </c>
      <c r="T479" t="s">
        <v>65</v>
      </c>
      <c r="U479">
        <v>46.149166399999999</v>
      </c>
      <c r="V479">
        <v>14.9860106</v>
      </c>
      <c r="W479" t="str">
        <f t="shared" si="49"/>
        <v>ok</v>
      </c>
      <c r="X479" t="str">
        <f t="shared" si="54"/>
        <v>ok</v>
      </c>
      <c r="Y479" t="str">
        <f t="shared" si="50"/>
        <v>ok</v>
      </c>
      <c r="Z479" t="str">
        <f t="shared" si="51"/>
        <v>ok</v>
      </c>
      <c r="AA479" s="4" t="str">
        <f t="shared" si="52"/>
        <v>ok</v>
      </c>
      <c r="AB479" s="4" t="str">
        <f t="shared" si="53"/>
        <v>ok</v>
      </c>
      <c r="AC479" s="6">
        <f t="shared" si="55"/>
        <v>1.6808874999987893</v>
      </c>
    </row>
    <row r="480" spans="1:29" x14ac:dyDescent="0.3">
      <c r="A480" t="s">
        <v>22</v>
      </c>
      <c r="B480">
        <v>1597</v>
      </c>
      <c r="C480" t="s">
        <v>23</v>
      </c>
      <c r="D480" t="s">
        <v>24</v>
      </c>
      <c r="E480" t="s">
        <v>48</v>
      </c>
      <c r="F480" t="s">
        <v>26</v>
      </c>
      <c r="G480" t="s">
        <v>49</v>
      </c>
      <c r="H480" s="1">
        <v>44999.820844907408</v>
      </c>
      <c r="I480" s="1">
        <v>45001.820844907408</v>
      </c>
      <c r="J480" s="1">
        <v>44999.862511574072</v>
      </c>
      <c r="K480" s="2">
        <v>44999.836625439813</v>
      </c>
      <c r="L480" t="s">
        <v>28</v>
      </c>
      <c r="M480" s="2">
        <v>45001.049869571762</v>
      </c>
      <c r="N480" t="s">
        <v>28</v>
      </c>
      <c r="O480" s="2">
        <v>45002.93320053241</v>
      </c>
      <c r="P480">
        <v>2</v>
      </c>
      <c r="Q480">
        <v>5</v>
      </c>
      <c r="R480" t="s">
        <v>55</v>
      </c>
      <c r="S480" t="s">
        <v>30</v>
      </c>
      <c r="T480" t="s">
        <v>41</v>
      </c>
      <c r="U480">
        <v>43.036776000000003</v>
      </c>
      <c r="V480">
        <v>12.678565000000001</v>
      </c>
      <c r="W480" t="str">
        <f t="shared" si="49"/>
        <v>ok</v>
      </c>
      <c r="X480" t="str">
        <f t="shared" si="54"/>
        <v>ok</v>
      </c>
      <c r="Y480" t="str">
        <f t="shared" si="50"/>
        <v>ok</v>
      </c>
      <c r="Z480" t="str">
        <f t="shared" si="51"/>
        <v>ok</v>
      </c>
      <c r="AA480" s="4" t="str">
        <f t="shared" si="52"/>
        <v>ok</v>
      </c>
      <c r="AB480" s="4" t="str">
        <f t="shared" si="53"/>
        <v>ok</v>
      </c>
      <c r="AC480" s="6">
        <f t="shared" si="55"/>
        <v>29.496591944480315</v>
      </c>
    </row>
    <row r="481" spans="1:29" x14ac:dyDescent="0.3">
      <c r="A481" t="s">
        <v>22</v>
      </c>
      <c r="B481">
        <v>1598</v>
      </c>
      <c r="C481" t="s">
        <v>47</v>
      </c>
      <c r="D481" t="s">
        <v>24</v>
      </c>
      <c r="E481" t="s">
        <v>35</v>
      </c>
      <c r="F481" t="s">
        <v>26</v>
      </c>
      <c r="G481" t="s">
        <v>27</v>
      </c>
      <c r="H481" s="1">
        <v>44999.512638888889</v>
      </c>
      <c r="I481" s="1">
        <v>45001.512638888889</v>
      </c>
      <c r="J481" s="1">
        <v>44999.554305555554</v>
      </c>
      <c r="K481" s="2">
        <v>44999.542411388888</v>
      </c>
      <c r="L481" t="s">
        <v>28</v>
      </c>
      <c r="M481" s="2">
        <v>45001.116012002312</v>
      </c>
      <c r="N481" t="s">
        <v>28</v>
      </c>
      <c r="O481" s="2">
        <v>45005.78451380787</v>
      </c>
      <c r="P481">
        <v>4</v>
      </c>
      <c r="Q481">
        <v>3</v>
      </c>
      <c r="R481" t="s">
        <v>39</v>
      </c>
      <c r="S481" t="s">
        <v>30</v>
      </c>
      <c r="T481" t="s">
        <v>41</v>
      </c>
      <c r="U481">
        <v>43.036776000000003</v>
      </c>
      <c r="V481">
        <v>12.678565000000001</v>
      </c>
      <c r="W481" t="str">
        <f t="shared" si="49"/>
        <v>ok</v>
      </c>
      <c r="X481" t="str">
        <f t="shared" si="54"/>
        <v>ok</v>
      </c>
      <c r="Y481" t="str">
        <f t="shared" si="50"/>
        <v>ok</v>
      </c>
      <c r="Z481" t="str">
        <f t="shared" si="51"/>
        <v>ok</v>
      </c>
      <c r="AA481" s="4" t="str">
        <f t="shared" si="52"/>
        <v>ok</v>
      </c>
      <c r="AB481" s="4" t="str">
        <f t="shared" si="53"/>
        <v>ok</v>
      </c>
      <c r="AC481" s="6">
        <f t="shared" si="55"/>
        <v>38.480954722152092</v>
      </c>
    </row>
    <row r="482" spans="1:29" x14ac:dyDescent="0.3">
      <c r="A482" t="s">
        <v>22</v>
      </c>
      <c r="B482">
        <v>1599</v>
      </c>
      <c r="C482" t="s">
        <v>47</v>
      </c>
      <c r="D482" t="s">
        <v>34</v>
      </c>
      <c r="E482" t="s">
        <v>35</v>
      </c>
      <c r="F482" t="s">
        <v>26</v>
      </c>
      <c r="G482" t="s">
        <v>27</v>
      </c>
      <c r="H482" s="1">
        <v>44999.429988425924</v>
      </c>
      <c r="I482" s="1">
        <v>45001.429988425924</v>
      </c>
      <c r="J482" s="1">
        <v>44999.431377314817</v>
      </c>
      <c r="K482" s="2">
        <v>44999.431447013892</v>
      </c>
      <c r="L482" t="s">
        <v>38</v>
      </c>
      <c r="M482" s="2">
        <v>45001.296528078703</v>
      </c>
      <c r="N482" t="s">
        <v>28</v>
      </c>
      <c r="O482" s="2">
        <v>45001.464058761572</v>
      </c>
      <c r="P482">
        <v>3</v>
      </c>
      <c r="Q482">
        <v>1</v>
      </c>
      <c r="R482" t="s">
        <v>29</v>
      </c>
      <c r="S482" t="s">
        <v>30</v>
      </c>
      <c r="T482" t="s">
        <v>61</v>
      </c>
      <c r="U482">
        <v>42.724992499999999</v>
      </c>
      <c r="V482">
        <v>25.483303899999999</v>
      </c>
      <c r="W482" t="str">
        <f t="shared" si="49"/>
        <v>ok</v>
      </c>
      <c r="X482" t="str">
        <f t="shared" si="54"/>
        <v>ok</v>
      </c>
      <c r="Y482" t="str">
        <f t="shared" si="50"/>
        <v>ok</v>
      </c>
      <c r="Z482" t="str">
        <f t="shared" si="51"/>
        <v>ok</v>
      </c>
      <c r="AA482" s="4" t="str">
        <f t="shared" si="52"/>
        <v>ok</v>
      </c>
      <c r="AB482" s="4" t="str">
        <f t="shared" si="53"/>
        <v>ok</v>
      </c>
      <c r="AC482" s="6">
        <f t="shared" si="55"/>
        <v>44.796951666707173</v>
      </c>
    </row>
    <row r="483" spans="1:29" x14ac:dyDescent="0.3">
      <c r="A483" t="s">
        <v>22</v>
      </c>
      <c r="B483">
        <v>1600</v>
      </c>
      <c r="C483" t="s">
        <v>47</v>
      </c>
      <c r="D483" t="s">
        <v>24</v>
      </c>
      <c r="E483" t="s">
        <v>39</v>
      </c>
      <c r="F483" t="s">
        <v>26</v>
      </c>
      <c r="G483" t="s">
        <v>52</v>
      </c>
      <c r="H483" s="1">
        <v>44999.466840277775</v>
      </c>
      <c r="I483" s="1">
        <v>45001.466840277775</v>
      </c>
      <c r="J483" s="1">
        <v>44999.508506944447</v>
      </c>
      <c r="K483" s="2">
        <v>44999.484490115741</v>
      </c>
      <c r="L483" t="s">
        <v>28</v>
      </c>
      <c r="M483" s="2">
        <v>45000.102283553242</v>
      </c>
      <c r="N483" t="s">
        <v>28</v>
      </c>
      <c r="O483" s="2">
        <v>45004.399783333334</v>
      </c>
      <c r="P483">
        <v>2</v>
      </c>
      <c r="Q483">
        <v>4</v>
      </c>
      <c r="R483" t="s">
        <v>55</v>
      </c>
      <c r="S483" t="s">
        <v>30</v>
      </c>
      <c r="T483" t="s">
        <v>63</v>
      </c>
      <c r="U483">
        <v>55.378051999999997</v>
      </c>
      <c r="V483">
        <v>-3.4359730000000002</v>
      </c>
      <c r="W483" t="str">
        <f t="shared" si="49"/>
        <v>ok</v>
      </c>
      <c r="X483" t="str">
        <f t="shared" si="54"/>
        <v>ok</v>
      </c>
      <c r="Y483" t="str">
        <f t="shared" si="50"/>
        <v>ok</v>
      </c>
      <c r="Z483" t="str">
        <f t="shared" si="51"/>
        <v>ok</v>
      </c>
      <c r="AA483" s="4" t="str">
        <f t="shared" si="52"/>
        <v>ok</v>
      </c>
      <c r="AB483" s="4" t="str">
        <f t="shared" si="53"/>
        <v>ok</v>
      </c>
      <c r="AC483" s="6">
        <f t="shared" si="55"/>
        <v>15.250638611207251</v>
      </c>
    </row>
    <row r="484" spans="1:29" x14ac:dyDescent="0.3">
      <c r="A484" t="s">
        <v>22</v>
      </c>
      <c r="B484">
        <v>1601</v>
      </c>
      <c r="C484" t="s">
        <v>23</v>
      </c>
      <c r="D484" t="s">
        <v>24</v>
      </c>
      <c r="E484" t="s">
        <v>35</v>
      </c>
      <c r="F484" t="s">
        <v>26</v>
      </c>
      <c r="G484" t="s">
        <v>52</v>
      </c>
      <c r="H484" s="1">
        <v>45000.014652777776</v>
      </c>
      <c r="I484" s="1">
        <v>45002.014652777776</v>
      </c>
      <c r="J484" s="1">
        <v>45000.056319444448</v>
      </c>
      <c r="K484" s="2">
        <v>45000.021535694446</v>
      </c>
      <c r="L484" t="s">
        <v>28</v>
      </c>
      <c r="M484" s="2">
        <v>45001.455546296296</v>
      </c>
      <c r="N484" t="s">
        <v>28</v>
      </c>
      <c r="O484" s="2">
        <v>45002.268759710649</v>
      </c>
      <c r="P484">
        <v>2</v>
      </c>
      <c r="Q484">
        <v>3</v>
      </c>
      <c r="R484" t="s">
        <v>39</v>
      </c>
      <c r="S484" t="s">
        <v>30</v>
      </c>
      <c r="T484" t="s">
        <v>46</v>
      </c>
      <c r="U484">
        <v>47.696471899999999</v>
      </c>
      <c r="V484">
        <v>13.3457347</v>
      </c>
      <c r="W484" t="str">
        <f t="shared" si="49"/>
        <v>ok</v>
      </c>
      <c r="X484" t="str">
        <f t="shared" si="54"/>
        <v>ok</v>
      </c>
      <c r="Y484" t="str">
        <f t="shared" si="50"/>
        <v>ok</v>
      </c>
      <c r="Z484" t="str">
        <f t="shared" si="51"/>
        <v>ok</v>
      </c>
      <c r="AA484" s="4" t="str">
        <f t="shared" si="52"/>
        <v>ok</v>
      </c>
      <c r="AB484" s="4" t="str">
        <f t="shared" si="53"/>
        <v>ok</v>
      </c>
      <c r="AC484" s="6">
        <f t="shared" si="55"/>
        <v>34.581444444484077</v>
      </c>
    </row>
    <row r="485" spans="1:29" x14ac:dyDescent="0.3">
      <c r="A485" t="s">
        <v>42</v>
      </c>
      <c r="B485">
        <v>1602</v>
      </c>
      <c r="C485" t="s">
        <v>33</v>
      </c>
      <c r="D485" t="s">
        <v>24</v>
      </c>
      <c r="E485" t="s">
        <v>25</v>
      </c>
      <c r="F485" t="s">
        <v>36</v>
      </c>
      <c r="G485" t="s">
        <v>54</v>
      </c>
      <c r="H485" s="1">
        <v>45000.030659722222</v>
      </c>
      <c r="I485" s="1">
        <v>45002.030659722222</v>
      </c>
      <c r="J485" s="1">
        <v>45000.072326388887</v>
      </c>
      <c r="K485" s="2">
        <v>45000.066463229166</v>
      </c>
      <c r="L485" t="s">
        <v>28</v>
      </c>
      <c r="M485" s="2">
        <v>45001.520601597222</v>
      </c>
      <c r="N485" t="s">
        <v>28</v>
      </c>
      <c r="P485">
        <v>2</v>
      </c>
      <c r="R485" t="s">
        <v>50</v>
      </c>
      <c r="S485" t="s">
        <v>40</v>
      </c>
      <c r="T485" t="s">
        <v>57</v>
      </c>
      <c r="U485">
        <v>51.165691000000002</v>
      </c>
      <c r="V485">
        <v>10.451525999999999</v>
      </c>
      <c r="W485" t="str">
        <f t="shared" si="49"/>
        <v>ok</v>
      </c>
      <c r="X485" t="str">
        <f t="shared" si="54"/>
        <v>ok</v>
      </c>
      <c r="Y485" t="str">
        <f t="shared" si="50"/>
        <v>ok</v>
      </c>
      <c r="Z485" t="str">
        <f t="shared" si="51"/>
        <v>ok</v>
      </c>
      <c r="AA485" s="4" t="str">
        <f t="shared" si="52"/>
        <v>ok</v>
      </c>
      <c r="AB485" s="4" t="str">
        <f t="shared" si="53"/>
        <v>ok</v>
      </c>
      <c r="AC485" s="6">
        <f t="shared" si="55"/>
        <v>35.758604999980889</v>
      </c>
    </row>
    <row r="486" spans="1:29" x14ac:dyDescent="0.3">
      <c r="A486" t="s">
        <v>42</v>
      </c>
      <c r="B486">
        <v>1603</v>
      </c>
      <c r="C486" t="s">
        <v>47</v>
      </c>
      <c r="D486" t="s">
        <v>24</v>
      </c>
      <c r="E486" t="s">
        <v>25</v>
      </c>
      <c r="F486" t="s">
        <v>26</v>
      </c>
      <c r="G486" t="s">
        <v>52</v>
      </c>
      <c r="H486" s="1">
        <v>45000.540972222225</v>
      </c>
      <c r="I486" s="1">
        <v>45002.540972222225</v>
      </c>
      <c r="J486" s="1">
        <v>45000.582638888889</v>
      </c>
      <c r="K486" s="2">
        <v>45000.566223032409</v>
      </c>
      <c r="L486" t="s">
        <v>28</v>
      </c>
      <c r="M486" s="2">
        <v>45005.172411493055</v>
      </c>
      <c r="N486" t="s">
        <v>38</v>
      </c>
      <c r="P486">
        <v>10</v>
      </c>
      <c r="R486" t="s">
        <v>50</v>
      </c>
      <c r="S486" t="s">
        <v>30</v>
      </c>
      <c r="T486" t="s">
        <v>56</v>
      </c>
      <c r="U486">
        <v>52.536273000000001</v>
      </c>
      <c r="V486">
        <v>19.050639</v>
      </c>
      <c r="W486" t="str">
        <f t="shared" si="49"/>
        <v>ok</v>
      </c>
      <c r="X486" t="str">
        <f t="shared" si="54"/>
        <v>ok</v>
      </c>
      <c r="Y486" t="str">
        <f t="shared" si="50"/>
        <v>ok</v>
      </c>
      <c r="Z486" t="str">
        <f t="shared" si="51"/>
        <v>ok</v>
      </c>
      <c r="AA486" s="4" t="str">
        <f t="shared" si="52"/>
        <v>ok</v>
      </c>
      <c r="AB486" s="4" t="str">
        <f t="shared" si="53"/>
        <v>ok</v>
      </c>
      <c r="AC486" s="6">
        <f t="shared" si="55"/>
        <v>111.15454249992035</v>
      </c>
    </row>
    <row r="487" spans="1:29" x14ac:dyDescent="0.3">
      <c r="A487" t="s">
        <v>32</v>
      </c>
      <c r="B487">
        <v>1604</v>
      </c>
      <c r="C487" t="s">
        <v>33</v>
      </c>
      <c r="D487" t="s">
        <v>24</v>
      </c>
      <c r="E487" t="s">
        <v>35</v>
      </c>
      <c r="F487" t="s">
        <v>26</v>
      </c>
      <c r="G487" t="s">
        <v>52</v>
      </c>
      <c r="H487" s="1">
        <v>45000.148553240739</v>
      </c>
      <c r="I487" s="1">
        <v>45002.148553240739</v>
      </c>
      <c r="J487" s="1">
        <v>45000.19021990741</v>
      </c>
      <c r="K487" s="2">
        <v>45000.158810115739</v>
      </c>
      <c r="L487" t="s">
        <v>28</v>
      </c>
      <c r="N487" t="s">
        <v>38</v>
      </c>
      <c r="P487">
        <v>9</v>
      </c>
      <c r="R487" t="s">
        <v>29</v>
      </c>
      <c r="S487" t="s">
        <v>30</v>
      </c>
      <c r="T487" t="s">
        <v>56</v>
      </c>
      <c r="U487">
        <v>52.536273000000001</v>
      </c>
      <c r="V487">
        <v>19.050639</v>
      </c>
      <c r="W487" t="str">
        <f t="shared" si="49"/>
        <v>ok</v>
      </c>
      <c r="X487" t="str">
        <f t="shared" si="54"/>
        <v>ok</v>
      </c>
      <c r="Y487" t="str">
        <f t="shared" si="50"/>
        <v>ok</v>
      </c>
      <c r="Z487" t="str">
        <f t="shared" si="51"/>
        <v>ok</v>
      </c>
      <c r="AA487" s="4" t="str">
        <f t="shared" si="52"/>
        <v>ok</v>
      </c>
      <c r="AB487" s="4" t="str">
        <f t="shared" si="53"/>
        <v>no resolution</v>
      </c>
      <c r="AC487" s="6" t="str">
        <f t="shared" si="55"/>
        <v/>
      </c>
    </row>
    <row r="488" spans="1:29" x14ac:dyDescent="0.3">
      <c r="A488" t="s">
        <v>22</v>
      </c>
      <c r="B488">
        <v>1605</v>
      </c>
      <c r="C488" t="s">
        <v>33</v>
      </c>
      <c r="D488" t="s">
        <v>34</v>
      </c>
      <c r="E488" t="s">
        <v>35</v>
      </c>
      <c r="F488" t="s">
        <v>26</v>
      </c>
      <c r="G488" t="s">
        <v>45</v>
      </c>
      <c r="H488" s="1">
        <v>45000.457592592589</v>
      </c>
      <c r="I488" s="1">
        <v>45002.457592592589</v>
      </c>
      <c r="J488" s="1">
        <v>45000.458981481483</v>
      </c>
      <c r="K488" s="2">
        <v>45000.461578495371</v>
      </c>
      <c r="L488" t="s">
        <v>38</v>
      </c>
      <c r="M488" s="2">
        <v>45001.096720497684</v>
      </c>
      <c r="N488" t="s">
        <v>28</v>
      </c>
      <c r="O488" s="2">
        <v>45002.366809548614</v>
      </c>
      <c r="P488">
        <v>5</v>
      </c>
      <c r="Q488">
        <v>3</v>
      </c>
      <c r="R488" t="s">
        <v>29</v>
      </c>
      <c r="S488" t="s">
        <v>30</v>
      </c>
      <c r="T488" t="s">
        <v>56</v>
      </c>
      <c r="U488">
        <v>52.536273000000001</v>
      </c>
      <c r="V488">
        <v>19.050639</v>
      </c>
      <c r="W488" t="str">
        <f t="shared" si="49"/>
        <v>ok</v>
      </c>
      <c r="X488" t="str">
        <f t="shared" si="54"/>
        <v>ok</v>
      </c>
      <c r="Y488" t="str">
        <f t="shared" si="50"/>
        <v>ok</v>
      </c>
      <c r="Z488" t="str">
        <f t="shared" si="51"/>
        <v>ok</v>
      </c>
      <c r="AA488" s="4" t="str">
        <f t="shared" si="52"/>
        <v>ok</v>
      </c>
      <c r="AB488" s="4" t="str">
        <f t="shared" si="53"/>
        <v>ok</v>
      </c>
      <c r="AC488" s="6">
        <f t="shared" si="55"/>
        <v>15.339069722278509</v>
      </c>
    </row>
    <row r="489" spans="1:29" x14ac:dyDescent="0.3">
      <c r="A489" t="s">
        <v>42</v>
      </c>
      <c r="B489">
        <v>1606</v>
      </c>
      <c r="C489" t="s">
        <v>33</v>
      </c>
      <c r="D489" t="s">
        <v>43</v>
      </c>
      <c r="E489" t="s">
        <v>59</v>
      </c>
      <c r="F489" t="s">
        <v>26</v>
      </c>
      <c r="G489" t="s">
        <v>45</v>
      </c>
      <c r="H489" s="1">
        <v>45000.507777777777</v>
      </c>
      <c r="I489" s="1">
        <v>45001.507777777777</v>
      </c>
      <c r="J489" s="1">
        <v>45000.509166666663</v>
      </c>
      <c r="K489" s="2">
        <v>45000.508707546294</v>
      </c>
      <c r="L489" t="s">
        <v>28</v>
      </c>
      <c r="M489" s="2">
        <v>45001.164179618056</v>
      </c>
      <c r="N489" t="s">
        <v>28</v>
      </c>
      <c r="P489">
        <v>3</v>
      </c>
      <c r="R489" t="s">
        <v>29</v>
      </c>
      <c r="S489" t="s">
        <v>30</v>
      </c>
      <c r="T489" t="s">
        <v>41</v>
      </c>
      <c r="U489">
        <v>43.036776000000003</v>
      </c>
      <c r="V489">
        <v>12.678565000000001</v>
      </c>
      <c r="W489" t="str">
        <f t="shared" si="49"/>
        <v>ok</v>
      </c>
      <c r="X489" t="str">
        <f t="shared" si="54"/>
        <v>ok</v>
      </c>
      <c r="Y489" t="str">
        <f t="shared" si="50"/>
        <v>ok</v>
      </c>
      <c r="Z489" t="str">
        <f t="shared" si="51"/>
        <v>ok</v>
      </c>
      <c r="AA489" s="4" t="str">
        <f t="shared" si="52"/>
        <v>ok</v>
      </c>
      <c r="AB489" s="4" t="str">
        <f t="shared" si="53"/>
        <v>ok</v>
      </c>
      <c r="AC489" s="6">
        <f t="shared" si="55"/>
        <v>15.7536441666889</v>
      </c>
    </row>
    <row r="490" spans="1:29" x14ac:dyDescent="0.3">
      <c r="A490" t="s">
        <v>22</v>
      </c>
      <c r="B490">
        <v>1607</v>
      </c>
      <c r="C490" t="s">
        <v>23</v>
      </c>
      <c r="D490" t="s">
        <v>24</v>
      </c>
      <c r="E490" t="s">
        <v>48</v>
      </c>
      <c r="F490" t="s">
        <v>26</v>
      </c>
      <c r="G490" t="s">
        <v>45</v>
      </c>
      <c r="H490" s="1">
        <v>45000.672303240739</v>
      </c>
      <c r="I490" s="1">
        <v>45002.672303240739</v>
      </c>
      <c r="J490" s="1">
        <v>45000.713969907411</v>
      </c>
      <c r="K490" s="2">
        <v>45000.693028321759</v>
      </c>
      <c r="L490" t="s">
        <v>28</v>
      </c>
      <c r="M490" s="2">
        <v>45002.376819178244</v>
      </c>
      <c r="N490" t="s">
        <v>28</v>
      </c>
      <c r="O490" s="2">
        <v>45004.244779756948</v>
      </c>
      <c r="P490">
        <v>9</v>
      </c>
      <c r="Q490">
        <v>2</v>
      </c>
      <c r="R490" t="s">
        <v>29</v>
      </c>
      <c r="S490" t="s">
        <v>30</v>
      </c>
      <c r="T490" t="s">
        <v>57</v>
      </c>
      <c r="U490">
        <v>51.165691000000002</v>
      </c>
      <c r="V490">
        <v>10.451525999999999</v>
      </c>
      <c r="W490" t="str">
        <f t="shared" si="49"/>
        <v>ok</v>
      </c>
      <c r="X490" t="str">
        <f t="shared" si="54"/>
        <v>ok</v>
      </c>
      <c r="Y490" t="str">
        <f t="shared" si="50"/>
        <v>ok</v>
      </c>
      <c r="Z490" t="str">
        <f t="shared" si="51"/>
        <v>ok</v>
      </c>
      <c r="AA490" s="4" t="str">
        <f t="shared" si="52"/>
        <v>ok</v>
      </c>
      <c r="AB490" s="4" t="str">
        <f t="shared" si="53"/>
        <v>ok</v>
      </c>
      <c r="AC490" s="6">
        <f t="shared" si="55"/>
        <v>40.908382500114385</v>
      </c>
    </row>
    <row r="491" spans="1:29" x14ac:dyDescent="0.3">
      <c r="A491" t="s">
        <v>22</v>
      </c>
      <c r="B491">
        <v>1608</v>
      </c>
      <c r="C491" t="s">
        <v>33</v>
      </c>
      <c r="D491" t="s">
        <v>24</v>
      </c>
      <c r="E491" t="s">
        <v>35</v>
      </c>
      <c r="F491" t="s">
        <v>26</v>
      </c>
      <c r="G491" t="s">
        <v>60</v>
      </c>
      <c r="H491" s="1">
        <v>45001.714837962965</v>
      </c>
      <c r="I491" s="1">
        <v>45003.714837962965</v>
      </c>
      <c r="J491" s="1">
        <v>45001.756504629629</v>
      </c>
      <c r="K491" s="2">
        <v>45001.74902171296</v>
      </c>
      <c r="L491" t="s">
        <v>28</v>
      </c>
      <c r="M491" s="2">
        <v>45003.007555312499</v>
      </c>
      <c r="N491" t="s">
        <v>28</v>
      </c>
      <c r="O491" s="2">
        <v>45004.248997025461</v>
      </c>
      <c r="P491">
        <v>1</v>
      </c>
      <c r="Q491">
        <v>1</v>
      </c>
      <c r="R491" t="s">
        <v>50</v>
      </c>
      <c r="S491" t="s">
        <v>30</v>
      </c>
      <c r="T491" t="s">
        <v>46</v>
      </c>
      <c r="U491">
        <v>47.696471899999999</v>
      </c>
      <c r="V491">
        <v>13.3457347</v>
      </c>
      <c r="W491" t="str">
        <f t="shared" si="49"/>
        <v>ok</v>
      </c>
      <c r="X491" t="str">
        <f t="shared" si="54"/>
        <v>ok</v>
      </c>
      <c r="Y491" t="str">
        <f t="shared" si="50"/>
        <v>ok</v>
      </c>
      <c r="Z491" t="str">
        <f t="shared" si="51"/>
        <v>ok</v>
      </c>
      <c r="AA491" s="4" t="str">
        <f t="shared" si="52"/>
        <v>ok</v>
      </c>
      <c r="AB491" s="4" t="str">
        <f t="shared" si="53"/>
        <v>ok</v>
      </c>
      <c r="AC491" s="6">
        <f t="shared" si="55"/>
        <v>31.025216388807166</v>
      </c>
    </row>
    <row r="492" spans="1:29" x14ac:dyDescent="0.3">
      <c r="A492" t="s">
        <v>42</v>
      </c>
      <c r="B492">
        <v>1609</v>
      </c>
      <c r="C492" t="s">
        <v>47</v>
      </c>
      <c r="D492" t="s">
        <v>43</v>
      </c>
      <c r="E492" t="s">
        <v>48</v>
      </c>
      <c r="F492" t="s">
        <v>26</v>
      </c>
      <c r="G492" t="s">
        <v>52</v>
      </c>
      <c r="H492" s="1">
        <v>45001.873645833337</v>
      </c>
      <c r="I492" s="1">
        <v>45002.873645833337</v>
      </c>
      <c r="J492" s="1">
        <v>45001.875034722223</v>
      </c>
      <c r="K492" s="2">
        <v>45001.873805324074</v>
      </c>
      <c r="L492" t="s">
        <v>28</v>
      </c>
      <c r="M492" s="2">
        <v>45002.284700185184</v>
      </c>
      <c r="N492" t="s">
        <v>28</v>
      </c>
      <c r="P492">
        <v>6</v>
      </c>
      <c r="R492" t="s">
        <v>55</v>
      </c>
      <c r="S492" t="s">
        <v>30</v>
      </c>
      <c r="T492" t="s">
        <v>65</v>
      </c>
      <c r="U492">
        <v>46.149166399999999</v>
      </c>
      <c r="V492">
        <v>14.9860106</v>
      </c>
      <c r="W492" t="str">
        <f t="shared" si="49"/>
        <v>ok</v>
      </c>
      <c r="X492" t="str">
        <f t="shared" si="54"/>
        <v>ok</v>
      </c>
      <c r="Y492" t="str">
        <f t="shared" si="50"/>
        <v>ok</v>
      </c>
      <c r="Z492" t="str">
        <f t="shared" si="51"/>
        <v>ok</v>
      </c>
      <c r="AA492" s="4" t="str">
        <f t="shared" si="52"/>
        <v>ok</v>
      </c>
      <c r="AB492" s="4" t="str">
        <f t="shared" si="53"/>
        <v>ok</v>
      </c>
      <c r="AC492" s="6">
        <f t="shared" si="55"/>
        <v>9.8653044443344697</v>
      </c>
    </row>
    <row r="493" spans="1:29" x14ac:dyDescent="0.3">
      <c r="A493" t="s">
        <v>22</v>
      </c>
      <c r="B493">
        <v>1610</v>
      </c>
      <c r="C493" t="s">
        <v>23</v>
      </c>
      <c r="D493" t="s">
        <v>43</v>
      </c>
      <c r="E493" t="s">
        <v>48</v>
      </c>
      <c r="F493" t="s">
        <v>26</v>
      </c>
      <c r="G493" t="s">
        <v>27</v>
      </c>
      <c r="H493" s="1">
        <v>45001.198750000003</v>
      </c>
      <c r="I493" s="1">
        <v>45002.198750000003</v>
      </c>
      <c r="J493" s="1">
        <v>45001.200138888889</v>
      </c>
      <c r="K493" s="2">
        <v>45001.198933194442</v>
      </c>
      <c r="L493" t="s">
        <v>28</v>
      </c>
      <c r="M493" s="2">
        <v>45001.51651159722</v>
      </c>
      <c r="N493" t="s">
        <v>28</v>
      </c>
      <c r="O493" s="2">
        <v>45004.67277690972</v>
      </c>
      <c r="P493">
        <v>8</v>
      </c>
      <c r="Q493">
        <v>3</v>
      </c>
      <c r="R493" t="s">
        <v>50</v>
      </c>
      <c r="S493" t="s">
        <v>30</v>
      </c>
      <c r="T493" t="s">
        <v>66</v>
      </c>
      <c r="U493">
        <v>48.864716000000001</v>
      </c>
      <c r="V493">
        <v>2.3490139999999999</v>
      </c>
      <c r="W493" t="str">
        <f t="shared" si="49"/>
        <v>ok</v>
      </c>
      <c r="X493" t="str">
        <f t="shared" si="54"/>
        <v>ok</v>
      </c>
      <c r="Y493" t="str">
        <f t="shared" si="50"/>
        <v>ok</v>
      </c>
      <c r="Z493" t="str">
        <f t="shared" si="51"/>
        <v>ok</v>
      </c>
      <c r="AA493" s="4" t="str">
        <f t="shared" si="52"/>
        <v>ok</v>
      </c>
      <c r="AB493" s="4" t="str">
        <f t="shared" si="53"/>
        <v>ok</v>
      </c>
      <c r="AC493" s="6">
        <f t="shared" si="55"/>
        <v>7.6262783331912942</v>
      </c>
    </row>
    <row r="494" spans="1:29" x14ac:dyDescent="0.3">
      <c r="A494" t="s">
        <v>22</v>
      </c>
      <c r="B494">
        <v>1611</v>
      </c>
      <c r="C494" t="s">
        <v>33</v>
      </c>
      <c r="D494" t="s">
        <v>24</v>
      </c>
      <c r="E494" t="s">
        <v>44</v>
      </c>
      <c r="F494" t="s">
        <v>26</v>
      </c>
      <c r="G494" t="s">
        <v>27</v>
      </c>
      <c r="H494" s="1">
        <v>45001.786030092589</v>
      </c>
      <c r="I494" s="1">
        <v>45003.786030092589</v>
      </c>
      <c r="J494" s="1">
        <v>45001.827696759261</v>
      </c>
      <c r="K494" s="2">
        <v>45001.806642129632</v>
      </c>
      <c r="L494" t="s">
        <v>28</v>
      </c>
      <c r="M494" s="2">
        <v>45002.248985358798</v>
      </c>
      <c r="N494" t="s">
        <v>28</v>
      </c>
      <c r="O494" s="2">
        <v>45008.264139652776</v>
      </c>
      <c r="P494">
        <v>9</v>
      </c>
      <c r="Q494">
        <v>3</v>
      </c>
      <c r="R494" t="s">
        <v>29</v>
      </c>
      <c r="S494" t="s">
        <v>30</v>
      </c>
      <c r="T494" t="s">
        <v>41</v>
      </c>
      <c r="U494">
        <v>43.036776000000003</v>
      </c>
      <c r="V494">
        <v>12.678565000000001</v>
      </c>
      <c r="W494" t="str">
        <f t="shared" si="49"/>
        <v>ok</v>
      </c>
      <c r="X494" t="str">
        <f t="shared" si="54"/>
        <v>ok</v>
      </c>
      <c r="Y494" t="str">
        <f t="shared" si="50"/>
        <v>ok</v>
      </c>
      <c r="Z494" t="str">
        <f t="shared" si="51"/>
        <v>ok</v>
      </c>
      <c r="AA494" s="4" t="str">
        <f t="shared" si="52"/>
        <v>ok</v>
      </c>
      <c r="AB494" s="4" t="str">
        <f t="shared" si="53"/>
        <v>ok</v>
      </c>
      <c r="AC494" s="6">
        <f t="shared" si="55"/>
        <v>11.110926388995722</v>
      </c>
    </row>
    <row r="495" spans="1:29" x14ac:dyDescent="0.3">
      <c r="A495" t="s">
        <v>42</v>
      </c>
      <c r="B495">
        <v>1612</v>
      </c>
      <c r="C495" t="s">
        <v>33</v>
      </c>
      <c r="D495" t="s">
        <v>43</v>
      </c>
      <c r="E495" t="s">
        <v>59</v>
      </c>
      <c r="F495" t="s">
        <v>26</v>
      </c>
      <c r="G495" t="s">
        <v>49</v>
      </c>
      <c r="H495" s="1">
        <v>45001.104247685187</v>
      </c>
      <c r="I495" s="1">
        <v>45002.104247685187</v>
      </c>
      <c r="J495" s="1">
        <v>45001.105636574073</v>
      </c>
      <c r="K495" s="2">
        <v>45001.105361006943</v>
      </c>
      <c r="L495" t="s">
        <v>28</v>
      </c>
      <c r="M495" s="2">
        <v>45001.391784270832</v>
      </c>
      <c r="N495" t="s">
        <v>28</v>
      </c>
      <c r="P495">
        <v>4</v>
      </c>
      <c r="R495" t="s">
        <v>29</v>
      </c>
      <c r="S495" t="s">
        <v>30</v>
      </c>
      <c r="T495" t="s">
        <v>63</v>
      </c>
      <c r="U495">
        <v>55.378051999999997</v>
      </c>
      <c r="V495">
        <v>-3.4359730000000002</v>
      </c>
      <c r="W495" t="str">
        <f t="shared" si="49"/>
        <v>ok</v>
      </c>
      <c r="X495" t="str">
        <f t="shared" si="54"/>
        <v>ok</v>
      </c>
      <c r="Y495" t="str">
        <f t="shared" si="50"/>
        <v>ok</v>
      </c>
      <c r="Z495" t="str">
        <f t="shared" si="51"/>
        <v>ok</v>
      </c>
      <c r="AA495" s="4" t="str">
        <f t="shared" si="52"/>
        <v>ok</v>
      </c>
      <c r="AB495" s="4" t="str">
        <f t="shared" si="53"/>
        <v>ok</v>
      </c>
      <c r="AC495" s="6">
        <f t="shared" si="55"/>
        <v>6.9008780554868281</v>
      </c>
    </row>
    <row r="496" spans="1:29" x14ac:dyDescent="0.3">
      <c r="A496" t="s">
        <v>22</v>
      </c>
      <c r="B496">
        <v>1613</v>
      </c>
      <c r="C496" t="s">
        <v>47</v>
      </c>
      <c r="D496" t="s">
        <v>43</v>
      </c>
      <c r="E496" t="s">
        <v>35</v>
      </c>
      <c r="F496" t="s">
        <v>26</v>
      </c>
      <c r="G496" t="s">
        <v>49</v>
      </c>
      <c r="H496" s="1">
        <v>45001.664143518516</v>
      </c>
      <c r="I496" s="1">
        <v>45002.664143518516</v>
      </c>
      <c r="J496" s="1">
        <v>45001.665532407409</v>
      </c>
      <c r="K496" s="2">
        <v>45001.664305844904</v>
      </c>
      <c r="L496" t="s">
        <v>28</v>
      </c>
      <c r="M496" s="2">
        <v>45002.147714456019</v>
      </c>
      <c r="N496" t="s">
        <v>28</v>
      </c>
      <c r="O496" s="2">
        <v>45004.341379641206</v>
      </c>
      <c r="P496">
        <v>4</v>
      </c>
      <c r="Q496">
        <v>4</v>
      </c>
      <c r="R496" t="s">
        <v>50</v>
      </c>
      <c r="S496" t="s">
        <v>30</v>
      </c>
      <c r="T496" t="s">
        <v>61</v>
      </c>
      <c r="U496">
        <v>42.724992499999999</v>
      </c>
      <c r="V496">
        <v>25.483303899999999</v>
      </c>
      <c r="W496" t="str">
        <f t="shared" si="49"/>
        <v>ok</v>
      </c>
      <c r="X496" t="str">
        <f t="shared" si="54"/>
        <v>ok</v>
      </c>
      <c r="Y496" t="str">
        <f t="shared" si="50"/>
        <v>ok</v>
      </c>
      <c r="Z496" t="str">
        <f t="shared" si="51"/>
        <v>ok</v>
      </c>
      <c r="AA496" s="4" t="str">
        <f t="shared" si="52"/>
        <v>ok</v>
      </c>
      <c r="AB496" s="4" t="str">
        <f t="shared" si="53"/>
        <v>ok</v>
      </c>
      <c r="AC496" s="6">
        <f t="shared" si="55"/>
        <v>11.605702500091866</v>
      </c>
    </row>
    <row r="497" spans="1:29" x14ac:dyDescent="0.3">
      <c r="A497" t="s">
        <v>42</v>
      </c>
      <c r="B497">
        <v>1614</v>
      </c>
      <c r="C497" t="s">
        <v>33</v>
      </c>
      <c r="D497" t="s">
        <v>24</v>
      </c>
      <c r="E497" t="s">
        <v>59</v>
      </c>
      <c r="F497" t="s">
        <v>26</v>
      </c>
      <c r="G497" t="s">
        <v>52</v>
      </c>
      <c r="H497" s="1">
        <v>45001.771041666667</v>
      </c>
      <c r="I497" s="1">
        <v>45003.771041666667</v>
      </c>
      <c r="J497" s="1">
        <v>45001.812708333331</v>
      </c>
      <c r="K497" s="2">
        <v>45001.89550280093</v>
      </c>
      <c r="L497" t="s">
        <v>38</v>
      </c>
      <c r="M497" s="2">
        <v>45002.517172708336</v>
      </c>
      <c r="N497" t="s">
        <v>28</v>
      </c>
      <c r="P497">
        <v>2</v>
      </c>
      <c r="R497" t="s">
        <v>29</v>
      </c>
      <c r="S497" t="s">
        <v>30</v>
      </c>
      <c r="T497" t="s">
        <v>66</v>
      </c>
      <c r="U497">
        <v>48.864716000000001</v>
      </c>
      <c r="V497">
        <v>2.3490139999999999</v>
      </c>
      <c r="W497" t="str">
        <f t="shared" si="49"/>
        <v>ok</v>
      </c>
      <c r="X497" t="str">
        <f t="shared" si="54"/>
        <v>ok</v>
      </c>
      <c r="Y497" t="str">
        <f t="shared" si="50"/>
        <v>ok</v>
      </c>
      <c r="Z497" t="str">
        <f t="shared" si="51"/>
        <v>ok</v>
      </c>
      <c r="AA497" s="4" t="str">
        <f t="shared" si="52"/>
        <v>ok</v>
      </c>
      <c r="AB497" s="4" t="str">
        <f t="shared" si="53"/>
        <v>ok</v>
      </c>
      <c r="AC497" s="6">
        <f t="shared" si="55"/>
        <v>17.907145000062883</v>
      </c>
    </row>
    <row r="498" spans="1:29" x14ac:dyDescent="0.3">
      <c r="A498" t="s">
        <v>22</v>
      </c>
      <c r="B498">
        <v>1615</v>
      </c>
      <c r="C498" t="s">
        <v>47</v>
      </c>
      <c r="D498" t="s">
        <v>24</v>
      </c>
      <c r="E498" t="s">
        <v>62</v>
      </c>
      <c r="F498" t="s">
        <v>26</v>
      </c>
      <c r="G498" t="s">
        <v>49</v>
      </c>
      <c r="H498" s="1">
        <v>45001.552615740744</v>
      </c>
      <c r="I498" s="1">
        <v>45003.552615740744</v>
      </c>
      <c r="J498" s="1">
        <v>45001.594282407408</v>
      </c>
      <c r="K498" s="2">
        <v>45001.553346539353</v>
      </c>
      <c r="L498" t="s">
        <v>28</v>
      </c>
      <c r="M498" s="2">
        <v>45002.838006620368</v>
      </c>
      <c r="N498" t="s">
        <v>28</v>
      </c>
      <c r="O498" s="2">
        <v>45006.939506967596</v>
      </c>
      <c r="P498">
        <v>1</v>
      </c>
      <c r="Q498">
        <v>5</v>
      </c>
      <c r="R498" t="s">
        <v>55</v>
      </c>
      <c r="S498" t="s">
        <v>30</v>
      </c>
      <c r="T498" t="s">
        <v>41</v>
      </c>
      <c r="U498">
        <v>43.036776000000003</v>
      </c>
      <c r="V498">
        <v>12.678565000000001</v>
      </c>
      <c r="W498" t="str">
        <f t="shared" si="49"/>
        <v>ok</v>
      </c>
      <c r="X498" t="str">
        <f t="shared" si="54"/>
        <v>ok</v>
      </c>
      <c r="Y498" t="str">
        <f t="shared" si="50"/>
        <v>ok</v>
      </c>
      <c r="Z498" t="str">
        <f t="shared" si="51"/>
        <v>ok</v>
      </c>
      <c r="AA498" s="4" t="str">
        <f t="shared" si="52"/>
        <v>ok</v>
      </c>
      <c r="AB498" s="4" t="str">
        <f t="shared" si="53"/>
        <v>ok</v>
      </c>
      <c r="AC498" s="6">
        <f t="shared" si="55"/>
        <v>30.849381110980175</v>
      </c>
    </row>
    <row r="499" spans="1:29" x14ac:dyDescent="0.3">
      <c r="A499" t="s">
        <v>42</v>
      </c>
      <c r="B499">
        <v>1616</v>
      </c>
      <c r="C499" t="s">
        <v>23</v>
      </c>
      <c r="D499" t="s">
        <v>24</v>
      </c>
      <c r="E499" t="s">
        <v>48</v>
      </c>
      <c r="F499" t="s">
        <v>26</v>
      </c>
      <c r="G499" t="s">
        <v>52</v>
      </c>
      <c r="H499" s="1">
        <v>45001.267581018517</v>
      </c>
      <c r="I499" s="1">
        <v>45003.267581018517</v>
      </c>
      <c r="J499" s="1">
        <v>45001.309247685182</v>
      </c>
      <c r="K499" s="2">
        <v>45001.268501365739</v>
      </c>
      <c r="L499" t="s">
        <v>28</v>
      </c>
      <c r="M499" s="2">
        <v>45001.377972442133</v>
      </c>
      <c r="N499" t="s">
        <v>28</v>
      </c>
      <c r="P499">
        <v>1</v>
      </c>
      <c r="R499" t="s">
        <v>50</v>
      </c>
      <c r="S499" t="s">
        <v>30</v>
      </c>
      <c r="T499" t="s">
        <v>46</v>
      </c>
      <c r="U499">
        <v>47.696471899999999</v>
      </c>
      <c r="V499">
        <v>13.3457347</v>
      </c>
      <c r="W499" t="str">
        <f t="shared" si="49"/>
        <v>ok</v>
      </c>
      <c r="X499" t="str">
        <f t="shared" si="54"/>
        <v>ok</v>
      </c>
      <c r="Y499" t="str">
        <f t="shared" si="50"/>
        <v>ok</v>
      </c>
      <c r="Z499" t="str">
        <f t="shared" si="51"/>
        <v>ok</v>
      </c>
      <c r="AA499" s="4" t="str">
        <f t="shared" si="52"/>
        <v>ok</v>
      </c>
      <c r="AB499" s="4" t="str">
        <f t="shared" si="53"/>
        <v>ok</v>
      </c>
      <c r="AC499" s="6">
        <f t="shared" si="55"/>
        <v>2.6493941667722538</v>
      </c>
    </row>
    <row r="500" spans="1:29" x14ac:dyDescent="0.3">
      <c r="A500" t="s">
        <v>42</v>
      </c>
      <c r="B500">
        <v>1617</v>
      </c>
      <c r="C500" t="s">
        <v>47</v>
      </c>
      <c r="D500" t="s">
        <v>24</v>
      </c>
      <c r="E500" t="s">
        <v>35</v>
      </c>
      <c r="F500" t="s">
        <v>26</v>
      </c>
      <c r="G500" t="s">
        <v>52</v>
      </c>
      <c r="H500" s="1">
        <v>45001.525509259256</v>
      </c>
      <c r="I500" s="1">
        <v>45003.525509259256</v>
      </c>
      <c r="J500" s="1">
        <v>45001.567175925928</v>
      </c>
      <c r="K500" s="2">
        <v>45001.534691574074</v>
      </c>
      <c r="L500" t="s">
        <v>28</v>
      </c>
      <c r="M500" s="2">
        <v>45001.976074328704</v>
      </c>
      <c r="N500" t="s">
        <v>28</v>
      </c>
      <c r="P500">
        <v>1</v>
      </c>
      <c r="R500" t="s">
        <v>50</v>
      </c>
      <c r="S500" t="s">
        <v>30</v>
      </c>
      <c r="T500" t="s">
        <v>31</v>
      </c>
      <c r="U500">
        <v>53.094023999999997</v>
      </c>
      <c r="V500">
        <v>-8.0196749999999994</v>
      </c>
      <c r="W500" t="str">
        <f t="shared" si="49"/>
        <v>ok</v>
      </c>
      <c r="X500" t="str">
        <f t="shared" si="54"/>
        <v>ok</v>
      </c>
      <c r="Y500" t="str">
        <f t="shared" si="50"/>
        <v>ok</v>
      </c>
      <c r="Z500" t="str">
        <f t="shared" si="51"/>
        <v>ok</v>
      </c>
      <c r="AA500" s="4" t="str">
        <f t="shared" si="52"/>
        <v>ok</v>
      </c>
      <c r="AB500" s="4" t="str">
        <f t="shared" si="53"/>
        <v>ok</v>
      </c>
      <c r="AC500" s="6">
        <f t="shared" si="55"/>
        <v>10.813561666756868</v>
      </c>
    </row>
    <row r="501" spans="1:29" x14ac:dyDescent="0.3">
      <c r="A501" t="s">
        <v>22</v>
      </c>
      <c r="B501">
        <v>1618</v>
      </c>
      <c r="C501" t="s">
        <v>47</v>
      </c>
      <c r="D501" t="s">
        <v>24</v>
      </c>
      <c r="E501" t="s">
        <v>35</v>
      </c>
      <c r="F501" t="s">
        <v>26</v>
      </c>
      <c r="G501" t="s">
        <v>45</v>
      </c>
      <c r="H501" s="1">
        <v>45002.106134259258</v>
      </c>
      <c r="I501" s="1">
        <v>45004.106134259258</v>
      </c>
      <c r="J501" s="1">
        <v>45002.147800925923</v>
      </c>
      <c r="K501" s="2">
        <v>45002.125077812503</v>
      </c>
      <c r="L501" t="s">
        <v>28</v>
      </c>
      <c r="M501" s="2">
        <v>45007.126741863423</v>
      </c>
      <c r="N501" t="s">
        <v>38</v>
      </c>
      <c r="O501" s="2">
        <v>45009.07563472222</v>
      </c>
      <c r="P501">
        <v>6</v>
      </c>
      <c r="Q501">
        <v>5</v>
      </c>
      <c r="R501" t="s">
        <v>50</v>
      </c>
      <c r="S501" t="s">
        <v>30</v>
      </c>
      <c r="T501" t="s">
        <v>41</v>
      </c>
      <c r="U501">
        <v>43.036776000000003</v>
      </c>
      <c r="V501">
        <v>12.678565000000001</v>
      </c>
      <c r="W501" t="str">
        <f t="shared" si="49"/>
        <v>ok</v>
      </c>
      <c r="X501" t="str">
        <f t="shared" si="54"/>
        <v>ok</v>
      </c>
      <c r="Y501" t="str">
        <f t="shared" si="50"/>
        <v>ok</v>
      </c>
      <c r="Z501" t="str">
        <f t="shared" si="51"/>
        <v>ok</v>
      </c>
      <c r="AA501" s="4" t="str">
        <f t="shared" si="52"/>
        <v>ok</v>
      </c>
      <c r="AB501" s="4" t="str">
        <f t="shared" si="53"/>
        <v>ok</v>
      </c>
      <c r="AC501" s="6">
        <f t="shared" si="55"/>
        <v>120.49458249995951</v>
      </c>
    </row>
    <row r="502" spans="1:29" x14ac:dyDescent="0.3">
      <c r="A502" t="s">
        <v>42</v>
      </c>
      <c r="B502">
        <v>1619</v>
      </c>
      <c r="C502" t="s">
        <v>23</v>
      </c>
      <c r="D502" t="s">
        <v>24</v>
      </c>
      <c r="E502" t="s">
        <v>35</v>
      </c>
      <c r="F502" t="s">
        <v>26</v>
      </c>
      <c r="G502" t="s">
        <v>27</v>
      </c>
      <c r="H502" s="1">
        <v>45002.457268518519</v>
      </c>
      <c r="I502" s="1">
        <v>45004.457268518519</v>
      </c>
      <c r="J502" s="1">
        <v>45002.498935185184</v>
      </c>
      <c r="K502" s="2">
        <v>45002.461763715277</v>
      </c>
      <c r="L502" t="s">
        <v>28</v>
      </c>
      <c r="M502" s="2">
        <v>45008.008414641205</v>
      </c>
      <c r="N502" t="s">
        <v>38</v>
      </c>
      <c r="P502">
        <v>6</v>
      </c>
      <c r="R502" t="s">
        <v>39</v>
      </c>
      <c r="S502" t="s">
        <v>30</v>
      </c>
      <c r="T502" t="s">
        <v>46</v>
      </c>
      <c r="U502">
        <v>47.696471899999999</v>
      </c>
      <c r="V502">
        <v>13.3457347</v>
      </c>
      <c r="W502" t="str">
        <f t="shared" si="49"/>
        <v>ok</v>
      </c>
      <c r="X502" t="str">
        <f t="shared" si="54"/>
        <v>ok</v>
      </c>
      <c r="Y502" t="str">
        <f t="shared" si="50"/>
        <v>ok</v>
      </c>
      <c r="Z502" t="str">
        <f t="shared" si="51"/>
        <v>ok</v>
      </c>
      <c r="AA502" s="4" t="str">
        <f t="shared" si="52"/>
        <v>ok</v>
      </c>
      <c r="AB502" s="4" t="str">
        <f t="shared" si="53"/>
        <v>ok</v>
      </c>
      <c r="AC502" s="6">
        <f t="shared" si="55"/>
        <v>133.22750694444403</v>
      </c>
    </row>
    <row r="503" spans="1:29" x14ac:dyDescent="0.3">
      <c r="A503" t="s">
        <v>42</v>
      </c>
      <c r="B503">
        <v>1626</v>
      </c>
      <c r="C503" t="s">
        <v>33</v>
      </c>
      <c r="D503" t="s">
        <v>24</v>
      </c>
      <c r="E503" t="s">
        <v>25</v>
      </c>
      <c r="F503" t="s">
        <v>26</v>
      </c>
      <c r="G503" t="s">
        <v>60</v>
      </c>
      <c r="H503" s="1">
        <v>45003.014745370368</v>
      </c>
      <c r="I503" s="1">
        <v>45005.014745370368</v>
      </c>
      <c r="J503" s="1">
        <v>45003.05641203704</v>
      </c>
      <c r="K503" s="2">
        <v>45003.02352185185</v>
      </c>
      <c r="L503" t="s">
        <v>28</v>
      </c>
      <c r="M503" s="2">
        <v>45003.610908333336</v>
      </c>
      <c r="N503" t="s">
        <v>28</v>
      </c>
      <c r="P503">
        <v>2</v>
      </c>
      <c r="R503" t="s">
        <v>50</v>
      </c>
      <c r="S503" t="s">
        <v>30</v>
      </c>
      <c r="T503" t="s">
        <v>57</v>
      </c>
      <c r="U503">
        <v>51.165691000000002</v>
      </c>
      <c r="V503">
        <v>10.451525999999999</v>
      </c>
      <c r="W503" t="str">
        <f t="shared" si="49"/>
        <v>ok</v>
      </c>
      <c r="X503" t="str">
        <f t="shared" si="54"/>
        <v>ok</v>
      </c>
      <c r="Y503" t="str">
        <f t="shared" si="50"/>
        <v>ok</v>
      </c>
      <c r="Z503" t="str">
        <f t="shared" si="51"/>
        <v>ok</v>
      </c>
      <c r="AA503" s="4" t="str">
        <f t="shared" si="52"/>
        <v>ok</v>
      </c>
      <c r="AB503" s="4" t="str">
        <f t="shared" si="53"/>
        <v>ok</v>
      </c>
      <c r="AC503" s="6">
        <f t="shared" si="55"/>
        <v>14.307911111216526</v>
      </c>
    </row>
    <row r="504" spans="1:29" x14ac:dyDescent="0.3">
      <c r="A504" t="s">
        <v>22</v>
      </c>
      <c r="B504">
        <v>1627</v>
      </c>
      <c r="C504" t="s">
        <v>23</v>
      </c>
      <c r="D504" t="s">
        <v>24</v>
      </c>
      <c r="E504" t="s">
        <v>35</v>
      </c>
      <c r="F504" t="s">
        <v>26</v>
      </c>
      <c r="G504" t="s">
        <v>52</v>
      </c>
      <c r="H504" s="1">
        <v>45003.274201388886</v>
      </c>
      <c r="I504" s="1">
        <v>45005.274201388886</v>
      </c>
      <c r="J504" s="1">
        <v>45003.315868055557</v>
      </c>
      <c r="K504" s="2">
        <v>45003.295383680554</v>
      </c>
      <c r="L504" t="s">
        <v>28</v>
      </c>
      <c r="M504" s="2">
        <v>45005.216986805557</v>
      </c>
      <c r="N504" t="s">
        <v>28</v>
      </c>
      <c r="O504" s="2">
        <v>45006.111679965281</v>
      </c>
      <c r="P504">
        <v>2</v>
      </c>
      <c r="Q504">
        <v>4</v>
      </c>
      <c r="R504" t="s">
        <v>55</v>
      </c>
      <c r="S504" t="s">
        <v>30</v>
      </c>
      <c r="T504" t="s">
        <v>61</v>
      </c>
      <c r="U504">
        <v>42.724992499999999</v>
      </c>
      <c r="V504">
        <v>25.483303899999999</v>
      </c>
      <c r="W504" t="str">
        <f t="shared" si="49"/>
        <v>ok</v>
      </c>
      <c r="X504" t="str">
        <f t="shared" si="54"/>
        <v>ok</v>
      </c>
      <c r="Y504" t="str">
        <f t="shared" si="50"/>
        <v>ok</v>
      </c>
      <c r="Z504" t="str">
        <f t="shared" si="51"/>
        <v>ok</v>
      </c>
      <c r="AA504" s="4" t="str">
        <f t="shared" si="52"/>
        <v>ok</v>
      </c>
      <c r="AB504" s="4" t="str">
        <f t="shared" si="53"/>
        <v>ok</v>
      </c>
      <c r="AC504" s="6">
        <f t="shared" si="55"/>
        <v>46.626850000116974</v>
      </c>
    </row>
    <row r="505" spans="1:29" x14ac:dyDescent="0.3">
      <c r="A505" t="s">
        <v>42</v>
      </c>
      <c r="B505">
        <v>1628</v>
      </c>
      <c r="C505" t="s">
        <v>33</v>
      </c>
      <c r="D505" t="s">
        <v>24</v>
      </c>
      <c r="E505" t="s">
        <v>59</v>
      </c>
      <c r="F505" t="s">
        <v>26</v>
      </c>
      <c r="G505" t="s">
        <v>52</v>
      </c>
      <c r="H505" s="1">
        <v>45003.33929398148</v>
      </c>
      <c r="I505" s="1">
        <v>45005.33929398148</v>
      </c>
      <c r="J505" s="1">
        <v>45003.380960648145</v>
      </c>
      <c r="K505" s="2">
        <v>45003.375085810185</v>
      </c>
      <c r="L505" t="s">
        <v>28</v>
      </c>
      <c r="M505" s="2">
        <v>45005.174680439814</v>
      </c>
      <c r="N505" t="s">
        <v>28</v>
      </c>
      <c r="P505">
        <v>7</v>
      </c>
      <c r="R505" t="s">
        <v>50</v>
      </c>
      <c r="S505" t="s">
        <v>30</v>
      </c>
      <c r="T505" t="s">
        <v>58</v>
      </c>
      <c r="U505">
        <v>49.8037633</v>
      </c>
      <c r="V505">
        <v>15.4749126</v>
      </c>
      <c r="W505" t="str">
        <f t="shared" si="49"/>
        <v>ok</v>
      </c>
      <c r="X505" t="str">
        <f t="shared" si="54"/>
        <v>ok</v>
      </c>
      <c r="Y505" t="str">
        <f t="shared" si="50"/>
        <v>ok</v>
      </c>
      <c r="Z505" t="str">
        <f t="shared" si="51"/>
        <v>ok</v>
      </c>
      <c r="AA505" s="4" t="str">
        <f t="shared" si="52"/>
        <v>ok</v>
      </c>
      <c r="AB505" s="4" t="str">
        <f t="shared" si="53"/>
        <v>ok</v>
      </c>
      <c r="AC505" s="6">
        <f t="shared" si="55"/>
        <v>44.049274999997579</v>
      </c>
    </row>
    <row r="506" spans="1:29" x14ac:dyDescent="0.3">
      <c r="A506" t="s">
        <v>22</v>
      </c>
      <c r="B506">
        <v>1629</v>
      </c>
      <c r="C506" t="s">
        <v>23</v>
      </c>
      <c r="D506" t="s">
        <v>43</v>
      </c>
      <c r="E506" t="s">
        <v>25</v>
      </c>
      <c r="F506" t="s">
        <v>26</v>
      </c>
      <c r="G506" t="s">
        <v>45</v>
      </c>
      <c r="H506" s="1">
        <v>45003.958460648151</v>
      </c>
      <c r="I506" s="1">
        <v>45004.958460648151</v>
      </c>
      <c r="J506" s="1">
        <v>45003.959849537037</v>
      </c>
      <c r="K506" s="2">
        <v>45003.959421238425</v>
      </c>
      <c r="L506" t="s">
        <v>28</v>
      </c>
      <c r="M506" s="2">
        <v>45004.350651111112</v>
      </c>
      <c r="N506" t="s">
        <v>28</v>
      </c>
      <c r="O506" s="2">
        <v>45010.090113206017</v>
      </c>
      <c r="P506">
        <v>6</v>
      </c>
      <c r="Q506">
        <v>4</v>
      </c>
      <c r="R506" t="s">
        <v>29</v>
      </c>
      <c r="S506" t="s">
        <v>30</v>
      </c>
      <c r="T506" t="s">
        <v>65</v>
      </c>
      <c r="U506">
        <v>46.149166399999999</v>
      </c>
      <c r="V506">
        <v>14.9860106</v>
      </c>
      <c r="W506" t="str">
        <f t="shared" si="49"/>
        <v>ok</v>
      </c>
      <c r="X506" t="str">
        <f t="shared" si="54"/>
        <v>ok</v>
      </c>
      <c r="Y506" t="str">
        <f t="shared" si="50"/>
        <v>ok</v>
      </c>
      <c r="Z506" t="str">
        <f t="shared" si="51"/>
        <v>ok</v>
      </c>
      <c r="AA506" s="4" t="str">
        <f t="shared" si="52"/>
        <v>ok</v>
      </c>
      <c r="AB506" s="4" t="str">
        <f t="shared" si="53"/>
        <v>ok</v>
      </c>
      <c r="AC506" s="6">
        <f t="shared" si="55"/>
        <v>9.412571111053694</v>
      </c>
    </row>
    <row r="507" spans="1:29" x14ac:dyDescent="0.3">
      <c r="A507" t="s">
        <v>42</v>
      </c>
      <c r="B507">
        <v>1630</v>
      </c>
      <c r="C507" t="s">
        <v>23</v>
      </c>
      <c r="D507" t="s">
        <v>34</v>
      </c>
      <c r="E507" t="s">
        <v>25</v>
      </c>
      <c r="F507" t="s">
        <v>26</v>
      </c>
      <c r="G507" t="s">
        <v>52</v>
      </c>
      <c r="H507" s="1">
        <v>45003.374791666669</v>
      </c>
      <c r="I507" s="1">
        <v>45005.374791666669</v>
      </c>
      <c r="J507" s="1">
        <v>45003.376180555555</v>
      </c>
      <c r="K507" s="2">
        <v>45003.376156643521</v>
      </c>
      <c r="L507" t="s">
        <v>28</v>
      </c>
      <c r="M507" s="2">
        <v>45003.654154629628</v>
      </c>
      <c r="N507" t="s">
        <v>28</v>
      </c>
      <c r="P507">
        <v>2</v>
      </c>
      <c r="R507" t="s">
        <v>50</v>
      </c>
      <c r="S507" t="s">
        <v>30</v>
      </c>
      <c r="T507" t="s">
        <v>65</v>
      </c>
      <c r="U507">
        <v>46.149166399999999</v>
      </c>
      <c r="V507">
        <v>14.9860106</v>
      </c>
      <c r="W507" t="str">
        <f t="shared" si="49"/>
        <v>ok</v>
      </c>
      <c r="X507" t="str">
        <f t="shared" si="54"/>
        <v>ok</v>
      </c>
      <c r="Y507" t="str">
        <f t="shared" si="50"/>
        <v>ok</v>
      </c>
      <c r="Z507" t="str">
        <f t="shared" si="51"/>
        <v>ok</v>
      </c>
      <c r="AA507" s="4" t="str">
        <f t="shared" si="52"/>
        <v>ok</v>
      </c>
      <c r="AB507" s="4" t="str">
        <f t="shared" si="53"/>
        <v>ok</v>
      </c>
      <c r="AC507" s="6">
        <f t="shared" si="55"/>
        <v>6.70471111102961</v>
      </c>
    </row>
    <row r="508" spans="1:29" x14ac:dyDescent="0.3">
      <c r="A508" t="s">
        <v>32</v>
      </c>
      <c r="B508">
        <v>1631</v>
      </c>
      <c r="C508" t="s">
        <v>23</v>
      </c>
      <c r="D508" t="s">
        <v>34</v>
      </c>
      <c r="E508" t="s">
        <v>35</v>
      </c>
      <c r="F508" t="s">
        <v>26</v>
      </c>
      <c r="G508" t="s">
        <v>49</v>
      </c>
      <c r="H508" s="1">
        <v>45004.750243055554</v>
      </c>
      <c r="I508" s="1">
        <v>45006.750243055554</v>
      </c>
      <c r="J508" s="1">
        <v>45004.751631944448</v>
      </c>
      <c r="K508" s="2">
        <v>45004.7529272338</v>
      </c>
      <c r="L508" t="s">
        <v>38</v>
      </c>
      <c r="N508" t="s">
        <v>38</v>
      </c>
      <c r="P508">
        <v>1</v>
      </c>
      <c r="R508" t="s">
        <v>50</v>
      </c>
      <c r="S508" t="s">
        <v>30</v>
      </c>
      <c r="T508" t="s">
        <v>56</v>
      </c>
      <c r="U508">
        <v>52.536273000000001</v>
      </c>
      <c r="V508">
        <v>19.050639</v>
      </c>
      <c r="W508" t="str">
        <f t="shared" si="49"/>
        <v>ok</v>
      </c>
      <c r="X508" t="str">
        <f t="shared" si="54"/>
        <v>ok</v>
      </c>
      <c r="Y508" t="str">
        <f t="shared" si="50"/>
        <v>ok</v>
      </c>
      <c r="Z508" t="str">
        <f t="shared" si="51"/>
        <v>ok</v>
      </c>
      <c r="AA508" s="4" t="str">
        <f t="shared" si="52"/>
        <v>ok</v>
      </c>
      <c r="AB508" s="4" t="str">
        <f t="shared" si="53"/>
        <v>no resolution</v>
      </c>
      <c r="AC508" s="6" t="str">
        <f t="shared" si="55"/>
        <v/>
      </c>
    </row>
    <row r="509" spans="1:29" x14ac:dyDescent="0.3">
      <c r="A509" t="s">
        <v>42</v>
      </c>
      <c r="B509">
        <v>1632</v>
      </c>
      <c r="C509" t="s">
        <v>23</v>
      </c>
      <c r="D509" t="s">
        <v>24</v>
      </c>
      <c r="E509" t="s">
        <v>25</v>
      </c>
      <c r="F509" t="s">
        <v>26</v>
      </c>
      <c r="G509" t="s">
        <v>52</v>
      </c>
      <c r="H509" s="1">
        <v>45004.875358796293</v>
      </c>
      <c r="I509" s="1">
        <v>45006.875358796293</v>
      </c>
      <c r="J509" s="1">
        <v>45004.917025462964</v>
      </c>
      <c r="K509" s="2">
        <v>45005.080415520832</v>
      </c>
      <c r="L509" t="s">
        <v>38</v>
      </c>
      <c r="M509" s="2">
        <v>45006.549792511571</v>
      </c>
      <c r="N509" t="s">
        <v>28</v>
      </c>
      <c r="P509">
        <v>2</v>
      </c>
      <c r="R509" t="s">
        <v>29</v>
      </c>
      <c r="S509" t="s">
        <v>30</v>
      </c>
      <c r="T509" t="s">
        <v>57</v>
      </c>
      <c r="U509">
        <v>51.165691000000002</v>
      </c>
      <c r="V509">
        <v>10.451525999999999</v>
      </c>
      <c r="W509" t="str">
        <f t="shared" si="49"/>
        <v>ok</v>
      </c>
      <c r="X509" t="str">
        <f t="shared" si="54"/>
        <v>ok</v>
      </c>
      <c r="Y509" t="str">
        <f t="shared" si="50"/>
        <v>ok</v>
      </c>
      <c r="Z509" t="str">
        <f t="shared" si="51"/>
        <v>ok</v>
      </c>
      <c r="AA509" s="4" t="str">
        <f t="shared" si="52"/>
        <v>ok</v>
      </c>
      <c r="AB509" s="4" t="str">
        <f t="shared" si="53"/>
        <v>ok</v>
      </c>
      <c r="AC509" s="6">
        <f t="shared" si="55"/>
        <v>40.186409166664816</v>
      </c>
    </row>
    <row r="510" spans="1:29" x14ac:dyDescent="0.3">
      <c r="A510" t="s">
        <v>22</v>
      </c>
      <c r="B510">
        <v>1633</v>
      </c>
      <c r="C510" t="s">
        <v>33</v>
      </c>
      <c r="D510" t="s">
        <v>24</v>
      </c>
      <c r="E510" t="s">
        <v>44</v>
      </c>
      <c r="F510" t="s">
        <v>26</v>
      </c>
      <c r="G510" t="s">
        <v>27</v>
      </c>
      <c r="H510" s="1">
        <v>45004.583981481483</v>
      </c>
      <c r="I510" s="1">
        <v>45006.583981481483</v>
      </c>
      <c r="J510" s="1">
        <v>45004.625648148147</v>
      </c>
      <c r="K510" s="2">
        <v>45004.61455327546</v>
      </c>
      <c r="L510" t="s">
        <v>28</v>
      </c>
      <c r="M510" s="2">
        <v>45005.522099918984</v>
      </c>
      <c r="N510" t="s">
        <v>28</v>
      </c>
      <c r="O510" s="2">
        <v>45007.889403796296</v>
      </c>
      <c r="P510">
        <v>4</v>
      </c>
      <c r="Q510">
        <v>5</v>
      </c>
      <c r="R510" t="s">
        <v>55</v>
      </c>
      <c r="S510" t="s">
        <v>30</v>
      </c>
      <c r="T510" t="s">
        <v>63</v>
      </c>
      <c r="U510">
        <v>55.378051999999997</v>
      </c>
      <c r="V510">
        <v>-3.4359730000000002</v>
      </c>
      <c r="W510" t="str">
        <f t="shared" si="49"/>
        <v>ok</v>
      </c>
      <c r="X510" t="str">
        <f t="shared" si="54"/>
        <v>ok</v>
      </c>
      <c r="Y510" t="str">
        <f t="shared" si="50"/>
        <v>ok</v>
      </c>
      <c r="Z510" t="str">
        <f t="shared" si="51"/>
        <v>ok</v>
      </c>
      <c r="AA510" s="4" t="str">
        <f t="shared" si="52"/>
        <v>ok</v>
      </c>
      <c r="AB510" s="4" t="str">
        <f t="shared" si="53"/>
        <v>ok</v>
      </c>
      <c r="AC510" s="6">
        <f t="shared" si="55"/>
        <v>22.514842500037048</v>
      </c>
    </row>
    <row r="511" spans="1:29" x14ac:dyDescent="0.3">
      <c r="A511" t="s">
        <v>22</v>
      </c>
      <c r="B511">
        <v>1634</v>
      </c>
      <c r="C511" t="s">
        <v>47</v>
      </c>
      <c r="D511" t="s">
        <v>43</v>
      </c>
      <c r="E511" t="s">
        <v>39</v>
      </c>
      <c r="F511" t="s">
        <v>26</v>
      </c>
      <c r="G511" t="s">
        <v>52</v>
      </c>
      <c r="H511" s="1">
        <v>45004.955462962964</v>
      </c>
      <c r="I511" s="1">
        <v>45005.955462962964</v>
      </c>
      <c r="J511" s="1">
        <v>45004.95685185185</v>
      </c>
      <c r="K511" s="2">
        <v>45004.958685613426</v>
      </c>
      <c r="L511" t="s">
        <v>38</v>
      </c>
      <c r="M511" s="2">
        <v>45006.282491134261</v>
      </c>
      <c r="N511" t="s">
        <v>38</v>
      </c>
      <c r="O511" s="2">
        <v>45006.934548657409</v>
      </c>
      <c r="P511">
        <v>6</v>
      </c>
      <c r="Q511">
        <v>4</v>
      </c>
      <c r="R511" t="s">
        <v>50</v>
      </c>
      <c r="S511" t="s">
        <v>30</v>
      </c>
      <c r="T511" t="s">
        <v>61</v>
      </c>
      <c r="U511">
        <v>42.724992499999999</v>
      </c>
      <c r="V511">
        <v>25.483303899999999</v>
      </c>
      <c r="W511" t="str">
        <f t="shared" si="49"/>
        <v>ok</v>
      </c>
      <c r="X511" t="str">
        <f t="shared" si="54"/>
        <v>ok</v>
      </c>
      <c r="Y511" t="str">
        <f t="shared" si="50"/>
        <v>ok</v>
      </c>
      <c r="Z511" t="str">
        <f t="shared" si="51"/>
        <v>ok</v>
      </c>
      <c r="AA511" s="4" t="str">
        <f t="shared" si="52"/>
        <v>ok</v>
      </c>
      <c r="AB511" s="4" t="str">
        <f t="shared" si="53"/>
        <v>ok</v>
      </c>
      <c r="AC511" s="6">
        <f t="shared" si="55"/>
        <v>31.848676111141685</v>
      </c>
    </row>
    <row r="512" spans="1:29" x14ac:dyDescent="0.3">
      <c r="A512" t="s">
        <v>22</v>
      </c>
      <c r="B512">
        <v>1635</v>
      </c>
      <c r="C512" t="s">
        <v>47</v>
      </c>
      <c r="D512" t="s">
        <v>24</v>
      </c>
      <c r="E512" t="s">
        <v>48</v>
      </c>
      <c r="F512" t="s">
        <v>26</v>
      </c>
      <c r="G512" t="s">
        <v>52</v>
      </c>
      <c r="H512" s="1">
        <v>45004.92359953704</v>
      </c>
      <c r="I512" s="1">
        <v>45006.92359953704</v>
      </c>
      <c r="J512" s="1">
        <v>45004.965266203704</v>
      </c>
      <c r="K512" s="2">
        <v>45004.936537766203</v>
      </c>
      <c r="L512" t="s">
        <v>28</v>
      </c>
      <c r="M512" s="2">
        <v>45005.460908680558</v>
      </c>
      <c r="N512" t="s">
        <v>28</v>
      </c>
      <c r="O512" s="2">
        <v>45007.179190092589</v>
      </c>
      <c r="P512">
        <v>5</v>
      </c>
      <c r="Q512">
        <v>5</v>
      </c>
      <c r="R512" t="s">
        <v>50</v>
      </c>
      <c r="S512" t="s">
        <v>30</v>
      </c>
      <c r="T512" t="s">
        <v>53</v>
      </c>
      <c r="U512">
        <v>39.368279000000001</v>
      </c>
      <c r="V512">
        <v>21.863140999999999</v>
      </c>
      <c r="W512" t="str">
        <f t="shared" si="49"/>
        <v>ok</v>
      </c>
      <c r="X512" t="str">
        <f t="shared" si="54"/>
        <v>ok</v>
      </c>
      <c r="Y512" t="str">
        <f t="shared" si="50"/>
        <v>ok</v>
      </c>
      <c r="Z512" t="str">
        <f t="shared" si="51"/>
        <v>ok</v>
      </c>
      <c r="AA512" s="4" t="str">
        <f t="shared" si="52"/>
        <v>ok</v>
      </c>
      <c r="AB512" s="4" t="str">
        <f t="shared" si="53"/>
        <v>ok</v>
      </c>
      <c r="AC512" s="6">
        <f t="shared" si="55"/>
        <v>12.895419444423169</v>
      </c>
    </row>
    <row r="513" spans="1:29" x14ac:dyDescent="0.3">
      <c r="A513" t="s">
        <v>22</v>
      </c>
      <c r="B513">
        <v>1636</v>
      </c>
      <c r="C513" t="s">
        <v>23</v>
      </c>
      <c r="D513" t="s">
        <v>43</v>
      </c>
      <c r="E513" t="s">
        <v>35</v>
      </c>
      <c r="F513" t="s">
        <v>26</v>
      </c>
      <c r="G513" t="s">
        <v>49</v>
      </c>
      <c r="H513" s="1">
        <v>45004.951585648145</v>
      </c>
      <c r="I513" s="1">
        <v>45005.951585648145</v>
      </c>
      <c r="J513" s="1">
        <v>45004.952974537038</v>
      </c>
      <c r="K513" s="2">
        <v>45004.951795694447</v>
      </c>
      <c r="L513" t="s">
        <v>28</v>
      </c>
      <c r="M513" s="2">
        <v>45005.735498125003</v>
      </c>
      <c r="N513" t="s">
        <v>28</v>
      </c>
      <c r="O513" s="2">
        <v>45009.832508032407</v>
      </c>
      <c r="P513">
        <v>5</v>
      </c>
      <c r="Q513">
        <v>3</v>
      </c>
      <c r="R513" t="s">
        <v>29</v>
      </c>
      <c r="S513" t="s">
        <v>30</v>
      </c>
      <c r="T513" t="s">
        <v>53</v>
      </c>
      <c r="U513">
        <v>39.368279000000001</v>
      </c>
      <c r="V513">
        <v>21.863140999999999</v>
      </c>
      <c r="W513" t="str">
        <f t="shared" si="49"/>
        <v>ok</v>
      </c>
      <c r="X513" t="str">
        <f t="shared" si="54"/>
        <v>ok</v>
      </c>
      <c r="Y513" t="str">
        <f t="shared" si="50"/>
        <v>ok</v>
      </c>
      <c r="Z513" t="str">
        <f t="shared" si="51"/>
        <v>ok</v>
      </c>
      <c r="AA513" s="4" t="str">
        <f t="shared" si="52"/>
        <v>ok</v>
      </c>
      <c r="AB513" s="4" t="str">
        <f t="shared" si="53"/>
        <v>ok</v>
      </c>
      <c r="AC513" s="6">
        <f t="shared" si="55"/>
        <v>18.813899444590788</v>
      </c>
    </row>
    <row r="514" spans="1:29" x14ac:dyDescent="0.3">
      <c r="A514" t="s">
        <v>32</v>
      </c>
      <c r="B514">
        <v>1637</v>
      </c>
      <c r="C514" t="s">
        <v>23</v>
      </c>
      <c r="D514" t="s">
        <v>34</v>
      </c>
      <c r="E514" t="s">
        <v>35</v>
      </c>
      <c r="F514" t="s">
        <v>26</v>
      </c>
      <c r="G514" t="s">
        <v>49</v>
      </c>
      <c r="H514" s="1">
        <v>45004.537361111114</v>
      </c>
      <c r="I514" s="1">
        <v>45006.537361111114</v>
      </c>
      <c r="J514" s="1">
        <v>45004.53875</v>
      </c>
      <c r="K514" s="2">
        <v>45004.541494722223</v>
      </c>
      <c r="L514" t="s">
        <v>38</v>
      </c>
      <c r="N514" t="s">
        <v>38</v>
      </c>
      <c r="P514">
        <v>3</v>
      </c>
      <c r="R514" t="s">
        <v>29</v>
      </c>
      <c r="S514" t="s">
        <v>30</v>
      </c>
      <c r="T514" t="s">
        <v>41</v>
      </c>
      <c r="U514">
        <v>43.036776000000003</v>
      </c>
      <c r="V514">
        <v>12.678565000000001</v>
      </c>
      <c r="W514" t="str">
        <f t="shared" ref="W514:W577" si="56">IF(K514&lt;H514,"check","ok")</f>
        <v>ok</v>
      </c>
      <c r="X514" t="str">
        <f t="shared" si="54"/>
        <v>ok</v>
      </c>
      <c r="Y514" t="str">
        <f t="shared" ref="Y514:Y577" si="57">IF(AND(M514&lt;&gt;"",O514&lt;&gt;"",O514&lt;M514),"check","ok")</f>
        <v>ok</v>
      </c>
      <c r="Z514" t="str">
        <f t="shared" ref="Z514:Z577" si="58">IF(AND(OR(CA514="Closed",A514="Resolved"),M514=""),"check","ok")</f>
        <v>ok</v>
      </c>
      <c r="AA514" s="4" t="str">
        <f t="shared" ref="AA514:AA577" si="59">IF(K514="","no response",IF(OR(AND(K514&lt;=J514,L514="Within SLA"),AND(K514&gt;J514,L514="SLA Violated")),"ok","check"))</f>
        <v>ok</v>
      </c>
      <c r="AB514" s="4" t="str">
        <f t="shared" ref="AB514:AB577" si="60">IF(M514="","no resolution",IF(OR(AND(M514&lt;=I514,N514="Within SLA"),AND(M514&gt;I514,N514="SLA Violated")),"ok","check"))</f>
        <v>no resolution</v>
      </c>
      <c r="AC514" s="6" t="str">
        <f t="shared" si="55"/>
        <v/>
      </c>
    </row>
    <row r="515" spans="1:29" x14ac:dyDescent="0.3">
      <c r="A515" t="s">
        <v>22</v>
      </c>
      <c r="B515">
        <v>1638</v>
      </c>
      <c r="C515" t="s">
        <v>47</v>
      </c>
      <c r="D515" t="s">
        <v>24</v>
      </c>
      <c r="E515" t="s">
        <v>25</v>
      </c>
      <c r="F515" t="s">
        <v>26</v>
      </c>
      <c r="G515" t="s">
        <v>60</v>
      </c>
      <c r="H515" s="1">
        <v>45005.557696759257</v>
      </c>
      <c r="I515" s="1">
        <v>45007.557696759257</v>
      </c>
      <c r="J515" s="1">
        <v>45005.599363425928</v>
      </c>
      <c r="K515" s="2">
        <v>45005.587130324071</v>
      </c>
      <c r="L515" t="s">
        <v>28</v>
      </c>
      <c r="M515" s="2">
        <v>45007.370479467594</v>
      </c>
      <c r="N515" t="s">
        <v>28</v>
      </c>
      <c r="O515" s="2">
        <v>45011.429968090277</v>
      </c>
      <c r="P515">
        <v>2</v>
      </c>
      <c r="Q515">
        <v>3</v>
      </c>
      <c r="R515" t="s">
        <v>50</v>
      </c>
      <c r="S515" t="s">
        <v>30</v>
      </c>
      <c r="T515" t="s">
        <v>56</v>
      </c>
      <c r="U515">
        <v>52.536273000000001</v>
      </c>
      <c r="V515">
        <v>19.050639</v>
      </c>
      <c r="W515" t="str">
        <f t="shared" si="56"/>
        <v>ok</v>
      </c>
      <c r="X515" t="str">
        <f t="shared" ref="X515:X578" si="61">IF(AND(M515&lt;&gt;"",M515&lt;H515),"check","ok")</f>
        <v>ok</v>
      </c>
      <c r="Y515" t="str">
        <f t="shared" si="57"/>
        <v>ok</v>
      </c>
      <c r="Z515" t="str">
        <f t="shared" si="58"/>
        <v>ok</v>
      </c>
      <c r="AA515" s="4" t="str">
        <f t="shared" si="59"/>
        <v>ok</v>
      </c>
      <c r="AB515" s="4" t="str">
        <f t="shared" si="60"/>
        <v>ok</v>
      </c>
      <c r="AC515" s="6">
        <f t="shared" si="55"/>
        <v>43.50678500009235</v>
      </c>
    </row>
    <row r="516" spans="1:29" x14ac:dyDescent="0.3">
      <c r="A516" t="s">
        <v>32</v>
      </c>
      <c r="B516">
        <v>1639</v>
      </c>
      <c r="C516" t="s">
        <v>23</v>
      </c>
      <c r="D516" t="s">
        <v>24</v>
      </c>
      <c r="E516" t="s">
        <v>25</v>
      </c>
      <c r="F516" t="s">
        <v>36</v>
      </c>
      <c r="G516" t="s">
        <v>37</v>
      </c>
      <c r="H516" s="1">
        <v>45005.798888888887</v>
      </c>
      <c r="I516" s="1">
        <v>45007.798888888887</v>
      </c>
      <c r="J516" s="1">
        <v>45005.840555555558</v>
      </c>
      <c r="K516" s="2">
        <v>45005.81143613426</v>
      </c>
      <c r="L516" t="s">
        <v>28</v>
      </c>
      <c r="N516" t="s">
        <v>38</v>
      </c>
      <c r="P516">
        <v>1</v>
      </c>
      <c r="R516" t="s">
        <v>39</v>
      </c>
      <c r="S516" t="s">
        <v>40</v>
      </c>
      <c r="T516" t="s">
        <v>57</v>
      </c>
      <c r="U516">
        <v>51.165691000000002</v>
      </c>
      <c r="V516">
        <v>10.451525999999999</v>
      </c>
      <c r="W516" t="str">
        <f t="shared" si="56"/>
        <v>ok</v>
      </c>
      <c r="X516" t="str">
        <f t="shared" si="61"/>
        <v>ok</v>
      </c>
      <c r="Y516" t="str">
        <f t="shared" si="57"/>
        <v>ok</v>
      </c>
      <c r="Z516" t="str">
        <f t="shared" si="58"/>
        <v>ok</v>
      </c>
      <c r="AA516" s="4" t="str">
        <f t="shared" si="59"/>
        <v>ok</v>
      </c>
      <c r="AB516" s="4" t="str">
        <f t="shared" si="60"/>
        <v>no resolution</v>
      </c>
      <c r="AC516" s="6" t="str">
        <f t="shared" si="55"/>
        <v/>
      </c>
    </row>
    <row r="517" spans="1:29" x14ac:dyDescent="0.3">
      <c r="A517" t="s">
        <v>42</v>
      </c>
      <c r="B517">
        <v>1640</v>
      </c>
      <c r="C517" t="s">
        <v>33</v>
      </c>
      <c r="D517" t="s">
        <v>34</v>
      </c>
      <c r="E517" t="s">
        <v>35</v>
      </c>
      <c r="F517" t="s">
        <v>26</v>
      </c>
      <c r="G517" t="s">
        <v>49</v>
      </c>
      <c r="H517" s="1">
        <v>45005.305949074071</v>
      </c>
      <c r="I517" s="1">
        <v>45007.305949074071</v>
      </c>
      <c r="J517" s="1">
        <v>45005.307337962964</v>
      </c>
      <c r="K517" s="2">
        <v>45005.306565115738</v>
      </c>
      <c r="L517" t="s">
        <v>28</v>
      </c>
      <c r="M517" s="2">
        <v>45005.748453020831</v>
      </c>
      <c r="N517" t="s">
        <v>28</v>
      </c>
      <c r="P517">
        <v>3</v>
      </c>
      <c r="R517" t="s">
        <v>29</v>
      </c>
      <c r="S517" t="s">
        <v>30</v>
      </c>
      <c r="T517" t="s">
        <v>65</v>
      </c>
      <c r="U517">
        <v>46.149166399999999</v>
      </c>
      <c r="V517">
        <v>14.9860106</v>
      </c>
      <c r="W517" t="str">
        <f t="shared" si="56"/>
        <v>ok</v>
      </c>
      <c r="X517" t="str">
        <f t="shared" si="61"/>
        <v>ok</v>
      </c>
      <c r="Y517" t="str">
        <f t="shared" si="57"/>
        <v>ok</v>
      </c>
      <c r="Z517" t="str">
        <f t="shared" si="58"/>
        <v>ok</v>
      </c>
      <c r="AA517" s="4" t="str">
        <f t="shared" si="59"/>
        <v>ok</v>
      </c>
      <c r="AB517" s="4" t="str">
        <f t="shared" si="60"/>
        <v>ok</v>
      </c>
      <c r="AC517" s="6">
        <f t="shared" si="55"/>
        <v>10.62009472225327</v>
      </c>
    </row>
    <row r="518" spans="1:29" x14ac:dyDescent="0.3">
      <c r="A518" t="s">
        <v>42</v>
      </c>
      <c r="B518">
        <v>1641</v>
      </c>
      <c r="C518" t="s">
        <v>47</v>
      </c>
      <c r="D518" t="s">
        <v>24</v>
      </c>
      <c r="E518" t="s">
        <v>35</v>
      </c>
      <c r="F518" t="s">
        <v>26</v>
      </c>
      <c r="G518" t="s">
        <v>27</v>
      </c>
      <c r="H518" s="1">
        <v>45005.935983796298</v>
      </c>
      <c r="I518" s="1">
        <v>45007.935983796298</v>
      </c>
      <c r="J518" s="1">
        <v>45005.977650462963</v>
      </c>
      <c r="K518" s="2">
        <v>45005.942712835647</v>
      </c>
      <c r="L518" t="s">
        <v>28</v>
      </c>
      <c r="M518" s="2">
        <v>45006.537789525464</v>
      </c>
      <c r="N518" t="s">
        <v>28</v>
      </c>
      <c r="P518">
        <v>10</v>
      </c>
      <c r="R518" t="s">
        <v>39</v>
      </c>
      <c r="S518" t="s">
        <v>30</v>
      </c>
      <c r="T518" t="s">
        <v>65</v>
      </c>
      <c r="U518">
        <v>46.149166399999999</v>
      </c>
      <c r="V518">
        <v>14.9860106</v>
      </c>
      <c r="W518" t="str">
        <f t="shared" si="56"/>
        <v>ok</v>
      </c>
      <c r="X518" t="str">
        <f t="shared" si="61"/>
        <v>ok</v>
      </c>
      <c r="Y518" t="str">
        <f t="shared" si="57"/>
        <v>ok</v>
      </c>
      <c r="Z518" t="str">
        <f t="shared" si="58"/>
        <v>ok</v>
      </c>
      <c r="AA518" s="4" t="str">
        <f t="shared" si="59"/>
        <v>ok</v>
      </c>
      <c r="AB518" s="4" t="str">
        <f t="shared" si="60"/>
        <v>ok</v>
      </c>
      <c r="AC518" s="6">
        <f t="shared" si="55"/>
        <v>14.443337499978952</v>
      </c>
    </row>
    <row r="519" spans="1:29" x14ac:dyDescent="0.3">
      <c r="A519" t="s">
        <v>22</v>
      </c>
      <c r="B519">
        <v>1642</v>
      </c>
      <c r="C519" t="s">
        <v>23</v>
      </c>
      <c r="D519" t="s">
        <v>34</v>
      </c>
      <c r="E519" t="s">
        <v>35</v>
      </c>
      <c r="F519" t="s">
        <v>36</v>
      </c>
      <c r="G519" t="s">
        <v>37</v>
      </c>
      <c r="H519" s="1">
        <v>45005.68582175926</v>
      </c>
      <c r="I519" s="1">
        <v>45007.68582175926</v>
      </c>
      <c r="J519" s="1">
        <v>45005.687210648146</v>
      </c>
      <c r="K519" s="2">
        <v>45005.686546087964</v>
      </c>
      <c r="L519" t="s">
        <v>28</v>
      </c>
      <c r="M519" s="2">
        <v>45007.165591712961</v>
      </c>
      <c r="N519" t="s">
        <v>28</v>
      </c>
      <c r="O519" s="2">
        <v>45006.491569456019</v>
      </c>
      <c r="P519">
        <v>3</v>
      </c>
      <c r="Q519">
        <v>2</v>
      </c>
      <c r="R519" t="s">
        <v>55</v>
      </c>
      <c r="S519" t="s">
        <v>40</v>
      </c>
      <c r="T519" t="s">
        <v>63</v>
      </c>
      <c r="U519">
        <v>55.378051999999997</v>
      </c>
      <c r="V519">
        <v>-3.4359730000000002</v>
      </c>
      <c r="W519" t="str">
        <f t="shared" si="56"/>
        <v>ok</v>
      </c>
      <c r="X519" t="str">
        <f t="shared" si="61"/>
        <v>ok</v>
      </c>
      <c r="Y519" t="str">
        <f t="shared" si="57"/>
        <v>check</v>
      </c>
      <c r="Z519" t="str">
        <f t="shared" si="58"/>
        <v>ok</v>
      </c>
      <c r="AA519" s="4" t="str">
        <f t="shared" si="59"/>
        <v>ok</v>
      </c>
      <c r="AB519" s="4" t="str">
        <f t="shared" si="60"/>
        <v>ok</v>
      </c>
      <c r="AC519" s="6">
        <f t="shared" si="55"/>
        <v>35.514478888828307</v>
      </c>
    </row>
    <row r="520" spans="1:29" x14ac:dyDescent="0.3">
      <c r="A520" t="s">
        <v>22</v>
      </c>
      <c r="B520">
        <v>1643</v>
      </c>
      <c r="C520" t="s">
        <v>23</v>
      </c>
      <c r="D520" t="s">
        <v>43</v>
      </c>
      <c r="E520" t="s">
        <v>35</v>
      </c>
      <c r="F520" t="s">
        <v>26</v>
      </c>
      <c r="G520" t="s">
        <v>45</v>
      </c>
      <c r="H520" s="1">
        <v>45005.909201388888</v>
      </c>
      <c r="I520" s="1">
        <v>45006.909201388888</v>
      </c>
      <c r="J520" s="1">
        <v>45005.910590277781</v>
      </c>
      <c r="K520" s="2">
        <v>45005.90923892361</v>
      </c>
      <c r="L520" t="s">
        <v>28</v>
      </c>
      <c r="M520" s="2">
        <v>45006.756646631948</v>
      </c>
      <c r="N520" t="s">
        <v>28</v>
      </c>
      <c r="O520" s="2">
        <v>45012.105438182873</v>
      </c>
      <c r="P520">
        <v>6</v>
      </c>
      <c r="Q520">
        <v>3</v>
      </c>
      <c r="R520" t="s">
        <v>29</v>
      </c>
      <c r="S520" t="s">
        <v>30</v>
      </c>
      <c r="T520" t="s">
        <v>51</v>
      </c>
      <c r="U520">
        <v>39.673369999999998</v>
      </c>
      <c r="V520">
        <v>-4.7677259999999997</v>
      </c>
      <c r="W520" t="str">
        <f t="shared" si="56"/>
        <v>ok</v>
      </c>
      <c r="X520" t="str">
        <f t="shared" si="61"/>
        <v>ok</v>
      </c>
      <c r="Y520" t="str">
        <f t="shared" si="57"/>
        <v>ok</v>
      </c>
      <c r="Z520" t="str">
        <f t="shared" si="58"/>
        <v>ok</v>
      </c>
      <c r="AA520" s="4" t="str">
        <f t="shared" si="59"/>
        <v>ok</v>
      </c>
      <c r="AB520" s="4" t="str">
        <f t="shared" si="60"/>
        <v>ok</v>
      </c>
      <c r="AC520" s="6">
        <f t="shared" si="55"/>
        <v>20.338685833441559</v>
      </c>
    </row>
    <row r="521" spans="1:29" x14ac:dyDescent="0.3">
      <c r="A521" t="s">
        <v>22</v>
      </c>
      <c r="B521">
        <v>1644</v>
      </c>
      <c r="C521" t="s">
        <v>23</v>
      </c>
      <c r="D521" t="s">
        <v>24</v>
      </c>
      <c r="E521" t="s">
        <v>25</v>
      </c>
      <c r="F521" t="s">
        <v>26</v>
      </c>
      <c r="G521" t="s">
        <v>52</v>
      </c>
      <c r="H521" s="1">
        <v>45005.059131944443</v>
      </c>
      <c r="I521" s="1">
        <v>45007.059131944443</v>
      </c>
      <c r="J521" s="1">
        <v>45005.100798611114</v>
      </c>
      <c r="K521" s="2">
        <v>45005.099326122683</v>
      </c>
      <c r="L521" t="s">
        <v>28</v>
      </c>
      <c r="M521" s="2">
        <v>45006.878042384262</v>
      </c>
      <c r="N521" t="s">
        <v>28</v>
      </c>
      <c r="O521" s="2">
        <v>45008.509956886577</v>
      </c>
      <c r="P521">
        <v>2</v>
      </c>
      <c r="Q521">
        <v>3</v>
      </c>
      <c r="R521" t="s">
        <v>39</v>
      </c>
      <c r="S521" t="s">
        <v>30</v>
      </c>
      <c r="T521" t="s">
        <v>51</v>
      </c>
      <c r="U521">
        <v>39.673369999999998</v>
      </c>
      <c r="V521">
        <v>-4.7677259999999997</v>
      </c>
      <c r="W521" t="str">
        <f t="shared" si="56"/>
        <v>ok</v>
      </c>
      <c r="X521" t="str">
        <f t="shared" si="61"/>
        <v>ok</v>
      </c>
      <c r="Y521" t="str">
        <f t="shared" si="57"/>
        <v>ok</v>
      </c>
      <c r="Z521" t="str">
        <f t="shared" si="58"/>
        <v>ok</v>
      </c>
      <c r="AA521" s="4" t="str">
        <f t="shared" si="59"/>
        <v>ok</v>
      </c>
      <c r="AB521" s="4" t="str">
        <f t="shared" si="60"/>
        <v>ok</v>
      </c>
      <c r="AC521" s="6">
        <f t="shared" si="55"/>
        <v>43.653850555652753</v>
      </c>
    </row>
    <row r="522" spans="1:29" x14ac:dyDescent="0.3">
      <c r="A522" t="s">
        <v>22</v>
      </c>
      <c r="B522">
        <v>1645</v>
      </c>
      <c r="C522" t="s">
        <v>47</v>
      </c>
      <c r="D522" t="s">
        <v>24</v>
      </c>
      <c r="E522" t="s">
        <v>59</v>
      </c>
      <c r="F522" t="s">
        <v>26</v>
      </c>
      <c r="G522" t="s">
        <v>49</v>
      </c>
      <c r="H522" s="1">
        <v>45005.775266203702</v>
      </c>
      <c r="I522" s="1">
        <v>45007.775266203702</v>
      </c>
      <c r="J522" s="1">
        <v>45005.816932870373</v>
      </c>
      <c r="K522" s="2">
        <v>45005.81433922454</v>
      </c>
      <c r="L522" t="s">
        <v>28</v>
      </c>
      <c r="M522" s="2">
        <v>45005.811728043984</v>
      </c>
      <c r="N522" t="s">
        <v>28</v>
      </c>
      <c r="O522" s="2">
        <v>45010.46140241898</v>
      </c>
      <c r="P522">
        <v>5</v>
      </c>
      <c r="Q522">
        <v>4</v>
      </c>
      <c r="R522" t="s">
        <v>50</v>
      </c>
      <c r="S522" t="s">
        <v>30</v>
      </c>
      <c r="T522" t="s">
        <v>63</v>
      </c>
      <c r="U522">
        <v>55.378051999999997</v>
      </c>
      <c r="V522">
        <v>-3.4359730000000002</v>
      </c>
      <c r="W522" t="str">
        <f t="shared" si="56"/>
        <v>ok</v>
      </c>
      <c r="X522" t="str">
        <f t="shared" si="61"/>
        <v>ok</v>
      </c>
      <c r="Y522" t="str">
        <f t="shared" si="57"/>
        <v>ok</v>
      </c>
      <c r="Z522" t="str">
        <f t="shared" si="58"/>
        <v>ok</v>
      </c>
      <c r="AA522" s="4" t="str">
        <f t="shared" si="59"/>
        <v>ok</v>
      </c>
      <c r="AB522" s="4" t="str">
        <f t="shared" si="60"/>
        <v>ok</v>
      </c>
      <c r="AC522" s="6">
        <f t="shared" si="55"/>
        <v>0.87508416676428169</v>
      </c>
    </row>
    <row r="523" spans="1:29" x14ac:dyDescent="0.3">
      <c r="A523" t="s">
        <v>22</v>
      </c>
      <c r="B523">
        <v>1646</v>
      </c>
      <c r="C523" t="s">
        <v>23</v>
      </c>
      <c r="D523" t="s">
        <v>24</v>
      </c>
      <c r="E523" t="s">
        <v>44</v>
      </c>
      <c r="F523" t="s">
        <v>26</v>
      </c>
      <c r="G523" t="s">
        <v>52</v>
      </c>
      <c r="H523" s="1">
        <v>45006.799664351849</v>
      </c>
      <c r="I523" s="1">
        <v>45008.799664351849</v>
      </c>
      <c r="J523" s="1">
        <v>45006.841331018521</v>
      </c>
      <c r="K523" s="2">
        <v>45006.840793611111</v>
      </c>
      <c r="L523" t="s">
        <v>28</v>
      </c>
      <c r="M523" s="2">
        <v>45008.547595451389</v>
      </c>
      <c r="N523" t="s">
        <v>28</v>
      </c>
      <c r="O523" s="2">
        <v>45010.046524282407</v>
      </c>
      <c r="P523">
        <v>1</v>
      </c>
      <c r="Q523">
        <v>3</v>
      </c>
      <c r="R523" t="s">
        <v>29</v>
      </c>
      <c r="S523" t="s">
        <v>30</v>
      </c>
      <c r="T523" t="s">
        <v>66</v>
      </c>
      <c r="U523">
        <v>48.864716000000001</v>
      </c>
      <c r="V523">
        <v>2.3490139999999999</v>
      </c>
      <c r="W523" t="str">
        <f t="shared" si="56"/>
        <v>ok</v>
      </c>
      <c r="X523" t="str">
        <f t="shared" si="61"/>
        <v>ok</v>
      </c>
      <c r="Y523" t="str">
        <f t="shared" si="57"/>
        <v>ok</v>
      </c>
      <c r="Z523" t="str">
        <f t="shared" si="58"/>
        <v>ok</v>
      </c>
      <c r="AA523" s="4" t="str">
        <f t="shared" si="59"/>
        <v>ok</v>
      </c>
      <c r="AB523" s="4" t="str">
        <f t="shared" si="60"/>
        <v>ok</v>
      </c>
      <c r="AC523" s="6">
        <f t="shared" si="55"/>
        <v>41.950346388970502</v>
      </c>
    </row>
    <row r="524" spans="1:29" x14ac:dyDescent="0.3">
      <c r="A524" t="s">
        <v>22</v>
      </c>
      <c r="B524">
        <v>1647</v>
      </c>
      <c r="C524" t="s">
        <v>23</v>
      </c>
      <c r="D524" t="s">
        <v>43</v>
      </c>
      <c r="E524" t="s">
        <v>25</v>
      </c>
      <c r="F524" t="s">
        <v>36</v>
      </c>
      <c r="G524" t="s">
        <v>54</v>
      </c>
      <c r="H524" s="1">
        <v>45006.002164351848</v>
      </c>
      <c r="I524" s="1">
        <v>45007.002164351848</v>
      </c>
      <c r="J524" s="1">
        <v>45006.003553240742</v>
      </c>
      <c r="K524" s="2">
        <v>45006.002520706017</v>
      </c>
      <c r="L524" t="s">
        <v>28</v>
      </c>
      <c r="M524" s="2">
        <v>45006.602652442132</v>
      </c>
      <c r="N524" t="s">
        <v>28</v>
      </c>
      <c r="O524" s="2">
        <v>45006.839013275465</v>
      </c>
      <c r="P524">
        <v>6</v>
      </c>
      <c r="Q524">
        <v>3</v>
      </c>
      <c r="R524" t="s">
        <v>50</v>
      </c>
      <c r="S524" t="s">
        <v>40</v>
      </c>
      <c r="T524" t="s">
        <v>56</v>
      </c>
      <c r="U524">
        <v>52.536273000000001</v>
      </c>
      <c r="V524">
        <v>19.050639</v>
      </c>
      <c r="W524" t="str">
        <f t="shared" si="56"/>
        <v>ok</v>
      </c>
      <c r="X524" t="str">
        <f t="shared" si="61"/>
        <v>ok</v>
      </c>
      <c r="Y524" t="str">
        <f t="shared" si="57"/>
        <v>ok</v>
      </c>
      <c r="Z524" t="str">
        <f t="shared" si="58"/>
        <v>ok</v>
      </c>
      <c r="AA524" s="4" t="str">
        <f t="shared" si="59"/>
        <v>ok</v>
      </c>
      <c r="AB524" s="4" t="str">
        <f t="shared" si="60"/>
        <v>ok</v>
      </c>
      <c r="AC524" s="6">
        <f t="shared" si="55"/>
        <v>14.41171416681027</v>
      </c>
    </row>
    <row r="525" spans="1:29" x14ac:dyDescent="0.3">
      <c r="A525" t="s">
        <v>22</v>
      </c>
      <c r="B525">
        <v>1648</v>
      </c>
      <c r="C525" t="s">
        <v>33</v>
      </c>
      <c r="D525" t="s">
        <v>34</v>
      </c>
      <c r="E525" t="s">
        <v>35</v>
      </c>
      <c r="F525" t="s">
        <v>36</v>
      </c>
      <c r="G525" t="s">
        <v>64</v>
      </c>
      <c r="H525" s="1">
        <v>45006.363587962966</v>
      </c>
      <c r="I525" s="1">
        <v>45008.363587962966</v>
      </c>
      <c r="J525" s="1">
        <v>45006.364976851852</v>
      </c>
      <c r="K525" s="2">
        <v>45006.363794826386</v>
      </c>
      <c r="L525" t="s">
        <v>28</v>
      </c>
      <c r="M525" s="2">
        <v>45011.546946481481</v>
      </c>
      <c r="N525" t="s">
        <v>38</v>
      </c>
      <c r="O525" s="2">
        <v>45012.679423993053</v>
      </c>
      <c r="P525">
        <v>3</v>
      </c>
      <c r="Q525">
        <v>4</v>
      </c>
      <c r="R525" t="s">
        <v>50</v>
      </c>
      <c r="S525" t="s">
        <v>40</v>
      </c>
      <c r="T525" t="s">
        <v>57</v>
      </c>
      <c r="U525">
        <v>51.165691000000002</v>
      </c>
      <c r="V525">
        <v>10.451525999999999</v>
      </c>
      <c r="W525" t="str">
        <f t="shared" si="56"/>
        <v>ok</v>
      </c>
      <c r="X525" t="str">
        <f t="shared" si="61"/>
        <v>ok</v>
      </c>
      <c r="Y525" t="str">
        <f t="shared" si="57"/>
        <v>ok</v>
      </c>
      <c r="Z525" t="str">
        <f t="shared" si="58"/>
        <v>ok</v>
      </c>
      <c r="AA525" s="4" t="str">
        <f t="shared" si="59"/>
        <v>ok</v>
      </c>
      <c r="AB525" s="4" t="str">
        <f t="shared" si="60"/>
        <v>ok</v>
      </c>
      <c r="AC525" s="6">
        <f t="shared" si="55"/>
        <v>124.40060444438132</v>
      </c>
    </row>
    <row r="526" spans="1:29" x14ac:dyDescent="0.3">
      <c r="A526" t="s">
        <v>42</v>
      </c>
      <c r="B526">
        <v>1649</v>
      </c>
      <c r="C526" t="s">
        <v>23</v>
      </c>
      <c r="D526" t="s">
        <v>43</v>
      </c>
      <c r="E526" t="s">
        <v>62</v>
      </c>
      <c r="F526" t="s">
        <v>26</v>
      </c>
      <c r="G526" t="s">
        <v>27</v>
      </c>
      <c r="H526" s="1">
        <v>45006.445856481485</v>
      </c>
      <c r="I526" s="1">
        <v>45007.445856481485</v>
      </c>
      <c r="J526" s="1">
        <v>45006.447245370371</v>
      </c>
      <c r="K526" s="2">
        <v>45006.447310057869</v>
      </c>
      <c r="L526" t="s">
        <v>38</v>
      </c>
      <c r="M526" s="2">
        <v>45007.432805787037</v>
      </c>
      <c r="N526" t="s">
        <v>28</v>
      </c>
      <c r="P526">
        <v>9</v>
      </c>
      <c r="R526" t="s">
        <v>55</v>
      </c>
      <c r="S526" t="s">
        <v>30</v>
      </c>
      <c r="T526" t="s">
        <v>41</v>
      </c>
      <c r="U526">
        <v>43.036776000000003</v>
      </c>
      <c r="V526">
        <v>12.678565000000001</v>
      </c>
      <c r="W526" t="str">
        <f t="shared" si="56"/>
        <v>ok</v>
      </c>
      <c r="X526" t="str">
        <f t="shared" si="61"/>
        <v>ok</v>
      </c>
      <c r="Y526" t="str">
        <f t="shared" si="57"/>
        <v>ok</v>
      </c>
      <c r="Z526" t="str">
        <f t="shared" si="58"/>
        <v>ok</v>
      </c>
      <c r="AA526" s="4" t="str">
        <f t="shared" si="59"/>
        <v>ok</v>
      </c>
      <c r="AB526" s="4" t="str">
        <f t="shared" si="60"/>
        <v>ok</v>
      </c>
      <c r="AC526" s="6">
        <f t="shared" si="55"/>
        <v>23.686783333250787</v>
      </c>
    </row>
    <row r="527" spans="1:29" x14ac:dyDescent="0.3">
      <c r="A527" t="s">
        <v>32</v>
      </c>
      <c r="B527">
        <v>1650</v>
      </c>
      <c r="C527" t="s">
        <v>47</v>
      </c>
      <c r="D527" t="s">
        <v>24</v>
      </c>
      <c r="E527" t="s">
        <v>39</v>
      </c>
      <c r="F527" t="s">
        <v>26</v>
      </c>
      <c r="G527" t="s">
        <v>45</v>
      </c>
      <c r="H527" s="1">
        <v>45007.185370370367</v>
      </c>
      <c r="I527" s="1">
        <v>45009.185370370367</v>
      </c>
      <c r="J527" s="1">
        <v>45007.227037037039</v>
      </c>
      <c r="K527" s="2">
        <v>45007.208679814816</v>
      </c>
      <c r="L527" t="s">
        <v>28</v>
      </c>
      <c r="N527" t="s">
        <v>38</v>
      </c>
      <c r="P527">
        <v>2</v>
      </c>
      <c r="R527" t="s">
        <v>50</v>
      </c>
      <c r="S527" t="s">
        <v>30</v>
      </c>
      <c r="T527" t="s">
        <v>66</v>
      </c>
      <c r="U527">
        <v>48.864716000000001</v>
      </c>
      <c r="V527">
        <v>2.3490139999999999</v>
      </c>
      <c r="W527" t="str">
        <f t="shared" si="56"/>
        <v>ok</v>
      </c>
      <c r="X527" t="str">
        <f t="shared" si="61"/>
        <v>ok</v>
      </c>
      <c r="Y527" t="str">
        <f t="shared" si="57"/>
        <v>ok</v>
      </c>
      <c r="Z527" t="str">
        <f t="shared" si="58"/>
        <v>ok</v>
      </c>
      <c r="AA527" s="4" t="str">
        <f t="shared" si="59"/>
        <v>ok</v>
      </c>
      <c r="AB527" s="4" t="str">
        <f t="shared" si="60"/>
        <v>no resolution</v>
      </c>
      <c r="AC527" s="6" t="str">
        <f t="shared" si="55"/>
        <v/>
      </c>
    </row>
    <row r="528" spans="1:29" x14ac:dyDescent="0.3">
      <c r="A528" t="s">
        <v>42</v>
      </c>
      <c r="B528">
        <v>1651</v>
      </c>
      <c r="C528" t="s">
        <v>23</v>
      </c>
      <c r="D528" t="s">
        <v>24</v>
      </c>
      <c r="E528" t="s">
        <v>25</v>
      </c>
      <c r="F528" t="s">
        <v>26</v>
      </c>
      <c r="G528" t="s">
        <v>45</v>
      </c>
      <c r="H528" s="1">
        <v>45007.009444444448</v>
      </c>
      <c r="I528" s="1">
        <v>45009.009444444448</v>
      </c>
      <c r="J528" s="1">
        <v>45007.051111111112</v>
      </c>
      <c r="K528" s="2">
        <v>45007.036934745367</v>
      </c>
      <c r="L528" t="s">
        <v>28</v>
      </c>
      <c r="M528" s="2">
        <v>45008.089846793984</v>
      </c>
      <c r="N528" t="s">
        <v>28</v>
      </c>
      <c r="P528">
        <v>6</v>
      </c>
      <c r="R528" t="s">
        <v>39</v>
      </c>
      <c r="S528" t="s">
        <v>30</v>
      </c>
      <c r="T528" t="s">
        <v>53</v>
      </c>
      <c r="U528">
        <v>39.368279000000001</v>
      </c>
      <c r="V528">
        <v>21.863140999999999</v>
      </c>
      <c r="W528" t="str">
        <f t="shared" si="56"/>
        <v>ok</v>
      </c>
      <c r="X528" t="str">
        <f t="shared" si="61"/>
        <v>ok</v>
      </c>
      <c r="Y528" t="str">
        <f t="shared" si="57"/>
        <v>ok</v>
      </c>
      <c r="Z528" t="str">
        <f t="shared" si="58"/>
        <v>ok</v>
      </c>
      <c r="AA528" s="4" t="str">
        <f t="shared" si="59"/>
        <v>ok</v>
      </c>
      <c r="AB528" s="4" t="str">
        <f t="shared" si="60"/>
        <v>ok</v>
      </c>
      <c r="AC528" s="6">
        <f t="shared" si="55"/>
        <v>25.929656388878357</v>
      </c>
    </row>
    <row r="529" spans="1:29" x14ac:dyDescent="0.3">
      <c r="A529" t="s">
        <v>22</v>
      </c>
      <c r="B529">
        <v>1652</v>
      </c>
      <c r="C529" t="s">
        <v>47</v>
      </c>
      <c r="D529" t="s">
        <v>43</v>
      </c>
      <c r="E529" t="s">
        <v>25</v>
      </c>
      <c r="F529" t="s">
        <v>36</v>
      </c>
      <c r="G529" t="s">
        <v>64</v>
      </c>
      <c r="H529" s="1">
        <v>45007.208877314813</v>
      </c>
      <c r="I529" s="1">
        <v>45008.208877314813</v>
      </c>
      <c r="J529" s="1">
        <v>45007.210266203707</v>
      </c>
      <c r="K529" s="2">
        <v>45007.210155706016</v>
      </c>
      <c r="L529" t="s">
        <v>28</v>
      </c>
      <c r="M529" s="2">
        <v>45007.596550092596</v>
      </c>
      <c r="N529" t="s">
        <v>28</v>
      </c>
      <c r="O529" s="2">
        <v>45012.955716712961</v>
      </c>
      <c r="P529">
        <v>6</v>
      </c>
      <c r="Q529">
        <v>3</v>
      </c>
      <c r="R529" t="s">
        <v>29</v>
      </c>
      <c r="S529" t="s">
        <v>40</v>
      </c>
      <c r="T529" t="s">
        <v>46</v>
      </c>
      <c r="U529">
        <v>47.696471899999999</v>
      </c>
      <c r="V529">
        <v>13.3457347</v>
      </c>
      <c r="W529" t="str">
        <f t="shared" si="56"/>
        <v>ok</v>
      </c>
      <c r="X529" t="str">
        <f t="shared" si="61"/>
        <v>ok</v>
      </c>
      <c r="Y529" t="str">
        <f t="shared" si="57"/>
        <v>ok</v>
      </c>
      <c r="Z529" t="str">
        <f t="shared" si="58"/>
        <v>ok</v>
      </c>
      <c r="AA529" s="4" t="str">
        <f t="shared" si="59"/>
        <v>ok</v>
      </c>
      <c r="AB529" s="4" t="str">
        <f t="shared" si="60"/>
        <v>ok</v>
      </c>
      <c r="AC529" s="6">
        <f t="shared" si="55"/>
        <v>9.3041466667782515</v>
      </c>
    </row>
    <row r="530" spans="1:29" x14ac:dyDescent="0.3">
      <c r="A530" t="s">
        <v>42</v>
      </c>
      <c r="B530">
        <v>1653</v>
      </c>
      <c r="C530" t="s">
        <v>47</v>
      </c>
      <c r="D530" t="s">
        <v>24</v>
      </c>
      <c r="E530" t="s">
        <v>35</v>
      </c>
      <c r="F530" t="s">
        <v>26</v>
      </c>
      <c r="G530" t="s">
        <v>60</v>
      </c>
      <c r="H530" s="1">
        <v>45007.062777777777</v>
      </c>
      <c r="I530" s="1">
        <v>45009.062777777777</v>
      </c>
      <c r="J530" s="1">
        <v>45007.104444444441</v>
      </c>
      <c r="K530" s="2">
        <v>45007.095148356479</v>
      </c>
      <c r="L530" t="s">
        <v>28</v>
      </c>
      <c r="M530" s="2">
        <v>45007.214540694447</v>
      </c>
      <c r="N530" t="s">
        <v>28</v>
      </c>
      <c r="P530">
        <v>2</v>
      </c>
      <c r="R530" t="s">
        <v>55</v>
      </c>
      <c r="S530" t="s">
        <v>30</v>
      </c>
      <c r="T530" t="s">
        <v>53</v>
      </c>
      <c r="U530">
        <v>39.368279000000001</v>
      </c>
      <c r="V530">
        <v>21.863140999999999</v>
      </c>
      <c r="W530" t="str">
        <f t="shared" si="56"/>
        <v>ok</v>
      </c>
      <c r="X530" t="str">
        <f t="shared" si="61"/>
        <v>ok</v>
      </c>
      <c r="Y530" t="str">
        <f t="shared" si="57"/>
        <v>ok</v>
      </c>
      <c r="Z530" t="str">
        <f t="shared" si="58"/>
        <v>ok</v>
      </c>
      <c r="AA530" s="4" t="str">
        <f t="shared" si="59"/>
        <v>ok</v>
      </c>
      <c r="AB530" s="4" t="str">
        <f t="shared" si="60"/>
        <v>ok</v>
      </c>
      <c r="AC530" s="6">
        <f t="shared" si="55"/>
        <v>3.6423100000829436</v>
      </c>
    </row>
    <row r="531" spans="1:29" x14ac:dyDescent="0.3">
      <c r="A531" t="s">
        <v>22</v>
      </c>
      <c r="B531">
        <v>1654</v>
      </c>
      <c r="C531" t="s">
        <v>33</v>
      </c>
      <c r="D531" t="s">
        <v>24</v>
      </c>
      <c r="E531" t="s">
        <v>35</v>
      </c>
      <c r="F531" t="s">
        <v>36</v>
      </c>
      <c r="G531" t="s">
        <v>64</v>
      </c>
      <c r="H531" s="1">
        <v>45007.330254629633</v>
      </c>
      <c r="I531" s="1">
        <v>45009.330254629633</v>
      </c>
      <c r="J531" s="1">
        <v>45007.371921296297</v>
      </c>
      <c r="K531" s="2">
        <v>45007.363865983796</v>
      </c>
      <c r="L531" t="s">
        <v>28</v>
      </c>
      <c r="M531" s="2">
        <v>45008.505586770836</v>
      </c>
      <c r="N531" t="s">
        <v>28</v>
      </c>
      <c r="O531" s="2">
        <v>45011.407801006942</v>
      </c>
      <c r="P531">
        <v>8</v>
      </c>
      <c r="Q531">
        <v>2</v>
      </c>
      <c r="R531" t="s">
        <v>29</v>
      </c>
      <c r="S531" t="s">
        <v>40</v>
      </c>
      <c r="T531" t="s">
        <v>63</v>
      </c>
      <c r="U531">
        <v>55.378051999999997</v>
      </c>
      <c r="V531">
        <v>-3.4359730000000002</v>
      </c>
      <c r="W531" t="str">
        <f t="shared" si="56"/>
        <v>ok</v>
      </c>
      <c r="X531" t="str">
        <f t="shared" si="61"/>
        <v>ok</v>
      </c>
      <c r="Y531" t="str">
        <f t="shared" si="57"/>
        <v>ok</v>
      </c>
      <c r="Z531" t="str">
        <f t="shared" si="58"/>
        <v>ok</v>
      </c>
      <c r="AA531" s="4" t="str">
        <f t="shared" si="59"/>
        <v>ok</v>
      </c>
      <c r="AB531" s="4" t="str">
        <f t="shared" si="60"/>
        <v>ok</v>
      </c>
      <c r="AC531" s="6">
        <f t="shared" si="55"/>
        <v>28.20797138888156</v>
      </c>
    </row>
    <row r="532" spans="1:29" x14ac:dyDescent="0.3">
      <c r="A532" t="s">
        <v>22</v>
      </c>
      <c r="B532">
        <v>1655</v>
      </c>
      <c r="C532" t="s">
        <v>23</v>
      </c>
      <c r="D532" t="s">
        <v>24</v>
      </c>
      <c r="E532" t="s">
        <v>35</v>
      </c>
      <c r="F532" t="s">
        <v>26</v>
      </c>
      <c r="G532" t="s">
        <v>49</v>
      </c>
      <c r="H532" s="1">
        <v>45007.764745370368</v>
      </c>
      <c r="I532" s="1">
        <v>45009.764745370368</v>
      </c>
      <c r="J532" s="1">
        <v>45007.80641203704</v>
      </c>
      <c r="K532" s="2">
        <v>45007.962673043985</v>
      </c>
      <c r="L532" t="s">
        <v>38</v>
      </c>
      <c r="M532" s="2">
        <v>45008.424703819444</v>
      </c>
      <c r="N532" t="s">
        <v>28</v>
      </c>
      <c r="O532" s="2">
        <v>45013.405843761575</v>
      </c>
      <c r="P532">
        <v>3</v>
      </c>
      <c r="Q532">
        <v>4</v>
      </c>
      <c r="R532" t="s">
        <v>29</v>
      </c>
      <c r="S532" t="s">
        <v>30</v>
      </c>
      <c r="T532" t="s">
        <v>65</v>
      </c>
      <c r="U532">
        <v>46.149166399999999</v>
      </c>
      <c r="V532">
        <v>14.9860106</v>
      </c>
      <c r="W532" t="str">
        <f t="shared" si="56"/>
        <v>ok</v>
      </c>
      <c r="X532" t="str">
        <f t="shared" si="61"/>
        <v>ok</v>
      </c>
      <c r="Y532" t="str">
        <f t="shared" si="57"/>
        <v>ok</v>
      </c>
      <c r="Z532" t="str">
        <f t="shared" si="58"/>
        <v>ok</v>
      </c>
      <c r="AA532" s="4" t="str">
        <f t="shared" si="59"/>
        <v>ok</v>
      </c>
      <c r="AB532" s="4" t="str">
        <f t="shared" si="60"/>
        <v>ok</v>
      </c>
      <c r="AC532" s="6">
        <f t="shared" si="55"/>
        <v>15.839002777822316</v>
      </c>
    </row>
    <row r="533" spans="1:29" x14ac:dyDescent="0.3">
      <c r="A533" t="s">
        <v>22</v>
      </c>
      <c r="B533">
        <v>1656</v>
      </c>
      <c r="C533" t="s">
        <v>23</v>
      </c>
      <c r="D533" t="s">
        <v>24</v>
      </c>
      <c r="E533" t="s">
        <v>35</v>
      </c>
      <c r="F533" t="s">
        <v>36</v>
      </c>
      <c r="G533" t="s">
        <v>37</v>
      </c>
      <c r="H533" s="1">
        <v>45008.252592592595</v>
      </c>
      <c r="I533" s="1">
        <v>45010.252592592595</v>
      </c>
      <c r="J533" s="1">
        <v>45008.294259259259</v>
      </c>
      <c r="K533" s="2">
        <v>45008.284943564817</v>
      </c>
      <c r="L533" t="s">
        <v>28</v>
      </c>
      <c r="M533" s="2">
        <v>45011.1612297338</v>
      </c>
      <c r="N533" t="s">
        <v>38</v>
      </c>
      <c r="O533" s="2">
        <v>45012.23958079861</v>
      </c>
      <c r="P533">
        <v>6</v>
      </c>
      <c r="Q533">
        <v>5</v>
      </c>
      <c r="R533" t="s">
        <v>50</v>
      </c>
      <c r="S533" t="s">
        <v>40</v>
      </c>
      <c r="T533" t="s">
        <v>61</v>
      </c>
      <c r="U533">
        <v>42.724992499999999</v>
      </c>
      <c r="V533">
        <v>25.483303899999999</v>
      </c>
      <c r="W533" t="str">
        <f t="shared" si="56"/>
        <v>ok</v>
      </c>
      <c r="X533" t="str">
        <f t="shared" si="61"/>
        <v>ok</v>
      </c>
      <c r="Y533" t="str">
        <f t="shared" si="57"/>
        <v>ok</v>
      </c>
      <c r="Z533" t="str">
        <f t="shared" si="58"/>
        <v>ok</v>
      </c>
      <c r="AA533" s="4" t="str">
        <f t="shared" si="59"/>
        <v>ok</v>
      </c>
      <c r="AB533" s="4" t="str">
        <f t="shared" si="60"/>
        <v>ok</v>
      </c>
      <c r="AC533" s="6">
        <f t="shared" si="55"/>
        <v>69.807291388919111</v>
      </c>
    </row>
    <row r="534" spans="1:29" x14ac:dyDescent="0.3">
      <c r="A534" t="s">
        <v>22</v>
      </c>
      <c r="B534">
        <v>1657</v>
      </c>
      <c r="C534" t="s">
        <v>47</v>
      </c>
      <c r="D534" t="s">
        <v>34</v>
      </c>
      <c r="E534" t="s">
        <v>59</v>
      </c>
      <c r="F534" t="s">
        <v>26</v>
      </c>
      <c r="G534" t="s">
        <v>60</v>
      </c>
      <c r="H534" s="1">
        <v>45008.570127314815</v>
      </c>
      <c r="I534" s="1">
        <v>45010.570127314815</v>
      </c>
      <c r="J534" s="1">
        <v>45008.571516203701</v>
      </c>
      <c r="K534" s="2">
        <v>45008.571173796299</v>
      </c>
      <c r="L534" t="s">
        <v>28</v>
      </c>
      <c r="M534" s="2">
        <v>45009.392225949072</v>
      </c>
      <c r="N534" t="s">
        <v>28</v>
      </c>
      <c r="O534" s="2">
        <v>45011.530712361113</v>
      </c>
      <c r="P534">
        <v>4</v>
      </c>
      <c r="Q534">
        <v>5</v>
      </c>
      <c r="R534" t="s">
        <v>50</v>
      </c>
      <c r="S534" t="s">
        <v>30</v>
      </c>
      <c r="T534" t="s">
        <v>51</v>
      </c>
      <c r="U534">
        <v>39.673369999999998</v>
      </c>
      <c r="V534">
        <v>-4.7677259999999997</v>
      </c>
      <c r="W534" t="str">
        <f t="shared" si="56"/>
        <v>ok</v>
      </c>
      <c r="X534" t="str">
        <f t="shared" si="61"/>
        <v>ok</v>
      </c>
      <c r="Y534" t="str">
        <f t="shared" si="57"/>
        <v>ok</v>
      </c>
      <c r="Z534" t="str">
        <f t="shared" si="58"/>
        <v>ok</v>
      </c>
      <c r="AA534" s="4" t="str">
        <f t="shared" si="59"/>
        <v>ok</v>
      </c>
      <c r="AB534" s="4" t="str">
        <f t="shared" si="60"/>
        <v>ok</v>
      </c>
      <c r="AC534" s="6">
        <f t="shared" ref="AC534:AC560" si="62">IF(M534="","",(M534-H534)*24)</f>
        <v>19.730367222160567</v>
      </c>
    </row>
    <row r="535" spans="1:29" x14ac:dyDescent="0.3">
      <c r="A535" t="s">
        <v>22</v>
      </c>
      <c r="B535">
        <v>1658</v>
      </c>
      <c r="C535" t="s">
        <v>33</v>
      </c>
      <c r="D535" t="s">
        <v>24</v>
      </c>
      <c r="E535" t="s">
        <v>39</v>
      </c>
      <c r="F535" t="s">
        <v>26</v>
      </c>
      <c r="G535" t="s">
        <v>60</v>
      </c>
      <c r="H535" s="1">
        <v>45008.582442129627</v>
      </c>
      <c r="I535" s="1">
        <v>45010.582442129627</v>
      </c>
      <c r="J535" s="1">
        <v>45008.624108796299</v>
      </c>
      <c r="K535" s="2">
        <v>45008.602411817126</v>
      </c>
      <c r="L535" t="s">
        <v>28</v>
      </c>
      <c r="M535" s="2">
        <v>45010.451927233793</v>
      </c>
      <c r="N535" t="s">
        <v>28</v>
      </c>
      <c r="O535" s="2">
        <v>45009.456251585645</v>
      </c>
      <c r="P535">
        <v>1</v>
      </c>
      <c r="Q535">
        <v>4</v>
      </c>
      <c r="R535" t="s">
        <v>29</v>
      </c>
      <c r="S535" t="s">
        <v>30</v>
      </c>
      <c r="T535" t="s">
        <v>63</v>
      </c>
      <c r="U535">
        <v>55.378051999999997</v>
      </c>
      <c r="V535">
        <v>-3.4359730000000002</v>
      </c>
      <c r="W535" t="str">
        <f t="shared" si="56"/>
        <v>ok</v>
      </c>
      <c r="X535" t="str">
        <f t="shared" si="61"/>
        <v>ok</v>
      </c>
      <c r="Y535" t="str">
        <f t="shared" si="57"/>
        <v>check</v>
      </c>
      <c r="Z535" t="str">
        <f t="shared" si="58"/>
        <v>ok</v>
      </c>
      <c r="AA535" s="4" t="str">
        <f t="shared" si="59"/>
        <v>ok</v>
      </c>
      <c r="AB535" s="4" t="str">
        <f t="shared" si="60"/>
        <v>ok</v>
      </c>
      <c r="AC535" s="6">
        <f t="shared" si="62"/>
        <v>44.867642499972135</v>
      </c>
    </row>
    <row r="536" spans="1:29" x14ac:dyDescent="0.3">
      <c r="A536" t="s">
        <v>42</v>
      </c>
      <c r="B536">
        <v>1659</v>
      </c>
      <c r="C536" t="s">
        <v>23</v>
      </c>
      <c r="D536" t="s">
        <v>24</v>
      </c>
      <c r="E536" t="s">
        <v>59</v>
      </c>
      <c r="F536" t="s">
        <v>36</v>
      </c>
      <c r="G536" t="s">
        <v>37</v>
      </c>
      <c r="H536" s="1">
        <v>45008.602129629631</v>
      </c>
      <c r="I536" s="1">
        <v>45010.602129629631</v>
      </c>
      <c r="J536" s="1">
        <v>45008.643796296295</v>
      </c>
      <c r="K536" s="2">
        <v>45008.643124884256</v>
      </c>
      <c r="L536" t="s">
        <v>28</v>
      </c>
      <c r="M536" s="2">
        <v>45010.471387071761</v>
      </c>
      <c r="N536" t="s">
        <v>28</v>
      </c>
      <c r="P536">
        <v>10</v>
      </c>
      <c r="R536" t="s">
        <v>55</v>
      </c>
      <c r="S536" t="s">
        <v>40</v>
      </c>
      <c r="T536" t="s">
        <v>53</v>
      </c>
      <c r="U536">
        <v>39.368279000000001</v>
      </c>
      <c r="V536">
        <v>21.863140999999999</v>
      </c>
      <c r="W536" t="str">
        <f t="shared" si="56"/>
        <v>ok</v>
      </c>
      <c r="X536" t="str">
        <f t="shared" si="61"/>
        <v>ok</v>
      </c>
      <c r="Y536" t="str">
        <f t="shared" si="57"/>
        <v>ok</v>
      </c>
      <c r="Z536" t="str">
        <f t="shared" si="58"/>
        <v>ok</v>
      </c>
      <c r="AA536" s="4" t="str">
        <f t="shared" si="59"/>
        <v>ok</v>
      </c>
      <c r="AB536" s="4" t="str">
        <f t="shared" si="60"/>
        <v>ok</v>
      </c>
      <c r="AC536" s="6">
        <f t="shared" si="62"/>
        <v>44.862178611103445</v>
      </c>
    </row>
    <row r="537" spans="1:29" x14ac:dyDescent="0.3">
      <c r="A537" t="s">
        <v>32</v>
      </c>
      <c r="B537">
        <v>1660</v>
      </c>
      <c r="C537" t="s">
        <v>23</v>
      </c>
      <c r="D537" t="s">
        <v>24</v>
      </c>
      <c r="E537" t="s">
        <v>25</v>
      </c>
      <c r="F537" t="s">
        <v>36</v>
      </c>
      <c r="G537" t="s">
        <v>54</v>
      </c>
      <c r="H537" s="1">
        <v>45008.944282407407</v>
      </c>
      <c r="I537" s="1">
        <v>45010.944282407407</v>
      </c>
      <c r="J537" s="1">
        <v>45008.985949074071</v>
      </c>
      <c r="K537" s="2">
        <v>45008.979305138892</v>
      </c>
      <c r="L537" t="s">
        <v>28</v>
      </c>
      <c r="N537" t="s">
        <v>38</v>
      </c>
      <c r="P537">
        <v>8</v>
      </c>
      <c r="R537" t="s">
        <v>39</v>
      </c>
      <c r="S537" t="s">
        <v>40</v>
      </c>
      <c r="T537" t="s">
        <v>41</v>
      </c>
      <c r="U537">
        <v>43.036776000000003</v>
      </c>
      <c r="V537">
        <v>12.678565000000001</v>
      </c>
      <c r="W537" t="str">
        <f t="shared" si="56"/>
        <v>ok</v>
      </c>
      <c r="X537" t="str">
        <f t="shared" si="61"/>
        <v>ok</v>
      </c>
      <c r="Y537" t="str">
        <f t="shared" si="57"/>
        <v>ok</v>
      </c>
      <c r="Z537" t="str">
        <f t="shared" si="58"/>
        <v>ok</v>
      </c>
      <c r="AA537" s="4" t="str">
        <f t="shared" si="59"/>
        <v>ok</v>
      </c>
      <c r="AB537" s="4" t="str">
        <f t="shared" si="60"/>
        <v>no resolution</v>
      </c>
      <c r="AC537" s="6" t="str">
        <f t="shared" si="62"/>
        <v/>
      </c>
    </row>
    <row r="538" spans="1:29" x14ac:dyDescent="0.3">
      <c r="A538" t="s">
        <v>22</v>
      </c>
      <c r="B538">
        <v>1661</v>
      </c>
      <c r="C538" t="s">
        <v>47</v>
      </c>
      <c r="D538" t="s">
        <v>43</v>
      </c>
      <c r="E538" t="s">
        <v>48</v>
      </c>
      <c r="F538" t="s">
        <v>26</v>
      </c>
      <c r="G538" t="s">
        <v>45</v>
      </c>
      <c r="H538" s="1">
        <v>45008.210752314815</v>
      </c>
      <c r="I538" s="1">
        <v>45009.210752314815</v>
      </c>
      <c r="J538" s="1">
        <v>45008.212141203701</v>
      </c>
      <c r="K538" s="2">
        <v>45008.211878553244</v>
      </c>
      <c r="L538" t="s">
        <v>28</v>
      </c>
      <c r="M538" s="2">
        <v>45009.189651423614</v>
      </c>
      <c r="N538" t="s">
        <v>28</v>
      </c>
      <c r="O538" s="2">
        <v>45010.508009548612</v>
      </c>
      <c r="P538">
        <v>3</v>
      </c>
      <c r="Q538">
        <v>3</v>
      </c>
      <c r="R538" t="s">
        <v>55</v>
      </c>
      <c r="S538" t="s">
        <v>30</v>
      </c>
      <c r="T538" t="s">
        <v>41</v>
      </c>
      <c r="U538">
        <v>43.036776000000003</v>
      </c>
      <c r="V538">
        <v>12.678565000000001</v>
      </c>
      <c r="W538" t="str">
        <f t="shared" si="56"/>
        <v>ok</v>
      </c>
      <c r="X538" t="str">
        <f t="shared" si="61"/>
        <v>ok</v>
      </c>
      <c r="Y538" t="str">
        <f t="shared" si="57"/>
        <v>ok</v>
      </c>
      <c r="Z538" t="str">
        <f t="shared" si="58"/>
        <v>ok</v>
      </c>
      <c r="AA538" s="4" t="str">
        <f t="shared" si="59"/>
        <v>ok</v>
      </c>
      <c r="AB538" s="4" t="str">
        <f t="shared" si="60"/>
        <v>ok</v>
      </c>
      <c r="AC538" s="6">
        <f t="shared" si="62"/>
        <v>23.493578611174598</v>
      </c>
    </row>
    <row r="539" spans="1:29" x14ac:dyDescent="0.3">
      <c r="A539" t="s">
        <v>42</v>
      </c>
      <c r="B539">
        <v>1665</v>
      </c>
      <c r="C539" t="s">
        <v>47</v>
      </c>
      <c r="D539" t="s">
        <v>24</v>
      </c>
      <c r="E539" t="s">
        <v>25</v>
      </c>
      <c r="F539" t="s">
        <v>26</v>
      </c>
      <c r="G539" t="s">
        <v>60</v>
      </c>
      <c r="H539" s="1">
        <v>45009.314837962964</v>
      </c>
      <c r="I539" s="1">
        <v>45011.314837962964</v>
      </c>
      <c r="J539" s="1">
        <v>45009.356504629628</v>
      </c>
      <c r="K539" s="2">
        <v>45009.334892997686</v>
      </c>
      <c r="L539" t="s">
        <v>28</v>
      </c>
      <c r="M539" s="2">
        <v>45010.515231724537</v>
      </c>
      <c r="N539" t="s">
        <v>28</v>
      </c>
      <c r="P539">
        <v>3</v>
      </c>
      <c r="R539" t="s">
        <v>29</v>
      </c>
      <c r="S539" t="s">
        <v>30</v>
      </c>
      <c r="T539" t="s">
        <v>66</v>
      </c>
      <c r="U539">
        <v>48.864716000000001</v>
      </c>
      <c r="V539">
        <v>2.3490139999999999</v>
      </c>
      <c r="W539" t="str">
        <f t="shared" si="56"/>
        <v>ok</v>
      </c>
      <c r="X539" t="str">
        <f t="shared" si="61"/>
        <v>ok</v>
      </c>
      <c r="Y539" t="str">
        <f t="shared" si="57"/>
        <v>ok</v>
      </c>
      <c r="Z539" t="str">
        <f t="shared" si="58"/>
        <v>ok</v>
      </c>
      <c r="AA539" s="4" t="str">
        <f t="shared" si="59"/>
        <v>ok</v>
      </c>
      <c r="AB539" s="4" t="str">
        <f t="shared" si="60"/>
        <v>ok</v>
      </c>
      <c r="AC539" s="6">
        <f t="shared" si="62"/>
        <v>28.80945027776761</v>
      </c>
    </row>
    <row r="540" spans="1:29" x14ac:dyDescent="0.3">
      <c r="A540" t="s">
        <v>32</v>
      </c>
      <c r="B540">
        <v>1666</v>
      </c>
      <c r="C540" t="s">
        <v>47</v>
      </c>
      <c r="D540" t="s">
        <v>24</v>
      </c>
      <c r="E540" t="s">
        <v>35</v>
      </c>
      <c r="F540" t="s">
        <v>26</v>
      </c>
      <c r="G540" t="s">
        <v>45</v>
      </c>
      <c r="H540" s="1">
        <v>45009.925509259258</v>
      </c>
      <c r="I540" s="1">
        <v>45011.925509259258</v>
      </c>
      <c r="J540" s="1">
        <v>45009.967175925929</v>
      </c>
      <c r="K540" s="2">
        <v>45009.95443114583</v>
      </c>
      <c r="L540" t="s">
        <v>28</v>
      </c>
      <c r="N540" t="s">
        <v>38</v>
      </c>
      <c r="P540">
        <v>2</v>
      </c>
      <c r="R540" t="s">
        <v>29</v>
      </c>
      <c r="S540" t="s">
        <v>30</v>
      </c>
      <c r="T540" t="s">
        <v>53</v>
      </c>
      <c r="U540">
        <v>39.368279000000001</v>
      </c>
      <c r="V540">
        <v>21.863140999999999</v>
      </c>
      <c r="W540" t="str">
        <f t="shared" si="56"/>
        <v>ok</v>
      </c>
      <c r="X540" t="str">
        <f t="shared" si="61"/>
        <v>ok</v>
      </c>
      <c r="Y540" t="str">
        <f t="shared" si="57"/>
        <v>ok</v>
      </c>
      <c r="Z540" t="str">
        <f t="shared" si="58"/>
        <v>ok</v>
      </c>
      <c r="AA540" s="4" t="str">
        <f t="shared" si="59"/>
        <v>ok</v>
      </c>
      <c r="AB540" s="4" t="str">
        <f t="shared" si="60"/>
        <v>no resolution</v>
      </c>
      <c r="AC540" s="6" t="str">
        <f t="shared" si="62"/>
        <v/>
      </c>
    </row>
    <row r="541" spans="1:29" x14ac:dyDescent="0.3">
      <c r="A541" t="s">
        <v>22</v>
      </c>
      <c r="B541">
        <v>1668</v>
      </c>
      <c r="C541" t="s">
        <v>47</v>
      </c>
      <c r="D541" t="s">
        <v>24</v>
      </c>
      <c r="E541" t="s">
        <v>44</v>
      </c>
      <c r="F541" t="s">
        <v>26</v>
      </c>
      <c r="G541" t="s">
        <v>60</v>
      </c>
      <c r="H541" s="1">
        <v>45009.179201388892</v>
      </c>
      <c r="I541" s="1">
        <v>45011.179201388892</v>
      </c>
      <c r="J541" s="1">
        <v>45009.220868055556</v>
      </c>
      <c r="K541" s="2">
        <v>45009.201244490738</v>
      </c>
      <c r="L541" t="s">
        <v>28</v>
      </c>
      <c r="M541" s="2">
        <v>45010.926215648149</v>
      </c>
      <c r="N541" t="s">
        <v>28</v>
      </c>
      <c r="O541" s="2">
        <v>45011.883914131948</v>
      </c>
      <c r="P541">
        <v>1</v>
      </c>
      <c r="Q541">
        <v>4</v>
      </c>
      <c r="R541" t="s">
        <v>29</v>
      </c>
      <c r="S541" t="s">
        <v>30</v>
      </c>
      <c r="T541" t="s">
        <v>57</v>
      </c>
      <c r="U541">
        <v>51.165691000000002</v>
      </c>
      <c r="V541">
        <v>10.451525999999999</v>
      </c>
      <c r="W541" t="str">
        <f t="shared" si="56"/>
        <v>ok</v>
      </c>
      <c r="X541" t="str">
        <f t="shared" si="61"/>
        <v>ok</v>
      </c>
      <c r="Y541" t="str">
        <f t="shared" si="57"/>
        <v>ok</v>
      </c>
      <c r="Z541" t="str">
        <f t="shared" si="58"/>
        <v>ok</v>
      </c>
      <c r="AA541" s="4" t="str">
        <f t="shared" si="59"/>
        <v>ok</v>
      </c>
      <c r="AB541" s="4" t="str">
        <f t="shared" si="60"/>
        <v>ok</v>
      </c>
      <c r="AC541" s="6">
        <f t="shared" si="62"/>
        <v>41.928342222177889</v>
      </c>
    </row>
    <row r="542" spans="1:29" x14ac:dyDescent="0.3">
      <c r="A542" t="s">
        <v>22</v>
      </c>
      <c r="B542">
        <v>1669</v>
      </c>
      <c r="C542" t="s">
        <v>47</v>
      </c>
      <c r="D542" t="s">
        <v>24</v>
      </c>
      <c r="E542" t="s">
        <v>25</v>
      </c>
      <c r="F542" t="s">
        <v>26</v>
      </c>
      <c r="G542" t="s">
        <v>60</v>
      </c>
      <c r="H542" s="1">
        <v>45009.474062499998</v>
      </c>
      <c r="I542" s="1">
        <v>45011.474062499998</v>
      </c>
      <c r="J542" s="1">
        <v>45009.515729166669</v>
      </c>
      <c r="K542" s="2">
        <v>45009.482252152775</v>
      </c>
      <c r="L542" t="s">
        <v>28</v>
      </c>
      <c r="M542" s="2">
        <v>45010.762924930554</v>
      </c>
      <c r="N542" t="s">
        <v>28</v>
      </c>
      <c r="O542" s="2">
        <v>45010.180591481483</v>
      </c>
      <c r="P542">
        <v>1</v>
      </c>
      <c r="Q542">
        <v>5</v>
      </c>
      <c r="R542" t="s">
        <v>50</v>
      </c>
      <c r="S542" t="s">
        <v>30</v>
      </c>
      <c r="T542" t="s">
        <v>53</v>
      </c>
      <c r="U542">
        <v>39.368279000000001</v>
      </c>
      <c r="V542">
        <v>21.863140999999999</v>
      </c>
      <c r="W542" t="str">
        <f t="shared" si="56"/>
        <v>ok</v>
      </c>
      <c r="X542" t="str">
        <f t="shared" si="61"/>
        <v>ok</v>
      </c>
      <c r="Y542" t="str">
        <f t="shared" si="57"/>
        <v>check</v>
      </c>
      <c r="Z542" t="str">
        <f t="shared" si="58"/>
        <v>ok</v>
      </c>
      <c r="AA542" s="4" t="str">
        <f t="shared" si="59"/>
        <v>ok</v>
      </c>
      <c r="AB542" s="4" t="str">
        <f t="shared" si="60"/>
        <v>ok</v>
      </c>
      <c r="AC542" s="6">
        <f t="shared" si="62"/>
        <v>30.932698333344888</v>
      </c>
    </row>
    <row r="543" spans="1:29" x14ac:dyDescent="0.3">
      <c r="A543" t="s">
        <v>22</v>
      </c>
      <c r="B543">
        <v>1670</v>
      </c>
      <c r="C543" t="s">
        <v>23</v>
      </c>
      <c r="D543" t="s">
        <v>24</v>
      </c>
      <c r="E543" t="s">
        <v>25</v>
      </c>
      <c r="F543" t="s">
        <v>26</v>
      </c>
      <c r="G543" t="s">
        <v>27</v>
      </c>
      <c r="H543" s="1">
        <v>45009.84957175926</v>
      </c>
      <c r="I543" s="1">
        <v>45011.84957175926</v>
      </c>
      <c r="J543" s="1">
        <v>45009.891238425924</v>
      </c>
      <c r="K543" s="2">
        <v>45009.874220914353</v>
      </c>
      <c r="L543" t="s">
        <v>28</v>
      </c>
      <c r="M543" s="2">
        <v>45011.191905949076</v>
      </c>
      <c r="N543" t="s">
        <v>28</v>
      </c>
      <c r="O543" s="2">
        <v>45011.901193124999</v>
      </c>
      <c r="P543">
        <v>6</v>
      </c>
      <c r="Q543">
        <v>1</v>
      </c>
      <c r="R543" t="s">
        <v>29</v>
      </c>
      <c r="S543" t="s">
        <v>30</v>
      </c>
      <c r="T543" t="s">
        <v>57</v>
      </c>
      <c r="U543">
        <v>51.165691000000002</v>
      </c>
      <c r="V543">
        <v>10.451525999999999</v>
      </c>
      <c r="W543" t="str">
        <f t="shared" si="56"/>
        <v>ok</v>
      </c>
      <c r="X543" t="str">
        <f t="shared" si="61"/>
        <v>ok</v>
      </c>
      <c r="Y543" t="str">
        <f t="shared" si="57"/>
        <v>ok</v>
      </c>
      <c r="Z543" t="str">
        <f t="shared" si="58"/>
        <v>ok</v>
      </c>
      <c r="AA543" s="4" t="str">
        <f t="shared" si="59"/>
        <v>ok</v>
      </c>
      <c r="AB543" s="4" t="str">
        <f t="shared" si="60"/>
        <v>ok</v>
      </c>
      <c r="AC543" s="6">
        <f t="shared" si="62"/>
        <v>32.216020555584691</v>
      </c>
    </row>
    <row r="544" spans="1:29" x14ac:dyDescent="0.3">
      <c r="A544" t="s">
        <v>22</v>
      </c>
      <c r="B544">
        <v>1671</v>
      </c>
      <c r="C544" t="s">
        <v>33</v>
      </c>
      <c r="D544" t="s">
        <v>24</v>
      </c>
      <c r="E544" t="s">
        <v>44</v>
      </c>
      <c r="F544" t="s">
        <v>26</v>
      </c>
      <c r="G544" t="s">
        <v>27</v>
      </c>
      <c r="H544" s="1">
        <v>45009.566388888888</v>
      </c>
      <c r="I544" s="1">
        <v>45011.566388888888</v>
      </c>
      <c r="J544" s="1">
        <v>45009.608055555553</v>
      </c>
      <c r="K544" s="2">
        <v>45009.698115092593</v>
      </c>
      <c r="L544" t="s">
        <v>38</v>
      </c>
      <c r="M544" s="2">
        <v>45013.108935613425</v>
      </c>
      <c r="N544" t="s">
        <v>38</v>
      </c>
      <c r="O544" s="2">
        <v>45013.154232569446</v>
      </c>
      <c r="P544">
        <v>1</v>
      </c>
      <c r="Q544">
        <v>3</v>
      </c>
      <c r="R544" t="s">
        <v>39</v>
      </c>
      <c r="S544" t="s">
        <v>30</v>
      </c>
      <c r="T544" t="s">
        <v>57</v>
      </c>
      <c r="U544">
        <v>51.165691000000002</v>
      </c>
      <c r="V544">
        <v>10.451525999999999</v>
      </c>
      <c r="W544" t="str">
        <f t="shared" si="56"/>
        <v>ok</v>
      </c>
      <c r="X544" t="str">
        <f t="shared" si="61"/>
        <v>ok</v>
      </c>
      <c r="Y544" t="str">
        <f t="shared" si="57"/>
        <v>ok</v>
      </c>
      <c r="Z544" t="str">
        <f t="shared" si="58"/>
        <v>ok</v>
      </c>
      <c r="AA544" s="4" t="str">
        <f t="shared" si="59"/>
        <v>ok</v>
      </c>
      <c r="AB544" s="4" t="str">
        <f t="shared" si="60"/>
        <v>ok</v>
      </c>
      <c r="AC544" s="6">
        <f t="shared" si="62"/>
        <v>85.02112138888333</v>
      </c>
    </row>
    <row r="545" spans="1:29" x14ac:dyDescent="0.3">
      <c r="A545" t="s">
        <v>22</v>
      </c>
      <c r="B545">
        <v>1673</v>
      </c>
      <c r="C545" t="s">
        <v>33</v>
      </c>
      <c r="D545" t="s">
        <v>43</v>
      </c>
      <c r="E545" t="s">
        <v>25</v>
      </c>
      <c r="F545" t="s">
        <v>26</v>
      </c>
      <c r="G545" t="s">
        <v>60</v>
      </c>
      <c r="H545" s="1">
        <v>45009.898252314815</v>
      </c>
      <c r="I545" s="1">
        <v>45010.898252314815</v>
      </c>
      <c r="J545" s="1">
        <v>45009.899641203701</v>
      </c>
      <c r="K545" s="2">
        <v>45009.899521435182</v>
      </c>
      <c r="L545" t="s">
        <v>28</v>
      </c>
      <c r="M545" s="2">
        <v>45010.82182921296</v>
      </c>
      <c r="N545" t="s">
        <v>28</v>
      </c>
      <c r="O545" s="2">
        <v>45012.667382349537</v>
      </c>
      <c r="P545">
        <v>4</v>
      </c>
      <c r="Q545">
        <v>4</v>
      </c>
      <c r="R545" t="s">
        <v>50</v>
      </c>
      <c r="S545" t="s">
        <v>30</v>
      </c>
      <c r="T545" t="s">
        <v>66</v>
      </c>
      <c r="U545">
        <v>48.864716000000001</v>
      </c>
      <c r="V545">
        <v>2.3490139999999999</v>
      </c>
      <c r="W545" t="str">
        <f t="shared" si="56"/>
        <v>ok</v>
      </c>
      <c r="X545" t="str">
        <f t="shared" si="61"/>
        <v>ok</v>
      </c>
      <c r="Y545" t="str">
        <f t="shared" si="57"/>
        <v>ok</v>
      </c>
      <c r="Z545" t="str">
        <f t="shared" si="58"/>
        <v>ok</v>
      </c>
      <c r="AA545" s="4" t="str">
        <f t="shared" si="59"/>
        <v>ok</v>
      </c>
      <c r="AB545" s="4" t="str">
        <f t="shared" si="60"/>
        <v>ok</v>
      </c>
      <c r="AC545" s="6">
        <f t="shared" si="62"/>
        <v>22.165845555486158</v>
      </c>
    </row>
    <row r="546" spans="1:29" x14ac:dyDescent="0.3">
      <c r="A546" t="s">
        <v>42</v>
      </c>
      <c r="B546">
        <v>1674</v>
      </c>
      <c r="C546" t="s">
        <v>47</v>
      </c>
      <c r="D546" t="s">
        <v>24</v>
      </c>
      <c r="E546" t="s">
        <v>25</v>
      </c>
      <c r="F546" t="s">
        <v>26</v>
      </c>
      <c r="G546" t="s">
        <v>52</v>
      </c>
      <c r="H546" s="1">
        <v>45009.27611111111</v>
      </c>
      <c r="I546" s="1">
        <v>45011.27611111111</v>
      </c>
      <c r="J546" s="1">
        <v>45009.317777777775</v>
      </c>
      <c r="K546" s="2">
        <v>45009.31556894676</v>
      </c>
      <c r="L546" t="s">
        <v>28</v>
      </c>
      <c r="M546" s="2">
        <v>45009.424092245368</v>
      </c>
      <c r="N546" t="s">
        <v>28</v>
      </c>
      <c r="P546">
        <v>2</v>
      </c>
      <c r="R546" t="s">
        <v>50</v>
      </c>
      <c r="S546" t="s">
        <v>30</v>
      </c>
      <c r="T546" t="s">
        <v>56</v>
      </c>
      <c r="U546">
        <v>52.536273000000001</v>
      </c>
      <c r="V546">
        <v>19.050639</v>
      </c>
      <c r="W546" t="str">
        <f t="shared" si="56"/>
        <v>ok</v>
      </c>
      <c r="X546" t="str">
        <f t="shared" si="61"/>
        <v>ok</v>
      </c>
      <c r="Y546" t="str">
        <f t="shared" si="57"/>
        <v>ok</v>
      </c>
      <c r="Z546" t="str">
        <f t="shared" si="58"/>
        <v>ok</v>
      </c>
      <c r="AA546" s="4" t="str">
        <f t="shared" si="59"/>
        <v>ok</v>
      </c>
      <c r="AB546" s="4" t="str">
        <f t="shared" si="60"/>
        <v>ok</v>
      </c>
      <c r="AC546" s="6">
        <f t="shared" si="62"/>
        <v>3.5515472221886739</v>
      </c>
    </row>
    <row r="547" spans="1:29" x14ac:dyDescent="0.3">
      <c r="A547" t="s">
        <v>22</v>
      </c>
      <c r="B547">
        <v>1675</v>
      </c>
      <c r="C547" t="s">
        <v>23</v>
      </c>
      <c r="D547" t="s">
        <v>24</v>
      </c>
      <c r="E547" t="s">
        <v>44</v>
      </c>
      <c r="F547" t="s">
        <v>26</v>
      </c>
      <c r="G547" t="s">
        <v>60</v>
      </c>
      <c r="H547" s="1">
        <v>45010.66810185185</v>
      </c>
      <c r="I547" s="1">
        <v>45012.66810185185</v>
      </c>
      <c r="J547" s="1">
        <v>45010.709768518522</v>
      </c>
      <c r="K547" s="2">
        <v>45010.704391631945</v>
      </c>
      <c r="L547" t="s">
        <v>28</v>
      </c>
      <c r="M547" s="2">
        <v>45011.375775879627</v>
      </c>
      <c r="N547" t="s">
        <v>28</v>
      </c>
      <c r="O547" s="2">
        <v>45016.557142129626</v>
      </c>
      <c r="P547">
        <v>1</v>
      </c>
      <c r="Q547">
        <v>5</v>
      </c>
      <c r="R547" t="s">
        <v>55</v>
      </c>
      <c r="S547" t="s">
        <v>30</v>
      </c>
      <c r="T547" t="s">
        <v>41</v>
      </c>
      <c r="U547">
        <v>43.036776000000003</v>
      </c>
      <c r="V547">
        <v>12.678565000000001</v>
      </c>
      <c r="W547" t="str">
        <f t="shared" si="56"/>
        <v>ok</v>
      </c>
      <c r="X547" t="str">
        <f t="shared" si="61"/>
        <v>ok</v>
      </c>
      <c r="Y547" t="str">
        <f t="shared" si="57"/>
        <v>ok</v>
      </c>
      <c r="Z547" t="str">
        <f t="shared" si="58"/>
        <v>ok</v>
      </c>
      <c r="AA547" s="4" t="str">
        <f t="shared" si="59"/>
        <v>ok</v>
      </c>
      <c r="AB547" s="4" t="str">
        <f t="shared" si="60"/>
        <v>ok</v>
      </c>
      <c r="AC547" s="6">
        <f t="shared" si="62"/>
        <v>16.984176666650455</v>
      </c>
    </row>
    <row r="548" spans="1:29" x14ac:dyDescent="0.3">
      <c r="A548" t="s">
        <v>32</v>
      </c>
      <c r="B548">
        <v>1676</v>
      </c>
      <c r="C548" t="s">
        <v>23</v>
      </c>
      <c r="D548" t="s">
        <v>24</v>
      </c>
      <c r="E548" t="s">
        <v>35</v>
      </c>
      <c r="F548" t="s">
        <v>26</v>
      </c>
      <c r="G548" t="s">
        <v>45</v>
      </c>
      <c r="H548" s="1">
        <v>45010.727256944447</v>
      </c>
      <c r="I548" s="1">
        <v>45012.727256944447</v>
      </c>
      <c r="J548" s="1">
        <v>45010.768923611111</v>
      </c>
      <c r="K548" s="2">
        <v>45010.751837627315</v>
      </c>
      <c r="L548" t="s">
        <v>28</v>
      </c>
      <c r="N548" t="s">
        <v>38</v>
      </c>
      <c r="P548">
        <v>7</v>
      </c>
      <c r="R548" t="s">
        <v>50</v>
      </c>
      <c r="S548" t="s">
        <v>30</v>
      </c>
      <c r="T548" t="s">
        <v>58</v>
      </c>
      <c r="U548">
        <v>49.8037633</v>
      </c>
      <c r="V548">
        <v>15.4749126</v>
      </c>
      <c r="W548" t="str">
        <f t="shared" si="56"/>
        <v>ok</v>
      </c>
      <c r="X548" t="str">
        <f t="shared" si="61"/>
        <v>ok</v>
      </c>
      <c r="Y548" t="str">
        <f t="shared" si="57"/>
        <v>ok</v>
      </c>
      <c r="Z548" t="str">
        <f t="shared" si="58"/>
        <v>ok</v>
      </c>
      <c r="AA548" s="4" t="str">
        <f t="shared" si="59"/>
        <v>ok</v>
      </c>
      <c r="AB548" s="4" t="str">
        <f t="shared" si="60"/>
        <v>no resolution</v>
      </c>
      <c r="AC548" s="6" t="str">
        <f t="shared" si="62"/>
        <v/>
      </c>
    </row>
    <row r="549" spans="1:29" x14ac:dyDescent="0.3">
      <c r="A549" t="s">
        <v>22</v>
      </c>
      <c r="B549">
        <v>1677</v>
      </c>
      <c r="C549" t="s">
        <v>23</v>
      </c>
      <c r="D549" t="s">
        <v>24</v>
      </c>
      <c r="E549" t="s">
        <v>35</v>
      </c>
      <c r="F549" t="s">
        <v>26</v>
      </c>
      <c r="G549" t="s">
        <v>45</v>
      </c>
      <c r="H549" s="1">
        <v>45010.119016203702</v>
      </c>
      <c r="I549" s="1">
        <v>45012.119016203702</v>
      </c>
      <c r="J549" s="1">
        <v>45010.160682870373</v>
      </c>
      <c r="K549" s="2">
        <v>45010.157338368059</v>
      </c>
      <c r="L549" t="s">
        <v>28</v>
      </c>
      <c r="M549" s="2">
        <v>45011.890147060185</v>
      </c>
      <c r="N549" t="s">
        <v>28</v>
      </c>
      <c r="O549" s="2">
        <v>45013.02973047454</v>
      </c>
      <c r="P549">
        <v>4</v>
      </c>
      <c r="Q549">
        <v>2</v>
      </c>
      <c r="R549" t="s">
        <v>50</v>
      </c>
      <c r="S549" t="s">
        <v>30</v>
      </c>
      <c r="T549" t="s">
        <v>63</v>
      </c>
      <c r="U549">
        <v>55.378051999999997</v>
      </c>
      <c r="V549">
        <v>-3.4359730000000002</v>
      </c>
      <c r="W549" t="str">
        <f t="shared" si="56"/>
        <v>ok</v>
      </c>
      <c r="X549" t="str">
        <f t="shared" si="61"/>
        <v>ok</v>
      </c>
      <c r="Y549" t="str">
        <f t="shared" si="57"/>
        <v>ok</v>
      </c>
      <c r="Z549" t="str">
        <f t="shared" si="58"/>
        <v>ok</v>
      </c>
      <c r="AA549" s="4" t="str">
        <f t="shared" si="59"/>
        <v>ok</v>
      </c>
      <c r="AB549" s="4" t="str">
        <f t="shared" si="60"/>
        <v>ok</v>
      </c>
      <c r="AC549" s="6">
        <f t="shared" si="62"/>
        <v>42.507140555593651</v>
      </c>
    </row>
    <row r="550" spans="1:29" x14ac:dyDescent="0.3">
      <c r="A550" t="s">
        <v>22</v>
      </c>
      <c r="B550">
        <v>1690</v>
      </c>
      <c r="C550" t="s">
        <v>23</v>
      </c>
      <c r="D550" t="s">
        <v>43</v>
      </c>
      <c r="E550" t="s">
        <v>59</v>
      </c>
      <c r="F550" t="s">
        <v>36</v>
      </c>
      <c r="G550" t="s">
        <v>37</v>
      </c>
      <c r="H550" s="1">
        <v>45011.567141203705</v>
      </c>
      <c r="I550" s="1">
        <v>45012.567141203705</v>
      </c>
      <c r="J550" s="1">
        <v>45011.568530092591</v>
      </c>
      <c r="K550" s="2">
        <v>45011.567995219906</v>
      </c>
      <c r="L550" t="s">
        <v>28</v>
      </c>
      <c r="M550" s="2">
        <v>45012.145341747688</v>
      </c>
      <c r="N550" t="s">
        <v>28</v>
      </c>
      <c r="O550" s="2">
        <v>45014.827016157411</v>
      </c>
      <c r="P550">
        <v>6</v>
      </c>
      <c r="Q550">
        <v>3</v>
      </c>
      <c r="R550" t="s">
        <v>29</v>
      </c>
      <c r="S550" t="s">
        <v>40</v>
      </c>
      <c r="T550" t="s">
        <v>41</v>
      </c>
      <c r="U550">
        <v>43.036776000000003</v>
      </c>
      <c r="V550">
        <v>12.678565000000001</v>
      </c>
      <c r="W550" t="str">
        <f t="shared" si="56"/>
        <v>ok</v>
      </c>
      <c r="X550" t="str">
        <f t="shared" si="61"/>
        <v>ok</v>
      </c>
      <c r="Y550" t="str">
        <f t="shared" si="57"/>
        <v>ok</v>
      </c>
      <c r="Z550" t="str">
        <f t="shared" si="58"/>
        <v>ok</v>
      </c>
      <c r="AA550" s="4" t="str">
        <f t="shared" si="59"/>
        <v>ok</v>
      </c>
      <c r="AB550" s="4" t="str">
        <f t="shared" si="60"/>
        <v>ok</v>
      </c>
      <c r="AC550" s="6">
        <f t="shared" si="62"/>
        <v>13.876813055598177</v>
      </c>
    </row>
    <row r="551" spans="1:29" x14ac:dyDescent="0.3">
      <c r="A551" t="s">
        <v>42</v>
      </c>
      <c r="B551">
        <v>1691</v>
      </c>
      <c r="C551" t="s">
        <v>23</v>
      </c>
      <c r="D551" t="s">
        <v>34</v>
      </c>
      <c r="E551" t="s">
        <v>39</v>
      </c>
      <c r="F551" t="s">
        <v>26</v>
      </c>
      <c r="G551" t="s">
        <v>49</v>
      </c>
      <c r="H551" s="1">
        <v>45011.074328703704</v>
      </c>
      <c r="I551" s="1">
        <v>45013.074328703704</v>
      </c>
      <c r="J551" s="1">
        <v>45011.07571759259</v>
      </c>
      <c r="K551" s="2">
        <v>45011.075095069442</v>
      </c>
      <c r="L551" t="s">
        <v>28</v>
      </c>
      <c r="M551" s="2">
        <v>45015.869093402776</v>
      </c>
      <c r="N551" t="s">
        <v>38</v>
      </c>
      <c r="P551">
        <v>1</v>
      </c>
      <c r="R551" t="s">
        <v>50</v>
      </c>
      <c r="S551" t="s">
        <v>30</v>
      </c>
      <c r="T551" t="s">
        <v>46</v>
      </c>
      <c r="U551">
        <v>47.696471899999999</v>
      </c>
      <c r="V551">
        <v>13.3457347</v>
      </c>
      <c r="W551" t="str">
        <f t="shared" si="56"/>
        <v>ok</v>
      </c>
      <c r="X551" t="str">
        <f t="shared" si="61"/>
        <v>ok</v>
      </c>
      <c r="Y551" t="str">
        <f t="shared" si="57"/>
        <v>ok</v>
      </c>
      <c r="Z551" t="str">
        <f t="shared" si="58"/>
        <v>ok</v>
      </c>
      <c r="AA551" s="4" t="str">
        <f t="shared" si="59"/>
        <v>ok</v>
      </c>
      <c r="AB551" s="4" t="str">
        <f t="shared" si="60"/>
        <v>ok</v>
      </c>
      <c r="AC551" s="6">
        <f t="shared" si="62"/>
        <v>115.07435277773766</v>
      </c>
    </row>
    <row r="552" spans="1:29" x14ac:dyDescent="0.3">
      <c r="A552" t="s">
        <v>32</v>
      </c>
      <c r="B552">
        <v>1692</v>
      </c>
      <c r="C552" t="s">
        <v>23</v>
      </c>
      <c r="D552" t="s">
        <v>24</v>
      </c>
      <c r="E552" t="s">
        <v>48</v>
      </c>
      <c r="F552" t="s">
        <v>26</v>
      </c>
      <c r="G552" t="s">
        <v>60</v>
      </c>
      <c r="H552" s="1">
        <v>45012.705335648148</v>
      </c>
      <c r="I552" s="1">
        <v>45014.705335648148</v>
      </c>
      <c r="J552" s="1">
        <v>45012.747002314813</v>
      </c>
      <c r="K552" s="2">
        <v>45012.725343067126</v>
      </c>
      <c r="L552" t="s">
        <v>28</v>
      </c>
      <c r="N552" t="s">
        <v>38</v>
      </c>
      <c r="P552">
        <v>10</v>
      </c>
      <c r="R552" t="s">
        <v>50</v>
      </c>
      <c r="S552" t="s">
        <v>30</v>
      </c>
      <c r="T552" t="s">
        <v>57</v>
      </c>
      <c r="U552">
        <v>51.165691000000002</v>
      </c>
      <c r="V552">
        <v>10.451525999999999</v>
      </c>
      <c r="W552" t="str">
        <f t="shared" si="56"/>
        <v>ok</v>
      </c>
      <c r="X552" t="str">
        <f t="shared" si="61"/>
        <v>ok</v>
      </c>
      <c r="Y552" t="str">
        <f t="shared" si="57"/>
        <v>ok</v>
      </c>
      <c r="Z552" t="str">
        <f t="shared" si="58"/>
        <v>ok</v>
      </c>
      <c r="AA552" s="4" t="str">
        <f t="shared" si="59"/>
        <v>ok</v>
      </c>
      <c r="AB552" s="4" t="str">
        <f t="shared" si="60"/>
        <v>no resolution</v>
      </c>
      <c r="AC552" s="6" t="str">
        <f t="shared" si="62"/>
        <v/>
      </c>
    </row>
    <row r="553" spans="1:29" x14ac:dyDescent="0.3">
      <c r="A553" t="s">
        <v>22</v>
      </c>
      <c r="B553">
        <v>1693</v>
      </c>
      <c r="C553" t="s">
        <v>47</v>
      </c>
      <c r="D553" t="s">
        <v>43</v>
      </c>
      <c r="E553" t="s">
        <v>59</v>
      </c>
      <c r="F553" t="s">
        <v>26</v>
      </c>
      <c r="G553" t="s">
        <v>45</v>
      </c>
      <c r="H553" s="1">
        <v>45012.408425925925</v>
      </c>
      <c r="I553" s="1">
        <v>45013.408425925925</v>
      </c>
      <c r="J553" s="1">
        <v>45012.409814814811</v>
      </c>
      <c r="K553" s="2">
        <v>45012.408859293981</v>
      </c>
      <c r="L553" t="s">
        <v>28</v>
      </c>
      <c r="M553" s="2">
        <v>45016.509516412036</v>
      </c>
      <c r="N553" t="s">
        <v>38</v>
      </c>
      <c r="O553" s="2">
        <v>45017.788612407407</v>
      </c>
      <c r="P553">
        <v>7</v>
      </c>
      <c r="Q553">
        <v>4</v>
      </c>
      <c r="R553" t="s">
        <v>50</v>
      </c>
      <c r="S553" t="s">
        <v>30</v>
      </c>
      <c r="T553" t="s">
        <v>61</v>
      </c>
      <c r="U553">
        <v>42.724992499999999</v>
      </c>
      <c r="V553">
        <v>25.483303899999999</v>
      </c>
      <c r="W553" t="str">
        <f t="shared" si="56"/>
        <v>ok</v>
      </c>
      <c r="X553" t="str">
        <f t="shared" si="61"/>
        <v>ok</v>
      </c>
      <c r="Y553" t="str">
        <f t="shared" si="57"/>
        <v>ok</v>
      </c>
      <c r="Z553" t="str">
        <f t="shared" si="58"/>
        <v>ok</v>
      </c>
      <c r="AA553" s="4" t="str">
        <f t="shared" si="59"/>
        <v>ok</v>
      </c>
      <c r="AB553" s="4" t="str">
        <f t="shared" si="60"/>
        <v>ok</v>
      </c>
      <c r="AC553" s="6">
        <f t="shared" si="62"/>
        <v>98.426171666651499</v>
      </c>
    </row>
    <row r="554" spans="1:29" x14ac:dyDescent="0.3">
      <c r="A554" t="s">
        <v>32</v>
      </c>
      <c r="B554">
        <v>1694</v>
      </c>
      <c r="C554" t="s">
        <v>33</v>
      </c>
      <c r="D554" t="s">
        <v>24</v>
      </c>
      <c r="E554" t="s">
        <v>25</v>
      </c>
      <c r="F554" t="s">
        <v>26</v>
      </c>
      <c r="G554" t="s">
        <v>52</v>
      </c>
      <c r="H554" s="1">
        <v>45012.819398148145</v>
      </c>
      <c r="I554" s="1">
        <v>45014.819398148145</v>
      </c>
      <c r="J554" s="1">
        <v>45012.861064814817</v>
      </c>
      <c r="K554" s="2">
        <v>45012.833723009258</v>
      </c>
      <c r="L554" t="s">
        <v>28</v>
      </c>
      <c r="N554" t="s">
        <v>38</v>
      </c>
      <c r="P554">
        <v>1</v>
      </c>
      <c r="R554" t="s">
        <v>50</v>
      </c>
      <c r="S554" t="s">
        <v>30</v>
      </c>
      <c r="T554" t="s">
        <v>63</v>
      </c>
      <c r="U554">
        <v>55.378051999999997</v>
      </c>
      <c r="V554">
        <v>-3.4359730000000002</v>
      </c>
      <c r="W554" t="str">
        <f t="shared" si="56"/>
        <v>ok</v>
      </c>
      <c r="X554" t="str">
        <f t="shared" si="61"/>
        <v>ok</v>
      </c>
      <c r="Y554" t="str">
        <f t="shared" si="57"/>
        <v>ok</v>
      </c>
      <c r="Z554" t="str">
        <f t="shared" si="58"/>
        <v>ok</v>
      </c>
      <c r="AA554" s="4" t="str">
        <f t="shared" si="59"/>
        <v>ok</v>
      </c>
      <c r="AB554" s="4" t="str">
        <f t="shared" si="60"/>
        <v>no resolution</v>
      </c>
      <c r="AC554" s="6" t="str">
        <f t="shared" si="62"/>
        <v/>
      </c>
    </row>
    <row r="555" spans="1:29" x14ac:dyDescent="0.3">
      <c r="A555" t="s">
        <v>42</v>
      </c>
      <c r="B555">
        <v>1695</v>
      </c>
      <c r="C555" t="s">
        <v>23</v>
      </c>
      <c r="D555" t="s">
        <v>43</v>
      </c>
      <c r="E555" t="s">
        <v>35</v>
      </c>
      <c r="F555" t="s">
        <v>26</v>
      </c>
      <c r="G555" t="s">
        <v>60</v>
      </c>
      <c r="H555" s="1">
        <v>45012.37300925926</v>
      </c>
      <c r="I555" s="1">
        <v>45013.37300925926</v>
      </c>
      <c r="J555" s="1">
        <v>45012.374398148146</v>
      </c>
      <c r="K555" s="2">
        <v>45012.373454583336</v>
      </c>
      <c r="L555" t="s">
        <v>28</v>
      </c>
      <c r="M555" s="2">
        <v>45012.440497824071</v>
      </c>
      <c r="N555" t="s">
        <v>28</v>
      </c>
      <c r="P555">
        <v>4</v>
      </c>
      <c r="R555" t="s">
        <v>29</v>
      </c>
      <c r="S555" t="s">
        <v>30</v>
      </c>
      <c r="T555" t="s">
        <v>31</v>
      </c>
      <c r="U555">
        <v>53.094023999999997</v>
      </c>
      <c r="V555">
        <v>-8.0196749999999994</v>
      </c>
      <c r="W555" t="str">
        <f t="shared" si="56"/>
        <v>ok</v>
      </c>
      <c r="X555" t="str">
        <f t="shared" si="61"/>
        <v>ok</v>
      </c>
      <c r="Y555" t="str">
        <f t="shared" si="57"/>
        <v>ok</v>
      </c>
      <c r="Z555" t="str">
        <f t="shared" si="58"/>
        <v>ok</v>
      </c>
      <c r="AA555" s="4" t="str">
        <f t="shared" si="59"/>
        <v>ok</v>
      </c>
      <c r="AB555" s="4" t="str">
        <f t="shared" si="60"/>
        <v>ok</v>
      </c>
      <c r="AC555" s="6">
        <f t="shared" si="62"/>
        <v>1.6197255554725416</v>
      </c>
    </row>
    <row r="556" spans="1:29" x14ac:dyDescent="0.3">
      <c r="A556" t="s">
        <v>32</v>
      </c>
      <c r="B556">
        <v>1696</v>
      </c>
      <c r="C556" t="s">
        <v>23</v>
      </c>
      <c r="D556" t="s">
        <v>34</v>
      </c>
      <c r="E556" t="s">
        <v>39</v>
      </c>
      <c r="F556" t="s">
        <v>26</v>
      </c>
      <c r="G556" t="s">
        <v>52</v>
      </c>
      <c r="H556" s="1">
        <v>45012.592083333337</v>
      </c>
      <c r="I556" s="1">
        <v>45014.592083333337</v>
      </c>
      <c r="J556" s="1">
        <v>45012.593472222223</v>
      </c>
      <c r="K556" s="2">
        <v>45012.592093472223</v>
      </c>
      <c r="L556" t="s">
        <v>28</v>
      </c>
      <c r="N556" t="s">
        <v>38</v>
      </c>
      <c r="P556">
        <v>4</v>
      </c>
      <c r="R556" t="s">
        <v>39</v>
      </c>
      <c r="S556" t="s">
        <v>30</v>
      </c>
      <c r="T556" t="s">
        <v>46</v>
      </c>
      <c r="U556">
        <v>47.696471899999999</v>
      </c>
      <c r="V556">
        <v>13.3457347</v>
      </c>
      <c r="W556" t="str">
        <f t="shared" si="56"/>
        <v>ok</v>
      </c>
      <c r="X556" t="str">
        <f t="shared" si="61"/>
        <v>ok</v>
      </c>
      <c r="Y556" t="str">
        <f t="shared" si="57"/>
        <v>ok</v>
      </c>
      <c r="Z556" t="str">
        <f t="shared" si="58"/>
        <v>ok</v>
      </c>
      <c r="AA556" s="4" t="str">
        <f t="shared" si="59"/>
        <v>ok</v>
      </c>
      <c r="AB556" s="4" t="str">
        <f t="shared" si="60"/>
        <v>no resolution</v>
      </c>
      <c r="AC556" s="6" t="str">
        <f t="shared" si="62"/>
        <v/>
      </c>
    </row>
    <row r="557" spans="1:29" x14ac:dyDescent="0.3">
      <c r="A557" t="s">
        <v>32</v>
      </c>
      <c r="B557">
        <v>1697</v>
      </c>
      <c r="C557" t="s">
        <v>23</v>
      </c>
      <c r="D557" t="s">
        <v>34</v>
      </c>
      <c r="E557" t="s">
        <v>35</v>
      </c>
      <c r="F557" t="s">
        <v>26</v>
      </c>
      <c r="G557" t="s">
        <v>52</v>
      </c>
      <c r="H557" s="1">
        <v>45013.028587962966</v>
      </c>
      <c r="I557" s="1">
        <v>45015.028587962966</v>
      </c>
      <c r="J557" s="1">
        <v>45013.029976851853</v>
      </c>
      <c r="K557" s="2">
        <v>45013.030589270835</v>
      </c>
      <c r="L557" t="s">
        <v>38</v>
      </c>
      <c r="N557" t="s">
        <v>38</v>
      </c>
      <c r="P557">
        <v>1</v>
      </c>
      <c r="R557" t="s">
        <v>39</v>
      </c>
      <c r="S557" t="s">
        <v>30</v>
      </c>
      <c r="T557" t="s">
        <v>56</v>
      </c>
      <c r="U557">
        <v>52.536273000000001</v>
      </c>
      <c r="V557">
        <v>19.050639</v>
      </c>
      <c r="W557" t="str">
        <f t="shared" si="56"/>
        <v>ok</v>
      </c>
      <c r="X557" t="str">
        <f t="shared" si="61"/>
        <v>ok</v>
      </c>
      <c r="Y557" t="str">
        <f t="shared" si="57"/>
        <v>ok</v>
      </c>
      <c r="Z557" t="str">
        <f t="shared" si="58"/>
        <v>ok</v>
      </c>
      <c r="AA557" s="4" t="str">
        <f t="shared" si="59"/>
        <v>ok</v>
      </c>
      <c r="AB557" s="4" t="str">
        <f t="shared" si="60"/>
        <v>no resolution</v>
      </c>
      <c r="AC557" s="6" t="str">
        <f t="shared" si="62"/>
        <v/>
      </c>
    </row>
    <row r="558" spans="1:29" x14ac:dyDescent="0.3">
      <c r="A558" t="s">
        <v>42</v>
      </c>
      <c r="B558">
        <v>1698</v>
      </c>
      <c r="C558" t="s">
        <v>23</v>
      </c>
      <c r="D558" t="s">
        <v>43</v>
      </c>
      <c r="E558" t="s">
        <v>25</v>
      </c>
      <c r="F558" t="s">
        <v>26</v>
      </c>
      <c r="G558" t="s">
        <v>60</v>
      </c>
      <c r="H558" s="1">
        <v>45013.239201388889</v>
      </c>
      <c r="I558" s="1">
        <v>45014.239201388889</v>
      </c>
      <c r="J558" s="1">
        <v>45013.240590277775</v>
      </c>
      <c r="K558" s="2">
        <v>45013.239501875003</v>
      </c>
      <c r="L558" t="s">
        <v>28</v>
      </c>
      <c r="M558" s="2">
        <v>45014.145756585647</v>
      </c>
      <c r="N558" t="s">
        <v>28</v>
      </c>
      <c r="P558">
        <v>6</v>
      </c>
      <c r="R558" t="s">
        <v>39</v>
      </c>
      <c r="S558" t="s">
        <v>30</v>
      </c>
      <c r="T558" t="s">
        <v>41</v>
      </c>
      <c r="U558">
        <v>43.036776000000003</v>
      </c>
      <c r="V558">
        <v>12.678565000000001</v>
      </c>
      <c r="W558" t="str">
        <f t="shared" si="56"/>
        <v>ok</v>
      </c>
      <c r="X558" t="str">
        <f t="shared" si="61"/>
        <v>ok</v>
      </c>
      <c r="Y558" t="str">
        <f t="shared" si="57"/>
        <v>ok</v>
      </c>
      <c r="Z558" t="str">
        <f t="shared" si="58"/>
        <v>ok</v>
      </c>
      <c r="AA558" s="4" t="str">
        <f t="shared" si="59"/>
        <v>ok</v>
      </c>
      <c r="AB558" s="4" t="str">
        <f t="shared" si="60"/>
        <v>ok</v>
      </c>
      <c r="AC558" s="6">
        <f t="shared" si="62"/>
        <v>21.757324722188059</v>
      </c>
    </row>
    <row r="559" spans="1:29" x14ac:dyDescent="0.3">
      <c r="A559" t="s">
        <v>22</v>
      </c>
      <c r="B559">
        <v>1699</v>
      </c>
      <c r="C559" t="s">
        <v>47</v>
      </c>
      <c r="D559" t="s">
        <v>24</v>
      </c>
      <c r="E559" t="s">
        <v>35</v>
      </c>
      <c r="F559" t="s">
        <v>26</v>
      </c>
      <c r="G559" t="s">
        <v>49</v>
      </c>
      <c r="H559" s="1">
        <v>45013.636666666665</v>
      </c>
      <c r="I559" s="1">
        <v>45015.636666666665</v>
      </c>
      <c r="J559" s="1">
        <v>45013.678333333337</v>
      </c>
      <c r="K559" s="2">
        <v>45013.652812812499</v>
      </c>
      <c r="L559" t="s">
        <v>28</v>
      </c>
      <c r="M559" s="2">
        <v>45014.44040644676</v>
      </c>
      <c r="N559" t="s">
        <v>28</v>
      </c>
      <c r="O559" s="2">
        <v>45017.824531909719</v>
      </c>
      <c r="P559">
        <v>2</v>
      </c>
      <c r="Q559">
        <v>4</v>
      </c>
      <c r="R559" t="s">
        <v>55</v>
      </c>
      <c r="S559" t="s">
        <v>30</v>
      </c>
      <c r="T559" t="s">
        <v>65</v>
      </c>
      <c r="U559">
        <v>46.149166399999999</v>
      </c>
      <c r="V559">
        <v>14.9860106</v>
      </c>
      <c r="W559" t="str">
        <f t="shared" si="56"/>
        <v>ok</v>
      </c>
      <c r="X559" t="str">
        <f t="shared" si="61"/>
        <v>ok</v>
      </c>
      <c r="Y559" t="str">
        <f t="shared" si="57"/>
        <v>ok</v>
      </c>
      <c r="Z559" t="str">
        <f t="shared" si="58"/>
        <v>ok</v>
      </c>
      <c r="AA559" s="4" t="str">
        <f t="shared" si="59"/>
        <v>ok</v>
      </c>
      <c r="AB559" s="4" t="str">
        <f t="shared" si="60"/>
        <v>ok</v>
      </c>
      <c r="AC559" s="6">
        <f t="shared" si="62"/>
        <v>19.289754722267389</v>
      </c>
    </row>
    <row r="560" spans="1:29" x14ac:dyDescent="0.3">
      <c r="A560" t="s">
        <v>22</v>
      </c>
      <c r="B560">
        <v>1700</v>
      </c>
      <c r="C560" t="s">
        <v>33</v>
      </c>
      <c r="D560" t="s">
        <v>34</v>
      </c>
      <c r="E560" t="s">
        <v>35</v>
      </c>
      <c r="F560" t="s">
        <v>26</v>
      </c>
      <c r="G560" t="s">
        <v>52</v>
      </c>
      <c r="H560" s="1">
        <v>45013.692777777775</v>
      </c>
      <c r="I560" s="1">
        <v>45015.692777777775</v>
      </c>
      <c r="J560" s="1">
        <v>45013.694166666668</v>
      </c>
      <c r="K560" s="2">
        <v>45013.693373287038</v>
      </c>
      <c r="L560" t="s">
        <v>28</v>
      </c>
      <c r="M560" s="2">
        <v>45015.162459861109</v>
      </c>
      <c r="N560" t="s">
        <v>28</v>
      </c>
      <c r="O560" s="2">
        <v>45018.999502465274</v>
      </c>
      <c r="P560">
        <v>1</v>
      </c>
      <c r="Q560">
        <v>5</v>
      </c>
      <c r="R560" t="s">
        <v>50</v>
      </c>
      <c r="S560" t="s">
        <v>30</v>
      </c>
      <c r="T560" t="s">
        <v>58</v>
      </c>
      <c r="U560">
        <v>49.8037633</v>
      </c>
      <c r="V560">
        <v>15.4749126</v>
      </c>
      <c r="W560" t="str">
        <f t="shared" si="56"/>
        <v>ok</v>
      </c>
      <c r="X560" t="str">
        <f t="shared" si="61"/>
        <v>ok</v>
      </c>
      <c r="Y560" t="str">
        <f t="shared" si="57"/>
        <v>ok</v>
      </c>
      <c r="Z560" t="str">
        <f t="shared" si="58"/>
        <v>ok</v>
      </c>
      <c r="AA560" s="4" t="str">
        <f t="shared" si="59"/>
        <v>ok</v>
      </c>
      <c r="AB560" s="4" t="str">
        <f t="shared" si="60"/>
        <v>ok</v>
      </c>
      <c r="AC560" s="6">
        <f t="shared" si="62"/>
        <v>35.272370000020601</v>
      </c>
    </row>
    <row r="561" spans="1:29" x14ac:dyDescent="0.3">
      <c r="A561" t="s">
        <v>32</v>
      </c>
      <c r="B561">
        <v>1701</v>
      </c>
      <c r="C561" t="s">
        <v>23</v>
      </c>
      <c r="D561" t="s">
        <v>43</v>
      </c>
      <c r="E561" t="s">
        <v>25</v>
      </c>
      <c r="F561" t="s">
        <v>36</v>
      </c>
      <c r="G561" t="s">
        <v>37</v>
      </c>
      <c r="H561" s="1">
        <v>45013.86546296296</v>
      </c>
      <c r="I561" s="1">
        <v>45014.86546296296</v>
      </c>
      <c r="J561" s="1">
        <v>45013.866851851853</v>
      </c>
      <c r="K561" s="2">
        <v>45013.867264699074</v>
      </c>
      <c r="L561" t="s">
        <v>38</v>
      </c>
      <c r="N561" t="s">
        <v>38</v>
      </c>
      <c r="P561">
        <v>6</v>
      </c>
      <c r="R561" t="s">
        <v>39</v>
      </c>
      <c r="S561" t="s">
        <v>40</v>
      </c>
      <c r="T561" t="s">
        <v>41</v>
      </c>
      <c r="U561">
        <v>43.036776000000003</v>
      </c>
      <c r="V561">
        <v>12.678565000000001</v>
      </c>
      <c r="W561" t="str">
        <f t="shared" si="56"/>
        <v>ok</v>
      </c>
      <c r="X561" t="str">
        <f t="shared" si="61"/>
        <v>ok</v>
      </c>
      <c r="Y561" t="str">
        <f t="shared" si="57"/>
        <v>ok</v>
      </c>
      <c r="Z561" t="str">
        <f t="shared" si="58"/>
        <v>ok</v>
      </c>
      <c r="AA561" s="4" t="str">
        <f t="shared" si="59"/>
        <v>ok</v>
      </c>
      <c r="AB561" s="4" t="str">
        <f t="shared" si="60"/>
        <v>no resolution</v>
      </c>
      <c r="AC561" s="6" t="str">
        <f t="shared" ref="AC514:AC577" si="63">IF(M561="","",(M561-H561)*24)</f>
        <v/>
      </c>
    </row>
    <row r="562" spans="1:29" x14ac:dyDescent="0.3">
      <c r="A562" t="s">
        <v>42</v>
      </c>
      <c r="B562">
        <v>1702</v>
      </c>
      <c r="C562" t="s">
        <v>23</v>
      </c>
      <c r="D562" t="s">
        <v>24</v>
      </c>
      <c r="E562" t="s">
        <v>44</v>
      </c>
      <c r="F562" t="s">
        <v>26</v>
      </c>
      <c r="G562" t="s">
        <v>60</v>
      </c>
      <c r="H562" s="1">
        <v>45013.340081018519</v>
      </c>
      <c r="I562" s="1">
        <v>45015.340081018519</v>
      </c>
      <c r="J562" s="1">
        <v>45013.381747685184</v>
      </c>
      <c r="K562" s="2">
        <v>45013.563820439813</v>
      </c>
      <c r="L562" t="s">
        <v>38</v>
      </c>
      <c r="M562" s="2">
        <v>45014.145688472221</v>
      </c>
      <c r="N562" t="s">
        <v>28</v>
      </c>
      <c r="P562">
        <v>6</v>
      </c>
      <c r="R562" t="s">
        <v>50</v>
      </c>
      <c r="S562" t="s">
        <v>30</v>
      </c>
      <c r="T562" t="s">
        <v>53</v>
      </c>
      <c r="U562">
        <v>39.368279000000001</v>
      </c>
      <c r="V562">
        <v>21.863140999999999</v>
      </c>
      <c r="W562" t="str">
        <f t="shared" si="56"/>
        <v>ok</v>
      </c>
      <c r="X562" t="str">
        <f t="shared" si="61"/>
        <v>ok</v>
      </c>
      <c r="Y562" t="str">
        <f t="shared" si="57"/>
        <v>ok</v>
      </c>
      <c r="Z562" t="str">
        <f t="shared" si="58"/>
        <v>ok</v>
      </c>
      <c r="AA562" s="4" t="str">
        <f t="shared" si="59"/>
        <v>ok</v>
      </c>
      <c r="AB562" s="4" t="str">
        <f t="shared" si="60"/>
        <v>ok</v>
      </c>
      <c r="AC562" s="6">
        <f t="shared" si="63"/>
        <v>19.334578888840042</v>
      </c>
    </row>
    <row r="563" spans="1:29" x14ac:dyDescent="0.3">
      <c r="A563" t="s">
        <v>22</v>
      </c>
      <c r="B563">
        <v>1703</v>
      </c>
      <c r="C563" t="s">
        <v>33</v>
      </c>
      <c r="D563" t="s">
        <v>34</v>
      </c>
      <c r="E563" t="s">
        <v>25</v>
      </c>
      <c r="F563" t="s">
        <v>26</v>
      </c>
      <c r="G563" t="s">
        <v>27</v>
      </c>
      <c r="H563" s="1">
        <v>45014.465497685182</v>
      </c>
      <c r="I563" s="1">
        <v>45016.465497685182</v>
      </c>
      <c r="J563" s="1">
        <v>45014.466886574075</v>
      </c>
      <c r="K563" s="2">
        <v>45014.466493136577</v>
      </c>
      <c r="L563" t="s">
        <v>28</v>
      </c>
      <c r="M563" s="2">
        <v>45015.506928078707</v>
      </c>
      <c r="N563" t="s">
        <v>28</v>
      </c>
      <c r="O563" s="2">
        <v>45017.455369571762</v>
      </c>
      <c r="P563">
        <v>1</v>
      </c>
      <c r="Q563">
        <v>4</v>
      </c>
      <c r="R563" t="s">
        <v>50</v>
      </c>
      <c r="S563" t="s">
        <v>30</v>
      </c>
      <c r="T563" t="s">
        <v>41</v>
      </c>
      <c r="U563">
        <v>43.036776000000003</v>
      </c>
      <c r="V563">
        <v>12.678565000000001</v>
      </c>
      <c r="W563" t="str">
        <f t="shared" si="56"/>
        <v>ok</v>
      </c>
      <c r="X563" t="str">
        <f t="shared" si="61"/>
        <v>ok</v>
      </c>
      <c r="Y563" t="str">
        <f t="shared" si="57"/>
        <v>ok</v>
      </c>
      <c r="Z563" t="str">
        <f t="shared" si="58"/>
        <v>ok</v>
      </c>
      <c r="AA563" s="4" t="str">
        <f t="shared" si="59"/>
        <v>ok</v>
      </c>
      <c r="AB563" s="4" t="str">
        <f t="shared" si="60"/>
        <v>ok</v>
      </c>
      <c r="AC563" s="6">
        <f t="shared" si="63"/>
        <v>24.994329444598407</v>
      </c>
    </row>
    <row r="564" spans="1:29" x14ac:dyDescent="0.3">
      <c r="A564" t="s">
        <v>42</v>
      </c>
      <c r="B564">
        <v>1704</v>
      </c>
      <c r="C564" t="s">
        <v>47</v>
      </c>
      <c r="D564" t="s">
        <v>24</v>
      </c>
      <c r="E564" t="s">
        <v>35</v>
      </c>
      <c r="F564" t="s">
        <v>36</v>
      </c>
      <c r="G564" t="s">
        <v>54</v>
      </c>
      <c r="H564" s="1">
        <v>45014.062430555554</v>
      </c>
      <c r="I564" s="1">
        <v>45016.062430555554</v>
      </c>
      <c r="J564" s="1">
        <v>45014.104097222225</v>
      </c>
      <c r="K564" s="2">
        <v>45014.088413831021</v>
      </c>
      <c r="L564" t="s">
        <v>28</v>
      </c>
      <c r="M564" s="2">
        <v>45014.437562708335</v>
      </c>
      <c r="N564" t="s">
        <v>28</v>
      </c>
      <c r="P564">
        <v>9</v>
      </c>
      <c r="R564" t="s">
        <v>55</v>
      </c>
      <c r="S564" t="s">
        <v>40</v>
      </c>
      <c r="T564" t="s">
        <v>56</v>
      </c>
      <c r="U564">
        <v>52.536273000000001</v>
      </c>
      <c r="V564">
        <v>19.050639</v>
      </c>
      <c r="W564" t="str">
        <f t="shared" si="56"/>
        <v>ok</v>
      </c>
      <c r="X564" t="str">
        <f t="shared" si="61"/>
        <v>ok</v>
      </c>
      <c r="Y564" t="str">
        <f t="shared" si="57"/>
        <v>ok</v>
      </c>
      <c r="Z564" t="str">
        <f t="shared" si="58"/>
        <v>ok</v>
      </c>
      <c r="AA564" s="4" t="str">
        <f t="shared" si="59"/>
        <v>ok</v>
      </c>
      <c r="AB564" s="4" t="str">
        <f t="shared" si="60"/>
        <v>ok</v>
      </c>
      <c r="AC564" s="6">
        <f t="shared" si="63"/>
        <v>9.003171666758135</v>
      </c>
    </row>
    <row r="565" spans="1:29" x14ac:dyDescent="0.3">
      <c r="A565" t="s">
        <v>22</v>
      </c>
      <c r="B565">
        <v>1705</v>
      </c>
      <c r="C565" t="s">
        <v>47</v>
      </c>
      <c r="D565" t="s">
        <v>24</v>
      </c>
      <c r="E565" t="s">
        <v>48</v>
      </c>
      <c r="F565" t="s">
        <v>36</v>
      </c>
      <c r="G565" t="s">
        <v>64</v>
      </c>
      <c r="H565" s="1">
        <v>45014.147256944445</v>
      </c>
      <c r="I565" s="1">
        <v>45016.147256944445</v>
      </c>
      <c r="J565" s="1">
        <v>45014.188923611109</v>
      </c>
      <c r="K565" s="2">
        <v>45014.159042418978</v>
      </c>
      <c r="L565" t="s">
        <v>28</v>
      </c>
      <c r="M565" s="2">
        <v>45016.126526030093</v>
      </c>
      <c r="N565" t="s">
        <v>28</v>
      </c>
      <c r="O565" s="2">
        <v>45019.700159432869</v>
      </c>
      <c r="P565">
        <v>1</v>
      </c>
      <c r="Q565">
        <v>4</v>
      </c>
      <c r="R565" t="s">
        <v>55</v>
      </c>
      <c r="S565" t="s">
        <v>40</v>
      </c>
      <c r="T565" t="s">
        <v>41</v>
      </c>
      <c r="U565">
        <v>43.036776000000003</v>
      </c>
      <c r="V565">
        <v>12.678565000000001</v>
      </c>
      <c r="W565" t="str">
        <f t="shared" si="56"/>
        <v>ok</v>
      </c>
      <c r="X565" t="str">
        <f t="shared" si="61"/>
        <v>ok</v>
      </c>
      <c r="Y565" t="str">
        <f t="shared" si="57"/>
        <v>ok</v>
      </c>
      <c r="Z565" t="str">
        <f t="shared" si="58"/>
        <v>ok</v>
      </c>
      <c r="AA565" s="4" t="str">
        <f t="shared" si="59"/>
        <v>ok</v>
      </c>
      <c r="AB565" s="4" t="str">
        <f t="shared" si="60"/>
        <v>ok</v>
      </c>
      <c r="AC565" s="6">
        <f t="shared" si="63"/>
        <v>47.502458055561874</v>
      </c>
    </row>
    <row r="566" spans="1:29" x14ac:dyDescent="0.3">
      <c r="A566" t="s">
        <v>32</v>
      </c>
      <c r="B566">
        <v>1706</v>
      </c>
      <c r="C566" t="s">
        <v>23</v>
      </c>
      <c r="D566" t="s">
        <v>24</v>
      </c>
      <c r="E566" t="s">
        <v>35</v>
      </c>
      <c r="F566" t="s">
        <v>26</v>
      </c>
      <c r="G566" t="s">
        <v>52</v>
      </c>
      <c r="H566" s="1">
        <v>45014.712800925925</v>
      </c>
      <c r="I566" s="1">
        <v>45016.712800925925</v>
      </c>
      <c r="J566" s="1">
        <v>45014.754467592589</v>
      </c>
      <c r="K566" s="2">
        <v>45014.742629629633</v>
      </c>
      <c r="L566" t="s">
        <v>28</v>
      </c>
      <c r="N566" t="s">
        <v>38</v>
      </c>
      <c r="P566">
        <v>1</v>
      </c>
      <c r="R566" t="s">
        <v>50</v>
      </c>
      <c r="S566" t="s">
        <v>30</v>
      </c>
      <c r="T566" t="s">
        <v>61</v>
      </c>
      <c r="U566">
        <v>42.724992499999999</v>
      </c>
      <c r="V566">
        <v>25.483303899999999</v>
      </c>
      <c r="W566" t="str">
        <f t="shared" si="56"/>
        <v>ok</v>
      </c>
      <c r="X566" t="str">
        <f t="shared" si="61"/>
        <v>ok</v>
      </c>
      <c r="Y566" t="str">
        <f t="shared" si="57"/>
        <v>ok</v>
      </c>
      <c r="Z566" t="str">
        <f t="shared" si="58"/>
        <v>ok</v>
      </c>
      <c r="AA566" s="4" t="str">
        <f t="shared" si="59"/>
        <v>ok</v>
      </c>
      <c r="AB566" s="4" t="str">
        <f t="shared" si="60"/>
        <v>no resolution</v>
      </c>
      <c r="AC566" s="6" t="str">
        <f t="shared" si="63"/>
        <v/>
      </c>
    </row>
    <row r="567" spans="1:29" x14ac:dyDescent="0.3">
      <c r="A567" t="s">
        <v>42</v>
      </c>
      <c r="B567">
        <v>1707</v>
      </c>
      <c r="C567" t="s">
        <v>47</v>
      </c>
      <c r="D567" t="s">
        <v>43</v>
      </c>
      <c r="E567" t="s">
        <v>48</v>
      </c>
      <c r="F567" t="s">
        <v>26</v>
      </c>
      <c r="G567" t="s">
        <v>52</v>
      </c>
      <c r="H567" s="1">
        <v>45014.360659722224</v>
      </c>
      <c r="I567" s="1">
        <v>45015.360659722224</v>
      </c>
      <c r="J567" s="1">
        <v>45014.36204861111</v>
      </c>
      <c r="K567" s="2">
        <v>45014.361312210647</v>
      </c>
      <c r="L567" t="s">
        <v>28</v>
      </c>
      <c r="M567" s="2">
        <v>45014.38713959491</v>
      </c>
      <c r="N567" t="s">
        <v>28</v>
      </c>
      <c r="P567">
        <v>6</v>
      </c>
      <c r="R567" t="s">
        <v>29</v>
      </c>
      <c r="S567" t="s">
        <v>30</v>
      </c>
      <c r="T567" t="s">
        <v>66</v>
      </c>
      <c r="U567">
        <v>48.864716000000001</v>
      </c>
      <c r="V567">
        <v>2.3490139999999999</v>
      </c>
      <c r="W567" t="str">
        <f t="shared" si="56"/>
        <v>ok</v>
      </c>
      <c r="X567" t="str">
        <f t="shared" si="61"/>
        <v>ok</v>
      </c>
      <c r="Y567" t="str">
        <f t="shared" si="57"/>
        <v>ok</v>
      </c>
      <c r="Z567" t="str">
        <f t="shared" si="58"/>
        <v>ok</v>
      </c>
      <c r="AA567" s="4" t="str">
        <f t="shared" si="59"/>
        <v>ok</v>
      </c>
      <c r="AB567" s="4" t="str">
        <f t="shared" si="60"/>
        <v>ok</v>
      </c>
      <c r="AC567" s="6">
        <f t="shared" si="63"/>
        <v>0.63551694445777684</v>
      </c>
    </row>
    <row r="568" spans="1:29" x14ac:dyDescent="0.3">
      <c r="A568" t="s">
        <v>22</v>
      </c>
      <c r="B568">
        <v>1708</v>
      </c>
      <c r="C568" t="s">
        <v>23</v>
      </c>
      <c r="D568" t="s">
        <v>43</v>
      </c>
      <c r="E568" t="s">
        <v>39</v>
      </c>
      <c r="F568" t="s">
        <v>26</v>
      </c>
      <c r="G568" t="s">
        <v>45</v>
      </c>
      <c r="H568" s="1">
        <v>45014.166678240741</v>
      </c>
      <c r="I568" s="1">
        <v>45015.166678240741</v>
      </c>
      <c r="J568" s="1">
        <v>45014.168067129627</v>
      </c>
      <c r="K568" s="2">
        <v>45014.166738969907</v>
      </c>
      <c r="L568" t="s">
        <v>28</v>
      </c>
      <c r="M568" s="2">
        <v>45014.978769895832</v>
      </c>
      <c r="N568" t="s">
        <v>28</v>
      </c>
      <c r="O568" s="2">
        <v>45018.420283182873</v>
      </c>
      <c r="P568">
        <v>60</v>
      </c>
      <c r="Q568">
        <v>4</v>
      </c>
      <c r="R568" t="s">
        <v>29</v>
      </c>
      <c r="S568" t="s">
        <v>30</v>
      </c>
      <c r="T568" t="s">
        <v>58</v>
      </c>
      <c r="U568">
        <v>49.8037633</v>
      </c>
      <c r="V568">
        <v>15.4749126</v>
      </c>
      <c r="W568" t="str">
        <f t="shared" si="56"/>
        <v>ok</v>
      </c>
      <c r="X568" t="str">
        <f t="shared" si="61"/>
        <v>ok</v>
      </c>
      <c r="Y568" t="str">
        <f t="shared" si="57"/>
        <v>ok</v>
      </c>
      <c r="Z568" t="str">
        <f t="shared" si="58"/>
        <v>ok</v>
      </c>
      <c r="AA568" s="4" t="str">
        <f t="shared" si="59"/>
        <v>ok</v>
      </c>
      <c r="AB568" s="4" t="str">
        <f t="shared" si="60"/>
        <v>ok</v>
      </c>
      <c r="AC568" s="6">
        <f t="shared" si="63"/>
        <v>19.490199722175021</v>
      </c>
    </row>
    <row r="569" spans="1:29" x14ac:dyDescent="0.3">
      <c r="A569" t="s">
        <v>32</v>
      </c>
      <c r="B569">
        <v>1709</v>
      </c>
      <c r="C569" t="s">
        <v>23</v>
      </c>
      <c r="D569" t="s">
        <v>43</v>
      </c>
      <c r="E569" t="s">
        <v>62</v>
      </c>
      <c r="F569" t="s">
        <v>36</v>
      </c>
      <c r="G569" t="s">
        <v>54</v>
      </c>
      <c r="H569" s="1">
        <v>45014.843553240738</v>
      </c>
      <c r="I569" s="1">
        <v>45015.843553240738</v>
      </c>
      <c r="J569" s="1">
        <v>45014.844942129632</v>
      </c>
      <c r="K569" s="2">
        <v>45014.844736250001</v>
      </c>
      <c r="L569" t="s">
        <v>28</v>
      </c>
      <c r="N569" t="s">
        <v>38</v>
      </c>
      <c r="P569">
        <v>6</v>
      </c>
      <c r="R569" t="s">
        <v>55</v>
      </c>
      <c r="S569" t="s">
        <v>40</v>
      </c>
      <c r="T569" t="s">
        <v>63</v>
      </c>
      <c r="U569">
        <v>55.378051999999997</v>
      </c>
      <c r="V569">
        <v>-3.4359730000000002</v>
      </c>
      <c r="W569" t="str">
        <f t="shared" si="56"/>
        <v>ok</v>
      </c>
      <c r="X569" t="str">
        <f t="shared" si="61"/>
        <v>ok</v>
      </c>
      <c r="Y569" t="str">
        <f t="shared" si="57"/>
        <v>ok</v>
      </c>
      <c r="Z569" t="str">
        <f t="shared" si="58"/>
        <v>ok</v>
      </c>
      <c r="AA569" s="4" t="str">
        <f t="shared" si="59"/>
        <v>ok</v>
      </c>
      <c r="AB569" s="4" t="str">
        <f t="shared" si="60"/>
        <v>no resolution</v>
      </c>
      <c r="AC569" s="6" t="str">
        <f t="shared" si="63"/>
        <v/>
      </c>
    </row>
    <row r="570" spans="1:29" x14ac:dyDescent="0.3">
      <c r="A570" t="s">
        <v>22</v>
      </c>
      <c r="B570">
        <v>1710</v>
      </c>
      <c r="C570" t="s">
        <v>23</v>
      </c>
      <c r="D570" t="s">
        <v>24</v>
      </c>
      <c r="E570" t="s">
        <v>35</v>
      </c>
      <c r="F570" t="s">
        <v>36</v>
      </c>
      <c r="G570" t="s">
        <v>64</v>
      </c>
      <c r="H570" s="1">
        <v>45015.750231481485</v>
      </c>
      <c r="I570" s="1">
        <v>45017.750231481485</v>
      </c>
      <c r="J570" s="1">
        <v>45015.791898148149</v>
      </c>
      <c r="K570" s="2">
        <v>45015.751209918984</v>
      </c>
      <c r="L570" t="s">
        <v>28</v>
      </c>
      <c r="M570" s="2">
        <v>45016.378270023146</v>
      </c>
      <c r="N570" t="s">
        <v>28</v>
      </c>
      <c r="O570" s="2">
        <v>45017.03986394676</v>
      </c>
      <c r="P570">
        <v>1</v>
      </c>
      <c r="Q570">
        <v>4</v>
      </c>
      <c r="R570" t="s">
        <v>50</v>
      </c>
      <c r="S570" t="s">
        <v>40</v>
      </c>
      <c r="T570" t="s">
        <v>56</v>
      </c>
      <c r="U570">
        <v>52.536273000000001</v>
      </c>
      <c r="V570">
        <v>19.050639</v>
      </c>
      <c r="W570" t="str">
        <f t="shared" si="56"/>
        <v>ok</v>
      </c>
      <c r="X570" t="str">
        <f t="shared" si="61"/>
        <v>ok</v>
      </c>
      <c r="Y570" t="str">
        <f t="shared" si="57"/>
        <v>ok</v>
      </c>
      <c r="Z570" t="str">
        <f t="shared" si="58"/>
        <v>ok</v>
      </c>
      <c r="AA570" s="4" t="str">
        <f t="shared" si="59"/>
        <v>ok</v>
      </c>
      <c r="AB570" s="4" t="str">
        <f t="shared" si="60"/>
        <v>ok</v>
      </c>
      <c r="AC570" s="6">
        <f t="shared" si="63"/>
        <v>15.072924999869429</v>
      </c>
    </row>
    <row r="571" spans="1:29" x14ac:dyDescent="0.3">
      <c r="A571" t="s">
        <v>22</v>
      </c>
      <c r="B571">
        <v>1711</v>
      </c>
      <c r="C571" t="s">
        <v>33</v>
      </c>
      <c r="D571" t="s">
        <v>24</v>
      </c>
      <c r="E571" t="s">
        <v>35</v>
      </c>
      <c r="F571" t="s">
        <v>36</v>
      </c>
      <c r="G571" t="s">
        <v>37</v>
      </c>
      <c r="H571" s="1">
        <v>45015.660578703704</v>
      </c>
      <c r="I571" s="1">
        <v>45017.660578703704</v>
      </c>
      <c r="J571" s="1">
        <v>45015.702245370368</v>
      </c>
      <c r="K571" s="2">
        <v>45015.696164421293</v>
      </c>
      <c r="L571" t="s">
        <v>28</v>
      </c>
      <c r="M571" s="2">
        <v>45017.169216249997</v>
      </c>
      <c r="N571" t="s">
        <v>28</v>
      </c>
      <c r="O571" s="2">
        <v>45020.69019739583</v>
      </c>
      <c r="P571">
        <v>1</v>
      </c>
      <c r="Q571">
        <v>4</v>
      </c>
      <c r="R571" t="s">
        <v>50</v>
      </c>
      <c r="S571" t="s">
        <v>40</v>
      </c>
      <c r="T571" t="s">
        <v>51</v>
      </c>
      <c r="U571">
        <v>39.673369999999998</v>
      </c>
      <c r="V571">
        <v>-4.7677259999999997</v>
      </c>
      <c r="W571" t="str">
        <f t="shared" si="56"/>
        <v>ok</v>
      </c>
      <c r="X571" t="str">
        <f t="shared" si="61"/>
        <v>ok</v>
      </c>
      <c r="Y571" t="str">
        <f t="shared" si="57"/>
        <v>ok</v>
      </c>
      <c r="Z571" t="str">
        <f t="shared" si="58"/>
        <v>ok</v>
      </c>
      <c r="AA571" s="4" t="str">
        <f t="shared" si="59"/>
        <v>ok</v>
      </c>
      <c r="AB571" s="4" t="str">
        <f t="shared" si="60"/>
        <v>ok</v>
      </c>
      <c r="AC571" s="6">
        <f t="shared" si="63"/>
        <v>36.207301111018751</v>
      </c>
    </row>
    <row r="572" spans="1:29" x14ac:dyDescent="0.3">
      <c r="A572" t="s">
        <v>22</v>
      </c>
      <c r="B572">
        <v>1712</v>
      </c>
      <c r="C572" t="s">
        <v>23</v>
      </c>
      <c r="D572" t="s">
        <v>24</v>
      </c>
      <c r="E572" t="s">
        <v>25</v>
      </c>
      <c r="F572" t="s">
        <v>36</v>
      </c>
      <c r="G572" t="s">
        <v>64</v>
      </c>
      <c r="H572" s="1">
        <v>45015.5549537037</v>
      </c>
      <c r="I572" s="1">
        <v>45017.5549537037</v>
      </c>
      <c r="J572" s="1">
        <v>45015.596620370372</v>
      </c>
      <c r="K572" s="2">
        <v>45015.58383333333</v>
      </c>
      <c r="L572" t="s">
        <v>28</v>
      </c>
      <c r="M572" s="2">
        <v>45016.809762743054</v>
      </c>
      <c r="N572" t="s">
        <v>28</v>
      </c>
      <c r="O572" s="2">
        <v>45021.57929671296</v>
      </c>
      <c r="P572">
        <v>10</v>
      </c>
      <c r="Q572">
        <v>4</v>
      </c>
      <c r="R572" t="s">
        <v>50</v>
      </c>
      <c r="S572" t="s">
        <v>40</v>
      </c>
      <c r="T572" t="s">
        <v>41</v>
      </c>
      <c r="U572">
        <v>43.036776000000003</v>
      </c>
      <c r="V572">
        <v>12.678565000000001</v>
      </c>
      <c r="W572" t="str">
        <f t="shared" si="56"/>
        <v>ok</v>
      </c>
      <c r="X572" t="str">
        <f t="shared" si="61"/>
        <v>ok</v>
      </c>
      <c r="Y572" t="str">
        <f t="shared" si="57"/>
        <v>ok</v>
      </c>
      <c r="Z572" t="str">
        <f t="shared" si="58"/>
        <v>ok</v>
      </c>
      <c r="AA572" s="4" t="str">
        <f t="shared" si="59"/>
        <v>ok</v>
      </c>
      <c r="AB572" s="4" t="str">
        <f t="shared" si="60"/>
        <v>ok</v>
      </c>
      <c r="AC572" s="6">
        <f t="shared" si="63"/>
        <v>30.115416944492608</v>
      </c>
    </row>
    <row r="573" spans="1:29" x14ac:dyDescent="0.3">
      <c r="A573" t="s">
        <v>22</v>
      </c>
      <c r="B573">
        <v>1713</v>
      </c>
      <c r="C573" t="s">
        <v>33</v>
      </c>
      <c r="D573" t="s">
        <v>24</v>
      </c>
      <c r="E573" t="s">
        <v>25</v>
      </c>
      <c r="F573" t="s">
        <v>36</v>
      </c>
      <c r="G573" t="s">
        <v>37</v>
      </c>
      <c r="H573" s="1">
        <v>45015.478993055556</v>
      </c>
      <c r="I573" s="1">
        <v>45017.478993055556</v>
      </c>
      <c r="J573" s="1">
        <v>45015.52065972222</v>
      </c>
      <c r="K573" s="2">
        <v>45015.489881041663</v>
      </c>
      <c r="L573" t="s">
        <v>28</v>
      </c>
      <c r="M573" s="2">
        <v>45017.184144421299</v>
      </c>
      <c r="N573" t="s">
        <v>28</v>
      </c>
      <c r="O573" s="2">
        <v>45017.292365324072</v>
      </c>
      <c r="P573">
        <v>2</v>
      </c>
      <c r="Q573">
        <v>4</v>
      </c>
      <c r="R573" t="s">
        <v>50</v>
      </c>
      <c r="S573" t="s">
        <v>40</v>
      </c>
      <c r="T573" t="s">
        <v>51</v>
      </c>
      <c r="U573">
        <v>39.673369999999998</v>
      </c>
      <c r="V573">
        <v>-4.7677259999999997</v>
      </c>
      <c r="W573" t="str">
        <f t="shared" si="56"/>
        <v>ok</v>
      </c>
      <c r="X573" t="str">
        <f t="shared" si="61"/>
        <v>ok</v>
      </c>
      <c r="Y573" t="str">
        <f t="shared" si="57"/>
        <v>ok</v>
      </c>
      <c r="Z573" t="str">
        <f t="shared" si="58"/>
        <v>ok</v>
      </c>
      <c r="AA573" s="4" t="str">
        <f t="shared" si="59"/>
        <v>ok</v>
      </c>
      <c r="AB573" s="4" t="str">
        <f t="shared" si="60"/>
        <v>ok</v>
      </c>
      <c r="AC573" s="6">
        <f t="shared" si="63"/>
        <v>40.923632777819876</v>
      </c>
    </row>
    <row r="574" spans="1:29" x14ac:dyDescent="0.3">
      <c r="A574" t="s">
        <v>22</v>
      </c>
      <c r="B574">
        <v>1714</v>
      </c>
      <c r="C574" t="s">
        <v>33</v>
      </c>
      <c r="D574" t="s">
        <v>24</v>
      </c>
      <c r="E574" t="s">
        <v>59</v>
      </c>
      <c r="F574" t="s">
        <v>36</v>
      </c>
      <c r="G574" t="s">
        <v>64</v>
      </c>
      <c r="H574" s="1">
        <v>45015.715671296297</v>
      </c>
      <c r="I574" s="1">
        <v>45017.715671296297</v>
      </c>
      <c r="J574" s="1">
        <v>45015.757337962961</v>
      </c>
      <c r="K574" s="2">
        <v>45015.716062615742</v>
      </c>
      <c r="L574" t="s">
        <v>28</v>
      </c>
      <c r="M574" s="2">
        <v>45016.935608576387</v>
      </c>
      <c r="N574" t="s">
        <v>28</v>
      </c>
      <c r="O574" s="2">
        <v>45019.120349548612</v>
      </c>
      <c r="P574">
        <v>1</v>
      </c>
      <c r="Q574">
        <v>1</v>
      </c>
      <c r="R574" t="s">
        <v>50</v>
      </c>
      <c r="S574" t="s">
        <v>40</v>
      </c>
      <c r="T574" t="s">
        <v>31</v>
      </c>
      <c r="U574">
        <v>53.094023999999997</v>
      </c>
      <c r="V574">
        <v>-8.0196749999999994</v>
      </c>
      <c r="W574" t="str">
        <f t="shared" si="56"/>
        <v>ok</v>
      </c>
      <c r="X574" t="str">
        <f t="shared" si="61"/>
        <v>ok</v>
      </c>
      <c r="Y574" t="str">
        <f t="shared" si="57"/>
        <v>ok</v>
      </c>
      <c r="Z574" t="str">
        <f t="shared" si="58"/>
        <v>ok</v>
      </c>
      <c r="AA574" s="4" t="str">
        <f t="shared" si="59"/>
        <v>ok</v>
      </c>
      <c r="AB574" s="4" t="str">
        <f t="shared" si="60"/>
        <v>ok</v>
      </c>
      <c r="AC574" s="6">
        <f t="shared" si="63"/>
        <v>29.278494722151663</v>
      </c>
    </row>
    <row r="575" spans="1:29" x14ac:dyDescent="0.3">
      <c r="A575" t="s">
        <v>22</v>
      </c>
      <c r="B575">
        <v>1715</v>
      </c>
      <c r="C575" t="s">
        <v>47</v>
      </c>
      <c r="D575" t="s">
        <v>24</v>
      </c>
      <c r="E575" t="s">
        <v>48</v>
      </c>
      <c r="F575" t="s">
        <v>26</v>
      </c>
      <c r="G575" t="s">
        <v>27</v>
      </c>
      <c r="H575" s="1">
        <v>45015.940775462965</v>
      </c>
      <c r="I575" s="1">
        <v>45017.940775462965</v>
      </c>
      <c r="J575" s="1">
        <v>45015.982442129629</v>
      </c>
      <c r="K575" s="2">
        <v>45015.957429953705</v>
      </c>
      <c r="L575" t="s">
        <v>28</v>
      </c>
      <c r="M575" s="2">
        <v>45020.834044374998</v>
      </c>
      <c r="N575" t="s">
        <v>38</v>
      </c>
      <c r="O575" s="2">
        <v>45021.580267754631</v>
      </c>
      <c r="P575">
        <v>8</v>
      </c>
      <c r="Q575">
        <v>3</v>
      </c>
      <c r="R575" t="s">
        <v>29</v>
      </c>
      <c r="S575" t="s">
        <v>30</v>
      </c>
      <c r="T575" t="s">
        <v>57</v>
      </c>
      <c r="U575">
        <v>51.165691000000002</v>
      </c>
      <c r="V575">
        <v>10.451525999999999</v>
      </c>
      <c r="W575" t="str">
        <f t="shared" si="56"/>
        <v>ok</v>
      </c>
      <c r="X575" t="str">
        <f t="shared" si="61"/>
        <v>ok</v>
      </c>
      <c r="Y575" t="str">
        <f t="shared" si="57"/>
        <v>ok</v>
      </c>
      <c r="Z575" t="str">
        <f t="shared" si="58"/>
        <v>ok</v>
      </c>
      <c r="AA575" s="4" t="str">
        <f t="shared" si="59"/>
        <v>ok</v>
      </c>
      <c r="AB575" s="4" t="str">
        <f t="shared" si="60"/>
        <v>ok</v>
      </c>
      <c r="AC575" s="6">
        <f t="shared" si="63"/>
        <v>117.43845388881164</v>
      </c>
    </row>
    <row r="576" spans="1:29" x14ac:dyDescent="0.3">
      <c r="A576" t="s">
        <v>22</v>
      </c>
      <c r="B576">
        <v>1717</v>
      </c>
      <c r="C576" t="s">
        <v>47</v>
      </c>
      <c r="D576" t="s">
        <v>43</v>
      </c>
      <c r="E576" t="s">
        <v>39</v>
      </c>
      <c r="F576" t="s">
        <v>26</v>
      </c>
      <c r="G576" t="s">
        <v>45</v>
      </c>
      <c r="H576" s="1">
        <v>45015.183067129627</v>
      </c>
      <c r="I576" s="1">
        <v>45016.183067129627</v>
      </c>
      <c r="J576" s="1">
        <v>45015.18445601852</v>
      </c>
      <c r="K576" s="2">
        <v>45015.18557509259</v>
      </c>
      <c r="L576" t="s">
        <v>38</v>
      </c>
      <c r="M576" s="2">
        <v>45016.134066631945</v>
      </c>
      <c r="N576" t="s">
        <v>28</v>
      </c>
      <c r="O576" s="2">
        <v>45017.942923252318</v>
      </c>
      <c r="P576">
        <v>4</v>
      </c>
      <c r="Q576">
        <v>3</v>
      </c>
      <c r="R576" t="s">
        <v>29</v>
      </c>
      <c r="S576" t="s">
        <v>30</v>
      </c>
      <c r="T576" t="s">
        <v>53</v>
      </c>
      <c r="U576">
        <v>39.368279000000001</v>
      </c>
      <c r="V576">
        <v>21.863140999999999</v>
      </c>
      <c r="W576" t="str">
        <f t="shared" si="56"/>
        <v>ok</v>
      </c>
      <c r="X576" t="str">
        <f t="shared" si="61"/>
        <v>ok</v>
      </c>
      <c r="Y576" t="str">
        <f t="shared" si="57"/>
        <v>ok</v>
      </c>
      <c r="Z576" t="str">
        <f t="shared" si="58"/>
        <v>ok</v>
      </c>
      <c r="AA576" s="4" t="str">
        <f t="shared" si="59"/>
        <v>ok</v>
      </c>
      <c r="AB576" s="4" t="str">
        <f t="shared" si="60"/>
        <v>ok</v>
      </c>
      <c r="AC576" s="6">
        <f t="shared" si="63"/>
        <v>22.823988055635709</v>
      </c>
    </row>
    <row r="577" spans="1:29" x14ac:dyDescent="0.3">
      <c r="A577" t="s">
        <v>42</v>
      </c>
      <c r="B577">
        <v>1718</v>
      </c>
      <c r="C577" t="s">
        <v>23</v>
      </c>
      <c r="D577" t="s">
        <v>43</v>
      </c>
      <c r="E577" t="s">
        <v>48</v>
      </c>
      <c r="F577" t="s">
        <v>26</v>
      </c>
      <c r="G577" t="s">
        <v>45</v>
      </c>
      <c r="H577" s="1">
        <v>45015.938761574071</v>
      </c>
      <c r="I577" s="1">
        <v>45016.938761574071</v>
      </c>
      <c r="J577" s="1">
        <v>45015.940150462964</v>
      </c>
      <c r="K577" s="2">
        <v>45015.939472847225</v>
      </c>
      <c r="L577" t="s">
        <v>28</v>
      </c>
      <c r="M577" s="2">
        <v>45016.577713854167</v>
      </c>
      <c r="N577" t="s">
        <v>28</v>
      </c>
      <c r="P577">
        <v>4</v>
      </c>
      <c r="R577" t="s">
        <v>50</v>
      </c>
      <c r="S577" t="s">
        <v>30</v>
      </c>
      <c r="T577" t="s">
        <v>65</v>
      </c>
      <c r="U577">
        <v>46.149166399999999</v>
      </c>
      <c r="V577">
        <v>14.9860106</v>
      </c>
      <c r="W577" t="str">
        <f t="shared" si="56"/>
        <v>ok</v>
      </c>
      <c r="X577" t="str">
        <f t="shared" si="61"/>
        <v>ok</v>
      </c>
      <c r="Y577" t="str">
        <f t="shared" si="57"/>
        <v>ok</v>
      </c>
      <c r="Z577" t="str">
        <f t="shared" si="58"/>
        <v>ok</v>
      </c>
      <c r="AA577" s="4" t="str">
        <f t="shared" si="59"/>
        <v>ok</v>
      </c>
      <c r="AB577" s="4" t="str">
        <f t="shared" si="60"/>
        <v>ok</v>
      </c>
      <c r="AC577" s="6">
        <f t="shared" si="63"/>
        <v>15.334854722314049</v>
      </c>
    </row>
    <row r="578" spans="1:29" x14ac:dyDescent="0.3">
      <c r="A578" t="s">
        <v>32</v>
      </c>
      <c r="B578">
        <v>1719</v>
      </c>
      <c r="C578" t="s">
        <v>23</v>
      </c>
      <c r="D578" t="s">
        <v>43</v>
      </c>
      <c r="E578" t="s">
        <v>35</v>
      </c>
      <c r="F578" t="s">
        <v>26</v>
      </c>
      <c r="G578" t="s">
        <v>60</v>
      </c>
      <c r="H578" s="1">
        <v>45015.300763888888</v>
      </c>
      <c r="I578" s="1">
        <v>45016.300763888888</v>
      </c>
      <c r="J578" s="1">
        <v>45015.302152777775</v>
      </c>
      <c r="K578" s="2">
        <v>45015.301136041664</v>
      </c>
      <c r="L578" t="s">
        <v>28</v>
      </c>
      <c r="N578" t="s">
        <v>38</v>
      </c>
      <c r="P578">
        <v>7</v>
      </c>
      <c r="R578" t="s">
        <v>50</v>
      </c>
      <c r="S578" t="s">
        <v>30</v>
      </c>
      <c r="T578" t="s">
        <v>65</v>
      </c>
      <c r="U578">
        <v>46.149166399999999</v>
      </c>
      <c r="V578">
        <v>14.9860106</v>
      </c>
      <c r="W578" t="str">
        <f t="shared" ref="W578:W641" si="64">IF(K578&lt;H578,"check","ok")</f>
        <v>ok</v>
      </c>
      <c r="X578" t="str">
        <f t="shared" si="61"/>
        <v>ok</v>
      </c>
      <c r="Y578" t="str">
        <f t="shared" ref="Y578:Y641" si="65">IF(AND(M578&lt;&gt;"",O578&lt;&gt;"",O578&lt;M578),"check","ok")</f>
        <v>ok</v>
      </c>
      <c r="Z578" t="str">
        <f t="shared" ref="Z578:Z641" si="66">IF(AND(OR(CA578="Closed",A578="Resolved"),M578=""),"check","ok")</f>
        <v>ok</v>
      </c>
      <c r="AA578" s="4" t="str">
        <f t="shared" ref="AA578:AA641" si="67">IF(K578="","no response",IF(OR(AND(K578&lt;=J578,L578="Within SLA"),AND(K578&gt;J578,L578="SLA Violated")),"ok","check"))</f>
        <v>ok</v>
      </c>
      <c r="AB578" s="4" t="str">
        <f t="shared" ref="AB578:AB641" si="68">IF(M578="","no resolution",IF(OR(AND(M578&lt;=I578,N578="Within SLA"),AND(M578&gt;I578,N578="SLA Violated")),"ok","check"))</f>
        <v>no resolution</v>
      </c>
      <c r="AC578" s="6" t="str">
        <f t="shared" ref="AC578:AC641" si="69">IF(M578="","",(M578-H578)*24)</f>
        <v/>
      </c>
    </row>
    <row r="579" spans="1:29" x14ac:dyDescent="0.3">
      <c r="A579" t="s">
        <v>42</v>
      </c>
      <c r="B579">
        <v>1720</v>
      </c>
      <c r="C579" t="s">
        <v>23</v>
      </c>
      <c r="D579" t="s">
        <v>24</v>
      </c>
      <c r="E579" t="s">
        <v>59</v>
      </c>
      <c r="F579" t="s">
        <v>26</v>
      </c>
      <c r="G579" t="s">
        <v>60</v>
      </c>
      <c r="H579" s="1">
        <v>45015.520462962966</v>
      </c>
      <c r="I579" s="1">
        <v>45017.520462962966</v>
      </c>
      <c r="J579" s="1">
        <v>45015.56212962963</v>
      </c>
      <c r="K579" s="2">
        <v>45015.552753206015</v>
      </c>
      <c r="L579" t="s">
        <v>28</v>
      </c>
      <c r="M579" s="2">
        <v>45016.899727858799</v>
      </c>
      <c r="N579" t="s">
        <v>28</v>
      </c>
      <c r="P579">
        <v>8</v>
      </c>
      <c r="R579" t="s">
        <v>50</v>
      </c>
      <c r="S579" t="s">
        <v>30</v>
      </c>
      <c r="T579" t="s">
        <v>41</v>
      </c>
      <c r="U579">
        <v>43.036776000000003</v>
      </c>
      <c r="V579">
        <v>12.678565000000001</v>
      </c>
      <c r="W579" t="str">
        <f t="shared" si="64"/>
        <v>ok</v>
      </c>
      <c r="X579" t="str">
        <f t="shared" ref="X579:X642" si="70">IF(AND(M579&lt;&gt;"",M579&lt;H579),"check","ok")</f>
        <v>ok</v>
      </c>
      <c r="Y579" t="str">
        <f t="shared" si="65"/>
        <v>ok</v>
      </c>
      <c r="Z579" t="str">
        <f t="shared" si="66"/>
        <v>ok</v>
      </c>
      <c r="AA579" s="4" t="str">
        <f t="shared" si="67"/>
        <v>ok</v>
      </c>
      <c r="AB579" s="4" t="str">
        <f t="shared" si="68"/>
        <v>ok</v>
      </c>
      <c r="AC579" s="6">
        <f t="shared" si="69"/>
        <v>33.102357499999925</v>
      </c>
    </row>
    <row r="580" spans="1:29" x14ac:dyDescent="0.3">
      <c r="A580" t="s">
        <v>22</v>
      </c>
      <c r="B580">
        <v>1721</v>
      </c>
      <c r="C580" t="s">
        <v>23</v>
      </c>
      <c r="D580" t="s">
        <v>24</v>
      </c>
      <c r="E580" t="s">
        <v>35</v>
      </c>
      <c r="F580" t="s">
        <v>26</v>
      </c>
      <c r="G580" t="s">
        <v>52</v>
      </c>
      <c r="H580" s="1">
        <v>45015.65115740741</v>
      </c>
      <c r="I580" s="1">
        <v>45017.65115740741</v>
      </c>
      <c r="J580" s="1">
        <v>45015.692824074074</v>
      </c>
      <c r="K580" s="2">
        <v>45015.652009606485</v>
      </c>
      <c r="L580" t="s">
        <v>28</v>
      </c>
      <c r="M580" s="2">
        <v>45017.031725624998</v>
      </c>
      <c r="N580" t="s">
        <v>28</v>
      </c>
      <c r="O580" s="2">
        <v>45021.689180844907</v>
      </c>
      <c r="P580">
        <v>2</v>
      </c>
      <c r="Q580">
        <v>3</v>
      </c>
      <c r="R580" t="s">
        <v>50</v>
      </c>
      <c r="S580" t="s">
        <v>30</v>
      </c>
      <c r="T580" t="s">
        <v>65</v>
      </c>
      <c r="U580">
        <v>46.149166399999999</v>
      </c>
      <c r="V580">
        <v>14.9860106</v>
      </c>
      <c r="W580" t="str">
        <f t="shared" si="64"/>
        <v>ok</v>
      </c>
      <c r="X580" t="str">
        <f t="shared" si="70"/>
        <v>ok</v>
      </c>
      <c r="Y580" t="str">
        <f t="shared" si="65"/>
        <v>ok</v>
      </c>
      <c r="Z580" t="str">
        <f t="shared" si="66"/>
        <v>ok</v>
      </c>
      <c r="AA580" s="4" t="str">
        <f t="shared" si="67"/>
        <v>ok</v>
      </c>
      <c r="AB580" s="4" t="str">
        <f t="shared" si="68"/>
        <v>ok</v>
      </c>
      <c r="AC580" s="6">
        <f t="shared" si="69"/>
        <v>33.133637222112156</v>
      </c>
    </row>
    <row r="581" spans="1:29" x14ac:dyDescent="0.3">
      <c r="A581" t="s">
        <v>42</v>
      </c>
      <c r="B581">
        <v>1722</v>
      </c>
      <c r="C581" t="s">
        <v>23</v>
      </c>
      <c r="D581" t="s">
        <v>43</v>
      </c>
      <c r="E581" t="s">
        <v>25</v>
      </c>
      <c r="F581" t="s">
        <v>26</v>
      </c>
      <c r="G581" t="s">
        <v>49</v>
      </c>
      <c r="H581" s="1">
        <v>45015.874490740738</v>
      </c>
      <c r="I581" s="1">
        <v>45016.874490740738</v>
      </c>
      <c r="J581" s="1">
        <v>45015.875879629632</v>
      </c>
      <c r="K581" s="2">
        <v>45015.874741747684</v>
      </c>
      <c r="L581" t="s">
        <v>28</v>
      </c>
      <c r="M581" s="2">
        <v>45016.805500312497</v>
      </c>
      <c r="N581" t="s">
        <v>28</v>
      </c>
      <c r="P581">
        <v>60</v>
      </c>
      <c r="R581" t="s">
        <v>29</v>
      </c>
      <c r="S581" t="s">
        <v>30</v>
      </c>
      <c r="T581" t="s">
        <v>66</v>
      </c>
      <c r="U581">
        <v>48.864716000000001</v>
      </c>
      <c r="V581">
        <v>2.3490139999999999</v>
      </c>
      <c r="W581" t="str">
        <f t="shared" si="64"/>
        <v>ok</v>
      </c>
      <c r="X581" t="str">
        <f t="shared" si="70"/>
        <v>ok</v>
      </c>
      <c r="Y581" t="str">
        <f t="shared" si="65"/>
        <v>ok</v>
      </c>
      <c r="Z581" t="str">
        <f t="shared" si="66"/>
        <v>ok</v>
      </c>
      <c r="AA581" s="4" t="str">
        <f t="shared" si="67"/>
        <v>ok</v>
      </c>
      <c r="AB581" s="4" t="str">
        <f t="shared" si="68"/>
        <v>ok</v>
      </c>
      <c r="AC581" s="6">
        <f t="shared" si="69"/>
        <v>22.344229722220916</v>
      </c>
    </row>
    <row r="582" spans="1:29" x14ac:dyDescent="0.3">
      <c r="A582" t="s">
        <v>22</v>
      </c>
      <c r="B582">
        <v>1723</v>
      </c>
      <c r="C582" t="s">
        <v>23</v>
      </c>
      <c r="D582" t="s">
        <v>24</v>
      </c>
      <c r="E582" t="s">
        <v>59</v>
      </c>
      <c r="F582" t="s">
        <v>26</v>
      </c>
      <c r="G582" t="s">
        <v>49</v>
      </c>
      <c r="H582" s="1">
        <v>45016.206516203703</v>
      </c>
      <c r="I582" s="1">
        <v>45018.206516203703</v>
      </c>
      <c r="J582" s="1">
        <v>45016.248182870368</v>
      </c>
      <c r="K582" s="2">
        <v>45016.207367939816</v>
      </c>
      <c r="L582" t="s">
        <v>28</v>
      </c>
      <c r="M582" s="2">
        <v>45016.859667858793</v>
      </c>
      <c r="N582" t="s">
        <v>28</v>
      </c>
      <c r="O582" s="2">
        <v>45020.624077592591</v>
      </c>
      <c r="P582">
        <v>7</v>
      </c>
      <c r="Q582">
        <v>5</v>
      </c>
      <c r="R582" t="s">
        <v>50</v>
      </c>
      <c r="S582" t="s">
        <v>30</v>
      </c>
      <c r="T582" t="s">
        <v>57</v>
      </c>
      <c r="U582">
        <v>51.165691000000002</v>
      </c>
      <c r="V582">
        <v>10.451525999999999</v>
      </c>
      <c r="W582" t="str">
        <f t="shared" si="64"/>
        <v>ok</v>
      </c>
      <c r="X582" t="str">
        <f t="shared" si="70"/>
        <v>ok</v>
      </c>
      <c r="Y582" t="str">
        <f t="shared" si="65"/>
        <v>ok</v>
      </c>
      <c r="Z582" t="str">
        <f t="shared" si="66"/>
        <v>ok</v>
      </c>
      <c r="AA582" s="4" t="str">
        <f t="shared" si="67"/>
        <v>ok</v>
      </c>
      <c r="AB582" s="4" t="str">
        <f t="shared" si="68"/>
        <v>ok</v>
      </c>
      <c r="AC582" s="6">
        <f t="shared" si="69"/>
        <v>15.675639722147025</v>
      </c>
    </row>
    <row r="583" spans="1:29" x14ac:dyDescent="0.3">
      <c r="A583" t="s">
        <v>22</v>
      </c>
      <c r="B583">
        <v>1725</v>
      </c>
      <c r="C583" t="s">
        <v>23</v>
      </c>
      <c r="D583" t="s">
        <v>24</v>
      </c>
      <c r="E583" t="s">
        <v>44</v>
      </c>
      <c r="F583" t="s">
        <v>26</v>
      </c>
      <c r="G583" t="s">
        <v>45</v>
      </c>
      <c r="H583" s="1">
        <v>45016.132349537038</v>
      </c>
      <c r="I583" s="1">
        <v>45018.132349537038</v>
      </c>
      <c r="J583" s="1">
        <v>45016.174016203702</v>
      </c>
      <c r="K583" s="2">
        <v>45016.162089849538</v>
      </c>
      <c r="L583" t="s">
        <v>28</v>
      </c>
      <c r="M583" s="2">
        <v>45019.781350138888</v>
      </c>
      <c r="N583" t="s">
        <v>38</v>
      </c>
      <c r="O583" s="2">
        <v>45021.598137928238</v>
      </c>
      <c r="P583">
        <v>1</v>
      </c>
      <c r="Q583">
        <v>4</v>
      </c>
      <c r="R583" t="s">
        <v>29</v>
      </c>
      <c r="S583" t="s">
        <v>30</v>
      </c>
      <c r="T583" t="s">
        <v>53</v>
      </c>
      <c r="U583">
        <v>39.368279000000001</v>
      </c>
      <c r="V583">
        <v>21.863140999999999</v>
      </c>
      <c r="W583" t="str">
        <f t="shared" si="64"/>
        <v>ok</v>
      </c>
      <c r="X583" t="str">
        <f t="shared" si="70"/>
        <v>ok</v>
      </c>
      <c r="Y583" t="str">
        <f t="shared" si="65"/>
        <v>ok</v>
      </c>
      <c r="Z583" t="str">
        <f t="shared" si="66"/>
        <v>ok</v>
      </c>
      <c r="AA583" s="4" t="str">
        <f t="shared" si="67"/>
        <v>ok</v>
      </c>
      <c r="AB583" s="4" t="str">
        <f t="shared" si="68"/>
        <v>ok</v>
      </c>
      <c r="AC583" s="6">
        <f t="shared" si="69"/>
        <v>87.57601444440661</v>
      </c>
    </row>
    <row r="584" spans="1:29" x14ac:dyDescent="0.3">
      <c r="A584" t="s">
        <v>22</v>
      </c>
      <c r="B584">
        <v>1726</v>
      </c>
      <c r="C584" t="s">
        <v>33</v>
      </c>
      <c r="D584" t="s">
        <v>43</v>
      </c>
      <c r="E584" t="s">
        <v>25</v>
      </c>
      <c r="F584" t="s">
        <v>26</v>
      </c>
      <c r="G584" t="s">
        <v>27</v>
      </c>
      <c r="H584" s="1">
        <v>45016.486446759256</v>
      </c>
      <c r="I584" s="1">
        <v>45017.486446759256</v>
      </c>
      <c r="J584" s="1">
        <v>45016.487835648149</v>
      </c>
      <c r="K584" s="2">
        <v>45016.48716986111</v>
      </c>
      <c r="L584" t="s">
        <v>28</v>
      </c>
      <c r="M584" s="2">
        <v>45016.648547187498</v>
      </c>
      <c r="N584" t="s">
        <v>28</v>
      </c>
      <c r="O584" s="2">
        <v>45021.578843819443</v>
      </c>
      <c r="P584">
        <v>8</v>
      </c>
      <c r="Q584">
        <v>4</v>
      </c>
      <c r="R584" t="s">
        <v>50</v>
      </c>
      <c r="S584" t="s">
        <v>30</v>
      </c>
      <c r="T584" t="s">
        <v>41</v>
      </c>
      <c r="U584">
        <v>43.036776000000003</v>
      </c>
      <c r="V584">
        <v>12.678565000000001</v>
      </c>
      <c r="W584" t="str">
        <f t="shared" si="64"/>
        <v>ok</v>
      </c>
      <c r="X584" t="str">
        <f t="shared" si="70"/>
        <v>ok</v>
      </c>
      <c r="Y584" t="str">
        <f t="shared" si="65"/>
        <v>ok</v>
      </c>
      <c r="Z584" t="str">
        <f t="shared" si="66"/>
        <v>ok</v>
      </c>
      <c r="AA584" s="4" t="str">
        <f t="shared" si="67"/>
        <v>ok</v>
      </c>
      <c r="AB584" s="4" t="str">
        <f t="shared" si="68"/>
        <v>ok</v>
      </c>
      <c r="AC584" s="6">
        <f t="shared" si="69"/>
        <v>3.890410277817864</v>
      </c>
    </row>
    <row r="585" spans="1:29" x14ac:dyDescent="0.3">
      <c r="A585" t="s">
        <v>42</v>
      </c>
      <c r="B585">
        <v>1727</v>
      </c>
      <c r="C585" t="s">
        <v>23</v>
      </c>
      <c r="D585" t="s">
        <v>43</v>
      </c>
      <c r="E585" t="s">
        <v>25</v>
      </c>
      <c r="F585" t="s">
        <v>26</v>
      </c>
      <c r="G585" t="s">
        <v>49</v>
      </c>
      <c r="H585" s="1">
        <v>45016.371319444443</v>
      </c>
      <c r="I585" s="1">
        <v>45017.371319444443</v>
      </c>
      <c r="J585" s="1">
        <v>45016.372708333336</v>
      </c>
      <c r="K585" s="2">
        <v>45016.372502731479</v>
      </c>
      <c r="L585" t="s">
        <v>28</v>
      </c>
      <c r="M585" s="2">
        <v>45017.20813417824</v>
      </c>
      <c r="N585" t="s">
        <v>28</v>
      </c>
      <c r="P585">
        <v>6</v>
      </c>
      <c r="R585" t="s">
        <v>50</v>
      </c>
      <c r="S585" t="s">
        <v>30</v>
      </c>
      <c r="T585" t="s">
        <v>53</v>
      </c>
      <c r="U585">
        <v>39.368279000000001</v>
      </c>
      <c r="V585">
        <v>21.863140999999999</v>
      </c>
      <c r="W585" t="str">
        <f t="shared" si="64"/>
        <v>ok</v>
      </c>
      <c r="X585" t="str">
        <f t="shared" si="70"/>
        <v>ok</v>
      </c>
      <c r="Y585" t="str">
        <f t="shared" si="65"/>
        <v>ok</v>
      </c>
      <c r="Z585" t="str">
        <f t="shared" si="66"/>
        <v>ok</v>
      </c>
      <c r="AA585" s="4" t="str">
        <f t="shared" si="67"/>
        <v>ok</v>
      </c>
      <c r="AB585" s="4" t="str">
        <f t="shared" si="68"/>
        <v>ok</v>
      </c>
      <c r="AC585" s="6">
        <f t="shared" si="69"/>
        <v>20.083553611126263</v>
      </c>
    </row>
    <row r="586" spans="1:29" x14ac:dyDescent="0.3">
      <c r="A586" t="s">
        <v>42</v>
      </c>
      <c r="B586">
        <v>1728</v>
      </c>
      <c r="C586" t="s">
        <v>33</v>
      </c>
      <c r="D586" t="s">
        <v>24</v>
      </c>
      <c r="E586" t="s">
        <v>25</v>
      </c>
      <c r="F586" t="s">
        <v>36</v>
      </c>
      <c r="G586" t="s">
        <v>37</v>
      </c>
      <c r="H586" s="1">
        <v>45016.710370370369</v>
      </c>
      <c r="I586" s="1">
        <v>45018.710370370369</v>
      </c>
      <c r="J586" s="1">
        <v>45016.75203703704</v>
      </c>
      <c r="K586" s="2">
        <v>45016.729392187503</v>
      </c>
      <c r="L586" t="s">
        <v>28</v>
      </c>
      <c r="M586" s="2">
        <v>45018.614343287038</v>
      </c>
      <c r="N586" t="s">
        <v>28</v>
      </c>
      <c r="P586">
        <v>10</v>
      </c>
      <c r="R586" t="s">
        <v>50</v>
      </c>
      <c r="S586" t="s">
        <v>40</v>
      </c>
      <c r="T586" t="s">
        <v>56</v>
      </c>
      <c r="U586">
        <v>52.536273000000001</v>
      </c>
      <c r="V586">
        <v>19.050639</v>
      </c>
      <c r="W586" t="str">
        <f t="shared" si="64"/>
        <v>ok</v>
      </c>
      <c r="X586" t="str">
        <f t="shared" si="70"/>
        <v>ok</v>
      </c>
      <c r="Y586" t="str">
        <f t="shared" si="65"/>
        <v>ok</v>
      </c>
      <c r="Z586" t="str">
        <f t="shared" si="66"/>
        <v>ok</v>
      </c>
      <c r="AA586" s="4" t="str">
        <f t="shared" si="67"/>
        <v>ok</v>
      </c>
      <c r="AB586" s="4" t="str">
        <f t="shared" si="68"/>
        <v>ok</v>
      </c>
      <c r="AC586" s="6">
        <f t="shared" si="69"/>
        <v>45.695350000052713</v>
      </c>
    </row>
    <row r="587" spans="1:29" x14ac:dyDescent="0.3">
      <c r="A587" t="s">
        <v>32</v>
      </c>
      <c r="B587">
        <v>1729</v>
      </c>
      <c r="C587" t="s">
        <v>33</v>
      </c>
      <c r="D587" t="s">
        <v>24</v>
      </c>
      <c r="E587" t="s">
        <v>35</v>
      </c>
      <c r="F587" t="s">
        <v>26</v>
      </c>
      <c r="G587" t="s">
        <v>60</v>
      </c>
      <c r="H587" s="1">
        <v>45016.943252314813</v>
      </c>
      <c r="I587" s="1">
        <v>45018.943252314813</v>
      </c>
      <c r="J587" s="1">
        <v>45016.984918981485</v>
      </c>
      <c r="K587" s="2">
        <v>45016.957778564814</v>
      </c>
      <c r="L587" t="s">
        <v>28</v>
      </c>
      <c r="N587" t="s">
        <v>38</v>
      </c>
      <c r="P587">
        <v>1</v>
      </c>
      <c r="R587" t="s">
        <v>50</v>
      </c>
      <c r="S587" t="s">
        <v>30</v>
      </c>
      <c r="T587" t="s">
        <v>61</v>
      </c>
      <c r="U587">
        <v>42.724992499999999</v>
      </c>
      <c r="V587">
        <v>25.483303899999999</v>
      </c>
      <c r="W587" t="str">
        <f t="shared" si="64"/>
        <v>ok</v>
      </c>
      <c r="X587" t="str">
        <f t="shared" si="70"/>
        <v>ok</v>
      </c>
      <c r="Y587" t="str">
        <f t="shared" si="65"/>
        <v>ok</v>
      </c>
      <c r="Z587" t="str">
        <f t="shared" si="66"/>
        <v>ok</v>
      </c>
      <c r="AA587" s="4" t="str">
        <f t="shared" si="67"/>
        <v>ok</v>
      </c>
      <c r="AB587" s="4" t="str">
        <f t="shared" si="68"/>
        <v>no resolution</v>
      </c>
      <c r="AC587" s="6" t="str">
        <f t="shared" si="69"/>
        <v/>
      </c>
    </row>
    <row r="588" spans="1:29" x14ac:dyDescent="0.3">
      <c r="A588" t="s">
        <v>32</v>
      </c>
      <c r="B588">
        <v>1730</v>
      </c>
      <c r="C588" t="s">
        <v>47</v>
      </c>
      <c r="D588" t="s">
        <v>43</v>
      </c>
      <c r="E588" t="s">
        <v>35</v>
      </c>
      <c r="F588" t="s">
        <v>36</v>
      </c>
      <c r="G588" t="s">
        <v>37</v>
      </c>
      <c r="H588" s="1">
        <v>45017.19635416667</v>
      </c>
      <c r="I588" s="1">
        <v>45018.19635416667</v>
      </c>
      <c r="J588" s="1">
        <v>45017.197743055556</v>
      </c>
      <c r="K588" s="2">
        <v>45017.197657199074</v>
      </c>
      <c r="L588" t="s">
        <v>28</v>
      </c>
      <c r="N588" t="s">
        <v>38</v>
      </c>
      <c r="P588">
        <v>7</v>
      </c>
      <c r="R588" t="s">
        <v>29</v>
      </c>
      <c r="S588" t="s">
        <v>40</v>
      </c>
      <c r="T588" t="s">
        <v>56</v>
      </c>
      <c r="U588">
        <v>52.536273000000001</v>
      </c>
      <c r="V588">
        <v>19.050639</v>
      </c>
      <c r="W588" t="str">
        <f t="shared" si="64"/>
        <v>ok</v>
      </c>
      <c r="X588" t="str">
        <f t="shared" si="70"/>
        <v>ok</v>
      </c>
      <c r="Y588" t="str">
        <f t="shared" si="65"/>
        <v>ok</v>
      </c>
      <c r="Z588" t="str">
        <f t="shared" si="66"/>
        <v>ok</v>
      </c>
      <c r="AA588" s="4" t="str">
        <f t="shared" si="67"/>
        <v>ok</v>
      </c>
      <c r="AB588" s="4" t="str">
        <f t="shared" si="68"/>
        <v>no resolution</v>
      </c>
      <c r="AC588" s="6" t="str">
        <f t="shared" si="69"/>
        <v/>
      </c>
    </row>
    <row r="589" spans="1:29" x14ac:dyDescent="0.3">
      <c r="A589" t="s">
        <v>42</v>
      </c>
      <c r="B589">
        <v>1731</v>
      </c>
      <c r="C589" t="s">
        <v>23</v>
      </c>
      <c r="D589" t="s">
        <v>24</v>
      </c>
      <c r="E589" t="s">
        <v>25</v>
      </c>
      <c r="F589" t="s">
        <v>26</v>
      </c>
      <c r="G589" t="s">
        <v>52</v>
      </c>
      <c r="H589" s="1">
        <v>45017.815821759257</v>
      </c>
      <c r="I589" s="1">
        <v>45019.815821759257</v>
      </c>
      <c r="J589" s="1">
        <v>45017.857488425929</v>
      </c>
      <c r="K589" s="2">
        <v>45017.842075844907</v>
      </c>
      <c r="L589" t="s">
        <v>28</v>
      </c>
      <c r="M589" s="2">
        <v>45019.050398333333</v>
      </c>
      <c r="N589" t="s">
        <v>28</v>
      </c>
      <c r="P589">
        <v>2</v>
      </c>
      <c r="R589" t="s">
        <v>39</v>
      </c>
      <c r="S589" t="s">
        <v>30</v>
      </c>
      <c r="T589" t="s">
        <v>57</v>
      </c>
      <c r="U589">
        <v>51.165691000000002</v>
      </c>
      <c r="V589">
        <v>10.451525999999999</v>
      </c>
      <c r="W589" t="str">
        <f t="shared" si="64"/>
        <v>ok</v>
      </c>
      <c r="X589" t="str">
        <f t="shared" si="70"/>
        <v>ok</v>
      </c>
      <c r="Y589" t="str">
        <f t="shared" si="65"/>
        <v>ok</v>
      </c>
      <c r="Z589" t="str">
        <f t="shared" si="66"/>
        <v>ok</v>
      </c>
      <c r="AA589" s="4" t="str">
        <f t="shared" si="67"/>
        <v>ok</v>
      </c>
      <c r="AB589" s="4" t="str">
        <f t="shared" si="68"/>
        <v>ok</v>
      </c>
      <c r="AC589" s="6">
        <f t="shared" si="69"/>
        <v>29.629837777814828</v>
      </c>
    </row>
    <row r="590" spans="1:29" x14ac:dyDescent="0.3">
      <c r="A590" t="s">
        <v>32</v>
      </c>
      <c r="B590">
        <v>1732</v>
      </c>
      <c r="C590" t="s">
        <v>23</v>
      </c>
      <c r="D590" t="s">
        <v>24</v>
      </c>
      <c r="E590" t="s">
        <v>62</v>
      </c>
      <c r="F590" t="s">
        <v>26</v>
      </c>
      <c r="G590" t="s">
        <v>60</v>
      </c>
      <c r="H590" s="1">
        <v>45017.822696759256</v>
      </c>
      <c r="I590" s="1">
        <v>45019.822696759256</v>
      </c>
      <c r="J590" s="1">
        <v>45017.864363425928</v>
      </c>
      <c r="K590" s="2">
        <v>45018.032455856483</v>
      </c>
      <c r="L590" t="s">
        <v>38</v>
      </c>
      <c r="N590" t="s">
        <v>38</v>
      </c>
      <c r="P590">
        <v>6</v>
      </c>
      <c r="R590" t="s">
        <v>55</v>
      </c>
      <c r="S590" t="s">
        <v>30</v>
      </c>
      <c r="T590" t="s">
        <v>53</v>
      </c>
      <c r="U590">
        <v>39.368279000000001</v>
      </c>
      <c r="V590">
        <v>21.863140999999999</v>
      </c>
      <c r="W590" t="str">
        <f t="shared" si="64"/>
        <v>ok</v>
      </c>
      <c r="X590" t="str">
        <f t="shared" si="70"/>
        <v>ok</v>
      </c>
      <c r="Y590" t="str">
        <f t="shared" si="65"/>
        <v>ok</v>
      </c>
      <c r="Z590" t="str">
        <f t="shared" si="66"/>
        <v>ok</v>
      </c>
      <c r="AA590" s="4" t="str">
        <f t="shared" si="67"/>
        <v>ok</v>
      </c>
      <c r="AB590" s="4" t="str">
        <f t="shared" si="68"/>
        <v>no resolution</v>
      </c>
      <c r="AC590" s="6" t="str">
        <f t="shared" si="69"/>
        <v/>
      </c>
    </row>
    <row r="591" spans="1:29" x14ac:dyDescent="0.3">
      <c r="A591" t="s">
        <v>22</v>
      </c>
      <c r="B591">
        <v>1733</v>
      </c>
      <c r="C591" t="s">
        <v>47</v>
      </c>
      <c r="D591" t="s">
        <v>24</v>
      </c>
      <c r="E591" t="s">
        <v>48</v>
      </c>
      <c r="F591" t="s">
        <v>26</v>
      </c>
      <c r="G591" t="s">
        <v>52</v>
      </c>
      <c r="H591" s="1">
        <v>45017.805046296293</v>
      </c>
      <c r="I591" s="1">
        <v>45019.805046296293</v>
      </c>
      <c r="J591" s="1">
        <v>45017.846712962964</v>
      </c>
      <c r="K591" s="2">
        <v>45017.838209050926</v>
      </c>
      <c r="L591" t="s">
        <v>28</v>
      </c>
      <c r="M591" s="2">
        <v>45018.568378564814</v>
      </c>
      <c r="N591" t="s">
        <v>28</v>
      </c>
      <c r="O591" s="2">
        <v>45021.33389159722</v>
      </c>
      <c r="P591">
        <v>4</v>
      </c>
      <c r="Q591">
        <v>2</v>
      </c>
      <c r="R591" t="s">
        <v>39</v>
      </c>
      <c r="S591" t="s">
        <v>30</v>
      </c>
      <c r="T591" t="s">
        <v>65</v>
      </c>
      <c r="U591">
        <v>46.149166399999999</v>
      </c>
      <c r="V591">
        <v>14.9860106</v>
      </c>
      <c r="W591" t="str">
        <f t="shared" si="64"/>
        <v>ok</v>
      </c>
      <c r="X591" t="str">
        <f t="shared" si="70"/>
        <v>ok</v>
      </c>
      <c r="Y591" t="str">
        <f t="shared" si="65"/>
        <v>ok</v>
      </c>
      <c r="Z591" t="str">
        <f t="shared" si="66"/>
        <v>ok</v>
      </c>
      <c r="AA591" s="4" t="str">
        <f t="shared" si="67"/>
        <v>ok</v>
      </c>
      <c r="AB591" s="4" t="str">
        <f t="shared" si="68"/>
        <v>ok</v>
      </c>
      <c r="AC591" s="6">
        <f t="shared" si="69"/>
        <v>18.319974444515537</v>
      </c>
    </row>
    <row r="592" spans="1:29" x14ac:dyDescent="0.3">
      <c r="A592" t="s">
        <v>22</v>
      </c>
      <c r="B592">
        <v>1748</v>
      </c>
      <c r="C592" t="s">
        <v>23</v>
      </c>
      <c r="D592" t="s">
        <v>43</v>
      </c>
      <c r="E592" t="s">
        <v>25</v>
      </c>
      <c r="F592" t="s">
        <v>36</v>
      </c>
      <c r="G592" t="s">
        <v>37</v>
      </c>
      <c r="H592" s="1">
        <v>45018.632581018515</v>
      </c>
      <c r="I592" s="1">
        <v>45019.632581018515</v>
      </c>
      <c r="J592" s="1">
        <v>45018.633969907409</v>
      </c>
      <c r="K592" s="2">
        <v>45018.636037268516</v>
      </c>
      <c r="L592" t="s">
        <v>38</v>
      </c>
      <c r="M592" s="2">
        <v>45021.690529861109</v>
      </c>
      <c r="N592" t="s">
        <v>38</v>
      </c>
      <c r="O592" s="2">
        <v>45023.611486458336</v>
      </c>
      <c r="P592">
        <v>6</v>
      </c>
      <c r="Q592">
        <v>3</v>
      </c>
      <c r="R592" t="s">
        <v>29</v>
      </c>
      <c r="S592" t="s">
        <v>40</v>
      </c>
      <c r="T592" t="s">
        <v>58</v>
      </c>
      <c r="U592">
        <v>49.8037633</v>
      </c>
      <c r="V592">
        <v>15.4749126</v>
      </c>
      <c r="W592" t="str">
        <f t="shared" si="64"/>
        <v>ok</v>
      </c>
      <c r="X592" t="str">
        <f t="shared" si="70"/>
        <v>ok</v>
      </c>
      <c r="Y592" t="str">
        <f t="shared" si="65"/>
        <v>ok</v>
      </c>
      <c r="Z592" t="str">
        <f t="shared" si="66"/>
        <v>ok</v>
      </c>
      <c r="AA592" s="4" t="str">
        <f t="shared" si="67"/>
        <v>ok</v>
      </c>
      <c r="AB592" s="4" t="str">
        <f t="shared" si="68"/>
        <v>ok</v>
      </c>
      <c r="AC592" s="6">
        <f t="shared" si="69"/>
        <v>73.390772222250234</v>
      </c>
    </row>
    <row r="593" spans="1:29" x14ac:dyDescent="0.3">
      <c r="A593" t="s">
        <v>32</v>
      </c>
      <c r="B593">
        <v>1749</v>
      </c>
      <c r="C593" t="s">
        <v>47</v>
      </c>
      <c r="D593" t="s">
        <v>34</v>
      </c>
      <c r="E593" t="s">
        <v>44</v>
      </c>
      <c r="F593" t="s">
        <v>26</v>
      </c>
      <c r="G593" t="s">
        <v>27</v>
      </c>
      <c r="H593" s="1">
        <v>45018.197500000002</v>
      </c>
      <c r="I593" s="1">
        <v>45020.197500000002</v>
      </c>
      <c r="J593" s="1">
        <v>45018.198888888888</v>
      </c>
      <c r="K593" s="2">
        <v>45018.19791923611</v>
      </c>
      <c r="L593" t="s">
        <v>28</v>
      </c>
      <c r="N593" t="s">
        <v>38</v>
      </c>
      <c r="P593">
        <v>1</v>
      </c>
      <c r="R593" t="s">
        <v>39</v>
      </c>
      <c r="S593" t="s">
        <v>30</v>
      </c>
      <c r="T593" t="s">
        <v>57</v>
      </c>
      <c r="U593">
        <v>51.165691000000002</v>
      </c>
      <c r="V593">
        <v>10.451525999999999</v>
      </c>
      <c r="W593" t="str">
        <f t="shared" si="64"/>
        <v>ok</v>
      </c>
      <c r="X593" t="str">
        <f t="shared" si="70"/>
        <v>ok</v>
      </c>
      <c r="Y593" t="str">
        <f t="shared" si="65"/>
        <v>ok</v>
      </c>
      <c r="Z593" t="str">
        <f t="shared" si="66"/>
        <v>ok</v>
      </c>
      <c r="AA593" s="4" t="str">
        <f t="shared" si="67"/>
        <v>ok</v>
      </c>
      <c r="AB593" s="4" t="str">
        <f t="shared" si="68"/>
        <v>no resolution</v>
      </c>
      <c r="AC593" s="6" t="str">
        <f t="shared" si="69"/>
        <v/>
      </c>
    </row>
    <row r="594" spans="1:29" x14ac:dyDescent="0.3">
      <c r="A594" t="s">
        <v>42</v>
      </c>
      <c r="B594">
        <v>1750</v>
      </c>
      <c r="C594" t="s">
        <v>23</v>
      </c>
      <c r="D594" t="s">
        <v>34</v>
      </c>
      <c r="E594" t="s">
        <v>48</v>
      </c>
      <c r="F594" t="s">
        <v>26</v>
      </c>
      <c r="G594" t="s">
        <v>52</v>
      </c>
      <c r="H594" s="1">
        <v>45018.668912037036</v>
      </c>
      <c r="I594" s="1">
        <v>45020.668912037036</v>
      </c>
      <c r="J594" s="1">
        <v>45018.670300925929</v>
      </c>
      <c r="K594" s="2">
        <v>45018.669433391202</v>
      </c>
      <c r="L594" t="s">
        <v>28</v>
      </c>
      <c r="M594" s="2">
        <v>45022.436343715279</v>
      </c>
      <c r="N594" t="s">
        <v>38</v>
      </c>
      <c r="P594">
        <v>4</v>
      </c>
      <c r="R594" t="s">
        <v>29</v>
      </c>
      <c r="S594" t="s">
        <v>30</v>
      </c>
      <c r="T594" t="s">
        <v>41</v>
      </c>
      <c r="U594">
        <v>43.036776000000003</v>
      </c>
      <c r="V594">
        <v>12.678565000000001</v>
      </c>
      <c r="W594" t="str">
        <f t="shared" si="64"/>
        <v>ok</v>
      </c>
      <c r="X594" t="str">
        <f t="shared" si="70"/>
        <v>ok</v>
      </c>
      <c r="Y594" t="str">
        <f t="shared" si="65"/>
        <v>ok</v>
      </c>
      <c r="Z594" t="str">
        <f t="shared" si="66"/>
        <v>ok</v>
      </c>
      <c r="AA594" s="4" t="str">
        <f t="shared" si="67"/>
        <v>ok</v>
      </c>
      <c r="AB594" s="4" t="str">
        <f t="shared" si="68"/>
        <v>ok</v>
      </c>
      <c r="AC594" s="6">
        <f t="shared" si="69"/>
        <v>90.418360277835745</v>
      </c>
    </row>
    <row r="595" spans="1:29" x14ac:dyDescent="0.3">
      <c r="A595" t="s">
        <v>42</v>
      </c>
      <c r="B595">
        <v>1751</v>
      </c>
      <c r="C595" t="s">
        <v>33</v>
      </c>
      <c r="D595" t="s">
        <v>24</v>
      </c>
      <c r="E595" t="s">
        <v>35</v>
      </c>
      <c r="F595" t="s">
        <v>36</v>
      </c>
      <c r="G595" t="s">
        <v>37</v>
      </c>
      <c r="H595" s="1">
        <v>45018.662222222221</v>
      </c>
      <c r="I595" s="1">
        <v>45020.662222222221</v>
      </c>
      <c r="J595" s="1">
        <v>45018.703888888886</v>
      </c>
      <c r="K595" s="2">
        <v>45018.678824085648</v>
      </c>
      <c r="L595" t="s">
        <v>28</v>
      </c>
      <c r="M595" s="2">
        <v>45019.759305486114</v>
      </c>
      <c r="N595" t="s">
        <v>28</v>
      </c>
      <c r="P595">
        <v>2</v>
      </c>
      <c r="R595" t="s">
        <v>39</v>
      </c>
      <c r="S595" t="s">
        <v>40</v>
      </c>
      <c r="T595" t="s">
        <v>56</v>
      </c>
      <c r="U595">
        <v>52.536273000000001</v>
      </c>
      <c r="V595">
        <v>19.050639</v>
      </c>
      <c r="W595" t="str">
        <f t="shared" si="64"/>
        <v>ok</v>
      </c>
      <c r="X595" t="str">
        <f t="shared" si="70"/>
        <v>ok</v>
      </c>
      <c r="Y595" t="str">
        <f t="shared" si="65"/>
        <v>ok</v>
      </c>
      <c r="Z595" t="str">
        <f t="shared" si="66"/>
        <v>ok</v>
      </c>
      <c r="AA595" s="4" t="str">
        <f t="shared" si="67"/>
        <v>ok</v>
      </c>
      <c r="AB595" s="4" t="str">
        <f t="shared" si="68"/>
        <v>ok</v>
      </c>
      <c r="AC595" s="6">
        <f t="shared" si="69"/>
        <v>26.329998333414551</v>
      </c>
    </row>
    <row r="596" spans="1:29" x14ac:dyDescent="0.3">
      <c r="A596" t="s">
        <v>22</v>
      </c>
      <c r="B596">
        <v>1752</v>
      </c>
      <c r="C596" t="s">
        <v>23</v>
      </c>
      <c r="D596" t="s">
        <v>43</v>
      </c>
      <c r="E596" t="s">
        <v>48</v>
      </c>
      <c r="F596" t="s">
        <v>26</v>
      </c>
      <c r="G596" t="s">
        <v>52</v>
      </c>
      <c r="H596" s="1">
        <v>45018.979560185187</v>
      </c>
      <c r="I596" s="1">
        <v>45019.979560185187</v>
      </c>
      <c r="J596" s="1">
        <v>45018.980949074074</v>
      </c>
      <c r="K596" s="2">
        <v>45018.982931377315</v>
      </c>
      <c r="L596" t="s">
        <v>38</v>
      </c>
      <c r="M596" s="2">
        <v>45019.857537870368</v>
      </c>
      <c r="N596" t="s">
        <v>28</v>
      </c>
      <c r="O596" s="2">
        <v>45020.638173217594</v>
      </c>
      <c r="P596">
        <v>6</v>
      </c>
      <c r="Q596">
        <v>4</v>
      </c>
      <c r="R596" t="s">
        <v>29</v>
      </c>
      <c r="S596" t="s">
        <v>30</v>
      </c>
      <c r="T596" t="s">
        <v>57</v>
      </c>
      <c r="U596">
        <v>51.165691000000002</v>
      </c>
      <c r="V596">
        <v>10.451525999999999</v>
      </c>
      <c r="W596" t="str">
        <f t="shared" si="64"/>
        <v>ok</v>
      </c>
      <c r="X596" t="str">
        <f t="shared" si="70"/>
        <v>ok</v>
      </c>
      <c r="Y596" t="str">
        <f t="shared" si="65"/>
        <v>ok</v>
      </c>
      <c r="Z596" t="str">
        <f t="shared" si="66"/>
        <v>ok</v>
      </c>
      <c r="AA596" s="4" t="str">
        <f t="shared" si="67"/>
        <v>ok</v>
      </c>
      <c r="AB596" s="4" t="str">
        <f t="shared" si="68"/>
        <v>ok</v>
      </c>
      <c r="AC596" s="6">
        <f t="shared" si="69"/>
        <v>21.071464444336016</v>
      </c>
    </row>
    <row r="597" spans="1:29" x14ac:dyDescent="0.3">
      <c r="A597" t="s">
        <v>22</v>
      </c>
      <c r="B597">
        <v>1753</v>
      </c>
      <c r="C597" t="s">
        <v>23</v>
      </c>
      <c r="D597" t="s">
        <v>24</v>
      </c>
      <c r="E597" t="s">
        <v>48</v>
      </c>
      <c r="F597" t="s">
        <v>36</v>
      </c>
      <c r="G597" t="s">
        <v>64</v>
      </c>
      <c r="H597" s="1">
        <v>45019.246701388889</v>
      </c>
      <c r="I597" s="1">
        <v>45021.246701388889</v>
      </c>
      <c r="J597" s="1">
        <v>45019.288368055553</v>
      </c>
      <c r="K597" s="2">
        <v>45019.25455928241</v>
      </c>
      <c r="L597" t="s">
        <v>28</v>
      </c>
      <c r="M597" s="2">
        <v>45020.668807048613</v>
      </c>
      <c r="N597" t="s">
        <v>28</v>
      </c>
      <c r="O597" s="2">
        <v>45025.803269583332</v>
      </c>
      <c r="P597">
        <v>5</v>
      </c>
      <c r="Q597">
        <v>4</v>
      </c>
      <c r="R597" t="s">
        <v>50</v>
      </c>
      <c r="S597" t="s">
        <v>40</v>
      </c>
      <c r="T597" t="s">
        <v>46</v>
      </c>
      <c r="U597">
        <v>47.696471899999999</v>
      </c>
      <c r="V597">
        <v>13.3457347</v>
      </c>
      <c r="W597" t="str">
        <f t="shared" si="64"/>
        <v>ok</v>
      </c>
      <c r="X597" t="str">
        <f t="shared" si="70"/>
        <v>ok</v>
      </c>
      <c r="Y597" t="str">
        <f t="shared" si="65"/>
        <v>ok</v>
      </c>
      <c r="Z597" t="str">
        <f t="shared" si="66"/>
        <v>ok</v>
      </c>
      <c r="AA597" s="4" t="str">
        <f t="shared" si="67"/>
        <v>ok</v>
      </c>
      <c r="AB597" s="4" t="str">
        <f t="shared" si="68"/>
        <v>ok</v>
      </c>
      <c r="AC597" s="6">
        <f t="shared" si="69"/>
        <v>34.130535833362956</v>
      </c>
    </row>
    <row r="598" spans="1:29" x14ac:dyDescent="0.3">
      <c r="A598" t="s">
        <v>22</v>
      </c>
      <c r="B598">
        <v>1754</v>
      </c>
      <c r="C598" t="s">
        <v>47</v>
      </c>
      <c r="D598" t="s">
        <v>43</v>
      </c>
      <c r="E598" t="s">
        <v>59</v>
      </c>
      <c r="F598" t="s">
        <v>26</v>
      </c>
      <c r="G598" t="s">
        <v>49</v>
      </c>
      <c r="H598" s="1">
        <v>45019.012511574074</v>
      </c>
      <c r="I598" s="1">
        <v>45020.012511574074</v>
      </c>
      <c r="J598" s="1">
        <v>45019.01390046296</v>
      </c>
      <c r="K598" s="2">
        <v>45019.013748229168</v>
      </c>
      <c r="L598" t="s">
        <v>28</v>
      </c>
      <c r="M598" s="2">
        <v>45019.397805393521</v>
      </c>
      <c r="N598" t="s">
        <v>28</v>
      </c>
      <c r="O598" s="2">
        <v>45021.069025150464</v>
      </c>
      <c r="P598">
        <v>3</v>
      </c>
      <c r="Q598">
        <v>5</v>
      </c>
      <c r="R598" t="s">
        <v>50</v>
      </c>
      <c r="S598" t="s">
        <v>30</v>
      </c>
      <c r="T598" t="s">
        <v>51</v>
      </c>
      <c r="U598">
        <v>39.673369999999998</v>
      </c>
      <c r="V598">
        <v>-4.7677259999999997</v>
      </c>
      <c r="W598" t="str">
        <f t="shared" si="64"/>
        <v>ok</v>
      </c>
      <c r="X598" t="str">
        <f t="shared" si="70"/>
        <v>ok</v>
      </c>
      <c r="Y598" t="str">
        <f t="shared" si="65"/>
        <v>ok</v>
      </c>
      <c r="Z598" t="str">
        <f t="shared" si="66"/>
        <v>ok</v>
      </c>
      <c r="AA598" s="4" t="str">
        <f t="shared" si="67"/>
        <v>ok</v>
      </c>
      <c r="AB598" s="4" t="str">
        <f t="shared" si="68"/>
        <v>ok</v>
      </c>
      <c r="AC598" s="6">
        <f t="shared" si="69"/>
        <v>9.2470516667235643</v>
      </c>
    </row>
    <row r="599" spans="1:29" x14ac:dyDescent="0.3">
      <c r="A599" t="s">
        <v>22</v>
      </c>
      <c r="B599">
        <v>1755</v>
      </c>
      <c r="C599" t="s">
        <v>33</v>
      </c>
      <c r="D599" t="s">
        <v>24</v>
      </c>
      <c r="E599" t="s">
        <v>35</v>
      </c>
      <c r="F599" t="s">
        <v>26</v>
      </c>
      <c r="G599" t="s">
        <v>52</v>
      </c>
      <c r="H599" s="1">
        <v>45019.202708333331</v>
      </c>
      <c r="I599" s="1">
        <v>45021.202708333331</v>
      </c>
      <c r="J599" s="1">
        <v>45019.244375000002</v>
      </c>
      <c r="K599" s="2">
        <v>45019.238977395835</v>
      </c>
      <c r="L599" t="s">
        <v>28</v>
      </c>
      <c r="M599" s="2">
        <v>45020.753611342596</v>
      </c>
      <c r="N599" t="s">
        <v>28</v>
      </c>
      <c r="O599" s="2">
        <v>45023.418133344909</v>
      </c>
      <c r="P599">
        <v>8</v>
      </c>
      <c r="Q599">
        <v>5</v>
      </c>
      <c r="R599" t="s">
        <v>50</v>
      </c>
      <c r="S599" t="s">
        <v>30</v>
      </c>
      <c r="T599" t="s">
        <v>56</v>
      </c>
      <c r="U599">
        <v>52.536273000000001</v>
      </c>
      <c r="V599">
        <v>19.050639</v>
      </c>
      <c r="W599" t="str">
        <f t="shared" si="64"/>
        <v>ok</v>
      </c>
      <c r="X599" t="str">
        <f t="shared" si="70"/>
        <v>ok</v>
      </c>
      <c r="Y599" t="str">
        <f t="shared" si="65"/>
        <v>ok</v>
      </c>
      <c r="Z599" t="str">
        <f t="shared" si="66"/>
        <v>ok</v>
      </c>
      <c r="AA599" s="4" t="str">
        <f t="shared" si="67"/>
        <v>ok</v>
      </c>
      <c r="AB599" s="4" t="str">
        <f t="shared" si="68"/>
        <v>ok</v>
      </c>
      <c r="AC599" s="6">
        <f t="shared" si="69"/>
        <v>37.221672222367488</v>
      </c>
    </row>
    <row r="600" spans="1:29" x14ac:dyDescent="0.3">
      <c r="A600" t="s">
        <v>42</v>
      </c>
      <c r="B600">
        <v>1756</v>
      </c>
      <c r="C600" t="s">
        <v>23</v>
      </c>
      <c r="D600" t="s">
        <v>24</v>
      </c>
      <c r="E600" t="s">
        <v>35</v>
      </c>
      <c r="F600" t="s">
        <v>26</v>
      </c>
      <c r="G600" t="s">
        <v>45</v>
      </c>
      <c r="H600" s="1">
        <v>45019.221620370372</v>
      </c>
      <c r="I600" s="1">
        <v>45021.221620370372</v>
      </c>
      <c r="J600" s="1">
        <v>45019.263287037036</v>
      </c>
      <c r="K600" s="2">
        <v>45019.241583240742</v>
      </c>
      <c r="L600" t="s">
        <v>28</v>
      </c>
      <c r="M600" s="2">
        <v>45020.407966006947</v>
      </c>
      <c r="N600" t="s">
        <v>28</v>
      </c>
      <c r="P600">
        <v>2</v>
      </c>
      <c r="R600" t="s">
        <v>39</v>
      </c>
      <c r="S600" t="s">
        <v>30</v>
      </c>
      <c r="T600" t="s">
        <v>57</v>
      </c>
      <c r="U600">
        <v>51.165691000000002</v>
      </c>
      <c r="V600">
        <v>10.451525999999999</v>
      </c>
      <c r="W600" t="str">
        <f t="shared" si="64"/>
        <v>ok</v>
      </c>
      <c r="X600" t="str">
        <f t="shared" si="70"/>
        <v>ok</v>
      </c>
      <c r="Y600" t="str">
        <f t="shared" si="65"/>
        <v>ok</v>
      </c>
      <c r="Z600" t="str">
        <f t="shared" si="66"/>
        <v>ok</v>
      </c>
      <c r="AA600" s="4" t="str">
        <f t="shared" si="67"/>
        <v>ok</v>
      </c>
      <c r="AB600" s="4" t="str">
        <f t="shared" si="68"/>
        <v>ok</v>
      </c>
      <c r="AC600" s="6">
        <f t="shared" si="69"/>
        <v>28.47229527781019</v>
      </c>
    </row>
    <row r="601" spans="1:29" x14ac:dyDescent="0.3">
      <c r="A601" t="s">
        <v>32</v>
      </c>
      <c r="B601">
        <v>1757</v>
      </c>
      <c r="C601" t="s">
        <v>33</v>
      </c>
      <c r="D601" t="s">
        <v>43</v>
      </c>
      <c r="E601" t="s">
        <v>35</v>
      </c>
      <c r="F601" t="s">
        <v>26</v>
      </c>
      <c r="G601" t="s">
        <v>27</v>
      </c>
      <c r="H601" s="1">
        <v>45019.295405092591</v>
      </c>
      <c r="I601" s="1">
        <v>45020.295405092591</v>
      </c>
      <c r="J601" s="1">
        <v>45019.296793981484</v>
      </c>
      <c r="K601" s="2">
        <v>45019.295439861111</v>
      </c>
      <c r="L601" t="s">
        <v>28</v>
      </c>
      <c r="N601" t="s">
        <v>38</v>
      </c>
      <c r="P601">
        <v>7</v>
      </c>
      <c r="R601" t="s">
        <v>50</v>
      </c>
      <c r="S601" t="s">
        <v>30</v>
      </c>
      <c r="T601" t="s">
        <v>46</v>
      </c>
      <c r="U601">
        <v>47.696471899999999</v>
      </c>
      <c r="V601">
        <v>13.3457347</v>
      </c>
      <c r="W601" t="str">
        <f t="shared" si="64"/>
        <v>ok</v>
      </c>
      <c r="X601" t="str">
        <f t="shared" si="70"/>
        <v>ok</v>
      </c>
      <c r="Y601" t="str">
        <f t="shared" si="65"/>
        <v>ok</v>
      </c>
      <c r="Z601" t="str">
        <f t="shared" si="66"/>
        <v>ok</v>
      </c>
      <c r="AA601" s="4" t="str">
        <f t="shared" si="67"/>
        <v>ok</v>
      </c>
      <c r="AB601" s="4" t="str">
        <f t="shared" si="68"/>
        <v>no resolution</v>
      </c>
      <c r="AC601" s="6" t="str">
        <f t="shared" si="69"/>
        <v/>
      </c>
    </row>
    <row r="602" spans="1:29" x14ac:dyDescent="0.3">
      <c r="A602" t="s">
        <v>22</v>
      </c>
      <c r="B602">
        <v>1759</v>
      </c>
      <c r="C602" t="s">
        <v>23</v>
      </c>
      <c r="D602" t="s">
        <v>43</v>
      </c>
      <c r="E602" t="s">
        <v>25</v>
      </c>
      <c r="F602" t="s">
        <v>26</v>
      </c>
      <c r="G602" t="s">
        <v>45</v>
      </c>
      <c r="H602" s="1">
        <v>45019.720520833333</v>
      </c>
      <c r="I602" s="1">
        <v>45020.720520833333</v>
      </c>
      <c r="J602" s="1">
        <v>45019.721909722219</v>
      </c>
      <c r="K602" s="2">
        <v>45019.721040416669</v>
      </c>
      <c r="L602" t="s">
        <v>28</v>
      </c>
      <c r="M602" s="2">
        <v>45020.588072638886</v>
      </c>
      <c r="N602" t="s">
        <v>28</v>
      </c>
      <c r="O602" s="2">
        <v>45022.201424999999</v>
      </c>
      <c r="P602">
        <v>6</v>
      </c>
      <c r="Q602">
        <v>3</v>
      </c>
      <c r="R602" t="s">
        <v>29</v>
      </c>
      <c r="S602" t="s">
        <v>30</v>
      </c>
      <c r="T602" t="s">
        <v>46</v>
      </c>
      <c r="U602">
        <v>47.696471899999999</v>
      </c>
      <c r="V602">
        <v>13.3457347</v>
      </c>
      <c r="W602" t="str">
        <f t="shared" si="64"/>
        <v>ok</v>
      </c>
      <c r="X602" t="str">
        <f t="shared" si="70"/>
        <v>ok</v>
      </c>
      <c r="Y602" t="str">
        <f t="shared" si="65"/>
        <v>ok</v>
      </c>
      <c r="Z602" t="str">
        <f t="shared" si="66"/>
        <v>ok</v>
      </c>
      <c r="AA602" s="4" t="str">
        <f t="shared" si="67"/>
        <v>ok</v>
      </c>
      <c r="AB602" s="4" t="str">
        <f t="shared" si="68"/>
        <v>ok</v>
      </c>
      <c r="AC602" s="6">
        <f t="shared" si="69"/>
        <v>20.821243333281018</v>
      </c>
    </row>
    <row r="603" spans="1:29" x14ac:dyDescent="0.3">
      <c r="A603" t="s">
        <v>22</v>
      </c>
      <c r="B603">
        <v>1761</v>
      </c>
      <c r="C603" t="s">
        <v>23</v>
      </c>
      <c r="D603" t="s">
        <v>24</v>
      </c>
      <c r="E603" t="s">
        <v>39</v>
      </c>
      <c r="F603" t="s">
        <v>26</v>
      </c>
      <c r="G603" t="s">
        <v>52</v>
      </c>
      <c r="H603" s="1">
        <v>45020.565937500003</v>
      </c>
      <c r="I603" s="1">
        <v>45022.565937500003</v>
      </c>
      <c r="J603" s="1">
        <v>45020.607604166667</v>
      </c>
      <c r="K603" s="2">
        <v>45020.844443263886</v>
      </c>
      <c r="L603" t="s">
        <v>38</v>
      </c>
      <c r="M603" s="2">
        <v>45021.116095868056</v>
      </c>
      <c r="N603" t="s">
        <v>28</v>
      </c>
      <c r="O603" s="2">
        <v>45022.406711249998</v>
      </c>
      <c r="P603">
        <v>2</v>
      </c>
      <c r="Q603">
        <v>4</v>
      </c>
      <c r="R603" t="s">
        <v>29</v>
      </c>
      <c r="S603" t="s">
        <v>30</v>
      </c>
      <c r="T603" t="s">
        <v>46</v>
      </c>
      <c r="U603">
        <v>47.696471899999999</v>
      </c>
      <c r="V603">
        <v>13.3457347</v>
      </c>
      <c r="W603" t="str">
        <f t="shared" si="64"/>
        <v>ok</v>
      </c>
      <c r="X603" t="str">
        <f t="shared" si="70"/>
        <v>ok</v>
      </c>
      <c r="Y603" t="str">
        <f t="shared" si="65"/>
        <v>ok</v>
      </c>
      <c r="Z603" t="str">
        <f t="shared" si="66"/>
        <v>ok</v>
      </c>
      <c r="AA603" s="4" t="str">
        <f t="shared" si="67"/>
        <v>ok</v>
      </c>
      <c r="AB603" s="4" t="str">
        <f t="shared" si="68"/>
        <v>ok</v>
      </c>
      <c r="AC603" s="6">
        <f t="shared" si="69"/>
        <v>13.203800833260175</v>
      </c>
    </row>
    <row r="604" spans="1:29" x14ac:dyDescent="0.3">
      <c r="A604" t="s">
        <v>22</v>
      </c>
      <c r="B604">
        <v>1762</v>
      </c>
      <c r="C604" t="s">
        <v>23</v>
      </c>
      <c r="D604" t="s">
        <v>43</v>
      </c>
      <c r="E604" t="s">
        <v>35</v>
      </c>
      <c r="F604" t="s">
        <v>26</v>
      </c>
      <c r="G604" t="s">
        <v>27</v>
      </c>
      <c r="H604" s="1">
        <v>45020.946273148147</v>
      </c>
      <c r="I604" s="1">
        <v>45021.946273148147</v>
      </c>
      <c r="J604" s="1">
        <v>45020.947662037041</v>
      </c>
      <c r="K604" s="2">
        <v>45020.947607939815</v>
      </c>
      <c r="L604" t="s">
        <v>28</v>
      </c>
      <c r="M604" s="2">
        <v>45022.688721481478</v>
      </c>
      <c r="N604" t="s">
        <v>38</v>
      </c>
      <c r="O604" s="2">
        <v>45022.779275023146</v>
      </c>
      <c r="P604">
        <v>6</v>
      </c>
      <c r="Q604">
        <v>3</v>
      </c>
      <c r="R604" t="s">
        <v>50</v>
      </c>
      <c r="S604" t="s">
        <v>30</v>
      </c>
      <c r="T604" t="s">
        <v>66</v>
      </c>
      <c r="U604">
        <v>48.864716000000001</v>
      </c>
      <c r="V604">
        <v>2.3490139999999999</v>
      </c>
      <c r="W604" t="str">
        <f t="shared" si="64"/>
        <v>ok</v>
      </c>
      <c r="X604" t="str">
        <f t="shared" si="70"/>
        <v>ok</v>
      </c>
      <c r="Y604" t="str">
        <f t="shared" si="65"/>
        <v>ok</v>
      </c>
      <c r="Z604" t="str">
        <f t="shared" si="66"/>
        <v>ok</v>
      </c>
      <c r="AA604" s="4" t="str">
        <f t="shared" si="67"/>
        <v>ok</v>
      </c>
      <c r="AB604" s="4" t="str">
        <f t="shared" si="68"/>
        <v>ok</v>
      </c>
      <c r="AC604" s="6">
        <f t="shared" si="69"/>
        <v>41.818759999936447</v>
      </c>
    </row>
    <row r="605" spans="1:29" x14ac:dyDescent="0.3">
      <c r="A605" t="s">
        <v>42</v>
      </c>
      <c r="B605">
        <v>1763</v>
      </c>
      <c r="C605" t="s">
        <v>23</v>
      </c>
      <c r="D605" t="s">
        <v>43</v>
      </c>
      <c r="E605" t="s">
        <v>59</v>
      </c>
      <c r="F605" t="s">
        <v>26</v>
      </c>
      <c r="G605" t="s">
        <v>27</v>
      </c>
      <c r="H605" s="1">
        <v>45020.522094907406</v>
      </c>
      <c r="I605" s="1">
        <v>45021.522094907406</v>
      </c>
      <c r="J605" s="1">
        <v>45020.5234837963</v>
      </c>
      <c r="K605" s="2">
        <v>45020.525534733795</v>
      </c>
      <c r="L605" t="s">
        <v>38</v>
      </c>
      <c r="M605" s="2">
        <v>45021.121923749997</v>
      </c>
      <c r="N605" t="s">
        <v>28</v>
      </c>
      <c r="P605">
        <v>6</v>
      </c>
      <c r="R605" t="s">
        <v>50</v>
      </c>
      <c r="S605" t="s">
        <v>30</v>
      </c>
      <c r="T605" t="s">
        <v>56</v>
      </c>
      <c r="U605">
        <v>52.536273000000001</v>
      </c>
      <c r="V605">
        <v>19.050639</v>
      </c>
      <c r="W605" t="str">
        <f t="shared" si="64"/>
        <v>ok</v>
      </c>
      <c r="X605" t="str">
        <f t="shared" si="70"/>
        <v>ok</v>
      </c>
      <c r="Y605" t="str">
        <f t="shared" si="65"/>
        <v>ok</v>
      </c>
      <c r="Z605" t="str">
        <f t="shared" si="66"/>
        <v>ok</v>
      </c>
      <c r="AA605" s="4" t="str">
        <f t="shared" si="67"/>
        <v>ok</v>
      </c>
      <c r="AB605" s="4" t="str">
        <f t="shared" si="68"/>
        <v>ok</v>
      </c>
      <c r="AC605" s="6">
        <f t="shared" si="69"/>
        <v>14.3958922221791</v>
      </c>
    </row>
    <row r="606" spans="1:29" x14ac:dyDescent="0.3">
      <c r="A606" t="s">
        <v>22</v>
      </c>
      <c r="B606">
        <v>1764</v>
      </c>
      <c r="C606" t="s">
        <v>23</v>
      </c>
      <c r="D606" t="s">
        <v>43</v>
      </c>
      <c r="E606" t="s">
        <v>59</v>
      </c>
      <c r="F606" t="s">
        <v>26</v>
      </c>
      <c r="G606" t="s">
        <v>45</v>
      </c>
      <c r="H606" s="1">
        <v>45020.372233796297</v>
      </c>
      <c r="I606" s="1">
        <v>45021.372233796297</v>
      </c>
      <c r="J606" s="1">
        <v>45020.373622685183</v>
      </c>
      <c r="K606" s="2">
        <v>45020.37341734954</v>
      </c>
      <c r="L606" t="s">
        <v>28</v>
      </c>
      <c r="M606" s="2">
        <v>45020.774118541667</v>
      </c>
      <c r="N606" t="s">
        <v>28</v>
      </c>
      <c r="O606" s="2">
        <v>45027.557642615742</v>
      </c>
      <c r="P606">
        <v>5</v>
      </c>
      <c r="Q606">
        <v>4</v>
      </c>
      <c r="R606" t="s">
        <v>55</v>
      </c>
      <c r="S606" t="s">
        <v>30</v>
      </c>
      <c r="T606" t="s">
        <v>46</v>
      </c>
      <c r="U606">
        <v>47.696471899999999</v>
      </c>
      <c r="V606">
        <v>13.3457347</v>
      </c>
      <c r="W606" t="str">
        <f t="shared" si="64"/>
        <v>ok</v>
      </c>
      <c r="X606" t="str">
        <f t="shared" si="70"/>
        <v>ok</v>
      </c>
      <c r="Y606" t="str">
        <f t="shared" si="65"/>
        <v>ok</v>
      </c>
      <c r="Z606" t="str">
        <f t="shared" si="66"/>
        <v>ok</v>
      </c>
      <c r="AA606" s="4" t="str">
        <f t="shared" si="67"/>
        <v>ok</v>
      </c>
      <c r="AB606" s="4" t="str">
        <f t="shared" si="68"/>
        <v>ok</v>
      </c>
      <c r="AC606" s="6">
        <f t="shared" si="69"/>
        <v>9.6452338888775557</v>
      </c>
    </row>
    <row r="607" spans="1:29" x14ac:dyDescent="0.3">
      <c r="A607" t="s">
        <v>42</v>
      </c>
      <c r="B607">
        <v>1765</v>
      </c>
      <c r="C607" t="s">
        <v>23</v>
      </c>
      <c r="D607" t="s">
        <v>43</v>
      </c>
      <c r="E607" t="s">
        <v>48</v>
      </c>
      <c r="F607" t="s">
        <v>36</v>
      </c>
      <c r="G607" t="s">
        <v>64</v>
      </c>
      <c r="H607" s="1">
        <v>45020.462152777778</v>
      </c>
      <c r="I607" s="1">
        <v>45021.462152777778</v>
      </c>
      <c r="J607" s="1">
        <v>45020.463541666664</v>
      </c>
      <c r="K607" s="2">
        <v>45020.462249027776</v>
      </c>
      <c r="L607" t="s">
        <v>28</v>
      </c>
      <c r="M607" s="2">
        <v>45021.080370462965</v>
      </c>
      <c r="N607" t="s">
        <v>28</v>
      </c>
      <c r="P607">
        <v>6</v>
      </c>
      <c r="R607" t="s">
        <v>50</v>
      </c>
      <c r="S607" t="s">
        <v>40</v>
      </c>
      <c r="T607" t="s">
        <v>63</v>
      </c>
      <c r="U607">
        <v>55.378051999999997</v>
      </c>
      <c r="V607">
        <v>-3.4359730000000002</v>
      </c>
      <c r="W607" t="str">
        <f t="shared" si="64"/>
        <v>ok</v>
      </c>
      <c r="X607" t="str">
        <f t="shared" si="70"/>
        <v>ok</v>
      </c>
      <c r="Y607" t="str">
        <f t="shared" si="65"/>
        <v>ok</v>
      </c>
      <c r="Z607" t="str">
        <f t="shared" si="66"/>
        <v>ok</v>
      </c>
      <c r="AA607" s="4" t="str">
        <f t="shared" si="67"/>
        <v>ok</v>
      </c>
      <c r="AB607" s="4" t="str">
        <f t="shared" si="68"/>
        <v>ok</v>
      </c>
      <c r="AC607" s="6">
        <f t="shared" si="69"/>
        <v>14.837224444490857</v>
      </c>
    </row>
    <row r="608" spans="1:29" x14ac:dyDescent="0.3">
      <c r="A608" t="s">
        <v>22</v>
      </c>
      <c r="B608">
        <v>1766</v>
      </c>
      <c r="C608" t="s">
        <v>23</v>
      </c>
      <c r="D608" t="s">
        <v>24</v>
      </c>
      <c r="E608" t="s">
        <v>39</v>
      </c>
      <c r="F608" t="s">
        <v>36</v>
      </c>
      <c r="G608" t="s">
        <v>54</v>
      </c>
      <c r="H608" s="1">
        <v>45021.084849537037</v>
      </c>
      <c r="I608" s="1">
        <v>45023.084849537037</v>
      </c>
      <c r="J608" s="1">
        <v>45021.126516203702</v>
      </c>
      <c r="K608" s="2">
        <v>45021.118959421299</v>
      </c>
      <c r="L608" t="s">
        <v>28</v>
      </c>
      <c r="M608" s="2">
        <v>45021.366649328702</v>
      </c>
      <c r="N608" t="s">
        <v>28</v>
      </c>
      <c r="O608" s="2">
        <v>45026.234210358794</v>
      </c>
      <c r="P608">
        <v>1</v>
      </c>
      <c r="Q608">
        <v>4</v>
      </c>
      <c r="R608" t="s">
        <v>39</v>
      </c>
      <c r="S608" t="s">
        <v>40</v>
      </c>
      <c r="T608" t="s">
        <v>63</v>
      </c>
      <c r="U608">
        <v>55.378051999999997</v>
      </c>
      <c r="V608">
        <v>-3.4359730000000002</v>
      </c>
      <c r="W608" t="str">
        <f t="shared" si="64"/>
        <v>ok</v>
      </c>
      <c r="X608" t="str">
        <f t="shared" si="70"/>
        <v>ok</v>
      </c>
      <c r="Y608" t="str">
        <f t="shared" si="65"/>
        <v>ok</v>
      </c>
      <c r="Z608" t="str">
        <f t="shared" si="66"/>
        <v>ok</v>
      </c>
      <c r="AA608" s="4" t="str">
        <f t="shared" si="67"/>
        <v>ok</v>
      </c>
      <c r="AB608" s="4" t="str">
        <f t="shared" si="68"/>
        <v>ok</v>
      </c>
      <c r="AC608" s="6">
        <f t="shared" si="69"/>
        <v>6.7631949999486096</v>
      </c>
    </row>
    <row r="609" spans="1:29" x14ac:dyDescent="0.3">
      <c r="A609" t="s">
        <v>22</v>
      </c>
      <c r="B609">
        <v>1767</v>
      </c>
      <c r="C609" t="s">
        <v>33</v>
      </c>
      <c r="D609" t="s">
        <v>43</v>
      </c>
      <c r="E609" t="s">
        <v>35</v>
      </c>
      <c r="F609" t="s">
        <v>26</v>
      </c>
      <c r="G609" t="s">
        <v>49</v>
      </c>
      <c r="H609" s="1">
        <v>45021.418877314813</v>
      </c>
      <c r="I609" s="1">
        <v>45022.418877314813</v>
      </c>
      <c r="J609" s="1">
        <v>45021.420266203706</v>
      </c>
      <c r="K609" s="2">
        <v>45021.419770601853</v>
      </c>
      <c r="L609" t="s">
        <v>28</v>
      </c>
      <c r="M609" s="2">
        <v>45023.471589745372</v>
      </c>
      <c r="N609" t="s">
        <v>38</v>
      </c>
      <c r="O609" s="2">
        <v>45023.813705046297</v>
      </c>
      <c r="P609">
        <v>5</v>
      </c>
      <c r="Q609">
        <v>3</v>
      </c>
      <c r="R609" t="s">
        <v>50</v>
      </c>
      <c r="S609" t="s">
        <v>30</v>
      </c>
      <c r="T609" t="s">
        <v>56</v>
      </c>
      <c r="U609">
        <v>52.536273000000001</v>
      </c>
      <c r="V609">
        <v>19.050639</v>
      </c>
      <c r="W609" t="str">
        <f t="shared" si="64"/>
        <v>ok</v>
      </c>
      <c r="X609" t="str">
        <f t="shared" si="70"/>
        <v>ok</v>
      </c>
      <c r="Y609" t="str">
        <f t="shared" si="65"/>
        <v>ok</v>
      </c>
      <c r="Z609" t="str">
        <f t="shared" si="66"/>
        <v>ok</v>
      </c>
      <c r="AA609" s="4" t="str">
        <f t="shared" si="67"/>
        <v>ok</v>
      </c>
      <c r="AB609" s="4" t="str">
        <f t="shared" si="68"/>
        <v>ok</v>
      </c>
      <c r="AC609" s="6">
        <f t="shared" si="69"/>
        <v>49.265098333416972</v>
      </c>
    </row>
    <row r="610" spans="1:29" x14ac:dyDescent="0.3">
      <c r="A610" t="s">
        <v>32</v>
      </c>
      <c r="B610">
        <v>1768</v>
      </c>
      <c r="C610" t="s">
        <v>23</v>
      </c>
      <c r="D610" t="s">
        <v>43</v>
      </c>
      <c r="E610" t="s">
        <v>35</v>
      </c>
      <c r="F610" t="s">
        <v>26</v>
      </c>
      <c r="G610" t="s">
        <v>60</v>
      </c>
      <c r="H610" s="1">
        <v>45021.885682870372</v>
      </c>
      <c r="I610" s="1">
        <v>45022.885682870372</v>
      </c>
      <c r="J610" s="1">
        <v>45021.887071759258</v>
      </c>
      <c r="K610" s="2">
        <v>45021.886583136577</v>
      </c>
      <c r="L610" t="s">
        <v>28</v>
      </c>
      <c r="N610" t="s">
        <v>38</v>
      </c>
      <c r="P610">
        <v>8</v>
      </c>
      <c r="R610" t="s">
        <v>55</v>
      </c>
      <c r="S610" t="s">
        <v>30</v>
      </c>
      <c r="T610" t="s">
        <v>61</v>
      </c>
      <c r="U610">
        <v>42.724992499999999</v>
      </c>
      <c r="V610">
        <v>25.483303899999999</v>
      </c>
      <c r="W610" t="str">
        <f t="shared" si="64"/>
        <v>ok</v>
      </c>
      <c r="X610" t="str">
        <f t="shared" si="70"/>
        <v>ok</v>
      </c>
      <c r="Y610" t="str">
        <f t="shared" si="65"/>
        <v>ok</v>
      </c>
      <c r="Z610" t="str">
        <f t="shared" si="66"/>
        <v>ok</v>
      </c>
      <c r="AA610" s="4" t="str">
        <f t="shared" si="67"/>
        <v>ok</v>
      </c>
      <c r="AB610" s="4" t="str">
        <f t="shared" si="68"/>
        <v>no resolution</v>
      </c>
      <c r="AC610" s="6" t="str">
        <f t="shared" si="69"/>
        <v/>
      </c>
    </row>
    <row r="611" spans="1:29" x14ac:dyDescent="0.3">
      <c r="A611" t="s">
        <v>32</v>
      </c>
      <c r="B611">
        <v>1769</v>
      </c>
      <c r="C611" t="s">
        <v>23</v>
      </c>
      <c r="D611" t="s">
        <v>24</v>
      </c>
      <c r="E611" t="s">
        <v>25</v>
      </c>
      <c r="F611" t="s">
        <v>36</v>
      </c>
      <c r="G611" t="s">
        <v>64</v>
      </c>
      <c r="H611" s="1">
        <v>45021.463750000003</v>
      </c>
      <c r="I611" s="1">
        <v>45023.463750000003</v>
      </c>
      <c r="J611" s="1">
        <v>45021.505416666667</v>
      </c>
      <c r="K611" s="2">
        <v>45021.484058564813</v>
      </c>
      <c r="L611" t="s">
        <v>28</v>
      </c>
      <c r="N611" t="s">
        <v>38</v>
      </c>
      <c r="P611">
        <v>3</v>
      </c>
      <c r="R611" t="s">
        <v>29</v>
      </c>
      <c r="S611" t="s">
        <v>40</v>
      </c>
      <c r="T611" t="s">
        <v>57</v>
      </c>
      <c r="U611">
        <v>51.165691000000002</v>
      </c>
      <c r="V611">
        <v>10.451525999999999</v>
      </c>
      <c r="W611" t="str">
        <f t="shared" si="64"/>
        <v>ok</v>
      </c>
      <c r="X611" t="str">
        <f t="shared" si="70"/>
        <v>ok</v>
      </c>
      <c r="Y611" t="str">
        <f t="shared" si="65"/>
        <v>ok</v>
      </c>
      <c r="Z611" t="str">
        <f t="shared" si="66"/>
        <v>ok</v>
      </c>
      <c r="AA611" s="4" t="str">
        <f t="shared" si="67"/>
        <v>ok</v>
      </c>
      <c r="AB611" s="4" t="str">
        <f t="shared" si="68"/>
        <v>no resolution</v>
      </c>
      <c r="AC611" s="6" t="str">
        <f t="shared" si="69"/>
        <v/>
      </c>
    </row>
    <row r="612" spans="1:29" x14ac:dyDescent="0.3">
      <c r="A612" t="s">
        <v>68</v>
      </c>
      <c r="B612">
        <v>1770</v>
      </c>
      <c r="C612" t="s">
        <v>47</v>
      </c>
      <c r="D612" t="s">
        <v>24</v>
      </c>
      <c r="E612" t="s">
        <v>48</v>
      </c>
      <c r="F612" t="s">
        <v>26</v>
      </c>
      <c r="G612" t="s">
        <v>60</v>
      </c>
      <c r="H612" s="1">
        <v>45021.685891203706</v>
      </c>
      <c r="I612" s="1">
        <v>45023.685891203706</v>
      </c>
      <c r="J612" s="1">
        <v>45021.72755787037</v>
      </c>
      <c r="L612" t="s">
        <v>38</v>
      </c>
      <c r="N612" t="s">
        <v>38</v>
      </c>
      <c r="R612" t="s">
        <v>50</v>
      </c>
      <c r="S612" t="s">
        <v>30</v>
      </c>
      <c r="T612" t="s">
        <v>57</v>
      </c>
      <c r="U612">
        <v>51.165691000000002</v>
      </c>
      <c r="V612">
        <v>10.451525999999999</v>
      </c>
      <c r="W612" t="str">
        <f t="shared" si="64"/>
        <v>check</v>
      </c>
      <c r="X612" t="str">
        <f t="shared" si="70"/>
        <v>ok</v>
      </c>
      <c r="Y612" t="str">
        <f t="shared" si="65"/>
        <v>ok</v>
      </c>
      <c r="Z612" t="str">
        <f t="shared" si="66"/>
        <v>ok</v>
      </c>
      <c r="AA612" s="4" t="str">
        <f t="shared" si="67"/>
        <v>no response</v>
      </c>
      <c r="AB612" s="4" t="str">
        <f t="shared" si="68"/>
        <v>no resolution</v>
      </c>
      <c r="AC612" s="6" t="str">
        <f t="shared" si="69"/>
        <v/>
      </c>
    </row>
    <row r="613" spans="1:29" x14ac:dyDescent="0.3">
      <c r="A613" t="s">
        <v>22</v>
      </c>
      <c r="B613">
        <v>1771</v>
      </c>
      <c r="C613" t="s">
        <v>33</v>
      </c>
      <c r="D613" t="s">
        <v>43</v>
      </c>
      <c r="E613" t="s">
        <v>35</v>
      </c>
      <c r="F613" t="s">
        <v>26</v>
      </c>
      <c r="G613" t="s">
        <v>49</v>
      </c>
      <c r="H613" s="1">
        <v>45021.301747685182</v>
      </c>
      <c r="I613" s="1">
        <v>45022.301747685182</v>
      </c>
      <c r="J613" s="1">
        <v>45021.303136574075</v>
      </c>
      <c r="K613" s="2">
        <v>45021.30214122685</v>
      </c>
      <c r="L613" t="s">
        <v>28</v>
      </c>
      <c r="M613" s="2">
        <v>45022.11054883102</v>
      </c>
      <c r="N613" t="s">
        <v>28</v>
      </c>
      <c r="O613" s="2">
        <v>45026.493590104168</v>
      </c>
      <c r="P613">
        <v>4</v>
      </c>
      <c r="Q613">
        <v>4</v>
      </c>
      <c r="R613" t="s">
        <v>50</v>
      </c>
      <c r="S613" t="s">
        <v>30</v>
      </c>
      <c r="T613" t="s">
        <v>56</v>
      </c>
      <c r="U613">
        <v>52.536273000000001</v>
      </c>
      <c r="V613">
        <v>19.050639</v>
      </c>
      <c r="W613" t="str">
        <f t="shared" si="64"/>
        <v>ok</v>
      </c>
      <c r="X613" t="str">
        <f t="shared" si="70"/>
        <v>ok</v>
      </c>
      <c r="Y613" t="str">
        <f t="shared" si="65"/>
        <v>ok</v>
      </c>
      <c r="Z613" t="str">
        <f t="shared" si="66"/>
        <v>ok</v>
      </c>
      <c r="AA613" s="4" t="str">
        <f t="shared" si="67"/>
        <v>ok</v>
      </c>
      <c r="AB613" s="4" t="str">
        <f t="shared" si="68"/>
        <v>ok</v>
      </c>
      <c r="AC613" s="6">
        <f t="shared" si="69"/>
        <v>19.411227500124369</v>
      </c>
    </row>
    <row r="614" spans="1:29" x14ac:dyDescent="0.3">
      <c r="A614" t="s">
        <v>22</v>
      </c>
      <c r="B614">
        <v>1772</v>
      </c>
      <c r="C614" t="s">
        <v>47</v>
      </c>
      <c r="D614" t="s">
        <v>43</v>
      </c>
      <c r="E614" t="s">
        <v>25</v>
      </c>
      <c r="F614" t="s">
        <v>26</v>
      </c>
      <c r="G614" t="s">
        <v>60</v>
      </c>
      <c r="H614" s="1">
        <v>45022.146458333336</v>
      </c>
      <c r="I614" s="1">
        <v>45023.146458333336</v>
      </c>
      <c r="J614" s="1">
        <v>45022.147847222222</v>
      </c>
      <c r="K614" s="2">
        <v>45022.147666053243</v>
      </c>
      <c r="L614" t="s">
        <v>28</v>
      </c>
      <c r="M614" s="2">
        <v>45022.188224386577</v>
      </c>
      <c r="N614" t="s">
        <v>28</v>
      </c>
      <c r="O614" s="2">
        <v>45026.26923568287</v>
      </c>
      <c r="P614">
        <v>4</v>
      </c>
      <c r="Q614">
        <v>5</v>
      </c>
      <c r="R614" t="s">
        <v>50</v>
      </c>
      <c r="S614" t="s">
        <v>30</v>
      </c>
      <c r="T614" t="s">
        <v>57</v>
      </c>
      <c r="U614">
        <v>51.165691000000002</v>
      </c>
      <c r="V614">
        <v>10.451525999999999</v>
      </c>
      <c r="W614" t="str">
        <f t="shared" si="64"/>
        <v>ok</v>
      </c>
      <c r="X614" t="str">
        <f t="shared" si="70"/>
        <v>ok</v>
      </c>
      <c r="Y614" t="str">
        <f t="shared" si="65"/>
        <v>ok</v>
      </c>
      <c r="Z614" t="str">
        <f t="shared" si="66"/>
        <v>ok</v>
      </c>
      <c r="AA614" s="4" t="str">
        <f t="shared" si="67"/>
        <v>ok</v>
      </c>
      <c r="AB614" s="4" t="str">
        <f t="shared" si="68"/>
        <v>ok</v>
      </c>
      <c r="AC614" s="6">
        <f t="shared" si="69"/>
        <v>1.0023852777667344</v>
      </c>
    </row>
    <row r="615" spans="1:29" x14ac:dyDescent="0.3">
      <c r="A615" t="s">
        <v>42</v>
      </c>
      <c r="B615">
        <v>1773</v>
      </c>
      <c r="C615" t="s">
        <v>33</v>
      </c>
      <c r="D615" t="s">
        <v>24</v>
      </c>
      <c r="E615" t="s">
        <v>67</v>
      </c>
      <c r="F615" t="s">
        <v>26</v>
      </c>
      <c r="G615" t="s">
        <v>52</v>
      </c>
      <c r="H615" s="1">
        <v>45022.721006944441</v>
      </c>
      <c r="I615" s="1">
        <v>45024.721006944441</v>
      </c>
      <c r="J615" s="1">
        <v>45022.762673611112</v>
      </c>
      <c r="K615" s="2">
        <v>45022.739751064815</v>
      </c>
      <c r="L615" t="s">
        <v>28</v>
      </c>
      <c r="M615" s="2">
        <v>45023.301019872684</v>
      </c>
      <c r="N615" t="s">
        <v>28</v>
      </c>
      <c r="P615">
        <v>8</v>
      </c>
      <c r="R615" t="s">
        <v>29</v>
      </c>
      <c r="S615" t="s">
        <v>30</v>
      </c>
      <c r="T615" t="s">
        <v>41</v>
      </c>
      <c r="U615">
        <v>43.036776000000003</v>
      </c>
      <c r="V615">
        <v>12.678565000000001</v>
      </c>
      <c r="W615" t="str">
        <f t="shared" si="64"/>
        <v>ok</v>
      </c>
      <c r="X615" t="str">
        <f t="shared" si="70"/>
        <v>ok</v>
      </c>
      <c r="Y615" t="str">
        <f t="shared" si="65"/>
        <v>ok</v>
      </c>
      <c r="Z615" t="str">
        <f t="shared" si="66"/>
        <v>ok</v>
      </c>
      <c r="AA615" s="4" t="str">
        <f t="shared" si="67"/>
        <v>ok</v>
      </c>
      <c r="AB615" s="4" t="str">
        <f t="shared" si="68"/>
        <v>ok</v>
      </c>
      <c r="AC615" s="6">
        <f t="shared" si="69"/>
        <v>13.920310277841054</v>
      </c>
    </row>
    <row r="616" spans="1:29" x14ac:dyDescent="0.3">
      <c r="A616" t="s">
        <v>22</v>
      </c>
      <c r="B616">
        <v>1774</v>
      </c>
      <c r="C616" t="s">
        <v>47</v>
      </c>
      <c r="D616" t="s">
        <v>24</v>
      </c>
      <c r="E616" t="s">
        <v>59</v>
      </c>
      <c r="F616" t="s">
        <v>36</v>
      </c>
      <c r="G616" t="s">
        <v>64</v>
      </c>
      <c r="H616" s="1">
        <v>45022.124340277776</v>
      </c>
      <c r="I616" s="1">
        <v>45024.124340277776</v>
      </c>
      <c r="J616" s="1">
        <v>45022.166006944448</v>
      </c>
      <c r="K616" s="2">
        <v>45022.152654814818</v>
      </c>
      <c r="L616" t="s">
        <v>28</v>
      </c>
      <c r="M616" s="2">
        <v>45023.094317303243</v>
      </c>
      <c r="N616" t="s">
        <v>28</v>
      </c>
      <c r="O616" s="2">
        <v>45026.863460300927</v>
      </c>
      <c r="P616">
        <v>5</v>
      </c>
      <c r="Q616">
        <v>4</v>
      </c>
      <c r="R616" t="s">
        <v>29</v>
      </c>
      <c r="S616" t="s">
        <v>40</v>
      </c>
      <c r="T616" t="s">
        <v>65</v>
      </c>
      <c r="U616">
        <v>46.149166399999999</v>
      </c>
      <c r="V616">
        <v>14.9860106</v>
      </c>
      <c r="W616" t="str">
        <f t="shared" si="64"/>
        <v>ok</v>
      </c>
      <c r="X616" t="str">
        <f t="shared" si="70"/>
        <v>ok</v>
      </c>
      <c r="Y616" t="str">
        <f t="shared" si="65"/>
        <v>ok</v>
      </c>
      <c r="Z616" t="str">
        <f t="shared" si="66"/>
        <v>ok</v>
      </c>
      <c r="AA616" s="4" t="str">
        <f t="shared" si="67"/>
        <v>ok</v>
      </c>
      <c r="AB616" s="4" t="str">
        <f t="shared" si="68"/>
        <v>ok</v>
      </c>
      <c r="AC616" s="6">
        <f t="shared" si="69"/>
        <v>23.279448611196131</v>
      </c>
    </row>
    <row r="617" spans="1:29" x14ac:dyDescent="0.3">
      <c r="A617" t="s">
        <v>22</v>
      </c>
      <c r="B617">
        <v>1775</v>
      </c>
      <c r="C617" t="s">
        <v>47</v>
      </c>
      <c r="D617" t="s">
        <v>24</v>
      </c>
      <c r="E617" t="s">
        <v>35</v>
      </c>
      <c r="F617" t="s">
        <v>26</v>
      </c>
      <c r="G617" t="s">
        <v>49</v>
      </c>
      <c r="H617" s="1">
        <v>45022.760949074072</v>
      </c>
      <c r="I617" s="1">
        <v>45024.760949074072</v>
      </c>
      <c r="J617" s="1">
        <v>45022.802615740744</v>
      </c>
      <c r="K617" s="2">
        <v>45022.792127835652</v>
      </c>
      <c r="L617" t="s">
        <v>28</v>
      </c>
      <c r="M617" s="2">
        <v>45024.332460381942</v>
      </c>
      <c r="N617" t="s">
        <v>28</v>
      </c>
      <c r="O617" s="2">
        <v>45027.773568310186</v>
      </c>
      <c r="P617">
        <v>2</v>
      </c>
      <c r="Q617">
        <v>4</v>
      </c>
      <c r="R617" t="s">
        <v>50</v>
      </c>
      <c r="S617" t="s">
        <v>30</v>
      </c>
      <c r="T617" t="s">
        <v>31</v>
      </c>
      <c r="U617">
        <v>53.094023999999997</v>
      </c>
      <c r="V617">
        <v>-8.0196749999999994</v>
      </c>
      <c r="W617" t="str">
        <f t="shared" si="64"/>
        <v>ok</v>
      </c>
      <c r="X617" t="str">
        <f t="shared" si="70"/>
        <v>ok</v>
      </c>
      <c r="Y617" t="str">
        <f t="shared" si="65"/>
        <v>ok</v>
      </c>
      <c r="Z617" t="str">
        <f t="shared" si="66"/>
        <v>ok</v>
      </c>
      <c r="AA617" s="4" t="str">
        <f t="shared" si="67"/>
        <v>ok</v>
      </c>
      <c r="AB617" s="4" t="str">
        <f t="shared" si="68"/>
        <v>ok</v>
      </c>
      <c r="AC617" s="6">
        <f t="shared" si="69"/>
        <v>37.716271388868336</v>
      </c>
    </row>
    <row r="618" spans="1:29" x14ac:dyDescent="0.3">
      <c r="A618" t="s">
        <v>22</v>
      </c>
      <c r="B618">
        <v>1777</v>
      </c>
      <c r="C618" t="s">
        <v>47</v>
      </c>
      <c r="D618" t="s">
        <v>24</v>
      </c>
      <c r="E618" t="s">
        <v>35</v>
      </c>
      <c r="F618" t="s">
        <v>26</v>
      </c>
      <c r="G618" t="s">
        <v>52</v>
      </c>
      <c r="H618" s="1">
        <v>45022.204594907409</v>
      </c>
      <c r="I618" s="1">
        <v>45024.204594907409</v>
      </c>
      <c r="J618" s="1">
        <v>45022.246261574073</v>
      </c>
      <c r="K618" s="2">
        <v>45022.23931478009</v>
      </c>
      <c r="L618" t="s">
        <v>28</v>
      </c>
      <c r="M618" s="2">
        <v>45022.616240300929</v>
      </c>
      <c r="N618" t="s">
        <v>28</v>
      </c>
      <c r="O618" s="2">
        <v>45029.23720732639</v>
      </c>
      <c r="P618">
        <v>2</v>
      </c>
      <c r="Q618">
        <v>4</v>
      </c>
      <c r="R618" t="s">
        <v>39</v>
      </c>
      <c r="S618" t="s">
        <v>30</v>
      </c>
      <c r="T618" t="s">
        <v>41</v>
      </c>
      <c r="U618">
        <v>43.036776000000003</v>
      </c>
      <c r="V618">
        <v>12.678565000000001</v>
      </c>
      <c r="W618" t="str">
        <f t="shared" si="64"/>
        <v>ok</v>
      </c>
      <c r="X618" t="str">
        <f t="shared" si="70"/>
        <v>ok</v>
      </c>
      <c r="Y618" t="str">
        <f t="shared" si="65"/>
        <v>ok</v>
      </c>
      <c r="Z618" t="str">
        <f t="shared" si="66"/>
        <v>ok</v>
      </c>
      <c r="AA618" s="4" t="str">
        <f t="shared" si="67"/>
        <v>ok</v>
      </c>
      <c r="AB618" s="4" t="str">
        <f t="shared" si="68"/>
        <v>ok</v>
      </c>
      <c r="AC618" s="6">
        <f t="shared" si="69"/>
        <v>9.8794894444872625</v>
      </c>
    </row>
    <row r="619" spans="1:29" x14ac:dyDescent="0.3">
      <c r="A619" t="s">
        <v>32</v>
      </c>
      <c r="B619">
        <v>1778</v>
      </c>
      <c r="C619" t="s">
        <v>47</v>
      </c>
      <c r="D619" t="s">
        <v>24</v>
      </c>
      <c r="E619" t="s">
        <v>62</v>
      </c>
      <c r="F619" t="s">
        <v>36</v>
      </c>
      <c r="G619" t="s">
        <v>64</v>
      </c>
      <c r="H619" s="1">
        <v>45022.779988425929</v>
      </c>
      <c r="I619" s="1">
        <v>45024.779988425929</v>
      </c>
      <c r="J619" s="1">
        <v>45022.821655092594</v>
      </c>
      <c r="K619" s="2">
        <v>45022.815494618058</v>
      </c>
      <c r="L619" t="s">
        <v>28</v>
      </c>
      <c r="N619" t="s">
        <v>38</v>
      </c>
      <c r="P619">
        <v>4</v>
      </c>
      <c r="R619" t="s">
        <v>55</v>
      </c>
      <c r="S619" t="s">
        <v>40</v>
      </c>
      <c r="T619" t="s">
        <v>66</v>
      </c>
      <c r="U619">
        <v>48.864716000000001</v>
      </c>
      <c r="V619">
        <v>2.3490139999999999</v>
      </c>
      <c r="W619" t="str">
        <f t="shared" si="64"/>
        <v>ok</v>
      </c>
      <c r="X619" t="str">
        <f t="shared" si="70"/>
        <v>ok</v>
      </c>
      <c r="Y619" t="str">
        <f t="shared" si="65"/>
        <v>ok</v>
      </c>
      <c r="Z619" t="str">
        <f t="shared" si="66"/>
        <v>ok</v>
      </c>
      <c r="AA619" s="4" t="str">
        <f t="shared" si="67"/>
        <v>ok</v>
      </c>
      <c r="AB619" s="4" t="str">
        <f t="shared" si="68"/>
        <v>no resolution</v>
      </c>
      <c r="AC619" s="6" t="str">
        <f t="shared" si="69"/>
        <v/>
      </c>
    </row>
    <row r="620" spans="1:29" x14ac:dyDescent="0.3">
      <c r="A620" t="s">
        <v>22</v>
      </c>
      <c r="B620">
        <v>1779</v>
      </c>
      <c r="C620" t="s">
        <v>47</v>
      </c>
      <c r="D620" t="s">
        <v>24</v>
      </c>
      <c r="E620" t="s">
        <v>35</v>
      </c>
      <c r="F620" t="s">
        <v>26</v>
      </c>
      <c r="G620" t="s">
        <v>49</v>
      </c>
      <c r="H620" s="1">
        <v>45023.09275462963</v>
      </c>
      <c r="I620" s="1">
        <v>45025.09275462963</v>
      </c>
      <c r="J620" s="1">
        <v>45023.134421296294</v>
      </c>
      <c r="K620" s="2">
        <v>45023.126294421294</v>
      </c>
      <c r="L620" t="s">
        <v>28</v>
      </c>
      <c r="M620" s="2">
        <v>45024.570986041668</v>
      </c>
      <c r="N620" t="s">
        <v>28</v>
      </c>
      <c r="O620" s="2">
        <v>45024.953943101849</v>
      </c>
      <c r="P620">
        <v>3</v>
      </c>
      <c r="Q620">
        <v>3</v>
      </c>
      <c r="R620" t="s">
        <v>50</v>
      </c>
      <c r="S620" t="s">
        <v>30</v>
      </c>
      <c r="T620" t="s">
        <v>61</v>
      </c>
      <c r="U620">
        <v>42.724992499999999</v>
      </c>
      <c r="V620">
        <v>25.483303899999999</v>
      </c>
      <c r="W620" t="str">
        <f t="shared" si="64"/>
        <v>ok</v>
      </c>
      <c r="X620" t="str">
        <f t="shared" si="70"/>
        <v>ok</v>
      </c>
      <c r="Y620" t="str">
        <f t="shared" si="65"/>
        <v>ok</v>
      </c>
      <c r="Z620" t="str">
        <f t="shared" si="66"/>
        <v>ok</v>
      </c>
      <c r="AA620" s="4" t="str">
        <f t="shared" si="67"/>
        <v>ok</v>
      </c>
      <c r="AB620" s="4" t="str">
        <f t="shared" si="68"/>
        <v>ok</v>
      </c>
      <c r="AC620" s="6">
        <f t="shared" si="69"/>
        <v>35.477553888922557</v>
      </c>
    </row>
    <row r="621" spans="1:29" x14ac:dyDescent="0.3">
      <c r="A621" t="s">
        <v>42</v>
      </c>
      <c r="B621">
        <v>1780</v>
      </c>
      <c r="C621" t="s">
        <v>23</v>
      </c>
      <c r="D621" t="s">
        <v>43</v>
      </c>
      <c r="E621" t="s">
        <v>35</v>
      </c>
      <c r="F621" t="s">
        <v>36</v>
      </c>
      <c r="G621" t="s">
        <v>37</v>
      </c>
      <c r="H621" s="1">
        <v>45023.930023148147</v>
      </c>
      <c r="I621" s="1">
        <v>45024.930023148147</v>
      </c>
      <c r="J621" s="1">
        <v>45023.93141203704</v>
      </c>
      <c r="K621" s="2">
        <v>45023.933724212962</v>
      </c>
      <c r="L621" t="s">
        <v>38</v>
      </c>
      <c r="M621" s="2">
        <v>45025.476083217596</v>
      </c>
      <c r="N621" t="s">
        <v>38</v>
      </c>
      <c r="P621">
        <v>4</v>
      </c>
      <c r="R621" t="s">
        <v>50</v>
      </c>
      <c r="S621" t="s">
        <v>40</v>
      </c>
      <c r="T621" t="s">
        <v>57</v>
      </c>
      <c r="U621">
        <v>51.165691000000002</v>
      </c>
      <c r="V621">
        <v>10.451525999999999</v>
      </c>
      <c r="W621" t="str">
        <f t="shared" si="64"/>
        <v>ok</v>
      </c>
      <c r="X621" t="str">
        <f t="shared" si="70"/>
        <v>ok</v>
      </c>
      <c r="Y621" t="str">
        <f t="shared" si="65"/>
        <v>ok</v>
      </c>
      <c r="Z621" t="str">
        <f t="shared" si="66"/>
        <v>ok</v>
      </c>
      <c r="AA621" s="4" t="str">
        <f t="shared" si="67"/>
        <v>ok</v>
      </c>
      <c r="AB621" s="4" t="str">
        <f t="shared" si="68"/>
        <v>ok</v>
      </c>
      <c r="AC621" s="6">
        <f t="shared" si="69"/>
        <v>37.105441666790284</v>
      </c>
    </row>
    <row r="622" spans="1:29" x14ac:dyDescent="0.3">
      <c r="A622" t="s">
        <v>32</v>
      </c>
      <c r="B622">
        <v>1782</v>
      </c>
      <c r="C622" t="s">
        <v>23</v>
      </c>
      <c r="D622" t="s">
        <v>24</v>
      </c>
      <c r="E622" t="s">
        <v>48</v>
      </c>
      <c r="F622" t="s">
        <v>26</v>
      </c>
      <c r="G622" t="s">
        <v>60</v>
      </c>
      <c r="H622" s="1">
        <v>45023.76458333333</v>
      </c>
      <c r="I622" s="1">
        <v>45025.76458333333</v>
      </c>
      <c r="J622" s="1">
        <v>45023.806250000001</v>
      </c>
      <c r="K622" s="2">
        <v>45023.777459166668</v>
      </c>
      <c r="L622" t="s">
        <v>28</v>
      </c>
      <c r="N622" t="s">
        <v>38</v>
      </c>
      <c r="P622">
        <v>1</v>
      </c>
      <c r="R622" t="s">
        <v>50</v>
      </c>
      <c r="S622" t="s">
        <v>30</v>
      </c>
      <c r="T622" t="s">
        <v>57</v>
      </c>
      <c r="U622">
        <v>51.165691000000002</v>
      </c>
      <c r="V622">
        <v>10.451525999999999</v>
      </c>
      <c r="W622" t="str">
        <f t="shared" si="64"/>
        <v>ok</v>
      </c>
      <c r="X622" t="str">
        <f t="shared" si="70"/>
        <v>ok</v>
      </c>
      <c r="Y622" t="str">
        <f t="shared" si="65"/>
        <v>ok</v>
      </c>
      <c r="Z622" t="str">
        <f t="shared" si="66"/>
        <v>ok</v>
      </c>
      <c r="AA622" s="4" t="str">
        <f t="shared" si="67"/>
        <v>ok</v>
      </c>
      <c r="AB622" s="4" t="str">
        <f t="shared" si="68"/>
        <v>no resolution</v>
      </c>
      <c r="AC622" s="6" t="str">
        <f t="shared" si="69"/>
        <v/>
      </c>
    </row>
    <row r="623" spans="1:29" x14ac:dyDescent="0.3">
      <c r="A623" t="s">
        <v>22</v>
      </c>
      <c r="B623">
        <v>1783</v>
      </c>
      <c r="C623" t="s">
        <v>47</v>
      </c>
      <c r="D623" t="s">
        <v>24</v>
      </c>
      <c r="E623" t="s">
        <v>25</v>
      </c>
      <c r="F623" t="s">
        <v>36</v>
      </c>
      <c r="G623" t="s">
        <v>64</v>
      </c>
      <c r="H623" s="1">
        <v>45023.209976851853</v>
      </c>
      <c r="I623" s="1">
        <v>45025.209976851853</v>
      </c>
      <c r="J623" s="1">
        <v>45023.251643518517</v>
      </c>
      <c r="K623" s="2">
        <v>45023.221160069443</v>
      </c>
      <c r="L623" t="s">
        <v>28</v>
      </c>
      <c r="M623" s="2">
        <v>45023.881245578705</v>
      </c>
      <c r="N623" t="s">
        <v>28</v>
      </c>
      <c r="O623" s="2">
        <v>45029.583416377318</v>
      </c>
      <c r="P623">
        <v>1</v>
      </c>
      <c r="Q623">
        <v>1</v>
      </c>
      <c r="R623" t="s">
        <v>50</v>
      </c>
      <c r="S623" t="s">
        <v>40</v>
      </c>
      <c r="T623" t="s">
        <v>65</v>
      </c>
      <c r="U623">
        <v>46.149166399999999</v>
      </c>
      <c r="V623">
        <v>14.9860106</v>
      </c>
      <c r="W623" t="str">
        <f t="shared" si="64"/>
        <v>ok</v>
      </c>
      <c r="X623" t="str">
        <f t="shared" si="70"/>
        <v>ok</v>
      </c>
      <c r="Y623" t="str">
        <f t="shared" si="65"/>
        <v>ok</v>
      </c>
      <c r="Z623" t="str">
        <f t="shared" si="66"/>
        <v>ok</v>
      </c>
      <c r="AA623" s="4" t="str">
        <f t="shared" si="67"/>
        <v>ok</v>
      </c>
      <c r="AB623" s="4" t="str">
        <f t="shared" si="68"/>
        <v>ok</v>
      </c>
      <c r="AC623" s="6">
        <f t="shared" si="69"/>
        <v>16.110449444444384</v>
      </c>
    </row>
    <row r="624" spans="1:29" x14ac:dyDescent="0.3">
      <c r="A624" t="s">
        <v>22</v>
      </c>
      <c r="B624">
        <v>1784</v>
      </c>
      <c r="C624" t="s">
        <v>47</v>
      </c>
      <c r="D624" t="s">
        <v>24</v>
      </c>
      <c r="E624" t="s">
        <v>35</v>
      </c>
      <c r="F624" t="s">
        <v>26</v>
      </c>
      <c r="G624" t="s">
        <v>27</v>
      </c>
      <c r="H624" s="1">
        <v>45023.324189814812</v>
      </c>
      <c r="I624" s="1">
        <v>45025.324189814812</v>
      </c>
      <c r="J624" s="1">
        <v>45023.365856481483</v>
      </c>
      <c r="K624" s="2">
        <v>45023.336099756947</v>
      </c>
      <c r="L624" t="s">
        <v>28</v>
      </c>
      <c r="M624" s="2">
        <v>45024.75605635417</v>
      </c>
      <c r="N624" t="s">
        <v>28</v>
      </c>
      <c r="O624" s="2">
        <v>45024.779085393522</v>
      </c>
      <c r="P624">
        <v>2</v>
      </c>
      <c r="Q624">
        <v>4</v>
      </c>
      <c r="R624" t="s">
        <v>50</v>
      </c>
      <c r="S624" t="s">
        <v>30</v>
      </c>
      <c r="T624" t="s">
        <v>41</v>
      </c>
      <c r="U624">
        <v>43.036776000000003</v>
      </c>
      <c r="V624">
        <v>12.678565000000001</v>
      </c>
      <c r="W624" t="str">
        <f t="shared" si="64"/>
        <v>ok</v>
      </c>
      <c r="X624" t="str">
        <f t="shared" si="70"/>
        <v>ok</v>
      </c>
      <c r="Y624" t="str">
        <f t="shared" si="65"/>
        <v>ok</v>
      </c>
      <c r="Z624" t="str">
        <f t="shared" si="66"/>
        <v>ok</v>
      </c>
      <c r="AA624" s="4" t="str">
        <f t="shared" si="67"/>
        <v>ok</v>
      </c>
      <c r="AB624" s="4" t="str">
        <f t="shared" si="68"/>
        <v>ok</v>
      </c>
      <c r="AC624" s="6">
        <f t="shared" si="69"/>
        <v>34.364796944602858</v>
      </c>
    </row>
    <row r="625" spans="1:29" x14ac:dyDescent="0.3">
      <c r="A625" t="s">
        <v>32</v>
      </c>
      <c r="B625">
        <v>1801</v>
      </c>
      <c r="C625" t="s">
        <v>33</v>
      </c>
      <c r="D625" t="s">
        <v>34</v>
      </c>
      <c r="E625" t="s">
        <v>25</v>
      </c>
      <c r="F625" t="s">
        <v>26</v>
      </c>
      <c r="G625" t="s">
        <v>49</v>
      </c>
      <c r="H625" s="1">
        <v>45025.469513888886</v>
      </c>
      <c r="I625" s="1">
        <v>45027.469513888886</v>
      </c>
      <c r="J625" s="1">
        <v>45025.470902777779</v>
      </c>
      <c r="K625" s="2">
        <v>45025.470480856478</v>
      </c>
      <c r="L625" t="s">
        <v>28</v>
      </c>
      <c r="N625" t="s">
        <v>38</v>
      </c>
      <c r="P625">
        <v>2</v>
      </c>
      <c r="R625" t="s">
        <v>29</v>
      </c>
      <c r="S625" t="s">
        <v>30</v>
      </c>
      <c r="T625" t="s">
        <v>56</v>
      </c>
      <c r="U625">
        <v>52.536273000000001</v>
      </c>
      <c r="V625">
        <v>19.050639</v>
      </c>
      <c r="W625" t="str">
        <f t="shared" si="64"/>
        <v>ok</v>
      </c>
      <c r="X625" t="str">
        <f t="shared" si="70"/>
        <v>ok</v>
      </c>
      <c r="Y625" t="str">
        <f t="shared" si="65"/>
        <v>ok</v>
      </c>
      <c r="Z625" t="str">
        <f t="shared" si="66"/>
        <v>ok</v>
      </c>
      <c r="AA625" s="4" t="str">
        <f t="shared" si="67"/>
        <v>ok</v>
      </c>
      <c r="AB625" s="4" t="str">
        <f t="shared" si="68"/>
        <v>no resolution</v>
      </c>
      <c r="AC625" s="6" t="str">
        <f t="shared" si="69"/>
        <v/>
      </c>
    </row>
    <row r="626" spans="1:29" x14ac:dyDescent="0.3">
      <c r="A626" t="s">
        <v>32</v>
      </c>
      <c r="B626">
        <v>1802</v>
      </c>
      <c r="C626" t="s">
        <v>23</v>
      </c>
      <c r="D626" t="s">
        <v>43</v>
      </c>
      <c r="E626" t="s">
        <v>67</v>
      </c>
      <c r="F626" t="s">
        <v>26</v>
      </c>
      <c r="G626" t="s">
        <v>60</v>
      </c>
      <c r="H626" s="1">
        <v>45025.766747685186</v>
      </c>
      <c r="I626" s="1">
        <v>45026.766747685186</v>
      </c>
      <c r="J626" s="1">
        <v>45025.768136574072</v>
      </c>
      <c r="K626" s="2">
        <v>45025.766752326388</v>
      </c>
      <c r="L626" t="s">
        <v>28</v>
      </c>
      <c r="N626" t="s">
        <v>38</v>
      </c>
      <c r="P626">
        <v>7</v>
      </c>
      <c r="R626" t="s">
        <v>29</v>
      </c>
      <c r="S626" t="s">
        <v>30</v>
      </c>
      <c r="T626" t="s">
        <v>53</v>
      </c>
      <c r="U626">
        <v>39.368279000000001</v>
      </c>
      <c r="V626">
        <v>21.863140999999999</v>
      </c>
      <c r="W626" t="str">
        <f t="shared" si="64"/>
        <v>ok</v>
      </c>
      <c r="X626" t="str">
        <f t="shared" si="70"/>
        <v>ok</v>
      </c>
      <c r="Y626" t="str">
        <f t="shared" si="65"/>
        <v>ok</v>
      </c>
      <c r="Z626" t="str">
        <f t="shared" si="66"/>
        <v>ok</v>
      </c>
      <c r="AA626" s="4" t="str">
        <f t="shared" si="67"/>
        <v>ok</v>
      </c>
      <c r="AB626" s="4" t="str">
        <f t="shared" si="68"/>
        <v>no resolution</v>
      </c>
      <c r="AC626" s="6" t="str">
        <f t="shared" si="69"/>
        <v/>
      </c>
    </row>
    <row r="627" spans="1:29" x14ac:dyDescent="0.3">
      <c r="A627" t="s">
        <v>22</v>
      </c>
      <c r="B627">
        <v>1803</v>
      </c>
      <c r="C627" t="s">
        <v>23</v>
      </c>
      <c r="D627" t="s">
        <v>24</v>
      </c>
      <c r="E627" t="s">
        <v>39</v>
      </c>
      <c r="F627" t="s">
        <v>26</v>
      </c>
      <c r="G627" t="s">
        <v>49</v>
      </c>
      <c r="H627" s="1">
        <v>45025.079733796294</v>
      </c>
      <c r="I627" s="1">
        <v>45027.079733796294</v>
      </c>
      <c r="J627" s="1">
        <v>45025.121400462966</v>
      </c>
      <c r="K627" s="2">
        <v>45025.105046909724</v>
      </c>
      <c r="L627" t="s">
        <v>28</v>
      </c>
      <c r="M627" s="2">
        <v>45026.95666329861</v>
      </c>
      <c r="N627" t="s">
        <v>28</v>
      </c>
      <c r="O627" s="2">
        <v>45032.18653165509</v>
      </c>
      <c r="P627">
        <v>1</v>
      </c>
      <c r="Q627">
        <v>4</v>
      </c>
      <c r="R627" t="s">
        <v>29</v>
      </c>
      <c r="S627" t="s">
        <v>30</v>
      </c>
      <c r="T627" t="s">
        <v>51</v>
      </c>
      <c r="U627">
        <v>39.673369999999998</v>
      </c>
      <c r="V627">
        <v>-4.7677259999999997</v>
      </c>
      <c r="W627" t="str">
        <f t="shared" si="64"/>
        <v>ok</v>
      </c>
      <c r="X627" t="str">
        <f t="shared" si="70"/>
        <v>ok</v>
      </c>
      <c r="Y627" t="str">
        <f t="shared" si="65"/>
        <v>ok</v>
      </c>
      <c r="Z627" t="str">
        <f t="shared" si="66"/>
        <v>ok</v>
      </c>
      <c r="AA627" s="4" t="str">
        <f t="shared" si="67"/>
        <v>ok</v>
      </c>
      <c r="AB627" s="4" t="str">
        <f t="shared" si="68"/>
        <v>ok</v>
      </c>
      <c r="AC627" s="6">
        <f t="shared" si="69"/>
        <v>45.046308055578265</v>
      </c>
    </row>
    <row r="628" spans="1:29" x14ac:dyDescent="0.3">
      <c r="A628" t="s">
        <v>32</v>
      </c>
      <c r="B628">
        <v>1804</v>
      </c>
      <c r="C628" t="s">
        <v>47</v>
      </c>
      <c r="D628" t="s">
        <v>43</v>
      </c>
      <c r="E628" t="s">
        <v>35</v>
      </c>
      <c r="F628" t="s">
        <v>36</v>
      </c>
      <c r="G628" t="s">
        <v>54</v>
      </c>
      <c r="H628" s="1">
        <v>45025.733252314814</v>
      </c>
      <c r="I628" s="1">
        <v>45026.733252314814</v>
      </c>
      <c r="J628" s="1">
        <v>45025.7346412037</v>
      </c>
      <c r="K628" s="2">
        <v>45025.733922245374</v>
      </c>
      <c r="L628" t="s">
        <v>28</v>
      </c>
      <c r="N628" t="s">
        <v>38</v>
      </c>
      <c r="P628">
        <v>6</v>
      </c>
      <c r="R628" t="s">
        <v>50</v>
      </c>
      <c r="S628" t="s">
        <v>40</v>
      </c>
      <c r="T628" t="s">
        <v>61</v>
      </c>
      <c r="U628">
        <v>42.724992499999999</v>
      </c>
      <c r="V628">
        <v>25.483303899999999</v>
      </c>
      <c r="W628" t="str">
        <f t="shared" si="64"/>
        <v>ok</v>
      </c>
      <c r="X628" t="str">
        <f t="shared" si="70"/>
        <v>ok</v>
      </c>
      <c r="Y628" t="str">
        <f t="shared" si="65"/>
        <v>ok</v>
      </c>
      <c r="Z628" t="str">
        <f t="shared" si="66"/>
        <v>ok</v>
      </c>
      <c r="AA628" s="4" t="str">
        <f t="shared" si="67"/>
        <v>ok</v>
      </c>
      <c r="AB628" s="4" t="str">
        <f t="shared" si="68"/>
        <v>no resolution</v>
      </c>
      <c r="AC628" s="6" t="str">
        <f t="shared" si="69"/>
        <v/>
      </c>
    </row>
    <row r="629" spans="1:29" x14ac:dyDescent="0.3">
      <c r="A629" t="s">
        <v>42</v>
      </c>
      <c r="B629">
        <v>1805</v>
      </c>
      <c r="C629" t="s">
        <v>23</v>
      </c>
      <c r="D629" t="s">
        <v>24</v>
      </c>
      <c r="E629" t="s">
        <v>48</v>
      </c>
      <c r="F629" t="s">
        <v>26</v>
      </c>
      <c r="G629" t="s">
        <v>49</v>
      </c>
      <c r="H629" s="1">
        <v>45025.701504629629</v>
      </c>
      <c r="I629" s="1">
        <v>45027.701504629629</v>
      </c>
      <c r="J629" s="1">
        <v>45025.743171296293</v>
      </c>
      <c r="K629" s="2">
        <v>45025.73258747685</v>
      </c>
      <c r="L629" t="s">
        <v>28</v>
      </c>
      <c r="M629" s="2">
        <v>45026.339756863425</v>
      </c>
      <c r="N629" t="s">
        <v>28</v>
      </c>
      <c r="P629">
        <v>1</v>
      </c>
      <c r="R629" t="s">
        <v>50</v>
      </c>
      <c r="S629" t="s">
        <v>30</v>
      </c>
      <c r="T629" t="s">
        <v>46</v>
      </c>
      <c r="U629">
        <v>47.696471899999999</v>
      </c>
      <c r="V629">
        <v>13.3457347</v>
      </c>
      <c r="W629" t="str">
        <f t="shared" si="64"/>
        <v>ok</v>
      </c>
      <c r="X629" t="str">
        <f t="shared" si="70"/>
        <v>ok</v>
      </c>
      <c r="Y629" t="str">
        <f t="shared" si="65"/>
        <v>ok</v>
      </c>
      <c r="Z629" t="str">
        <f t="shared" si="66"/>
        <v>ok</v>
      </c>
      <c r="AA629" s="4" t="str">
        <f t="shared" si="67"/>
        <v>ok</v>
      </c>
      <c r="AB629" s="4" t="str">
        <f t="shared" si="68"/>
        <v>ok</v>
      </c>
      <c r="AC629" s="6">
        <f t="shared" si="69"/>
        <v>15.318053611088544</v>
      </c>
    </row>
    <row r="630" spans="1:29" x14ac:dyDescent="0.3">
      <c r="A630" t="s">
        <v>22</v>
      </c>
      <c r="B630">
        <v>1806</v>
      </c>
      <c r="C630" t="s">
        <v>23</v>
      </c>
      <c r="D630" t="s">
        <v>24</v>
      </c>
      <c r="E630" t="s">
        <v>48</v>
      </c>
      <c r="F630" t="s">
        <v>26</v>
      </c>
      <c r="G630" t="s">
        <v>27</v>
      </c>
      <c r="H630" s="1">
        <v>45025.047673611109</v>
      </c>
      <c r="I630" s="1">
        <v>45027.047673611109</v>
      </c>
      <c r="J630" s="1">
        <v>45025.08934027778</v>
      </c>
      <c r="K630" s="2">
        <v>45025.156589687504</v>
      </c>
      <c r="L630" t="s">
        <v>38</v>
      </c>
      <c r="M630" s="2">
        <v>45026.353447187503</v>
      </c>
      <c r="N630" t="s">
        <v>28</v>
      </c>
      <c r="O630" s="2">
        <v>45029.218150717592</v>
      </c>
      <c r="P630">
        <v>4</v>
      </c>
      <c r="Q630">
        <v>1</v>
      </c>
      <c r="R630" t="s">
        <v>29</v>
      </c>
      <c r="S630" t="s">
        <v>30</v>
      </c>
      <c r="T630" t="s">
        <v>66</v>
      </c>
      <c r="U630">
        <v>48.864716000000001</v>
      </c>
      <c r="V630">
        <v>2.3490139999999999</v>
      </c>
      <c r="W630" t="str">
        <f t="shared" si="64"/>
        <v>ok</v>
      </c>
      <c r="X630" t="str">
        <f t="shared" si="70"/>
        <v>ok</v>
      </c>
      <c r="Y630" t="str">
        <f t="shared" si="65"/>
        <v>ok</v>
      </c>
      <c r="Z630" t="str">
        <f t="shared" si="66"/>
        <v>ok</v>
      </c>
      <c r="AA630" s="4" t="str">
        <f t="shared" si="67"/>
        <v>ok</v>
      </c>
      <c r="AB630" s="4" t="str">
        <f t="shared" si="68"/>
        <v>ok</v>
      </c>
      <c r="AC630" s="6">
        <f t="shared" si="69"/>
        <v>31.338565833459143</v>
      </c>
    </row>
    <row r="631" spans="1:29" x14ac:dyDescent="0.3">
      <c r="A631" t="s">
        <v>32</v>
      </c>
      <c r="B631">
        <v>1807</v>
      </c>
      <c r="C631" t="s">
        <v>47</v>
      </c>
      <c r="D631" t="s">
        <v>24</v>
      </c>
      <c r="E631" t="s">
        <v>35</v>
      </c>
      <c r="F631" t="s">
        <v>26</v>
      </c>
      <c r="G631" t="s">
        <v>60</v>
      </c>
      <c r="H631" s="1">
        <v>45026.671967592592</v>
      </c>
      <c r="I631" s="1">
        <v>45028.671967592592</v>
      </c>
      <c r="J631" s="1">
        <v>45026.713634259257</v>
      </c>
      <c r="K631" s="2">
        <v>45026.693908807873</v>
      </c>
      <c r="L631" t="s">
        <v>28</v>
      </c>
      <c r="N631" t="s">
        <v>38</v>
      </c>
      <c r="P631">
        <v>10</v>
      </c>
      <c r="R631" t="s">
        <v>39</v>
      </c>
      <c r="S631" t="s">
        <v>30</v>
      </c>
      <c r="T631" t="s">
        <v>66</v>
      </c>
      <c r="U631">
        <v>48.864716000000001</v>
      </c>
      <c r="V631">
        <v>2.3490139999999999</v>
      </c>
      <c r="W631" t="str">
        <f t="shared" si="64"/>
        <v>ok</v>
      </c>
      <c r="X631" t="str">
        <f t="shared" si="70"/>
        <v>ok</v>
      </c>
      <c r="Y631" t="str">
        <f t="shared" si="65"/>
        <v>ok</v>
      </c>
      <c r="Z631" t="str">
        <f t="shared" si="66"/>
        <v>ok</v>
      </c>
      <c r="AA631" s="4" t="str">
        <f t="shared" si="67"/>
        <v>ok</v>
      </c>
      <c r="AB631" s="4" t="str">
        <f t="shared" si="68"/>
        <v>no resolution</v>
      </c>
      <c r="AC631" s="6" t="str">
        <f t="shared" si="69"/>
        <v/>
      </c>
    </row>
    <row r="632" spans="1:29" x14ac:dyDescent="0.3">
      <c r="A632" t="s">
        <v>42</v>
      </c>
      <c r="B632">
        <v>1808</v>
      </c>
      <c r="C632" t="s">
        <v>23</v>
      </c>
      <c r="D632" t="s">
        <v>43</v>
      </c>
      <c r="E632" t="s">
        <v>25</v>
      </c>
      <c r="F632" t="s">
        <v>26</v>
      </c>
      <c r="G632" t="s">
        <v>27</v>
      </c>
      <c r="H632" s="1">
        <v>45026.942835648151</v>
      </c>
      <c r="I632" s="1">
        <v>45027.942835648151</v>
      </c>
      <c r="J632" s="1">
        <v>45026.944224537037</v>
      </c>
      <c r="K632" s="2">
        <v>45026.942918217595</v>
      </c>
      <c r="L632" t="s">
        <v>28</v>
      </c>
      <c r="M632" s="2">
        <v>45027.498100474535</v>
      </c>
      <c r="N632" t="s">
        <v>28</v>
      </c>
      <c r="P632">
        <v>60</v>
      </c>
      <c r="R632" t="s">
        <v>50</v>
      </c>
      <c r="S632" t="s">
        <v>30</v>
      </c>
      <c r="T632" t="s">
        <v>41</v>
      </c>
      <c r="U632">
        <v>43.036776000000003</v>
      </c>
      <c r="V632">
        <v>12.678565000000001</v>
      </c>
      <c r="W632" t="str">
        <f t="shared" si="64"/>
        <v>ok</v>
      </c>
      <c r="X632" t="str">
        <f t="shared" si="70"/>
        <v>ok</v>
      </c>
      <c r="Y632" t="str">
        <f t="shared" si="65"/>
        <v>ok</v>
      </c>
      <c r="Z632" t="str">
        <f t="shared" si="66"/>
        <v>ok</v>
      </c>
      <c r="AA632" s="4" t="str">
        <f t="shared" si="67"/>
        <v>ok</v>
      </c>
      <c r="AB632" s="4" t="str">
        <f t="shared" si="68"/>
        <v>ok</v>
      </c>
      <c r="AC632" s="6">
        <f t="shared" si="69"/>
        <v>13.326355833210982</v>
      </c>
    </row>
    <row r="633" spans="1:29" x14ac:dyDescent="0.3">
      <c r="A633" t="s">
        <v>22</v>
      </c>
      <c r="B633">
        <v>1809</v>
      </c>
      <c r="C633" t="s">
        <v>33</v>
      </c>
      <c r="D633" t="s">
        <v>43</v>
      </c>
      <c r="E633" t="s">
        <v>25</v>
      </c>
      <c r="F633" t="s">
        <v>26</v>
      </c>
      <c r="G633" t="s">
        <v>60</v>
      </c>
      <c r="H633" s="1">
        <v>45026.525370370371</v>
      </c>
      <c r="I633" s="1">
        <v>45027.525370370371</v>
      </c>
      <c r="J633" s="1">
        <v>45026.526759259257</v>
      </c>
      <c r="K633" s="2">
        <v>45026.526650798609</v>
      </c>
      <c r="L633" t="s">
        <v>28</v>
      </c>
      <c r="M633" s="2">
        <v>45026.53532304398</v>
      </c>
      <c r="N633" t="s">
        <v>28</v>
      </c>
      <c r="O633" s="2">
        <v>45028.928115810188</v>
      </c>
      <c r="P633">
        <v>3</v>
      </c>
      <c r="Q633">
        <v>4</v>
      </c>
      <c r="R633" t="s">
        <v>50</v>
      </c>
      <c r="S633" t="s">
        <v>30</v>
      </c>
      <c r="T633" t="s">
        <v>63</v>
      </c>
      <c r="U633">
        <v>55.378051999999997</v>
      </c>
      <c r="V633">
        <v>-3.4359730000000002</v>
      </c>
      <c r="W633" t="str">
        <f t="shared" si="64"/>
        <v>ok</v>
      </c>
      <c r="X633" t="str">
        <f t="shared" si="70"/>
        <v>ok</v>
      </c>
      <c r="Y633" t="str">
        <f t="shared" si="65"/>
        <v>ok</v>
      </c>
      <c r="Z633" t="str">
        <f t="shared" si="66"/>
        <v>ok</v>
      </c>
      <c r="AA633" s="4" t="str">
        <f t="shared" si="67"/>
        <v>ok</v>
      </c>
      <c r="AB633" s="4" t="str">
        <f t="shared" si="68"/>
        <v>ok</v>
      </c>
      <c r="AC633" s="6">
        <f t="shared" si="69"/>
        <v>0.23886416660388932</v>
      </c>
    </row>
    <row r="634" spans="1:29" x14ac:dyDescent="0.3">
      <c r="A634" t="s">
        <v>22</v>
      </c>
      <c r="B634">
        <v>1810</v>
      </c>
      <c r="C634" t="s">
        <v>47</v>
      </c>
      <c r="D634" t="s">
        <v>43</v>
      </c>
      <c r="E634" t="s">
        <v>35</v>
      </c>
      <c r="F634" t="s">
        <v>26</v>
      </c>
      <c r="G634" t="s">
        <v>52</v>
      </c>
      <c r="H634" s="1">
        <v>45026.532222222224</v>
      </c>
      <c r="I634" s="1">
        <v>45027.532222222224</v>
      </c>
      <c r="J634" s="1">
        <v>45026.53361111111</v>
      </c>
      <c r="K634" s="2">
        <v>45026.53484832176</v>
      </c>
      <c r="L634" t="s">
        <v>38</v>
      </c>
      <c r="M634" s="2">
        <v>45027.008144120373</v>
      </c>
      <c r="N634" t="s">
        <v>28</v>
      </c>
      <c r="O634" s="2">
        <v>45030.62975871528</v>
      </c>
      <c r="P634">
        <v>3</v>
      </c>
      <c r="Q634">
        <v>2</v>
      </c>
      <c r="R634" t="s">
        <v>55</v>
      </c>
      <c r="S634" t="s">
        <v>30</v>
      </c>
      <c r="T634" t="s">
        <v>61</v>
      </c>
      <c r="U634">
        <v>42.724992499999999</v>
      </c>
      <c r="V634">
        <v>25.483303899999999</v>
      </c>
      <c r="W634" t="str">
        <f t="shared" si="64"/>
        <v>ok</v>
      </c>
      <c r="X634" t="str">
        <f t="shared" si="70"/>
        <v>ok</v>
      </c>
      <c r="Y634" t="str">
        <f t="shared" si="65"/>
        <v>ok</v>
      </c>
      <c r="Z634" t="str">
        <f t="shared" si="66"/>
        <v>ok</v>
      </c>
      <c r="AA634" s="4" t="str">
        <f t="shared" si="67"/>
        <v>ok</v>
      </c>
      <c r="AB634" s="4" t="str">
        <f t="shared" si="68"/>
        <v>ok</v>
      </c>
      <c r="AC634" s="6">
        <f t="shared" si="69"/>
        <v>11.422125555574894</v>
      </c>
    </row>
    <row r="635" spans="1:29" x14ac:dyDescent="0.3">
      <c r="A635" t="s">
        <v>22</v>
      </c>
      <c r="B635">
        <v>1811</v>
      </c>
      <c r="C635" t="s">
        <v>47</v>
      </c>
      <c r="D635" t="s">
        <v>24</v>
      </c>
      <c r="E635" t="s">
        <v>67</v>
      </c>
      <c r="F635" t="s">
        <v>26</v>
      </c>
      <c r="G635" t="s">
        <v>27</v>
      </c>
      <c r="H635" s="1">
        <v>45026.681539351855</v>
      </c>
      <c r="I635" s="1">
        <v>45028.681539351855</v>
      </c>
      <c r="J635" s="1">
        <v>45026.72320601852</v>
      </c>
      <c r="K635" s="2">
        <v>45026.694528263892</v>
      </c>
      <c r="L635" t="s">
        <v>28</v>
      </c>
      <c r="M635" s="2">
        <v>45028.300034583335</v>
      </c>
      <c r="N635" t="s">
        <v>28</v>
      </c>
      <c r="O635" s="2">
        <v>45033.393305231482</v>
      </c>
      <c r="P635">
        <v>1</v>
      </c>
      <c r="Q635">
        <v>4</v>
      </c>
      <c r="R635" t="s">
        <v>29</v>
      </c>
      <c r="S635" t="s">
        <v>30</v>
      </c>
      <c r="T635" t="s">
        <v>41</v>
      </c>
      <c r="U635">
        <v>43.036776000000003</v>
      </c>
      <c r="V635">
        <v>12.678565000000001</v>
      </c>
      <c r="W635" t="str">
        <f t="shared" si="64"/>
        <v>ok</v>
      </c>
      <c r="X635" t="str">
        <f t="shared" si="70"/>
        <v>ok</v>
      </c>
      <c r="Y635" t="str">
        <f t="shared" si="65"/>
        <v>ok</v>
      </c>
      <c r="Z635" t="str">
        <f t="shared" si="66"/>
        <v>ok</v>
      </c>
      <c r="AA635" s="4" t="str">
        <f t="shared" si="67"/>
        <v>ok</v>
      </c>
      <c r="AB635" s="4" t="str">
        <f t="shared" si="68"/>
        <v>ok</v>
      </c>
      <c r="AC635" s="6">
        <f t="shared" si="69"/>
        <v>38.843885555514134</v>
      </c>
    </row>
    <row r="636" spans="1:29" x14ac:dyDescent="0.3">
      <c r="A636" t="s">
        <v>32</v>
      </c>
      <c r="B636">
        <v>1812</v>
      </c>
      <c r="C636" t="s">
        <v>33</v>
      </c>
      <c r="D636" t="s">
        <v>34</v>
      </c>
      <c r="E636" t="s">
        <v>35</v>
      </c>
      <c r="F636" t="s">
        <v>26</v>
      </c>
      <c r="G636" t="s">
        <v>27</v>
      </c>
      <c r="H636" s="1">
        <v>45026.82230324074</v>
      </c>
      <c r="I636" s="1">
        <v>45028.82230324074</v>
      </c>
      <c r="J636" s="1">
        <v>45026.823692129627</v>
      </c>
      <c r="K636" s="2">
        <v>45026.822438090276</v>
      </c>
      <c r="L636" t="s">
        <v>28</v>
      </c>
      <c r="N636" t="s">
        <v>38</v>
      </c>
      <c r="P636">
        <v>1</v>
      </c>
      <c r="R636" t="s">
        <v>50</v>
      </c>
      <c r="S636" t="s">
        <v>30</v>
      </c>
      <c r="T636" t="s">
        <v>63</v>
      </c>
      <c r="U636">
        <v>55.378051999999997</v>
      </c>
      <c r="V636">
        <v>-3.4359730000000002</v>
      </c>
      <c r="W636" t="str">
        <f t="shared" si="64"/>
        <v>ok</v>
      </c>
      <c r="X636" t="str">
        <f t="shared" si="70"/>
        <v>ok</v>
      </c>
      <c r="Y636" t="str">
        <f t="shared" si="65"/>
        <v>ok</v>
      </c>
      <c r="Z636" t="str">
        <f t="shared" si="66"/>
        <v>ok</v>
      </c>
      <c r="AA636" s="4" t="str">
        <f t="shared" si="67"/>
        <v>ok</v>
      </c>
      <c r="AB636" s="4" t="str">
        <f t="shared" si="68"/>
        <v>no resolution</v>
      </c>
      <c r="AC636" s="6" t="str">
        <f t="shared" si="69"/>
        <v/>
      </c>
    </row>
    <row r="637" spans="1:29" x14ac:dyDescent="0.3">
      <c r="A637" t="s">
        <v>32</v>
      </c>
      <c r="B637">
        <v>1813</v>
      </c>
      <c r="C637" t="s">
        <v>33</v>
      </c>
      <c r="D637" t="s">
        <v>43</v>
      </c>
      <c r="E637" t="s">
        <v>44</v>
      </c>
      <c r="F637" t="s">
        <v>36</v>
      </c>
      <c r="G637" t="s">
        <v>64</v>
      </c>
      <c r="H637" s="1">
        <v>45026.944432870368</v>
      </c>
      <c r="I637" s="1">
        <v>45027.944432870368</v>
      </c>
      <c r="J637" s="1">
        <v>45026.945821759262</v>
      </c>
      <c r="K637" s="2">
        <v>45026.945438831019</v>
      </c>
      <c r="L637" t="s">
        <v>28</v>
      </c>
      <c r="N637" t="s">
        <v>38</v>
      </c>
      <c r="P637">
        <v>60</v>
      </c>
      <c r="R637" t="s">
        <v>50</v>
      </c>
      <c r="S637" t="s">
        <v>40</v>
      </c>
      <c r="T637" t="s">
        <v>53</v>
      </c>
      <c r="U637">
        <v>39.368279000000001</v>
      </c>
      <c r="V637">
        <v>21.863140999999999</v>
      </c>
      <c r="W637" t="str">
        <f t="shared" si="64"/>
        <v>ok</v>
      </c>
      <c r="X637" t="str">
        <f t="shared" si="70"/>
        <v>ok</v>
      </c>
      <c r="Y637" t="str">
        <f t="shared" si="65"/>
        <v>ok</v>
      </c>
      <c r="Z637" t="str">
        <f t="shared" si="66"/>
        <v>ok</v>
      </c>
      <c r="AA637" s="4" t="str">
        <f t="shared" si="67"/>
        <v>ok</v>
      </c>
      <c r="AB637" s="4" t="str">
        <f t="shared" si="68"/>
        <v>no resolution</v>
      </c>
      <c r="AC637" s="6" t="str">
        <f t="shared" si="69"/>
        <v/>
      </c>
    </row>
    <row r="638" spans="1:29" x14ac:dyDescent="0.3">
      <c r="A638" t="s">
        <v>22</v>
      </c>
      <c r="B638">
        <v>1814</v>
      </c>
      <c r="C638" t="s">
        <v>47</v>
      </c>
      <c r="D638" t="s">
        <v>24</v>
      </c>
      <c r="E638" t="s">
        <v>48</v>
      </c>
      <c r="F638" t="s">
        <v>26</v>
      </c>
      <c r="G638" t="s">
        <v>49</v>
      </c>
      <c r="H638" s="1">
        <v>45027.349050925928</v>
      </c>
      <c r="I638" s="1">
        <v>45029.349050925928</v>
      </c>
      <c r="J638" s="1">
        <v>45027.390717592592</v>
      </c>
      <c r="K638" s="2">
        <v>45027.386843067128</v>
      </c>
      <c r="L638" t="s">
        <v>28</v>
      </c>
      <c r="M638" s="2">
        <v>45029.438458761571</v>
      </c>
      <c r="N638" t="s">
        <v>38</v>
      </c>
      <c r="O638" s="2">
        <v>45030.558455555554</v>
      </c>
      <c r="P638">
        <v>1</v>
      </c>
      <c r="Q638">
        <v>4</v>
      </c>
      <c r="R638" t="s">
        <v>39</v>
      </c>
      <c r="S638" t="s">
        <v>30</v>
      </c>
      <c r="T638" t="s">
        <v>53</v>
      </c>
      <c r="U638">
        <v>39.368279000000001</v>
      </c>
      <c r="V638">
        <v>21.863140999999999</v>
      </c>
      <c r="W638" t="str">
        <f t="shared" si="64"/>
        <v>ok</v>
      </c>
      <c r="X638" t="str">
        <f t="shared" si="70"/>
        <v>ok</v>
      </c>
      <c r="Y638" t="str">
        <f t="shared" si="65"/>
        <v>ok</v>
      </c>
      <c r="Z638" t="str">
        <f t="shared" si="66"/>
        <v>ok</v>
      </c>
      <c r="AA638" s="4" t="str">
        <f t="shared" si="67"/>
        <v>ok</v>
      </c>
      <c r="AB638" s="4" t="str">
        <f t="shared" si="68"/>
        <v>ok</v>
      </c>
      <c r="AC638" s="6">
        <f t="shared" si="69"/>
        <v>50.145788055437151</v>
      </c>
    </row>
    <row r="639" spans="1:29" x14ac:dyDescent="0.3">
      <c r="A639" t="s">
        <v>22</v>
      </c>
      <c r="B639">
        <v>1815</v>
      </c>
      <c r="C639" t="s">
        <v>23</v>
      </c>
      <c r="D639" t="s">
        <v>43</v>
      </c>
      <c r="E639" t="s">
        <v>62</v>
      </c>
      <c r="F639" t="s">
        <v>26</v>
      </c>
      <c r="G639" t="s">
        <v>52</v>
      </c>
      <c r="H639" s="1">
        <v>45027.746041666665</v>
      </c>
      <c r="I639" s="1">
        <v>45028.746041666665</v>
      </c>
      <c r="J639" s="1">
        <v>45027.747430555559</v>
      </c>
      <c r="K639" s="2">
        <v>45027.746343391205</v>
      </c>
      <c r="L639" t="s">
        <v>28</v>
      </c>
      <c r="M639" s="2">
        <v>45027.819170254632</v>
      </c>
      <c r="N639" t="s">
        <v>28</v>
      </c>
      <c r="O639" s="2">
        <v>45033.524105289354</v>
      </c>
      <c r="P639">
        <v>4</v>
      </c>
      <c r="Q639">
        <v>5</v>
      </c>
      <c r="R639" t="s">
        <v>55</v>
      </c>
      <c r="S639" t="s">
        <v>30</v>
      </c>
      <c r="T639" t="s">
        <v>41</v>
      </c>
      <c r="U639">
        <v>43.036776000000003</v>
      </c>
      <c r="V639">
        <v>12.678565000000001</v>
      </c>
      <c r="W639" t="str">
        <f t="shared" si="64"/>
        <v>ok</v>
      </c>
      <c r="X639" t="str">
        <f t="shared" si="70"/>
        <v>ok</v>
      </c>
      <c r="Y639" t="str">
        <f t="shared" si="65"/>
        <v>ok</v>
      </c>
      <c r="Z639" t="str">
        <f t="shared" si="66"/>
        <v>ok</v>
      </c>
      <c r="AA639" s="4" t="str">
        <f t="shared" si="67"/>
        <v>ok</v>
      </c>
      <c r="AB639" s="4" t="str">
        <f t="shared" si="68"/>
        <v>ok</v>
      </c>
      <c r="AC639" s="6">
        <f t="shared" si="69"/>
        <v>1.7550861111958511</v>
      </c>
    </row>
    <row r="640" spans="1:29" x14ac:dyDescent="0.3">
      <c r="A640" t="s">
        <v>22</v>
      </c>
      <c r="B640">
        <v>1816</v>
      </c>
      <c r="C640" t="s">
        <v>23</v>
      </c>
      <c r="D640" t="s">
        <v>34</v>
      </c>
      <c r="E640" t="s">
        <v>25</v>
      </c>
      <c r="F640" t="s">
        <v>26</v>
      </c>
      <c r="G640" t="s">
        <v>45</v>
      </c>
      <c r="H640" s="1">
        <v>45027.074236111112</v>
      </c>
      <c r="I640" s="1">
        <v>45029.074236111112</v>
      </c>
      <c r="J640" s="1">
        <v>45027.075624999998</v>
      </c>
      <c r="K640" s="2">
        <v>45027.076884027774</v>
      </c>
      <c r="L640" t="s">
        <v>38</v>
      </c>
      <c r="M640" s="2">
        <v>45027.240384143515</v>
      </c>
      <c r="N640" t="s">
        <v>28</v>
      </c>
      <c r="O640" s="2">
        <v>45029.618415671299</v>
      </c>
      <c r="P640">
        <v>5</v>
      </c>
      <c r="Q640">
        <v>1</v>
      </c>
      <c r="R640" t="s">
        <v>50</v>
      </c>
      <c r="S640" t="s">
        <v>30</v>
      </c>
      <c r="T640" t="s">
        <v>46</v>
      </c>
      <c r="U640">
        <v>47.696471899999999</v>
      </c>
      <c r="V640">
        <v>13.3457347</v>
      </c>
      <c r="W640" t="str">
        <f t="shared" si="64"/>
        <v>ok</v>
      </c>
      <c r="X640" t="str">
        <f t="shared" si="70"/>
        <v>ok</v>
      </c>
      <c r="Y640" t="str">
        <f t="shared" si="65"/>
        <v>ok</v>
      </c>
      <c r="Z640" t="str">
        <f t="shared" si="66"/>
        <v>ok</v>
      </c>
      <c r="AA640" s="4" t="str">
        <f t="shared" si="67"/>
        <v>ok</v>
      </c>
      <c r="AB640" s="4" t="str">
        <f t="shared" si="68"/>
        <v>ok</v>
      </c>
      <c r="AC640" s="6">
        <f t="shared" si="69"/>
        <v>3.987552777689416</v>
      </c>
    </row>
    <row r="641" spans="1:29" x14ac:dyDescent="0.3">
      <c r="A641" t="s">
        <v>42</v>
      </c>
      <c r="B641">
        <v>1817</v>
      </c>
      <c r="C641" t="s">
        <v>23</v>
      </c>
      <c r="D641" t="s">
        <v>24</v>
      </c>
      <c r="E641" t="s">
        <v>44</v>
      </c>
      <c r="F641" t="s">
        <v>26</v>
      </c>
      <c r="G641" t="s">
        <v>45</v>
      </c>
      <c r="H641" s="1">
        <v>45027.066099537034</v>
      </c>
      <c r="I641" s="1">
        <v>45029.066099537034</v>
      </c>
      <c r="J641" s="1">
        <v>45027.107766203706</v>
      </c>
      <c r="K641" s="2">
        <v>45027.074213715277</v>
      </c>
      <c r="L641" t="s">
        <v>28</v>
      </c>
      <c r="M641" s="2">
        <v>45027.955062013891</v>
      </c>
      <c r="N641" t="s">
        <v>28</v>
      </c>
      <c r="P641">
        <v>2</v>
      </c>
      <c r="R641" t="s">
        <v>50</v>
      </c>
      <c r="S641" t="s">
        <v>30</v>
      </c>
      <c r="T641" t="s">
        <v>57</v>
      </c>
      <c r="U641">
        <v>51.165691000000002</v>
      </c>
      <c r="V641">
        <v>10.451525999999999</v>
      </c>
      <c r="W641" t="str">
        <f t="shared" si="64"/>
        <v>ok</v>
      </c>
      <c r="X641" t="str">
        <f t="shared" si="70"/>
        <v>ok</v>
      </c>
      <c r="Y641" t="str">
        <f t="shared" si="65"/>
        <v>ok</v>
      </c>
      <c r="Z641" t="str">
        <f t="shared" si="66"/>
        <v>ok</v>
      </c>
      <c r="AA641" s="4" t="str">
        <f t="shared" si="67"/>
        <v>ok</v>
      </c>
      <c r="AB641" s="4" t="str">
        <f t="shared" si="68"/>
        <v>ok</v>
      </c>
      <c r="AC641" s="6">
        <f t="shared" si="69"/>
        <v>21.335099444549996</v>
      </c>
    </row>
    <row r="642" spans="1:29" x14ac:dyDescent="0.3">
      <c r="A642" t="s">
        <v>42</v>
      </c>
      <c r="B642">
        <v>1818</v>
      </c>
      <c r="C642" t="s">
        <v>23</v>
      </c>
      <c r="D642" t="s">
        <v>43</v>
      </c>
      <c r="E642" t="s">
        <v>67</v>
      </c>
      <c r="F642" t="s">
        <v>26</v>
      </c>
      <c r="G642" t="s">
        <v>52</v>
      </c>
      <c r="H642" s="1">
        <v>45027.375740740739</v>
      </c>
      <c r="I642" s="1">
        <v>45028.375740740739</v>
      </c>
      <c r="J642" s="1">
        <v>45027.377129629633</v>
      </c>
      <c r="K642" s="2">
        <v>45027.376352905092</v>
      </c>
      <c r="L642" t="s">
        <v>28</v>
      </c>
      <c r="M642" s="2">
        <v>45027.487394444448</v>
      </c>
      <c r="N642" t="s">
        <v>28</v>
      </c>
      <c r="P642">
        <v>4</v>
      </c>
      <c r="R642" t="s">
        <v>29</v>
      </c>
      <c r="S642" t="s">
        <v>30</v>
      </c>
      <c r="T642" t="s">
        <v>63</v>
      </c>
      <c r="U642">
        <v>55.378051999999997</v>
      </c>
      <c r="V642">
        <v>-3.4359730000000002</v>
      </c>
      <c r="W642" t="str">
        <f t="shared" ref="W642:W705" si="71">IF(K642&lt;H642,"check","ok")</f>
        <v>ok</v>
      </c>
      <c r="X642" t="str">
        <f t="shared" si="70"/>
        <v>ok</v>
      </c>
      <c r="Y642" t="str">
        <f t="shared" ref="Y642:Y705" si="72">IF(AND(M642&lt;&gt;"",O642&lt;&gt;"",O642&lt;M642),"check","ok")</f>
        <v>ok</v>
      </c>
      <c r="Z642" t="str">
        <f t="shared" ref="Z642:Z705" si="73">IF(AND(OR(CA642="Closed",A642="Resolved"),M642=""),"check","ok")</f>
        <v>ok</v>
      </c>
      <c r="AA642" s="4" t="str">
        <f t="shared" ref="AA642:AA705" si="74">IF(K642="","no response",IF(OR(AND(K642&lt;=J642,L642="Within SLA"),AND(K642&gt;J642,L642="SLA Violated")),"ok","check"))</f>
        <v>ok</v>
      </c>
      <c r="AB642" s="4" t="str">
        <f t="shared" ref="AB642:AB705" si="75">IF(M642="","no resolution",IF(OR(AND(M642&lt;=I642,N642="Within SLA"),AND(M642&gt;I642,N642="SLA Violated")),"ok","check"))</f>
        <v>ok</v>
      </c>
      <c r="AC642" s="6">
        <f t="shared" ref="AC642:AC705" si="76">IF(M642="","",(M642-H642)*24)</f>
        <v>2.6796888890094124</v>
      </c>
    </row>
    <row r="643" spans="1:29" x14ac:dyDescent="0.3">
      <c r="A643" t="s">
        <v>42</v>
      </c>
      <c r="B643">
        <v>1819</v>
      </c>
      <c r="C643" t="s">
        <v>23</v>
      </c>
      <c r="D643" t="s">
        <v>24</v>
      </c>
      <c r="E643" t="s">
        <v>35</v>
      </c>
      <c r="F643" t="s">
        <v>36</v>
      </c>
      <c r="G643" t="s">
        <v>64</v>
      </c>
      <c r="H643" s="1">
        <v>45027.470821759256</v>
      </c>
      <c r="I643" s="1">
        <v>45029.470821759256</v>
      </c>
      <c r="J643" s="1">
        <v>45027.512488425928</v>
      </c>
      <c r="K643" s="2">
        <v>45027.488758240739</v>
      </c>
      <c r="L643" t="s">
        <v>28</v>
      </c>
      <c r="M643" s="2">
        <v>45028.209630347221</v>
      </c>
      <c r="N643" t="s">
        <v>28</v>
      </c>
      <c r="P643">
        <v>3</v>
      </c>
      <c r="R643" t="s">
        <v>39</v>
      </c>
      <c r="S643" t="s">
        <v>40</v>
      </c>
      <c r="T643" t="s">
        <v>31</v>
      </c>
      <c r="U643">
        <v>53.094023999999997</v>
      </c>
      <c r="V643">
        <v>-8.0196749999999994</v>
      </c>
      <c r="W643" t="str">
        <f t="shared" si="71"/>
        <v>ok</v>
      </c>
      <c r="X643" t="str">
        <f t="shared" ref="X643:X706" si="77">IF(AND(M643&lt;&gt;"",M643&lt;H643),"check","ok")</f>
        <v>ok</v>
      </c>
      <c r="Y643" t="str">
        <f t="shared" si="72"/>
        <v>ok</v>
      </c>
      <c r="Z643" t="str">
        <f t="shared" si="73"/>
        <v>ok</v>
      </c>
      <c r="AA643" s="4" t="str">
        <f t="shared" si="74"/>
        <v>ok</v>
      </c>
      <c r="AB643" s="4" t="str">
        <f t="shared" si="75"/>
        <v>ok</v>
      </c>
      <c r="AC643" s="6">
        <f t="shared" si="76"/>
        <v>17.731406111153774</v>
      </c>
    </row>
    <row r="644" spans="1:29" x14ac:dyDescent="0.3">
      <c r="A644" t="s">
        <v>42</v>
      </c>
      <c r="B644">
        <v>1820</v>
      </c>
      <c r="C644" t="s">
        <v>23</v>
      </c>
      <c r="D644" t="s">
        <v>24</v>
      </c>
      <c r="E644" t="s">
        <v>39</v>
      </c>
      <c r="F644" t="s">
        <v>26</v>
      </c>
      <c r="G644" t="s">
        <v>45</v>
      </c>
      <c r="H644" s="1">
        <v>45027.717048611114</v>
      </c>
      <c r="I644" s="1">
        <v>45029.717048611114</v>
      </c>
      <c r="J644" s="1">
        <v>45027.758715277778</v>
      </c>
      <c r="K644" s="2">
        <v>45027.734762337961</v>
      </c>
      <c r="L644" t="s">
        <v>28</v>
      </c>
      <c r="M644" s="2">
        <v>45029.182482893521</v>
      </c>
      <c r="N644" t="s">
        <v>28</v>
      </c>
      <c r="P644">
        <v>5</v>
      </c>
      <c r="R644" t="s">
        <v>50</v>
      </c>
      <c r="S644" t="s">
        <v>30</v>
      </c>
      <c r="T644" t="s">
        <v>65</v>
      </c>
      <c r="U644">
        <v>46.149166399999999</v>
      </c>
      <c r="V644">
        <v>14.9860106</v>
      </c>
      <c r="W644" t="str">
        <f t="shared" si="71"/>
        <v>ok</v>
      </c>
      <c r="X644" t="str">
        <f t="shared" si="77"/>
        <v>ok</v>
      </c>
      <c r="Y644" t="str">
        <f t="shared" si="72"/>
        <v>ok</v>
      </c>
      <c r="Z644" t="str">
        <f t="shared" si="73"/>
        <v>ok</v>
      </c>
      <c r="AA644" s="4" t="str">
        <f t="shared" si="74"/>
        <v>ok</v>
      </c>
      <c r="AB644" s="4" t="str">
        <f t="shared" si="75"/>
        <v>ok</v>
      </c>
      <c r="AC644" s="6">
        <f t="shared" si="76"/>
        <v>35.170422777766362</v>
      </c>
    </row>
    <row r="645" spans="1:29" x14ac:dyDescent="0.3">
      <c r="A645" t="s">
        <v>32</v>
      </c>
      <c r="B645">
        <v>1821</v>
      </c>
      <c r="C645" t="s">
        <v>23</v>
      </c>
      <c r="D645" t="s">
        <v>24</v>
      </c>
      <c r="E645" t="s">
        <v>25</v>
      </c>
      <c r="F645" t="s">
        <v>36</v>
      </c>
      <c r="G645" t="s">
        <v>64</v>
      </c>
      <c r="H645" s="1">
        <v>45027.728020833332</v>
      </c>
      <c r="I645" s="1">
        <v>45029.728020833332</v>
      </c>
      <c r="J645" s="1">
        <v>45027.769687499997</v>
      </c>
      <c r="K645" s="2">
        <v>45027.747965763891</v>
      </c>
      <c r="L645" t="s">
        <v>28</v>
      </c>
      <c r="N645" t="s">
        <v>38</v>
      </c>
      <c r="P645">
        <v>9</v>
      </c>
      <c r="R645" t="s">
        <v>29</v>
      </c>
      <c r="S645" t="s">
        <v>40</v>
      </c>
      <c r="T645" t="s">
        <v>63</v>
      </c>
      <c r="U645">
        <v>55.378051999999997</v>
      </c>
      <c r="V645">
        <v>-3.4359730000000002</v>
      </c>
      <c r="W645" t="str">
        <f t="shared" si="71"/>
        <v>ok</v>
      </c>
      <c r="X645" t="str">
        <f t="shared" si="77"/>
        <v>ok</v>
      </c>
      <c r="Y645" t="str">
        <f t="shared" si="72"/>
        <v>ok</v>
      </c>
      <c r="Z645" t="str">
        <f t="shared" si="73"/>
        <v>ok</v>
      </c>
      <c r="AA645" s="4" t="str">
        <f t="shared" si="74"/>
        <v>ok</v>
      </c>
      <c r="AB645" s="4" t="str">
        <f t="shared" si="75"/>
        <v>no resolution</v>
      </c>
      <c r="AC645" s="6" t="str">
        <f t="shared" si="76"/>
        <v/>
      </c>
    </row>
    <row r="646" spans="1:29" x14ac:dyDescent="0.3">
      <c r="A646" t="s">
        <v>22</v>
      </c>
      <c r="B646">
        <v>1822</v>
      </c>
      <c r="C646" t="s">
        <v>23</v>
      </c>
      <c r="D646" t="s">
        <v>34</v>
      </c>
      <c r="E646" t="s">
        <v>48</v>
      </c>
      <c r="F646" t="s">
        <v>26</v>
      </c>
      <c r="G646" t="s">
        <v>60</v>
      </c>
      <c r="H646" s="1">
        <v>45027.718819444446</v>
      </c>
      <c r="I646" s="1">
        <v>45029.718819444446</v>
      </c>
      <c r="J646" s="1">
        <v>45027.720208333332</v>
      </c>
      <c r="K646" s="2">
        <v>45027.719607268518</v>
      </c>
      <c r="L646" t="s">
        <v>28</v>
      </c>
      <c r="M646" s="2">
        <v>45029.608567592593</v>
      </c>
      <c r="N646" t="s">
        <v>28</v>
      </c>
      <c r="O646" s="2">
        <v>45032.975943923608</v>
      </c>
      <c r="P646">
        <v>1</v>
      </c>
      <c r="Q646">
        <v>3</v>
      </c>
      <c r="R646" t="s">
        <v>50</v>
      </c>
      <c r="S646" t="s">
        <v>30</v>
      </c>
      <c r="T646" t="s">
        <v>41</v>
      </c>
      <c r="U646">
        <v>43.036776000000003</v>
      </c>
      <c r="V646">
        <v>12.678565000000001</v>
      </c>
      <c r="W646" t="str">
        <f t="shared" si="71"/>
        <v>ok</v>
      </c>
      <c r="X646" t="str">
        <f t="shared" si="77"/>
        <v>ok</v>
      </c>
      <c r="Y646" t="str">
        <f t="shared" si="72"/>
        <v>ok</v>
      </c>
      <c r="Z646" t="str">
        <f t="shared" si="73"/>
        <v>ok</v>
      </c>
      <c r="AA646" s="4" t="str">
        <f t="shared" si="74"/>
        <v>ok</v>
      </c>
      <c r="AB646" s="4" t="str">
        <f t="shared" si="75"/>
        <v>ok</v>
      </c>
      <c r="AC646" s="6">
        <f t="shared" si="76"/>
        <v>45.353955555532593</v>
      </c>
    </row>
    <row r="647" spans="1:29" x14ac:dyDescent="0.3">
      <c r="A647" t="s">
        <v>32</v>
      </c>
      <c r="B647">
        <v>1823</v>
      </c>
      <c r="C647" t="s">
        <v>47</v>
      </c>
      <c r="D647" t="s">
        <v>43</v>
      </c>
      <c r="E647" t="s">
        <v>35</v>
      </c>
      <c r="F647" t="s">
        <v>26</v>
      </c>
      <c r="G647" t="s">
        <v>45</v>
      </c>
      <c r="H647" s="1">
        <v>45027.303229166668</v>
      </c>
      <c r="I647" s="1">
        <v>45028.303229166668</v>
      </c>
      <c r="J647" s="1">
        <v>45027.304618055554</v>
      </c>
      <c r="K647" s="2">
        <v>45027.304306226855</v>
      </c>
      <c r="L647" t="s">
        <v>28</v>
      </c>
      <c r="N647" t="s">
        <v>38</v>
      </c>
      <c r="P647">
        <v>7</v>
      </c>
      <c r="R647" t="s">
        <v>39</v>
      </c>
      <c r="S647" t="s">
        <v>30</v>
      </c>
      <c r="T647" t="s">
        <v>41</v>
      </c>
      <c r="U647">
        <v>43.036776000000003</v>
      </c>
      <c r="V647">
        <v>12.678565000000001</v>
      </c>
      <c r="W647" t="str">
        <f t="shared" si="71"/>
        <v>ok</v>
      </c>
      <c r="X647" t="str">
        <f t="shared" si="77"/>
        <v>ok</v>
      </c>
      <c r="Y647" t="str">
        <f t="shared" si="72"/>
        <v>ok</v>
      </c>
      <c r="Z647" t="str">
        <f t="shared" si="73"/>
        <v>ok</v>
      </c>
      <c r="AA647" s="4" t="str">
        <f t="shared" si="74"/>
        <v>ok</v>
      </c>
      <c r="AB647" s="4" t="str">
        <f t="shared" si="75"/>
        <v>no resolution</v>
      </c>
      <c r="AC647" s="6" t="str">
        <f t="shared" si="76"/>
        <v/>
      </c>
    </row>
    <row r="648" spans="1:29" x14ac:dyDescent="0.3">
      <c r="A648" t="s">
        <v>42</v>
      </c>
      <c r="B648">
        <v>1824</v>
      </c>
      <c r="C648" t="s">
        <v>23</v>
      </c>
      <c r="D648" t="s">
        <v>43</v>
      </c>
      <c r="E648" t="s">
        <v>44</v>
      </c>
      <c r="F648" t="s">
        <v>26</v>
      </c>
      <c r="G648" t="s">
        <v>27</v>
      </c>
      <c r="H648" s="1">
        <v>45027.005416666667</v>
      </c>
      <c r="I648" s="1">
        <v>45028.005416666667</v>
      </c>
      <c r="J648" s="1">
        <v>45027.006805555553</v>
      </c>
      <c r="K648" s="2">
        <v>45027.005985706019</v>
      </c>
      <c r="L648" t="s">
        <v>28</v>
      </c>
      <c r="M648" s="2">
        <v>45027.462968993059</v>
      </c>
      <c r="N648" t="s">
        <v>28</v>
      </c>
      <c r="P648">
        <v>4</v>
      </c>
      <c r="R648" t="s">
        <v>50</v>
      </c>
      <c r="S648" t="s">
        <v>30</v>
      </c>
      <c r="T648" t="s">
        <v>66</v>
      </c>
      <c r="U648">
        <v>48.864716000000001</v>
      </c>
      <c r="V648">
        <v>2.3490139999999999</v>
      </c>
      <c r="W648" t="str">
        <f t="shared" si="71"/>
        <v>ok</v>
      </c>
      <c r="X648" t="str">
        <f t="shared" si="77"/>
        <v>ok</v>
      </c>
      <c r="Y648" t="str">
        <f t="shared" si="72"/>
        <v>ok</v>
      </c>
      <c r="Z648" t="str">
        <f t="shared" si="73"/>
        <v>ok</v>
      </c>
      <c r="AA648" s="4" t="str">
        <f t="shared" si="74"/>
        <v>ok</v>
      </c>
      <c r="AB648" s="4" t="str">
        <f t="shared" si="75"/>
        <v>ok</v>
      </c>
      <c r="AC648" s="6">
        <f t="shared" si="76"/>
        <v>10.981255833408795</v>
      </c>
    </row>
    <row r="649" spans="1:29" x14ac:dyDescent="0.3">
      <c r="A649" t="s">
        <v>22</v>
      </c>
      <c r="B649">
        <v>1825</v>
      </c>
      <c r="C649" t="s">
        <v>23</v>
      </c>
      <c r="D649" t="s">
        <v>24</v>
      </c>
      <c r="E649" t="s">
        <v>25</v>
      </c>
      <c r="F649" t="s">
        <v>26</v>
      </c>
      <c r="G649" t="s">
        <v>52</v>
      </c>
      <c r="H649" s="1">
        <v>45027.572650462964</v>
      </c>
      <c r="I649" s="1">
        <v>45029.572650462964</v>
      </c>
      <c r="J649" s="1">
        <v>45027.614317129628</v>
      </c>
      <c r="K649" s="2">
        <v>45027.576008472221</v>
      </c>
      <c r="L649" t="s">
        <v>28</v>
      </c>
      <c r="M649" s="2">
        <v>45028.652785393519</v>
      </c>
      <c r="N649" t="s">
        <v>28</v>
      </c>
      <c r="O649" s="2">
        <v>45034.061860497684</v>
      </c>
      <c r="P649">
        <v>2</v>
      </c>
      <c r="Q649">
        <v>4</v>
      </c>
      <c r="R649" t="s">
        <v>50</v>
      </c>
      <c r="S649" t="s">
        <v>30</v>
      </c>
      <c r="T649" t="s">
        <v>56</v>
      </c>
      <c r="U649">
        <v>52.536273000000001</v>
      </c>
      <c r="V649">
        <v>19.050639</v>
      </c>
      <c r="W649" t="str">
        <f t="shared" si="71"/>
        <v>ok</v>
      </c>
      <c r="X649" t="str">
        <f t="shared" si="77"/>
        <v>ok</v>
      </c>
      <c r="Y649" t="str">
        <f t="shared" si="72"/>
        <v>ok</v>
      </c>
      <c r="Z649" t="str">
        <f t="shared" si="73"/>
        <v>ok</v>
      </c>
      <c r="AA649" s="4" t="str">
        <f t="shared" si="74"/>
        <v>ok</v>
      </c>
      <c r="AB649" s="4" t="str">
        <f t="shared" si="75"/>
        <v>ok</v>
      </c>
      <c r="AC649" s="6">
        <f t="shared" si="76"/>
        <v>25.923238333314657</v>
      </c>
    </row>
    <row r="650" spans="1:29" x14ac:dyDescent="0.3">
      <c r="A650" t="s">
        <v>42</v>
      </c>
      <c r="B650">
        <v>1826</v>
      </c>
      <c r="C650" t="s">
        <v>23</v>
      </c>
      <c r="D650" t="s">
        <v>43</v>
      </c>
      <c r="E650" t="s">
        <v>48</v>
      </c>
      <c r="F650" t="s">
        <v>36</v>
      </c>
      <c r="G650" t="s">
        <v>54</v>
      </c>
      <c r="H650" s="1">
        <v>45028.225578703707</v>
      </c>
      <c r="I650" s="1">
        <v>45029.225578703707</v>
      </c>
      <c r="J650" s="1">
        <v>45028.226967592593</v>
      </c>
      <c r="K650" s="2">
        <v>45028.225603831015</v>
      </c>
      <c r="L650" t="s">
        <v>28</v>
      </c>
      <c r="M650" s="2">
        <v>45028.268084513889</v>
      </c>
      <c r="N650" t="s">
        <v>28</v>
      </c>
      <c r="P650">
        <v>4</v>
      </c>
      <c r="R650" t="s">
        <v>50</v>
      </c>
      <c r="S650" t="s">
        <v>40</v>
      </c>
      <c r="T650" t="s">
        <v>57</v>
      </c>
      <c r="U650">
        <v>51.165691000000002</v>
      </c>
      <c r="V650">
        <v>10.451525999999999</v>
      </c>
      <c r="W650" t="str">
        <f t="shared" si="71"/>
        <v>ok</v>
      </c>
      <c r="X650" t="str">
        <f t="shared" si="77"/>
        <v>ok</v>
      </c>
      <c r="Y650" t="str">
        <f t="shared" si="72"/>
        <v>ok</v>
      </c>
      <c r="Z650" t="str">
        <f t="shared" si="73"/>
        <v>ok</v>
      </c>
      <c r="AA650" s="4" t="str">
        <f t="shared" si="74"/>
        <v>ok</v>
      </c>
      <c r="AB650" s="4" t="str">
        <f t="shared" si="75"/>
        <v>ok</v>
      </c>
      <c r="AC650" s="6">
        <f t="shared" si="76"/>
        <v>1.0201394443865865</v>
      </c>
    </row>
    <row r="651" spans="1:29" x14ac:dyDescent="0.3">
      <c r="A651" t="s">
        <v>42</v>
      </c>
      <c r="B651">
        <v>1827</v>
      </c>
      <c r="C651" t="s">
        <v>47</v>
      </c>
      <c r="D651" t="s">
        <v>24</v>
      </c>
      <c r="E651" t="s">
        <v>67</v>
      </c>
      <c r="F651" t="s">
        <v>26</v>
      </c>
      <c r="G651" t="s">
        <v>49</v>
      </c>
      <c r="H651" s="1">
        <v>45028.121469907404</v>
      </c>
      <c r="I651" s="1">
        <v>45030.121469907404</v>
      </c>
      <c r="J651" s="1">
        <v>45028.163136574076</v>
      </c>
      <c r="K651" s="2">
        <v>45028.392714444446</v>
      </c>
      <c r="L651" t="s">
        <v>38</v>
      </c>
      <c r="M651" s="2">
        <v>45030.11527451389</v>
      </c>
      <c r="N651" t="s">
        <v>28</v>
      </c>
      <c r="P651">
        <v>2</v>
      </c>
      <c r="R651" t="s">
        <v>29</v>
      </c>
      <c r="S651" t="s">
        <v>30</v>
      </c>
      <c r="T651" t="s">
        <v>41</v>
      </c>
      <c r="U651">
        <v>43.036776000000003</v>
      </c>
      <c r="V651">
        <v>12.678565000000001</v>
      </c>
      <c r="W651" t="str">
        <f t="shared" si="71"/>
        <v>ok</v>
      </c>
      <c r="X651" t="str">
        <f t="shared" si="77"/>
        <v>ok</v>
      </c>
      <c r="Y651" t="str">
        <f t="shared" si="72"/>
        <v>ok</v>
      </c>
      <c r="Z651" t="str">
        <f t="shared" si="73"/>
        <v>ok</v>
      </c>
      <c r="AA651" s="4" t="str">
        <f t="shared" si="74"/>
        <v>ok</v>
      </c>
      <c r="AB651" s="4" t="str">
        <f t="shared" si="75"/>
        <v>ok</v>
      </c>
      <c r="AC651" s="6">
        <f t="shared" si="76"/>
        <v>47.851310555648524</v>
      </c>
    </row>
    <row r="652" spans="1:29" x14ac:dyDescent="0.3">
      <c r="A652" t="s">
        <v>22</v>
      </c>
      <c r="B652">
        <v>1828</v>
      </c>
      <c r="C652" t="s">
        <v>23</v>
      </c>
      <c r="D652" t="s">
        <v>34</v>
      </c>
      <c r="E652" t="s">
        <v>67</v>
      </c>
      <c r="F652" t="s">
        <v>26</v>
      </c>
      <c r="G652" t="s">
        <v>27</v>
      </c>
      <c r="H652" s="1">
        <v>45028.65016203704</v>
      </c>
      <c r="I652" s="1">
        <v>45030.65016203704</v>
      </c>
      <c r="J652" s="1">
        <v>45028.651550925926</v>
      </c>
      <c r="K652" s="2">
        <v>45028.65021190972</v>
      </c>
      <c r="L652" t="s">
        <v>28</v>
      </c>
      <c r="M652" s="2">
        <v>45031.555498125002</v>
      </c>
      <c r="N652" t="s">
        <v>38</v>
      </c>
      <c r="O652" s="2">
        <v>45033.404099224535</v>
      </c>
      <c r="P652">
        <v>7</v>
      </c>
      <c r="Q652">
        <v>4</v>
      </c>
      <c r="R652" t="s">
        <v>29</v>
      </c>
      <c r="S652" t="s">
        <v>30</v>
      </c>
      <c r="T652" t="s">
        <v>63</v>
      </c>
      <c r="U652">
        <v>55.378051999999997</v>
      </c>
      <c r="V652">
        <v>-3.4359730000000002</v>
      </c>
      <c r="W652" t="str">
        <f t="shared" si="71"/>
        <v>ok</v>
      </c>
      <c r="X652" t="str">
        <f t="shared" si="77"/>
        <v>ok</v>
      </c>
      <c r="Y652" t="str">
        <f t="shared" si="72"/>
        <v>ok</v>
      </c>
      <c r="Z652" t="str">
        <f t="shared" si="73"/>
        <v>ok</v>
      </c>
      <c r="AA652" s="4" t="str">
        <f t="shared" si="74"/>
        <v>ok</v>
      </c>
      <c r="AB652" s="4" t="str">
        <f t="shared" si="75"/>
        <v>ok</v>
      </c>
      <c r="AC652" s="6">
        <f t="shared" si="76"/>
        <v>69.728066111099906</v>
      </c>
    </row>
    <row r="653" spans="1:29" x14ac:dyDescent="0.3">
      <c r="A653" t="s">
        <v>42</v>
      </c>
      <c r="B653">
        <v>1829</v>
      </c>
      <c r="C653" t="s">
        <v>23</v>
      </c>
      <c r="D653" t="s">
        <v>43</v>
      </c>
      <c r="E653" t="s">
        <v>25</v>
      </c>
      <c r="F653" t="s">
        <v>36</v>
      </c>
      <c r="G653" t="s">
        <v>37</v>
      </c>
      <c r="H653" s="1">
        <v>45028.971041666664</v>
      </c>
      <c r="I653" s="1">
        <v>45029.971041666664</v>
      </c>
      <c r="J653" s="1">
        <v>45028.972430555557</v>
      </c>
      <c r="K653" s="2">
        <v>45028.973693460648</v>
      </c>
      <c r="L653" t="s">
        <v>38</v>
      </c>
      <c r="M653" s="2">
        <v>45031.901775324077</v>
      </c>
      <c r="N653" t="s">
        <v>38</v>
      </c>
      <c r="P653">
        <v>6</v>
      </c>
      <c r="R653" t="s">
        <v>50</v>
      </c>
      <c r="S653" t="s">
        <v>40</v>
      </c>
      <c r="T653" t="s">
        <v>56</v>
      </c>
      <c r="U653">
        <v>52.536273000000001</v>
      </c>
      <c r="V653">
        <v>19.050639</v>
      </c>
      <c r="W653" t="str">
        <f t="shared" si="71"/>
        <v>ok</v>
      </c>
      <c r="X653" t="str">
        <f t="shared" si="77"/>
        <v>ok</v>
      </c>
      <c r="Y653" t="str">
        <f t="shared" si="72"/>
        <v>ok</v>
      </c>
      <c r="Z653" t="str">
        <f t="shared" si="73"/>
        <v>ok</v>
      </c>
      <c r="AA653" s="4" t="str">
        <f t="shared" si="74"/>
        <v>ok</v>
      </c>
      <c r="AB653" s="4" t="str">
        <f t="shared" si="75"/>
        <v>ok</v>
      </c>
      <c r="AC653" s="6">
        <f t="shared" si="76"/>
        <v>70.337607777910307</v>
      </c>
    </row>
    <row r="654" spans="1:29" x14ac:dyDescent="0.3">
      <c r="A654" t="s">
        <v>22</v>
      </c>
      <c r="B654">
        <v>1830</v>
      </c>
      <c r="C654" t="s">
        <v>33</v>
      </c>
      <c r="D654" t="s">
        <v>43</v>
      </c>
      <c r="E654" t="s">
        <v>48</v>
      </c>
      <c r="F654" t="s">
        <v>26</v>
      </c>
      <c r="G654" t="s">
        <v>45</v>
      </c>
      <c r="H654" s="1">
        <v>45028.97828703704</v>
      </c>
      <c r="I654" s="1">
        <v>45029.97828703704</v>
      </c>
      <c r="J654" s="1">
        <v>45028.979675925926</v>
      </c>
      <c r="K654" s="2">
        <v>45028.978811180554</v>
      </c>
      <c r="L654" t="s">
        <v>28</v>
      </c>
      <c r="M654" s="2">
        <v>45032.599161192127</v>
      </c>
      <c r="N654" t="s">
        <v>38</v>
      </c>
      <c r="O654" s="2">
        <v>45033.338363136572</v>
      </c>
      <c r="P654">
        <v>60</v>
      </c>
      <c r="Q654">
        <v>5</v>
      </c>
      <c r="R654" t="s">
        <v>50</v>
      </c>
      <c r="S654" t="s">
        <v>30</v>
      </c>
      <c r="T654" t="s">
        <v>61</v>
      </c>
      <c r="U654">
        <v>42.724992499999999</v>
      </c>
      <c r="V654">
        <v>25.483303899999999</v>
      </c>
      <c r="W654" t="str">
        <f t="shared" si="71"/>
        <v>ok</v>
      </c>
      <c r="X654" t="str">
        <f t="shared" si="77"/>
        <v>ok</v>
      </c>
      <c r="Y654" t="str">
        <f t="shared" si="72"/>
        <v>ok</v>
      </c>
      <c r="Z654" t="str">
        <f t="shared" si="73"/>
        <v>ok</v>
      </c>
      <c r="AA654" s="4" t="str">
        <f t="shared" si="74"/>
        <v>ok</v>
      </c>
      <c r="AB654" s="4" t="str">
        <f t="shared" si="75"/>
        <v>ok</v>
      </c>
      <c r="AC654" s="6">
        <f t="shared" si="76"/>
        <v>86.900979722093325</v>
      </c>
    </row>
    <row r="655" spans="1:29" x14ac:dyDescent="0.3">
      <c r="A655" t="s">
        <v>32</v>
      </c>
      <c r="B655">
        <v>1831</v>
      </c>
      <c r="C655" t="s">
        <v>47</v>
      </c>
      <c r="D655" t="s">
        <v>24</v>
      </c>
      <c r="E655" t="s">
        <v>25</v>
      </c>
      <c r="F655" t="s">
        <v>26</v>
      </c>
      <c r="G655" t="s">
        <v>60</v>
      </c>
      <c r="H655" s="1">
        <v>45028.348275462966</v>
      </c>
      <c r="I655" s="1">
        <v>45030.348275462966</v>
      </c>
      <c r="J655" s="1">
        <v>45028.38994212963</v>
      </c>
      <c r="K655" s="2">
        <v>45028.374337395835</v>
      </c>
      <c r="L655" t="s">
        <v>28</v>
      </c>
      <c r="N655" t="s">
        <v>38</v>
      </c>
      <c r="P655">
        <v>7</v>
      </c>
      <c r="R655" t="s">
        <v>29</v>
      </c>
      <c r="S655" t="s">
        <v>30</v>
      </c>
      <c r="T655" t="s">
        <v>63</v>
      </c>
      <c r="U655">
        <v>55.378051999999997</v>
      </c>
      <c r="V655">
        <v>-3.4359730000000002</v>
      </c>
      <c r="W655" t="str">
        <f t="shared" si="71"/>
        <v>ok</v>
      </c>
      <c r="X655" t="str">
        <f t="shared" si="77"/>
        <v>ok</v>
      </c>
      <c r="Y655" t="str">
        <f t="shared" si="72"/>
        <v>ok</v>
      </c>
      <c r="Z655" t="str">
        <f t="shared" si="73"/>
        <v>ok</v>
      </c>
      <c r="AA655" s="4" t="str">
        <f t="shared" si="74"/>
        <v>ok</v>
      </c>
      <c r="AB655" s="4" t="str">
        <f t="shared" si="75"/>
        <v>no resolution</v>
      </c>
      <c r="AC655" s="6" t="str">
        <f t="shared" si="76"/>
        <v/>
      </c>
    </row>
    <row r="656" spans="1:29" x14ac:dyDescent="0.3">
      <c r="A656" t="s">
        <v>32</v>
      </c>
      <c r="B656">
        <v>1832</v>
      </c>
      <c r="C656" t="s">
        <v>47</v>
      </c>
      <c r="D656" t="s">
        <v>24</v>
      </c>
      <c r="E656" t="s">
        <v>25</v>
      </c>
      <c r="F656" t="s">
        <v>26</v>
      </c>
      <c r="G656" t="s">
        <v>49</v>
      </c>
      <c r="H656" s="1">
        <v>45028.354027777779</v>
      </c>
      <c r="I656" s="1">
        <v>45030.354027777779</v>
      </c>
      <c r="J656" s="1">
        <v>45028.395694444444</v>
      </c>
      <c r="K656" s="2">
        <v>45028.375264675924</v>
      </c>
      <c r="L656" t="s">
        <v>28</v>
      </c>
      <c r="N656" t="s">
        <v>38</v>
      </c>
      <c r="P656">
        <v>1</v>
      </c>
      <c r="R656" t="s">
        <v>29</v>
      </c>
      <c r="S656" t="s">
        <v>30</v>
      </c>
      <c r="T656" t="s">
        <v>41</v>
      </c>
      <c r="U656">
        <v>43.036776000000003</v>
      </c>
      <c r="V656">
        <v>12.678565000000001</v>
      </c>
      <c r="W656" t="str">
        <f t="shared" si="71"/>
        <v>ok</v>
      </c>
      <c r="X656" t="str">
        <f t="shared" si="77"/>
        <v>ok</v>
      </c>
      <c r="Y656" t="str">
        <f t="shared" si="72"/>
        <v>ok</v>
      </c>
      <c r="Z656" t="str">
        <f t="shared" si="73"/>
        <v>ok</v>
      </c>
      <c r="AA656" s="4" t="str">
        <f t="shared" si="74"/>
        <v>ok</v>
      </c>
      <c r="AB656" s="4" t="str">
        <f t="shared" si="75"/>
        <v>no resolution</v>
      </c>
      <c r="AC656" s="6" t="str">
        <f t="shared" si="76"/>
        <v/>
      </c>
    </row>
    <row r="657" spans="1:29" x14ac:dyDescent="0.3">
      <c r="A657" t="s">
        <v>42</v>
      </c>
      <c r="B657">
        <v>1833</v>
      </c>
      <c r="C657" t="s">
        <v>33</v>
      </c>
      <c r="D657" t="s">
        <v>24</v>
      </c>
      <c r="E657" t="s">
        <v>35</v>
      </c>
      <c r="F657" t="s">
        <v>26</v>
      </c>
      <c r="G657" t="s">
        <v>60</v>
      </c>
      <c r="H657" s="1">
        <v>45028.609988425924</v>
      </c>
      <c r="I657" s="1">
        <v>45030.609988425924</v>
      </c>
      <c r="J657" s="1">
        <v>45028.651655092595</v>
      </c>
      <c r="K657" s="2">
        <v>45028.630074062501</v>
      </c>
      <c r="L657" t="s">
        <v>28</v>
      </c>
      <c r="M657" s="2">
        <v>45030.198416064814</v>
      </c>
      <c r="N657" t="s">
        <v>28</v>
      </c>
      <c r="P657">
        <v>1</v>
      </c>
      <c r="R657" t="s">
        <v>39</v>
      </c>
      <c r="S657" t="s">
        <v>30</v>
      </c>
      <c r="T657" t="s">
        <v>31</v>
      </c>
      <c r="U657">
        <v>53.094023999999997</v>
      </c>
      <c r="V657">
        <v>-8.0196749999999994</v>
      </c>
      <c r="W657" t="str">
        <f t="shared" si="71"/>
        <v>ok</v>
      </c>
      <c r="X657" t="str">
        <f t="shared" si="77"/>
        <v>ok</v>
      </c>
      <c r="Y657" t="str">
        <f t="shared" si="72"/>
        <v>ok</v>
      </c>
      <c r="Z657" t="str">
        <f t="shared" si="73"/>
        <v>ok</v>
      </c>
      <c r="AA657" s="4" t="str">
        <f t="shared" si="74"/>
        <v>ok</v>
      </c>
      <c r="AB657" s="4" t="str">
        <f t="shared" si="75"/>
        <v>ok</v>
      </c>
      <c r="AC657" s="6">
        <f t="shared" si="76"/>
        <v>38.122263333352748</v>
      </c>
    </row>
    <row r="658" spans="1:29" x14ac:dyDescent="0.3">
      <c r="A658" t="s">
        <v>42</v>
      </c>
      <c r="B658">
        <v>1834</v>
      </c>
      <c r="C658" t="s">
        <v>47</v>
      </c>
      <c r="D658" t="s">
        <v>24</v>
      </c>
      <c r="E658" t="s">
        <v>44</v>
      </c>
      <c r="F658" t="s">
        <v>26</v>
      </c>
      <c r="G658" t="s">
        <v>60</v>
      </c>
      <c r="H658" s="1">
        <v>45029.786932870367</v>
      </c>
      <c r="I658" s="1">
        <v>45031.786932870367</v>
      </c>
      <c r="J658" s="1">
        <v>45029.828599537039</v>
      </c>
      <c r="K658" s="2">
        <v>45029.827310590277</v>
      </c>
      <c r="L658" t="s">
        <v>28</v>
      </c>
      <c r="M658" s="2">
        <v>45030.144250185185</v>
      </c>
      <c r="N658" t="s">
        <v>28</v>
      </c>
      <c r="P658">
        <v>1</v>
      </c>
      <c r="R658" t="s">
        <v>50</v>
      </c>
      <c r="S658" t="s">
        <v>30</v>
      </c>
      <c r="T658" t="s">
        <v>63</v>
      </c>
      <c r="U658">
        <v>55.378051999999997</v>
      </c>
      <c r="V658">
        <v>-3.4359730000000002</v>
      </c>
      <c r="W658" t="str">
        <f t="shared" si="71"/>
        <v>ok</v>
      </c>
      <c r="X658" t="str">
        <f t="shared" si="77"/>
        <v>ok</v>
      </c>
      <c r="Y658" t="str">
        <f t="shared" si="72"/>
        <v>ok</v>
      </c>
      <c r="Z658" t="str">
        <f t="shared" si="73"/>
        <v>ok</v>
      </c>
      <c r="AA658" s="4" t="str">
        <f t="shared" si="74"/>
        <v>ok</v>
      </c>
      <c r="AB658" s="4" t="str">
        <f t="shared" si="75"/>
        <v>ok</v>
      </c>
      <c r="AC658" s="6">
        <f t="shared" si="76"/>
        <v>8.5756155556300655</v>
      </c>
    </row>
    <row r="659" spans="1:29" x14ac:dyDescent="0.3">
      <c r="A659" t="s">
        <v>22</v>
      </c>
      <c r="B659">
        <v>1835</v>
      </c>
      <c r="C659" t="s">
        <v>23</v>
      </c>
      <c r="D659" t="s">
        <v>34</v>
      </c>
      <c r="E659" t="s">
        <v>48</v>
      </c>
      <c r="F659" t="s">
        <v>26</v>
      </c>
      <c r="G659" t="s">
        <v>49</v>
      </c>
      <c r="H659" s="1">
        <v>45029.832812499997</v>
      </c>
      <c r="I659" s="1">
        <v>45031.832812499997</v>
      </c>
      <c r="J659" s="1">
        <v>45029.834201388891</v>
      </c>
      <c r="K659" s="2">
        <v>45029.834181956016</v>
      </c>
      <c r="L659" t="s">
        <v>28</v>
      </c>
      <c r="M659" s="2">
        <v>45031.643960277775</v>
      </c>
      <c r="N659" t="s">
        <v>28</v>
      </c>
      <c r="O659" s="2">
        <v>45035.423101215281</v>
      </c>
      <c r="P659">
        <v>2</v>
      </c>
      <c r="Q659">
        <v>5</v>
      </c>
      <c r="R659" t="s">
        <v>55</v>
      </c>
      <c r="S659" t="s">
        <v>30</v>
      </c>
      <c r="T659" t="s">
        <v>63</v>
      </c>
      <c r="U659">
        <v>55.378051999999997</v>
      </c>
      <c r="V659">
        <v>-3.4359730000000002</v>
      </c>
      <c r="W659" t="str">
        <f t="shared" si="71"/>
        <v>ok</v>
      </c>
      <c r="X659" t="str">
        <f t="shared" si="77"/>
        <v>ok</v>
      </c>
      <c r="Y659" t="str">
        <f t="shared" si="72"/>
        <v>ok</v>
      </c>
      <c r="Z659" t="str">
        <f t="shared" si="73"/>
        <v>ok</v>
      </c>
      <c r="AA659" s="4" t="str">
        <f t="shared" si="74"/>
        <v>ok</v>
      </c>
      <c r="AB659" s="4" t="str">
        <f t="shared" si="75"/>
        <v>ok</v>
      </c>
      <c r="AC659" s="6">
        <f t="shared" si="76"/>
        <v>43.467546666681301</v>
      </c>
    </row>
    <row r="660" spans="1:29" x14ac:dyDescent="0.3">
      <c r="A660" t="s">
        <v>22</v>
      </c>
      <c r="B660">
        <v>1836</v>
      </c>
      <c r="C660" t="s">
        <v>23</v>
      </c>
      <c r="D660" t="s">
        <v>43</v>
      </c>
      <c r="E660" t="s">
        <v>35</v>
      </c>
      <c r="F660" t="s">
        <v>36</v>
      </c>
      <c r="G660" t="s">
        <v>64</v>
      </c>
      <c r="H660" s="1">
        <v>45029.931921296295</v>
      </c>
      <c r="I660" s="1">
        <v>45030.931921296295</v>
      </c>
      <c r="J660" s="1">
        <v>45029.933310185188</v>
      </c>
      <c r="K660" s="2">
        <v>45029.932769016203</v>
      </c>
      <c r="L660" t="s">
        <v>28</v>
      </c>
      <c r="M660" s="2">
        <v>45030.421920949077</v>
      </c>
      <c r="N660" t="s">
        <v>28</v>
      </c>
      <c r="O660" s="2">
        <v>45036.173599583337</v>
      </c>
      <c r="P660">
        <v>5</v>
      </c>
      <c r="Q660">
        <v>3</v>
      </c>
      <c r="R660" t="s">
        <v>50</v>
      </c>
      <c r="S660" t="s">
        <v>40</v>
      </c>
      <c r="T660" t="s">
        <v>58</v>
      </c>
      <c r="U660">
        <v>49.8037633</v>
      </c>
      <c r="V660">
        <v>15.4749126</v>
      </c>
      <c r="W660" t="str">
        <f t="shared" si="71"/>
        <v>ok</v>
      </c>
      <c r="X660" t="str">
        <f t="shared" si="77"/>
        <v>ok</v>
      </c>
      <c r="Y660" t="str">
        <f t="shared" si="72"/>
        <v>ok</v>
      </c>
      <c r="Z660" t="str">
        <f t="shared" si="73"/>
        <v>ok</v>
      </c>
      <c r="AA660" s="4" t="str">
        <f t="shared" si="74"/>
        <v>ok</v>
      </c>
      <c r="AB660" s="4" t="str">
        <f t="shared" si="75"/>
        <v>ok</v>
      </c>
      <c r="AC660" s="6">
        <f t="shared" si="76"/>
        <v>11.759991666767746</v>
      </c>
    </row>
    <row r="661" spans="1:29" x14ac:dyDescent="0.3">
      <c r="A661" t="s">
        <v>42</v>
      </c>
      <c r="B661">
        <v>1838</v>
      </c>
      <c r="C661" t="s">
        <v>23</v>
      </c>
      <c r="D661" t="s">
        <v>43</v>
      </c>
      <c r="E661" t="s">
        <v>59</v>
      </c>
      <c r="F661" t="s">
        <v>26</v>
      </c>
      <c r="G661" t="s">
        <v>45</v>
      </c>
      <c r="H661" s="1">
        <v>45029.068182870367</v>
      </c>
      <c r="I661" s="1">
        <v>45030.068182870367</v>
      </c>
      <c r="J661" s="1">
        <v>45029.069571759261</v>
      </c>
      <c r="K661" s="2">
        <v>45029.068796817133</v>
      </c>
      <c r="L661" t="s">
        <v>28</v>
      </c>
      <c r="M661" s="2">
        <v>45029.653201435183</v>
      </c>
      <c r="N661" t="s">
        <v>28</v>
      </c>
      <c r="P661">
        <v>6</v>
      </c>
      <c r="R661" t="s">
        <v>29</v>
      </c>
      <c r="S661" t="s">
        <v>30</v>
      </c>
      <c r="T661" t="s">
        <v>56</v>
      </c>
      <c r="U661">
        <v>52.536273000000001</v>
      </c>
      <c r="V661">
        <v>19.050639</v>
      </c>
      <c r="W661" t="str">
        <f t="shared" si="71"/>
        <v>ok</v>
      </c>
      <c r="X661" t="str">
        <f t="shared" si="77"/>
        <v>ok</v>
      </c>
      <c r="Y661" t="str">
        <f t="shared" si="72"/>
        <v>ok</v>
      </c>
      <c r="Z661" t="str">
        <f t="shared" si="73"/>
        <v>ok</v>
      </c>
      <c r="AA661" s="4" t="str">
        <f t="shared" si="74"/>
        <v>ok</v>
      </c>
      <c r="AB661" s="4" t="str">
        <f t="shared" si="75"/>
        <v>ok</v>
      </c>
      <c r="AC661" s="6">
        <f t="shared" si="76"/>
        <v>14.040445555583574</v>
      </c>
    </row>
    <row r="662" spans="1:29" x14ac:dyDescent="0.3">
      <c r="A662" t="s">
        <v>22</v>
      </c>
      <c r="B662">
        <v>1839</v>
      </c>
      <c r="C662" t="s">
        <v>23</v>
      </c>
      <c r="D662" t="s">
        <v>24</v>
      </c>
      <c r="E662" t="s">
        <v>62</v>
      </c>
      <c r="F662" t="s">
        <v>26</v>
      </c>
      <c r="G662" t="s">
        <v>60</v>
      </c>
      <c r="H662" s="1">
        <v>45029.912418981483</v>
      </c>
      <c r="I662" s="1">
        <v>45031.912418981483</v>
      </c>
      <c r="J662" s="1">
        <v>45029.954085648147</v>
      </c>
      <c r="K662" s="2">
        <v>45029.917805324076</v>
      </c>
      <c r="L662" t="s">
        <v>28</v>
      </c>
      <c r="M662" s="2">
        <v>45030.463667905089</v>
      </c>
      <c r="N662" t="s">
        <v>28</v>
      </c>
      <c r="O662" s="2">
        <v>45035.718867800926</v>
      </c>
      <c r="P662">
        <v>10</v>
      </c>
      <c r="Q662">
        <v>5</v>
      </c>
      <c r="R662" t="s">
        <v>55</v>
      </c>
      <c r="S662" t="s">
        <v>30</v>
      </c>
      <c r="T662" t="s">
        <v>56</v>
      </c>
      <c r="U662">
        <v>52.536273000000001</v>
      </c>
      <c r="V662">
        <v>19.050639</v>
      </c>
      <c r="W662" t="str">
        <f t="shared" si="71"/>
        <v>ok</v>
      </c>
      <c r="X662" t="str">
        <f t="shared" si="77"/>
        <v>ok</v>
      </c>
      <c r="Y662" t="str">
        <f t="shared" si="72"/>
        <v>ok</v>
      </c>
      <c r="Z662" t="str">
        <f t="shared" si="73"/>
        <v>ok</v>
      </c>
      <c r="AA662" s="4" t="str">
        <f t="shared" si="74"/>
        <v>ok</v>
      </c>
      <c r="AB662" s="4" t="str">
        <f t="shared" si="75"/>
        <v>ok</v>
      </c>
      <c r="AC662" s="6">
        <f t="shared" si="76"/>
        <v>13.229974166548345</v>
      </c>
    </row>
    <row r="663" spans="1:29" x14ac:dyDescent="0.3">
      <c r="A663" t="s">
        <v>32</v>
      </c>
      <c r="B663">
        <v>1840</v>
      </c>
      <c r="C663" t="s">
        <v>23</v>
      </c>
      <c r="D663" t="s">
        <v>43</v>
      </c>
      <c r="E663" t="s">
        <v>59</v>
      </c>
      <c r="F663" t="s">
        <v>26</v>
      </c>
      <c r="G663" t="s">
        <v>52</v>
      </c>
      <c r="H663" s="1">
        <v>45029.032326388886</v>
      </c>
      <c r="I663" s="1">
        <v>45030.032326388886</v>
      </c>
      <c r="J663" s="1">
        <v>45029.033715277779</v>
      </c>
      <c r="K663" s="2">
        <v>45029.032983530094</v>
      </c>
      <c r="L663" t="s">
        <v>28</v>
      </c>
      <c r="N663" t="s">
        <v>38</v>
      </c>
      <c r="P663">
        <v>6</v>
      </c>
      <c r="R663" t="s">
        <v>29</v>
      </c>
      <c r="S663" t="s">
        <v>30</v>
      </c>
      <c r="T663" t="s">
        <v>63</v>
      </c>
      <c r="U663">
        <v>55.378051999999997</v>
      </c>
      <c r="V663">
        <v>-3.4359730000000002</v>
      </c>
      <c r="W663" t="str">
        <f t="shared" si="71"/>
        <v>ok</v>
      </c>
      <c r="X663" t="str">
        <f t="shared" si="77"/>
        <v>ok</v>
      </c>
      <c r="Y663" t="str">
        <f t="shared" si="72"/>
        <v>ok</v>
      </c>
      <c r="Z663" t="str">
        <f t="shared" si="73"/>
        <v>ok</v>
      </c>
      <c r="AA663" s="4" t="str">
        <f t="shared" si="74"/>
        <v>ok</v>
      </c>
      <c r="AB663" s="4" t="str">
        <f t="shared" si="75"/>
        <v>no resolution</v>
      </c>
      <c r="AC663" s="6" t="str">
        <f t="shared" si="76"/>
        <v/>
      </c>
    </row>
    <row r="664" spans="1:29" x14ac:dyDescent="0.3">
      <c r="A664" t="s">
        <v>22</v>
      </c>
      <c r="B664">
        <v>1841</v>
      </c>
      <c r="C664" t="s">
        <v>23</v>
      </c>
      <c r="D664" t="s">
        <v>24</v>
      </c>
      <c r="E664" t="s">
        <v>44</v>
      </c>
      <c r="F664" t="s">
        <v>26</v>
      </c>
      <c r="G664" t="s">
        <v>60</v>
      </c>
      <c r="H664" s="1">
        <v>45029.159513888888</v>
      </c>
      <c r="I664" s="1">
        <v>45031.159513888888</v>
      </c>
      <c r="J664" s="1">
        <v>45029.201180555552</v>
      </c>
      <c r="K664" s="2">
        <v>45029.160482766201</v>
      </c>
      <c r="L664" t="s">
        <v>28</v>
      </c>
      <c r="M664" s="2">
        <v>45030.585979699077</v>
      </c>
      <c r="N664" t="s">
        <v>28</v>
      </c>
      <c r="O664" s="2">
        <v>45032.399562847226</v>
      </c>
      <c r="P664">
        <v>6</v>
      </c>
      <c r="Q664">
        <v>5</v>
      </c>
      <c r="R664" t="s">
        <v>55</v>
      </c>
      <c r="S664" t="s">
        <v>30</v>
      </c>
      <c r="T664" t="s">
        <v>65</v>
      </c>
      <c r="U664">
        <v>46.149166399999999</v>
      </c>
      <c r="V664">
        <v>14.9860106</v>
      </c>
      <c r="W664" t="str">
        <f t="shared" si="71"/>
        <v>ok</v>
      </c>
      <c r="X664" t="str">
        <f t="shared" si="77"/>
        <v>ok</v>
      </c>
      <c r="Y664" t="str">
        <f t="shared" si="72"/>
        <v>ok</v>
      </c>
      <c r="Z664" t="str">
        <f t="shared" si="73"/>
        <v>ok</v>
      </c>
      <c r="AA664" s="4" t="str">
        <f t="shared" si="74"/>
        <v>ok</v>
      </c>
      <c r="AB664" s="4" t="str">
        <f t="shared" si="75"/>
        <v>ok</v>
      </c>
      <c r="AC664" s="6">
        <f t="shared" si="76"/>
        <v>34.235179444542155</v>
      </c>
    </row>
    <row r="665" spans="1:29" x14ac:dyDescent="0.3">
      <c r="A665" t="s">
        <v>22</v>
      </c>
      <c r="B665">
        <v>1842</v>
      </c>
      <c r="C665" t="s">
        <v>47</v>
      </c>
      <c r="D665" t="s">
        <v>43</v>
      </c>
      <c r="E665" t="s">
        <v>48</v>
      </c>
      <c r="F665" t="s">
        <v>26</v>
      </c>
      <c r="G665" t="s">
        <v>60</v>
      </c>
      <c r="H665" s="1">
        <v>45030.433611111112</v>
      </c>
      <c r="I665" s="1">
        <v>45031.433611111112</v>
      </c>
      <c r="J665" s="1">
        <v>45030.434999999998</v>
      </c>
      <c r="K665" s="2">
        <v>45030.434172060188</v>
      </c>
      <c r="L665" t="s">
        <v>28</v>
      </c>
      <c r="M665" s="2">
        <v>45031.412108946759</v>
      </c>
      <c r="N665" t="s">
        <v>28</v>
      </c>
      <c r="O665" s="2">
        <v>45031.420964513891</v>
      </c>
      <c r="P665">
        <v>6</v>
      </c>
      <c r="Q665">
        <v>3</v>
      </c>
      <c r="R665" t="s">
        <v>55</v>
      </c>
      <c r="S665" t="s">
        <v>30</v>
      </c>
      <c r="T665" t="s">
        <v>51</v>
      </c>
      <c r="U665">
        <v>39.673369999999998</v>
      </c>
      <c r="V665">
        <v>-4.7677259999999997</v>
      </c>
      <c r="W665" t="str">
        <f t="shared" si="71"/>
        <v>ok</v>
      </c>
      <c r="X665" t="str">
        <f t="shared" si="77"/>
        <v>ok</v>
      </c>
      <c r="Y665" t="str">
        <f t="shared" si="72"/>
        <v>ok</v>
      </c>
      <c r="Z665" t="str">
        <f t="shared" si="73"/>
        <v>ok</v>
      </c>
      <c r="AA665" s="4" t="str">
        <f t="shared" si="74"/>
        <v>ok</v>
      </c>
      <c r="AB665" s="4" t="str">
        <f t="shared" si="75"/>
        <v>ok</v>
      </c>
      <c r="AC665" s="6">
        <f t="shared" si="76"/>
        <v>23.483948055538349</v>
      </c>
    </row>
    <row r="666" spans="1:29" x14ac:dyDescent="0.3">
      <c r="A666" t="s">
        <v>42</v>
      </c>
      <c r="B666">
        <v>1844</v>
      </c>
      <c r="C666" t="s">
        <v>23</v>
      </c>
      <c r="D666" t="s">
        <v>43</v>
      </c>
      <c r="E666" t="s">
        <v>25</v>
      </c>
      <c r="F666" t="s">
        <v>26</v>
      </c>
      <c r="G666" t="s">
        <v>27</v>
      </c>
      <c r="H666" s="1">
        <v>45030.047430555554</v>
      </c>
      <c r="I666" s="1">
        <v>45031.047430555554</v>
      </c>
      <c r="J666" s="1">
        <v>45030.048819444448</v>
      </c>
      <c r="K666" s="2">
        <v>45030.04764016204</v>
      </c>
      <c r="L666" t="s">
        <v>28</v>
      </c>
      <c r="M666" s="2">
        <v>45032.530993645836</v>
      </c>
      <c r="N666" t="s">
        <v>38</v>
      </c>
      <c r="P666">
        <v>3</v>
      </c>
      <c r="R666" t="s">
        <v>29</v>
      </c>
      <c r="S666" t="s">
        <v>30</v>
      </c>
      <c r="T666" t="s">
        <v>53</v>
      </c>
      <c r="U666">
        <v>39.368279000000001</v>
      </c>
      <c r="V666">
        <v>21.863140999999999</v>
      </c>
      <c r="W666" t="str">
        <f t="shared" si="71"/>
        <v>ok</v>
      </c>
      <c r="X666" t="str">
        <f t="shared" si="77"/>
        <v>ok</v>
      </c>
      <c r="Y666" t="str">
        <f t="shared" si="72"/>
        <v>ok</v>
      </c>
      <c r="Z666" t="str">
        <f t="shared" si="73"/>
        <v>ok</v>
      </c>
      <c r="AA666" s="4" t="str">
        <f t="shared" si="74"/>
        <v>ok</v>
      </c>
      <c r="AB666" s="4" t="str">
        <f t="shared" si="75"/>
        <v>ok</v>
      </c>
      <c r="AC666" s="6">
        <f t="shared" si="76"/>
        <v>59.605514166760258</v>
      </c>
    </row>
    <row r="667" spans="1:29" x14ac:dyDescent="0.3">
      <c r="A667" t="s">
        <v>22</v>
      </c>
      <c r="B667">
        <v>1845</v>
      </c>
      <c r="C667" t="s">
        <v>47</v>
      </c>
      <c r="D667" t="s">
        <v>43</v>
      </c>
      <c r="E667" t="s">
        <v>59</v>
      </c>
      <c r="F667" t="s">
        <v>26</v>
      </c>
      <c r="G667" t="s">
        <v>27</v>
      </c>
      <c r="H667" s="1">
        <v>45030.544965277775</v>
      </c>
      <c r="I667" s="1">
        <v>45031.544965277775</v>
      </c>
      <c r="J667" s="1">
        <v>45030.546354166669</v>
      </c>
      <c r="K667" s="2">
        <v>45030.548922581016</v>
      </c>
      <c r="L667" t="s">
        <v>38</v>
      </c>
      <c r="M667" s="2">
        <v>45030.626113680555</v>
      </c>
      <c r="N667" t="s">
        <v>28</v>
      </c>
      <c r="O667" s="2">
        <v>45034.049602511572</v>
      </c>
      <c r="P667">
        <v>60</v>
      </c>
      <c r="Q667">
        <v>5</v>
      </c>
      <c r="R667" t="s">
        <v>50</v>
      </c>
      <c r="S667" t="s">
        <v>30</v>
      </c>
      <c r="T667" t="s">
        <v>57</v>
      </c>
      <c r="U667">
        <v>51.165691000000002</v>
      </c>
      <c r="V667">
        <v>10.451525999999999</v>
      </c>
      <c r="W667" t="str">
        <f t="shared" si="71"/>
        <v>ok</v>
      </c>
      <c r="X667" t="str">
        <f t="shared" si="77"/>
        <v>ok</v>
      </c>
      <c r="Y667" t="str">
        <f t="shared" si="72"/>
        <v>ok</v>
      </c>
      <c r="Z667" t="str">
        <f t="shared" si="73"/>
        <v>ok</v>
      </c>
      <c r="AA667" s="4" t="str">
        <f t="shared" si="74"/>
        <v>ok</v>
      </c>
      <c r="AB667" s="4" t="str">
        <f t="shared" si="75"/>
        <v>ok</v>
      </c>
      <c r="AC667" s="6">
        <f t="shared" si="76"/>
        <v>1.9475616667186841</v>
      </c>
    </row>
    <row r="668" spans="1:29" x14ac:dyDescent="0.3">
      <c r="A668" t="s">
        <v>22</v>
      </c>
      <c r="B668">
        <v>1846</v>
      </c>
      <c r="C668" t="s">
        <v>47</v>
      </c>
      <c r="D668" t="s">
        <v>24</v>
      </c>
      <c r="E668" t="s">
        <v>44</v>
      </c>
      <c r="F668" t="s">
        <v>36</v>
      </c>
      <c r="G668" t="s">
        <v>54</v>
      </c>
      <c r="H668" s="1">
        <v>45031.805185185185</v>
      </c>
      <c r="I668" s="1">
        <v>45033.805185185185</v>
      </c>
      <c r="J668" s="1">
        <v>45031.846851851849</v>
      </c>
      <c r="K668" s="2">
        <v>45031.809640370368</v>
      </c>
      <c r="L668" t="s">
        <v>28</v>
      </c>
      <c r="M668" s="2">
        <v>45032.393357187502</v>
      </c>
      <c r="N668" t="s">
        <v>28</v>
      </c>
      <c r="O668" s="2">
        <v>45032.582365949071</v>
      </c>
      <c r="P668">
        <v>5</v>
      </c>
      <c r="Q668">
        <v>4</v>
      </c>
      <c r="R668" t="s">
        <v>50</v>
      </c>
      <c r="S668" t="s">
        <v>40</v>
      </c>
      <c r="T668" t="s">
        <v>61</v>
      </c>
      <c r="U668">
        <v>42.724992499999999</v>
      </c>
      <c r="V668">
        <v>25.483303899999999</v>
      </c>
      <c r="W668" t="str">
        <f t="shared" si="71"/>
        <v>ok</v>
      </c>
      <c r="X668" t="str">
        <f t="shared" si="77"/>
        <v>ok</v>
      </c>
      <c r="Y668" t="str">
        <f t="shared" si="72"/>
        <v>ok</v>
      </c>
      <c r="Z668" t="str">
        <f t="shared" si="73"/>
        <v>ok</v>
      </c>
      <c r="AA668" s="4" t="str">
        <f t="shared" si="74"/>
        <v>ok</v>
      </c>
      <c r="AB668" s="4" t="str">
        <f t="shared" si="75"/>
        <v>ok</v>
      </c>
      <c r="AC668" s="6">
        <f t="shared" si="76"/>
        <v>14.116128055611625</v>
      </c>
    </row>
    <row r="669" spans="1:29" x14ac:dyDescent="0.3">
      <c r="A669" t="s">
        <v>22</v>
      </c>
      <c r="B669">
        <v>1847</v>
      </c>
      <c r="C669" t="s">
        <v>47</v>
      </c>
      <c r="D669" t="s">
        <v>24</v>
      </c>
      <c r="E669" t="s">
        <v>25</v>
      </c>
      <c r="F669" t="s">
        <v>36</v>
      </c>
      <c r="G669" t="s">
        <v>37</v>
      </c>
      <c r="H669" s="1">
        <v>45031.803333333337</v>
      </c>
      <c r="I669" s="1">
        <v>45033.803333333337</v>
      </c>
      <c r="J669" s="1">
        <v>45031.845000000001</v>
      </c>
      <c r="K669" s="2">
        <v>45031.832503472222</v>
      </c>
      <c r="L669" t="s">
        <v>28</v>
      </c>
      <c r="M669" s="2">
        <v>45033.580025150462</v>
      </c>
      <c r="N669" t="s">
        <v>28</v>
      </c>
      <c r="O669" s="2">
        <v>45036.548921562498</v>
      </c>
      <c r="P669">
        <v>1</v>
      </c>
      <c r="Q669">
        <v>1</v>
      </c>
      <c r="R669" t="s">
        <v>50</v>
      </c>
      <c r="S669" t="s">
        <v>40</v>
      </c>
      <c r="T669" t="s">
        <v>41</v>
      </c>
      <c r="U669">
        <v>43.036776000000003</v>
      </c>
      <c r="V669">
        <v>12.678565000000001</v>
      </c>
      <c r="W669" t="str">
        <f t="shared" si="71"/>
        <v>ok</v>
      </c>
      <c r="X669" t="str">
        <f t="shared" si="77"/>
        <v>ok</v>
      </c>
      <c r="Y669" t="str">
        <f t="shared" si="72"/>
        <v>ok</v>
      </c>
      <c r="Z669" t="str">
        <f t="shared" si="73"/>
        <v>ok</v>
      </c>
      <c r="AA669" s="4" t="str">
        <f t="shared" si="74"/>
        <v>ok</v>
      </c>
      <c r="AB669" s="4" t="str">
        <f t="shared" si="75"/>
        <v>ok</v>
      </c>
      <c r="AC669" s="6">
        <f t="shared" si="76"/>
        <v>42.640603611012921</v>
      </c>
    </row>
    <row r="670" spans="1:29" x14ac:dyDescent="0.3">
      <c r="A670" t="s">
        <v>32</v>
      </c>
      <c r="B670">
        <v>1849</v>
      </c>
      <c r="C670" t="s">
        <v>33</v>
      </c>
      <c r="D670" t="s">
        <v>43</v>
      </c>
      <c r="E670" t="s">
        <v>48</v>
      </c>
      <c r="F670" t="s">
        <v>26</v>
      </c>
      <c r="G670" t="s">
        <v>49</v>
      </c>
      <c r="H670" s="1">
        <v>45031.597349537034</v>
      </c>
      <c r="I670" s="1">
        <v>45032.597349537034</v>
      </c>
      <c r="J670" s="1">
        <v>45031.598738425928</v>
      </c>
      <c r="K670" s="2">
        <v>45031.599592175924</v>
      </c>
      <c r="L670" t="s">
        <v>38</v>
      </c>
      <c r="N670" t="s">
        <v>38</v>
      </c>
      <c r="P670">
        <v>4</v>
      </c>
      <c r="R670" t="s">
        <v>29</v>
      </c>
      <c r="S670" t="s">
        <v>30</v>
      </c>
      <c r="T670" t="s">
        <v>41</v>
      </c>
      <c r="U670">
        <v>43.036776000000003</v>
      </c>
      <c r="V670">
        <v>12.678565000000001</v>
      </c>
      <c r="W670" t="str">
        <f t="shared" si="71"/>
        <v>ok</v>
      </c>
      <c r="X670" t="str">
        <f t="shared" si="77"/>
        <v>ok</v>
      </c>
      <c r="Y670" t="str">
        <f t="shared" si="72"/>
        <v>ok</v>
      </c>
      <c r="Z670" t="str">
        <f t="shared" si="73"/>
        <v>ok</v>
      </c>
      <c r="AA670" s="4" t="str">
        <f t="shared" si="74"/>
        <v>ok</v>
      </c>
      <c r="AB670" s="4" t="str">
        <f t="shared" si="75"/>
        <v>no resolution</v>
      </c>
      <c r="AC670" s="6" t="str">
        <f t="shared" si="76"/>
        <v/>
      </c>
    </row>
    <row r="671" spans="1:29" x14ac:dyDescent="0.3">
      <c r="A671" t="s">
        <v>42</v>
      </c>
      <c r="B671">
        <v>1858</v>
      </c>
      <c r="C671" t="s">
        <v>23</v>
      </c>
      <c r="D671" t="s">
        <v>43</v>
      </c>
      <c r="E671" t="s">
        <v>44</v>
      </c>
      <c r="F671" t="s">
        <v>26</v>
      </c>
      <c r="G671" t="s">
        <v>45</v>
      </c>
      <c r="H671" s="1">
        <v>45032.350393518522</v>
      </c>
      <c r="I671" s="1">
        <v>45033.350393518522</v>
      </c>
      <c r="J671" s="1">
        <v>45032.351782407408</v>
      </c>
      <c r="K671" s="2">
        <v>45032.351220474535</v>
      </c>
      <c r="L671" t="s">
        <v>28</v>
      </c>
      <c r="M671" s="2">
        <v>45032.485441481484</v>
      </c>
      <c r="N671" t="s">
        <v>28</v>
      </c>
      <c r="P671">
        <v>9</v>
      </c>
      <c r="R671" t="s">
        <v>50</v>
      </c>
      <c r="S671" t="s">
        <v>30</v>
      </c>
      <c r="T671" t="s">
        <v>41</v>
      </c>
      <c r="U671">
        <v>43.036776000000003</v>
      </c>
      <c r="V671">
        <v>12.678565000000001</v>
      </c>
      <c r="W671" t="str">
        <f t="shared" si="71"/>
        <v>ok</v>
      </c>
      <c r="X671" t="str">
        <f t="shared" si="77"/>
        <v>ok</v>
      </c>
      <c r="Y671" t="str">
        <f t="shared" si="72"/>
        <v>ok</v>
      </c>
      <c r="Z671" t="str">
        <f t="shared" si="73"/>
        <v>ok</v>
      </c>
      <c r="AA671" s="4" t="str">
        <f t="shared" si="74"/>
        <v>ok</v>
      </c>
      <c r="AB671" s="4" t="str">
        <f t="shared" si="75"/>
        <v>ok</v>
      </c>
      <c r="AC671" s="6">
        <f t="shared" si="76"/>
        <v>3.2411511110840365</v>
      </c>
    </row>
    <row r="672" spans="1:29" x14ac:dyDescent="0.3">
      <c r="A672" t="s">
        <v>32</v>
      </c>
      <c r="B672">
        <v>1859</v>
      </c>
      <c r="C672" t="s">
        <v>33</v>
      </c>
      <c r="D672" t="s">
        <v>43</v>
      </c>
      <c r="E672" t="s">
        <v>39</v>
      </c>
      <c r="F672" t="s">
        <v>26</v>
      </c>
      <c r="G672" t="s">
        <v>60</v>
      </c>
      <c r="H672" s="1">
        <v>45032.901712962965</v>
      </c>
      <c r="I672" s="1">
        <v>45033.901712962965</v>
      </c>
      <c r="J672" s="1">
        <v>45032.903101851851</v>
      </c>
      <c r="K672" s="2">
        <v>45032.902944479167</v>
      </c>
      <c r="L672" t="s">
        <v>28</v>
      </c>
      <c r="N672" t="s">
        <v>38</v>
      </c>
      <c r="P672">
        <v>3</v>
      </c>
      <c r="R672" t="s">
        <v>29</v>
      </c>
      <c r="S672" t="s">
        <v>30</v>
      </c>
      <c r="T672" t="s">
        <v>61</v>
      </c>
      <c r="U672">
        <v>42.724992499999999</v>
      </c>
      <c r="V672">
        <v>25.483303899999999</v>
      </c>
      <c r="W672" t="str">
        <f t="shared" si="71"/>
        <v>ok</v>
      </c>
      <c r="X672" t="str">
        <f t="shared" si="77"/>
        <v>ok</v>
      </c>
      <c r="Y672" t="str">
        <f t="shared" si="72"/>
        <v>ok</v>
      </c>
      <c r="Z672" t="str">
        <f t="shared" si="73"/>
        <v>ok</v>
      </c>
      <c r="AA672" s="4" t="str">
        <f t="shared" si="74"/>
        <v>ok</v>
      </c>
      <c r="AB672" s="4" t="str">
        <f t="shared" si="75"/>
        <v>no resolution</v>
      </c>
      <c r="AC672" s="6" t="str">
        <f t="shared" si="76"/>
        <v/>
      </c>
    </row>
    <row r="673" spans="1:29" x14ac:dyDescent="0.3">
      <c r="A673" t="s">
        <v>42</v>
      </c>
      <c r="B673">
        <v>1860</v>
      </c>
      <c r="C673" t="s">
        <v>47</v>
      </c>
      <c r="D673" t="s">
        <v>24</v>
      </c>
      <c r="E673" t="s">
        <v>59</v>
      </c>
      <c r="F673" t="s">
        <v>26</v>
      </c>
      <c r="G673" t="s">
        <v>60</v>
      </c>
      <c r="H673" s="1">
        <v>45032.359305555554</v>
      </c>
      <c r="I673" s="1">
        <v>45034.359305555554</v>
      </c>
      <c r="J673" s="1">
        <v>45032.400972222225</v>
      </c>
      <c r="K673" s="2">
        <v>45032.383480613425</v>
      </c>
      <c r="L673" t="s">
        <v>28</v>
      </c>
      <c r="M673" s="2">
        <v>45034.6131680787</v>
      </c>
      <c r="N673" t="s">
        <v>38</v>
      </c>
      <c r="P673">
        <v>1</v>
      </c>
      <c r="R673" t="s">
        <v>29</v>
      </c>
      <c r="S673" t="s">
        <v>30</v>
      </c>
      <c r="T673" t="s">
        <v>57</v>
      </c>
      <c r="U673">
        <v>51.165691000000002</v>
      </c>
      <c r="V673">
        <v>10.451525999999999</v>
      </c>
      <c r="W673" t="str">
        <f t="shared" si="71"/>
        <v>ok</v>
      </c>
      <c r="X673" t="str">
        <f t="shared" si="77"/>
        <v>ok</v>
      </c>
      <c r="Y673" t="str">
        <f t="shared" si="72"/>
        <v>ok</v>
      </c>
      <c r="Z673" t="str">
        <f t="shared" si="73"/>
        <v>ok</v>
      </c>
      <c r="AA673" s="4" t="str">
        <f t="shared" si="74"/>
        <v>ok</v>
      </c>
      <c r="AB673" s="4" t="str">
        <f t="shared" si="75"/>
        <v>ok</v>
      </c>
      <c r="AC673" s="6">
        <f t="shared" si="76"/>
        <v>54.092700555513147</v>
      </c>
    </row>
    <row r="674" spans="1:29" x14ac:dyDescent="0.3">
      <c r="A674" t="s">
        <v>42</v>
      </c>
      <c r="B674">
        <v>1861</v>
      </c>
      <c r="C674" t="s">
        <v>47</v>
      </c>
      <c r="D674" t="s">
        <v>24</v>
      </c>
      <c r="E674" t="s">
        <v>35</v>
      </c>
      <c r="F674" t="s">
        <v>26</v>
      </c>
      <c r="G674" t="s">
        <v>45</v>
      </c>
      <c r="H674" s="1">
        <v>45032.352962962963</v>
      </c>
      <c r="I674" s="1">
        <v>45034.352962962963</v>
      </c>
      <c r="J674" s="1">
        <v>45032.394629629627</v>
      </c>
      <c r="K674" s="2">
        <v>45032.540354560188</v>
      </c>
      <c r="L674" t="s">
        <v>38</v>
      </c>
      <c r="M674" s="2">
        <v>45032.369177372682</v>
      </c>
      <c r="N674" t="s">
        <v>28</v>
      </c>
      <c r="P674">
        <v>4</v>
      </c>
      <c r="R674" t="s">
        <v>55</v>
      </c>
      <c r="S674" t="s">
        <v>30</v>
      </c>
      <c r="T674" t="s">
        <v>58</v>
      </c>
      <c r="U674">
        <v>49.8037633</v>
      </c>
      <c r="V674">
        <v>15.4749126</v>
      </c>
      <c r="W674" t="str">
        <f t="shared" si="71"/>
        <v>ok</v>
      </c>
      <c r="X674" t="str">
        <f t="shared" si="77"/>
        <v>ok</v>
      </c>
      <c r="Y674" t="str">
        <f t="shared" si="72"/>
        <v>ok</v>
      </c>
      <c r="Z674" t="str">
        <f t="shared" si="73"/>
        <v>ok</v>
      </c>
      <c r="AA674" s="4" t="str">
        <f t="shared" si="74"/>
        <v>ok</v>
      </c>
      <c r="AB674" s="4" t="str">
        <f t="shared" si="75"/>
        <v>ok</v>
      </c>
      <c r="AC674" s="6">
        <f t="shared" si="76"/>
        <v>0.38914583326550201</v>
      </c>
    </row>
    <row r="675" spans="1:29" x14ac:dyDescent="0.3">
      <c r="A675" t="s">
        <v>42</v>
      </c>
      <c r="B675">
        <v>1862</v>
      </c>
      <c r="C675" t="s">
        <v>47</v>
      </c>
      <c r="D675" t="s">
        <v>43</v>
      </c>
      <c r="E675" t="s">
        <v>44</v>
      </c>
      <c r="F675" t="s">
        <v>36</v>
      </c>
      <c r="G675" t="s">
        <v>37</v>
      </c>
      <c r="H675" s="1">
        <v>45032.955277777779</v>
      </c>
      <c r="I675" s="1">
        <v>45033.955277777779</v>
      </c>
      <c r="J675" s="1">
        <v>45032.956666666665</v>
      </c>
      <c r="K675" s="2">
        <v>45032.956123379627</v>
      </c>
      <c r="L675" t="s">
        <v>28</v>
      </c>
      <c r="M675" s="2">
        <v>45033.353861180556</v>
      </c>
      <c r="N675" t="s">
        <v>28</v>
      </c>
      <c r="P675">
        <v>4</v>
      </c>
      <c r="R675" t="s">
        <v>55</v>
      </c>
      <c r="S675" t="s">
        <v>40</v>
      </c>
      <c r="T675" t="s">
        <v>57</v>
      </c>
      <c r="U675">
        <v>51.165691000000002</v>
      </c>
      <c r="V675">
        <v>10.451525999999999</v>
      </c>
      <c r="W675" t="str">
        <f t="shared" si="71"/>
        <v>ok</v>
      </c>
      <c r="X675" t="str">
        <f t="shared" si="77"/>
        <v>ok</v>
      </c>
      <c r="Y675" t="str">
        <f t="shared" si="72"/>
        <v>ok</v>
      </c>
      <c r="Z675" t="str">
        <f t="shared" si="73"/>
        <v>ok</v>
      </c>
      <c r="AA675" s="4" t="str">
        <f t="shared" si="74"/>
        <v>ok</v>
      </c>
      <c r="AB675" s="4" t="str">
        <f t="shared" si="75"/>
        <v>ok</v>
      </c>
      <c r="AC675" s="6">
        <f t="shared" si="76"/>
        <v>9.566001666651573</v>
      </c>
    </row>
    <row r="676" spans="1:29" x14ac:dyDescent="0.3">
      <c r="A676" t="s">
        <v>22</v>
      </c>
      <c r="B676">
        <v>1863</v>
      </c>
      <c r="C676" t="s">
        <v>33</v>
      </c>
      <c r="D676" t="s">
        <v>24</v>
      </c>
      <c r="E676" t="s">
        <v>44</v>
      </c>
      <c r="F676" t="s">
        <v>36</v>
      </c>
      <c r="G676" t="s">
        <v>37</v>
      </c>
      <c r="H676" s="1">
        <v>45033.637997685182</v>
      </c>
      <c r="I676" s="1">
        <v>45035.637997685182</v>
      </c>
      <c r="J676" s="1">
        <v>45033.679664351854</v>
      </c>
      <c r="K676" s="2">
        <v>45033.656335706015</v>
      </c>
      <c r="L676" t="s">
        <v>28</v>
      </c>
      <c r="M676" s="2">
        <v>45035.467615706017</v>
      </c>
      <c r="N676" t="s">
        <v>28</v>
      </c>
      <c r="O676" s="2">
        <v>45039.500073414354</v>
      </c>
      <c r="P676">
        <v>1</v>
      </c>
      <c r="Q676">
        <v>3</v>
      </c>
      <c r="R676" t="s">
        <v>39</v>
      </c>
      <c r="S676" t="s">
        <v>40</v>
      </c>
      <c r="T676" t="s">
        <v>41</v>
      </c>
      <c r="U676">
        <v>43.036776000000003</v>
      </c>
      <c r="V676">
        <v>12.678565000000001</v>
      </c>
      <c r="W676" t="str">
        <f t="shared" si="71"/>
        <v>ok</v>
      </c>
      <c r="X676" t="str">
        <f t="shared" si="77"/>
        <v>ok</v>
      </c>
      <c r="Y676" t="str">
        <f t="shared" si="72"/>
        <v>ok</v>
      </c>
      <c r="Z676" t="str">
        <f t="shared" si="73"/>
        <v>ok</v>
      </c>
      <c r="AA676" s="4" t="str">
        <f t="shared" si="74"/>
        <v>ok</v>
      </c>
      <c r="AB676" s="4" t="str">
        <f t="shared" si="75"/>
        <v>ok</v>
      </c>
      <c r="AC676" s="6">
        <f t="shared" si="76"/>
        <v>43.910832500027027</v>
      </c>
    </row>
    <row r="677" spans="1:29" x14ac:dyDescent="0.3">
      <c r="A677" t="s">
        <v>22</v>
      </c>
      <c r="B677">
        <v>1864</v>
      </c>
      <c r="C677" t="s">
        <v>47</v>
      </c>
      <c r="D677" t="s">
        <v>24</v>
      </c>
      <c r="E677" t="s">
        <v>25</v>
      </c>
      <c r="F677" t="s">
        <v>26</v>
      </c>
      <c r="G677" t="s">
        <v>45</v>
      </c>
      <c r="H677" s="1">
        <v>45033.680902777778</v>
      </c>
      <c r="I677" s="1">
        <v>45035.680902777778</v>
      </c>
      <c r="J677" s="1">
        <v>45033.722569444442</v>
      </c>
      <c r="K677" s="2">
        <v>45033.718386145832</v>
      </c>
      <c r="L677" t="s">
        <v>28</v>
      </c>
      <c r="M677" s="2">
        <v>45033.844889872686</v>
      </c>
      <c r="N677" t="s">
        <v>28</v>
      </c>
      <c r="O677" s="2">
        <v>45040.393593310182</v>
      </c>
      <c r="P677">
        <v>2</v>
      </c>
      <c r="Q677">
        <v>4</v>
      </c>
      <c r="R677" t="s">
        <v>29</v>
      </c>
      <c r="S677" t="s">
        <v>30</v>
      </c>
      <c r="T677" t="s">
        <v>57</v>
      </c>
      <c r="U677">
        <v>51.165691000000002</v>
      </c>
      <c r="V677">
        <v>10.451525999999999</v>
      </c>
      <c r="W677" t="str">
        <f t="shared" si="71"/>
        <v>ok</v>
      </c>
      <c r="X677" t="str">
        <f t="shared" si="77"/>
        <v>ok</v>
      </c>
      <c r="Y677" t="str">
        <f t="shared" si="72"/>
        <v>ok</v>
      </c>
      <c r="Z677" t="str">
        <f t="shared" si="73"/>
        <v>ok</v>
      </c>
      <c r="AA677" s="4" t="str">
        <f t="shared" si="74"/>
        <v>ok</v>
      </c>
      <c r="AB677" s="4" t="str">
        <f t="shared" si="75"/>
        <v>ok</v>
      </c>
      <c r="AC677" s="6">
        <f t="shared" si="76"/>
        <v>3.9356902777799405</v>
      </c>
    </row>
    <row r="678" spans="1:29" x14ac:dyDescent="0.3">
      <c r="A678" t="s">
        <v>22</v>
      </c>
      <c r="B678">
        <v>1865</v>
      </c>
      <c r="C678" t="s">
        <v>23</v>
      </c>
      <c r="D678" t="s">
        <v>43</v>
      </c>
      <c r="E678" t="s">
        <v>25</v>
      </c>
      <c r="F678" t="s">
        <v>36</v>
      </c>
      <c r="G678" t="s">
        <v>37</v>
      </c>
      <c r="H678" s="1">
        <v>45033.510231481479</v>
      </c>
      <c r="I678" s="1">
        <v>45034.510231481479</v>
      </c>
      <c r="J678" s="1">
        <v>45033.511620370373</v>
      </c>
      <c r="K678" s="2">
        <v>45033.511405428239</v>
      </c>
      <c r="L678" t="s">
        <v>28</v>
      </c>
      <c r="M678" s="2">
        <v>45033.740677835645</v>
      </c>
      <c r="N678" t="s">
        <v>28</v>
      </c>
      <c r="O678" s="2">
        <v>45038.823935729168</v>
      </c>
      <c r="P678">
        <v>4</v>
      </c>
      <c r="Q678">
        <v>4</v>
      </c>
      <c r="R678" t="s">
        <v>29</v>
      </c>
      <c r="S678" t="s">
        <v>40</v>
      </c>
      <c r="T678" t="s">
        <v>63</v>
      </c>
      <c r="U678">
        <v>55.378051999999997</v>
      </c>
      <c r="V678">
        <v>-3.4359730000000002</v>
      </c>
      <c r="W678" t="str">
        <f t="shared" si="71"/>
        <v>ok</v>
      </c>
      <c r="X678" t="str">
        <f t="shared" si="77"/>
        <v>ok</v>
      </c>
      <c r="Y678" t="str">
        <f t="shared" si="72"/>
        <v>ok</v>
      </c>
      <c r="Z678" t="str">
        <f t="shared" si="73"/>
        <v>ok</v>
      </c>
      <c r="AA678" s="4" t="str">
        <f t="shared" si="74"/>
        <v>ok</v>
      </c>
      <c r="AB678" s="4" t="str">
        <f t="shared" si="75"/>
        <v>ok</v>
      </c>
      <c r="AC678" s="6">
        <f t="shared" si="76"/>
        <v>5.5307124999817461</v>
      </c>
    </row>
    <row r="679" spans="1:29" x14ac:dyDescent="0.3">
      <c r="A679" t="s">
        <v>32</v>
      </c>
      <c r="B679">
        <v>1866</v>
      </c>
      <c r="C679" t="s">
        <v>47</v>
      </c>
      <c r="D679" t="s">
        <v>24</v>
      </c>
      <c r="E679" t="s">
        <v>44</v>
      </c>
      <c r="F679" t="s">
        <v>26</v>
      </c>
      <c r="G679" t="s">
        <v>49</v>
      </c>
      <c r="H679" s="1">
        <v>45033.793310185189</v>
      </c>
      <c r="I679" s="1">
        <v>45035.793310185189</v>
      </c>
      <c r="J679" s="1">
        <v>45033.834976851853</v>
      </c>
      <c r="K679" s="2">
        <v>45034.055392986113</v>
      </c>
      <c r="L679" t="s">
        <v>38</v>
      </c>
      <c r="N679" t="s">
        <v>38</v>
      </c>
      <c r="P679">
        <v>7</v>
      </c>
      <c r="R679" t="s">
        <v>29</v>
      </c>
      <c r="S679" t="s">
        <v>30</v>
      </c>
      <c r="T679" t="s">
        <v>65</v>
      </c>
      <c r="U679">
        <v>46.149166399999999</v>
      </c>
      <c r="V679">
        <v>14.9860106</v>
      </c>
      <c r="W679" t="str">
        <f t="shared" si="71"/>
        <v>ok</v>
      </c>
      <c r="X679" t="str">
        <f t="shared" si="77"/>
        <v>ok</v>
      </c>
      <c r="Y679" t="str">
        <f t="shared" si="72"/>
        <v>ok</v>
      </c>
      <c r="Z679" t="str">
        <f t="shared" si="73"/>
        <v>ok</v>
      </c>
      <c r="AA679" s="4" t="str">
        <f t="shared" si="74"/>
        <v>ok</v>
      </c>
      <c r="AB679" s="4" t="str">
        <f t="shared" si="75"/>
        <v>no resolution</v>
      </c>
      <c r="AC679" s="6" t="str">
        <f t="shared" si="76"/>
        <v/>
      </c>
    </row>
    <row r="680" spans="1:29" x14ac:dyDescent="0.3">
      <c r="A680" t="s">
        <v>22</v>
      </c>
      <c r="B680">
        <v>1867</v>
      </c>
      <c r="C680" t="s">
        <v>47</v>
      </c>
      <c r="D680" t="s">
        <v>43</v>
      </c>
      <c r="E680" t="s">
        <v>35</v>
      </c>
      <c r="F680" t="s">
        <v>26</v>
      </c>
      <c r="G680" t="s">
        <v>27</v>
      </c>
      <c r="H680" s="1">
        <v>45033.658541666664</v>
      </c>
      <c r="I680" s="1">
        <v>45034.658541666664</v>
      </c>
      <c r="J680" s="1">
        <v>45033.659930555557</v>
      </c>
      <c r="K680" s="2">
        <v>45033.658859733798</v>
      </c>
      <c r="L680" t="s">
        <v>28</v>
      </c>
      <c r="M680" s="2">
        <v>45034.479972326386</v>
      </c>
      <c r="N680" t="s">
        <v>28</v>
      </c>
      <c r="O680" s="2">
        <v>45037.082268958336</v>
      </c>
      <c r="P680">
        <v>4</v>
      </c>
      <c r="Q680">
        <v>1</v>
      </c>
      <c r="R680" t="s">
        <v>50</v>
      </c>
      <c r="S680" t="s">
        <v>30</v>
      </c>
      <c r="T680" t="s">
        <v>56</v>
      </c>
      <c r="U680">
        <v>52.536273000000001</v>
      </c>
      <c r="V680">
        <v>19.050639</v>
      </c>
      <c r="W680" t="str">
        <f t="shared" si="71"/>
        <v>ok</v>
      </c>
      <c r="X680" t="str">
        <f t="shared" si="77"/>
        <v>ok</v>
      </c>
      <c r="Y680" t="str">
        <f t="shared" si="72"/>
        <v>ok</v>
      </c>
      <c r="Z680" t="str">
        <f t="shared" si="73"/>
        <v>ok</v>
      </c>
      <c r="AA680" s="4" t="str">
        <f t="shared" si="74"/>
        <v>ok</v>
      </c>
      <c r="AB680" s="4" t="str">
        <f t="shared" si="75"/>
        <v>ok</v>
      </c>
      <c r="AC680" s="6">
        <f t="shared" si="76"/>
        <v>19.714335833326913</v>
      </c>
    </row>
    <row r="681" spans="1:29" x14ac:dyDescent="0.3">
      <c r="A681" t="s">
        <v>42</v>
      </c>
      <c r="B681">
        <v>1868</v>
      </c>
      <c r="C681" t="s">
        <v>23</v>
      </c>
      <c r="D681" t="s">
        <v>34</v>
      </c>
      <c r="E681" t="s">
        <v>48</v>
      </c>
      <c r="F681" t="s">
        <v>26</v>
      </c>
      <c r="G681" t="s">
        <v>45</v>
      </c>
      <c r="H681" s="1">
        <v>45033.542824074073</v>
      </c>
      <c r="I681" s="1">
        <v>45035.542824074073</v>
      </c>
      <c r="J681" s="1">
        <v>45033.544212962966</v>
      </c>
      <c r="K681" s="2">
        <v>45033.542901215274</v>
      </c>
      <c r="L681" t="s">
        <v>28</v>
      </c>
      <c r="M681" s="2">
        <v>45038.269609085648</v>
      </c>
      <c r="N681" t="s">
        <v>38</v>
      </c>
      <c r="P681">
        <v>2</v>
      </c>
      <c r="R681" t="s">
        <v>29</v>
      </c>
      <c r="S681" t="s">
        <v>30</v>
      </c>
      <c r="T681" t="s">
        <v>46</v>
      </c>
      <c r="U681">
        <v>47.696471899999999</v>
      </c>
      <c r="V681">
        <v>13.3457347</v>
      </c>
      <c r="W681" t="str">
        <f t="shared" si="71"/>
        <v>ok</v>
      </c>
      <c r="X681" t="str">
        <f t="shared" si="77"/>
        <v>ok</v>
      </c>
      <c r="Y681" t="str">
        <f t="shared" si="72"/>
        <v>ok</v>
      </c>
      <c r="Z681" t="str">
        <f t="shared" si="73"/>
        <v>ok</v>
      </c>
      <c r="AA681" s="4" t="str">
        <f t="shared" si="74"/>
        <v>ok</v>
      </c>
      <c r="AB681" s="4" t="str">
        <f t="shared" si="75"/>
        <v>ok</v>
      </c>
      <c r="AC681" s="6">
        <f t="shared" si="76"/>
        <v>113.44284027779941</v>
      </c>
    </row>
    <row r="682" spans="1:29" x14ac:dyDescent="0.3">
      <c r="A682" t="s">
        <v>42</v>
      </c>
      <c r="B682">
        <v>1869</v>
      </c>
      <c r="C682" t="s">
        <v>47</v>
      </c>
      <c r="D682" t="s">
        <v>24</v>
      </c>
      <c r="E682" t="s">
        <v>44</v>
      </c>
      <c r="F682" t="s">
        <v>26</v>
      </c>
      <c r="G682" t="s">
        <v>49</v>
      </c>
      <c r="H682" s="1">
        <v>45033.20826388889</v>
      </c>
      <c r="I682" s="1">
        <v>45035.20826388889</v>
      </c>
      <c r="J682" s="1">
        <v>45033.249930555554</v>
      </c>
      <c r="K682" s="2">
        <v>45033.212794282408</v>
      </c>
      <c r="L682" t="s">
        <v>28</v>
      </c>
      <c r="M682" s="2">
        <v>45034.760116817131</v>
      </c>
      <c r="N682" t="s">
        <v>28</v>
      </c>
      <c r="P682">
        <v>2</v>
      </c>
      <c r="R682" t="s">
        <v>29</v>
      </c>
      <c r="S682" t="s">
        <v>30</v>
      </c>
      <c r="T682" t="s">
        <v>56</v>
      </c>
      <c r="U682">
        <v>52.536273000000001</v>
      </c>
      <c r="V682">
        <v>19.050639</v>
      </c>
      <c r="W682" t="str">
        <f t="shared" si="71"/>
        <v>ok</v>
      </c>
      <c r="X682" t="str">
        <f t="shared" si="77"/>
        <v>ok</v>
      </c>
      <c r="Y682" t="str">
        <f t="shared" si="72"/>
        <v>ok</v>
      </c>
      <c r="Z682" t="str">
        <f t="shared" si="73"/>
        <v>ok</v>
      </c>
      <c r="AA682" s="4" t="str">
        <f t="shared" si="74"/>
        <v>ok</v>
      </c>
      <c r="AB682" s="4" t="str">
        <f t="shared" si="75"/>
        <v>ok</v>
      </c>
      <c r="AC682" s="6">
        <f t="shared" si="76"/>
        <v>37.244470277801156</v>
      </c>
    </row>
    <row r="683" spans="1:29" x14ac:dyDescent="0.3">
      <c r="A683" t="s">
        <v>22</v>
      </c>
      <c r="B683">
        <v>1870</v>
      </c>
      <c r="C683" t="s">
        <v>33</v>
      </c>
      <c r="D683" t="s">
        <v>24</v>
      </c>
      <c r="E683" t="s">
        <v>35</v>
      </c>
      <c r="F683" t="s">
        <v>26</v>
      </c>
      <c r="G683" t="s">
        <v>27</v>
      </c>
      <c r="H683" s="1">
        <v>45034.90766203704</v>
      </c>
      <c r="I683" s="1">
        <v>45036.90766203704</v>
      </c>
      <c r="J683" s="1">
        <v>45034.949328703704</v>
      </c>
      <c r="K683" s="2">
        <v>45034.910844918981</v>
      </c>
      <c r="L683" t="s">
        <v>28</v>
      </c>
      <c r="M683" s="2">
        <v>45035.336171527779</v>
      </c>
      <c r="N683" t="s">
        <v>28</v>
      </c>
      <c r="O683" s="2">
        <v>45036.783739456019</v>
      </c>
      <c r="P683">
        <v>8</v>
      </c>
      <c r="Q683">
        <v>5</v>
      </c>
      <c r="R683" t="s">
        <v>50</v>
      </c>
      <c r="S683" t="s">
        <v>30</v>
      </c>
      <c r="T683" t="s">
        <v>41</v>
      </c>
      <c r="U683">
        <v>43.036776000000003</v>
      </c>
      <c r="V683">
        <v>12.678565000000001</v>
      </c>
      <c r="W683" t="str">
        <f t="shared" si="71"/>
        <v>ok</v>
      </c>
      <c r="X683" t="str">
        <f t="shared" si="77"/>
        <v>ok</v>
      </c>
      <c r="Y683" t="str">
        <f t="shared" si="72"/>
        <v>ok</v>
      </c>
      <c r="Z683" t="str">
        <f t="shared" si="73"/>
        <v>ok</v>
      </c>
      <c r="AA683" s="4" t="str">
        <f t="shared" si="74"/>
        <v>ok</v>
      </c>
      <c r="AB683" s="4" t="str">
        <f t="shared" si="75"/>
        <v>ok</v>
      </c>
      <c r="AC683" s="6">
        <f t="shared" si="76"/>
        <v>10.284227777738124</v>
      </c>
    </row>
    <row r="684" spans="1:29" x14ac:dyDescent="0.3">
      <c r="A684" t="s">
        <v>22</v>
      </c>
      <c r="B684">
        <v>1871</v>
      </c>
      <c r="C684" t="s">
        <v>23</v>
      </c>
      <c r="D684" t="s">
        <v>24</v>
      </c>
      <c r="E684" t="s">
        <v>62</v>
      </c>
      <c r="F684" t="s">
        <v>26</v>
      </c>
      <c r="G684" t="s">
        <v>60</v>
      </c>
      <c r="H684" s="1">
        <v>45034.742048611108</v>
      </c>
      <c r="I684" s="1">
        <v>45036.742048611108</v>
      </c>
      <c r="J684" s="1">
        <v>45034.783715277779</v>
      </c>
      <c r="K684" s="2">
        <v>45034.763876608798</v>
      </c>
      <c r="L684" t="s">
        <v>28</v>
      </c>
      <c r="M684" s="2">
        <v>45035.257262650463</v>
      </c>
      <c r="N684" t="s">
        <v>28</v>
      </c>
      <c r="O684" s="2">
        <v>45039.653661493059</v>
      </c>
      <c r="P684">
        <v>1</v>
      </c>
      <c r="Q684">
        <v>1</v>
      </c>
      <c r="R684" t="s">
        <v>55</v>
      </c>
      <c r="S684" t="s">
        <v>30</v>
      </c>
      <c r="T684" t="s">
        <v>65</v>
      </c>
      <c r="U684">
        <v>46.149166399999999</v>
      </c>
      <c r="V684">
        <v>14.9860106</v>
      </c>
      <c r="W684" t="str">
        <f t="shared" si="71"/>
        <v>ok</v>
      </c>
      <c r="X684" t="str">
        <f t="shared" si="77"/>
        <v>ok</v>
      </c>
      <c r="Y684" t="str">
        <f t="shared" si="72"/>
        <v>ok</v>
      </c>
      <c r="Z684" t="str">
        <f t="shared" si="73"/>
        <v>ok</v>
      </c>
      <c r="AA684" s="4" t="str">
        <f t="shared" si="74"/>
        <v>ok</v>
      </c>
      <c r="AB684" s="4" t="str">
        <f t="shared" si="75"/>
        <v>ok</v>
      </c>
      <c r="AC684" s="6">
        <f t="shared" si="76"/>
        <v>12.365136944514234</v>
      </c>
    </row>
    <row r="685" spans="1:29" x14ac:dyDescent="0.3">
      <c r="A685" t="s">
        <v>22</v>
      </c>
      <c r="B685">
        <v>1872</v>
      </c>
      <c r="C685" t="s">
        <v>33</v>
      </c>
      <c r="D685" t="s">
        <v>24</v>
      </c>
      <c r="E685" t="s">
        <v>35</v>
      </c>
      <c r="F685" t="s">
        <v>36</v>
      </c>
      <c r="G685" t="s">
        <v>54</v>
      </c>
      <c r="H685" s="1">
        <v>45034.58079861111</v>
      </c>
      <c r="I685" s="1">
        <v>45036.58079861111</v>
      </c>
      <c r="J685" s="1">
        <v>45034.622465277775</v>
      </c>
      <c r="K685" s="2">
        <v>45034.601177314813</v>
      </c>
      <c r="L685" t="s">
        <v>28</v>
      </c>
      <c r="M685" s="2">
        <v>45035.087710057873</v>
      </c>
      <c r="N685" t="s">
        <v>28</v>
      </c>
      <c r="O685" s="2">
        <v>45036.623734259258</v>
      </c>
      <c r="P685">
        <v>3</v>
      </c>
      <c r="Q685">
        <v>5</v>
      </c>
      <c r="R685" t="s">
        <v>50</v>
      </c>
      <c r="S685" t="s">
        <v>40</v>
      </c>
      <c r="T685" t="s">
        <v>65</v>
      </c>
      <c r="U685">
        <v>46.149166399999999</v>
      </c>
      <c r="V685">
        <v>14.9860106</v>
      </c>
      <c r="W685" t="str">
        <f t="shared" si="71"/>
        <v>ok</v>
      </c>
      <c r="X685" t="str">
        <f t="shared" si="77"/>
        <v>ok</v>
      </c>
      <c r="Y685" t="str">
        <f t="shared" si="72"/>
        <v>ok</v>
      </c>
      <c r="Z685" t="str">
        <f t="shared" si="73"/>
        <v>ok</v>
      </c>
      <c r="AA685" s="4" t="str">
        <f t="shared" si="74"/>
        <v>ok</v>
      </c>
      <c r="AB685" s="4" t="str">
        <f t="shared" si="75"/>
        <v>ok</v>
      </c>
      <c r="AC685" s="6">
        <f t="shared" si="76"/>
        <v>12.165874722297303</v>
      </c>
    </row>
    <row r="686" spans="1:29" x14ac:dyDescent="0.3">
      <c r="A686" t="s">
        <v>22</v>
      </c>
      <c r="B686">
        <v>1873</v>
      </c>
      <c r="C686" t="s">
        <v>23</v>
      </c>
      <c r="D686" t="s">
        <v>34</v>
      </c>
      <c r="E686" t="s">
        <v>25</v>
      </c>
      <c r="F686" t="s">
        <v>26</v>
      </c>
      <c r="G686" t="s">
        <v>27</v>
      </c>
      <c r="H686" s="1">
        <v>45034.68240740741</v>
      </c>
      <c r="I686" s="1">
        <v>45036.68240740741</v>
      </c>
      <c r="J686" s="1">
        <v>45034.683796296296</v>
      </c>
      <c r="K686" s="2">
        <v>45034.682706319443</v>
      </c>
      <c r="L686" t="s">
        <v>28</v>
      </c>
      <c r="M686" s="2">
        <v>45035.390923888888</v>
      </c>
      <c r="N686" t="s">
        <v>28</v>
      </c>
      <c r="O686" s="2">
        <v>45035.168095613422</v>
      </c>
      <c r="P686">
        <v>5</v>
      </c>
      <c r="Q686">
        <v>1</v>
      </c>
      <c r="R686" t="s">
        <v>29</v>
      </c>
      <c r="S686" t="s">
        <v>30</v>
      </c>
      <c r="T686" t="s">
        <v>56</v>
      </c>
      <c r="U686">
        <v>52.536273000000001</v>
      </c>
      <c r="V686">
        <v>19.050639</v>
      </c>
      <c r="W686" t="str">
        <f t="shared" si="71"/>
        <v>ok</v>
      </c>
      <c r="X686" t="str">
        <f t="shared" si="77"/>
        <v>ok</v>
      </c>
      <c r="Y686" t="str">
        <f t="shared" si="72"/>
        <v>check</v>
      </c>
      <c r="Z686" t="str">
        <f t="shared" si="73"/>
        <v>ok</v>
      </c>
      <c r="AA686" s="4" t="str">
        <f t="shared" si="74"/>
        <v>ok</v>
      </c>
      <c r="AB686" s="4" t="str">
        <f t="shared" si="75"/>
        <v>ok</v>
      </c>
      <c r="AC686" s="6">
        <f t="shared" si="76"/>
        <v>17.004395555472001</v>
      </c>
    </row>
    <row r="687" spans="1:29" x14ac:dyDescent="0.3">
      <c r="A687" t="s">
        <v>32</v>
      </c>
      <c r="B687">
        <v>1874</v>
      </c>
      <c r="C687" t="s">
        <v>23</v>
      </c>
      <c r="D687" t="s">
        <v>24</v>
      </c>
      <c r="E687" t="s">
        <v>39</v>
      </c>
      <c r="F687" t="s">
        <v>36</v>
      </c>
      <c r="G687" t="s">
        <v>54</v>
      </c>
      <c r="H687" s="1">
        <v>45034.373842592591</v>
      </c>
      <c r="I687" s="1">
        <v>45036.373842592591</v>
      </c>
      <c r="J687" s="1">
        <v>45034.415509259263</v>
      </c>
      <c r="K687" s="2">
        <v>45034.377971006943</v>
      </c>
      <c r="L687" t="s">
        <v>28</v>
      </c>
      <c r="N687" t="s">
        <v>38</v>
      </c>
      <c r="P687">
        <v>10</v>
      </c>
      <c r="R687" t="s">
        <v>50</v>
      </c>
      <c r="S687" t="s">
        <v>40</v>
      </c>
      <c r="T687" t="s">
        <v>41</v>
      </c>
      <c r="U687">
        <v>43.036776000000003</v>
      </c>
      <c r="V687">
        <v>12.678565000000001</v>
      </c>
      <c r="W687" t="str">
        <f t="shared" si="71"/>
        <v>ok</v>
      </c>
      <c r="X687" t="str">
        <f t="shared" si="77"/>
        <v>ok</v>
      </c>
      <c r="Y687" t="str">
        <f t="shared" si="72"/>
        <v>ok</v>
      </c>
      <c r="Z687" t="str">
        <f t="shared" si="73"/>
        <v>ok</v>
      </c>
      <c r="AA687" s="4" t="str">
        <f t="shared" si="74"/>
        <v>ok</v>
      </c>
      <c r="AB687" s="4" t="str">
        <f t="shared" si="75"/>
        <v>no resolution</v>
      </c>
      <c r="AC687" s="6" t="str">
        <f t="shared" si="76"/>
        <v/>
      </c>
    </row>
    <row r="688" spans="1:29" x14ac:dyDescent="0.3">
      <c r="A688" t="s">
        <v>42</v>
      </c>
      <c r="B688">
        <v>1875</v>
      </c>
      <c r="C688" t="s">
        <v>47</v>
      </c>
      <c r="D688" t="s">
        <v>43</v>
      </c>
      <c r="E688" t="s">
        <v>48</v>
      </c>
      <c r="F688" t="s">
        <v>36</v>
      </c>
      <c r="G688" t="s">
        <v>37</v>
      </c>
      <c r="H688" s="1">
        <v>45034.500196759262</v>
      </c>
      <c r="I688" s="1">
        <v>45035.500196759262</v>
      </c>
      <c r="J688" s="1">
        <v>45034.501585648148</v>
      </c>
      <c r="K688" s="2">
        <v>45034.501484745371</v>
      </c>
      <c r="L688" t="s">
        <v>28</v>
      </c>
      <c r="M688" s="2">
        <v>45034.727230555553</v>
      </c>
      <c r="N688" t="s">
        <v>28</v>
      </c>
      <c r="P688">
        <v>3</v>
      </c>
      <c r="R688" t="s">
        <v>50</v>
      </c>
      <c r="S688" t="s">
        <v>40</v>
      </c>
      <c r="T688" t="s">
        <v>57</v>
      </c>
      <c r="U688">
        <v>51.165691000000002</v>
      </c>
      <c r="V688">
        <v>10.451525999999999</v>
      </c>
      <c r="W688" t="str">
        <f t="shared" si="71"/>
        <v>ok</v>
      </c>
      <c r="X688" t="str">
        <f t="shared" si="77"/>
        <v>ok</v>
      </c>
      <c r="Y688" t="str">
        <f t="shared" si="72"/>
        <v>ok</v>
      </c>
      <c r="Z688" t="str">
        <f t="shared" si="73"/>
        <v>ok</v>
      </c>
      <c r="AA688" s="4" t="str">
        <f t="shared" si="74"/>
        <v>ok</v>
      </c>
      <c r="AB688" s="4" t="str">
        <f t="shared" si="75"/>
        <v>ok</v>
      </c>
      <c r="AC688" s="6">
        <f t="shared" si="76"/>
        <v>5.4488111109822057</v>
      </c>
    </row>
    <row r="689" spans="1:29" x14ac:dyDescent="0.3">
      <c r="A689" t="s">
        <v>22</v>
      </c>
      <c r="B689">
        <v>1876</v>
      </c>
      <c r="C689" t="s">
        <v>23</v>
      </c>
      <c r="D689" t="s">
        <v>24</v>
      </c>
      <c r="E689" t="s">
        <v>25</v>
      </c>
      <c r="F689" t="s">
        <v>26</v>
      </c>
      <c r="G689" t="s">
        <v>27</v>
      </c>
      <c r="H689" s="1">
        <v>45034.77034722222</v>
      </c>
      <c r="I689" s="1">
        <v>45036.77034722222</v>
      </c>
      <c r="J689" s="1">
        <v>45034.812013888892</v>
      </c>
      <c r="K689" s="2">
        <v>45034.78358891204</v>
      </c>
      <c r="L689" t="s">
        <v>28</v>
      </c>
      <c r="M689" s="2">
        <v>45035.418296643518</v>
      </c>
      <c r="N689" t="s">
        <v>28</v>
      </c>
      <c r="O689" s="2">
        <v>45040.003817141202</v>
      </c>
      <c r="P689">
        <v>6</v>
      </c>
      <c r="Q689">
        <v>4</v>
      </c>
      <c r="R689" t="s">
        <v>50</v>
      </c>
      <c r="S689" t="s">
        <v>30</v>
      </c>
      <c r="T689" t="s">
        <v>56</v>
      </c>
      <c r="U689">
        <v>52.536273000000001</v>
      </c>
      <c r="V689">
        <v>19.050639</v>
      </c>
      <c r="W689" t="str">
        <f t="shared" si="71"/>
        <v>ok</v>
      </c>
      <c r="X689" t="str">
        <f t="shared" si="77"/>
        <v>ok</v>
      </c>
      <c r="Y689" t="str">
        <f t="shared" si="72"/>
        <v>ok</v>
      </c>
      <c r="Z689" t="str">
        <f t="shared" si="73"/>
        <v>ok</v>
      </c>
      <c r="AA689" s="4" t="str">
        <f t="shared" si="74"/>
        <v>ok</v>
      </c>
      <c r="AB689" s="4" t="str">
        <f t="shared" si="75"/>
        <v>ok</v>
      </c>
      <c r="AC689" s="6">
        <f t="shared" si="76"/>
        <v>15.550786111154594</v>
      </c>
    </row>
    <row r="690" spans="1:29" x14ac:dyDescent="0.3">
      <c r="A690" t="s">
        <v>42</v>
      </c>
      <c r="B690">
        <v>1877</v>
      </c>
      <c r="C690" t="s">
        <v>47</v>
      </c>
      <c r="D690" t="s">
        <v>24</v>
      </c>
      <c r="E690" t="s">
        <v>35</v>
      </c>
      <c r="F690" t="s">
        <v>26</v>
      </c>
      <c r="G690" t="s">
        <v>27</v>
      </c>
      <c r="H690" s="1">
        <v>45034.734247685185</v>
      </c>
      <c r="I690" s="1">
        <v>45036.734247685185</v>
      </c>
      <c r="J690" s="1">
        <v>45034.775914351849</v>
      </c>
      <c r="K690" s="2">
        <v>45034.737132754628</v>
      </c>
      <c r="L690" t="s">
        <v>28</v>
      </c>
      <c r="M690" s="2">
        <v>45036.557729814813</v>
      </c>
      <c r="N690" t="s">
        <v>28</v>
      </c>
      <c r="P690">
        <v>5</v>
      </c>
      <c r="R690" t="s">
        <v>39</v>
      </c>
      <c r="S690" t="s">
        <v>30</v>
      </c>
      <c r="T690" t="s">
        <v>57</v>
      </c>
      <c r="U690">
        <v>51.165691000000002</v>
      </c>
      <c r="V690">
        <v>10.451525999999999</v>
      </c>
      <c r="W690" t="str">
        <f t="shared" si="71"/>
        <v>ok</v>
      </c>
      <c r="X690" t="str">
        <f t="shared" si="77"/>
        <v>ok</v>
      </c>
      <c r="Y690" t="str">
        <f t="shared" si="72"/>
        <v>ok</v>
      </c>
      <c r="Z690" t="str">
        <f t="shared" si="73"/>
        <v>ok</v>
      </c>
      <c r="AA690" s="4" t="str">
        <f t="shared" si="74"/>
        <v>ok</v>
      </c>
      <c r="AB690" s="4" t="str">
        <f t="shared" si="75"/>
        <v>ok</v>
      </c>
      <c r="AC690" s="6">
        <f t="shared" si="76"/>
        <v>43.763571111077908</v>
      </c>
    </row>
    <row r="691" spans="1:29" x14ac:dyDescent="0.3">
      <c r="A691" t="s">
        <v>22</v>
      </c>
      <c r="B691">
        <v>1878</v>
      </c>
      <c r="C691" t="s">
        <v>23</v>
      </c>
      <c r="D691" t="s">
        <v>24</v>
      </c>
      <c r="E691" t="s">
        <v>35</v>
      </c>
      <c r="F691" t="s">
        <v>26</v>
      </c>
      <c r="G691" t="s">
        <v>45</v>
      </c>
      <c r="H691" s="1">
        <v>45034.535856481481</v>
      </c>
      <c r="I691" s="1">
        <v>45036.535856481481</v>
      </c>
      <c r="J691" s="1">
        <v>45034.577523148146</v>
      </c>
      <c r="K691" s="2">
        <v>45034.541999224537</v>
      </c>
      <c r="L691" t="s">
        <v>28</v>
      </c>
      <c r="M691" s="2">
        <v>45036.106469247687</v>
      </c>
      <c r="N691" t="s">
        <v>28</v>
      </c>
      <c r="O691" s="2">
        <v>45035.161699143522</v>
      </c>
      <c r="P691">
        <v>7</v>
      </c>
      <c r="Q691">
        <v>4</v>
      </c>
      <c r="R691" t="s">
        <v>50</v>
      </c>
      <c r="S691" t="s">
        <v>30</v>
      </c>
      <c r="T691" t="s">
        <v>46</v>
      </c>
      <c r="U691">
        <v>47.696471899999999</v>
      </c>
      <c r="V691">
        <v>13.3457347</v>
      </c>
      <c r="W691" t="str">
        <f t="shared" si="71"/>
        <v>ok</v>
      </c>
      <c r="X691" t="str">
        <f t="shared" si="77"/>
        <v>ok</v>
      </c>
      <c r="Y691" t="str">
        <f t="shared" si="72"/>
        <v>check</v>
      </c>
      <c r="Z691" t="str">
        <f t="shared" si="73"/>
        <v>ok</v>
      </c>
      <c r="AA691" s="4" t="str">
        <f t="shared" si="74"/>
        <v>ok</v>
      </c>
      <c r="AB691" s="4" t="str">
        <f t="shared" si="75"/>
        <v>ok</v>
      </c>
      <c r="AC691" s="6">
        <f t="shared" si="76"/>
        <v>37.694706388923805</v>
      </c>
    </row>
    <row r="692" spans="1:29" x14ac:dyDescent="0.3">
      <c r="A692" t="s">
        <v>32</v>
      </c>
      <c r="B692">
        <v>1879</v>
      </c>
      <c r="C692" t="s">
        <v>23</v>
      </c>
      <c r="D692" t="s">
        <v>24</v>
      </c>
      <c r="E692" t="s">
        <v>44</v>
      </c>
      <c r="F692" t="s">
        <v>26</v>
      </c>
      <c r="G692" t="s">
        <v>52</v>
      </c>
      <c r="H692" s="1">
        <v>45034.916712962964</v>
      </c>
      <c r="I692" s="1">
        <v>45036.916712962964</v>
      </c>
      <c r="J692" s="1">
        <v>45034.958379629628</v>
      </c>
      <c r="K692" s="2">
        <v>45034.918402233794</v>
      </c>
      <c r="L692" t="s">
        <v>28</v>
      </c>
      <c r="N692" t="s">
        <v>38</v>
      </c>
      <c r="P692">
        <v>3</v>
      </c>
      <c r="R692" t="s">
        <v>50</v>
      </c>
      <c r="S692" t="s">
        <v>30</v>
      </c>
      <c r="T692" t="s">
        <v>41</v>
      </c>
      <c r="U692">
        <v>43.036776000000003</v>
      </c>
      <c r="V692">
        <v>12.678565000000001</v>
      </c>
      <c r="W692" t="str">
        <f t="shared" si="71"/>
        <v>ok</v>
      </c>
      <c r="X692" t="str">
        <f t="shared" si="77"/>
        <v>ok</v>
      </c>
      <c r="Y692" t="str">
        <f t="shared" si="72"/>
        <v>ok</v>
      </c>
      <c r="Z692" t="str">
        <f t="shared" si="73"/>
        <v>ok</v>
      </c>
      <c r="AA692" s="4" t="str">
        <f t="shared" si="74"/>
        <v>ok</v>
      </c>
      <c r="AB692" s="4" t="str">
        <f t="shared" si="75"/>
        <v>no resolution</v>
      </c>
      <c r="AC692" s="6" t="str">
        <f t="shared" si="76"/>
        <v/>
      </c>
    </row>
    <row r="693" spans="1:29" x14ac:dyDescent="0.3">
      <c r="A693" t="s">
        <v>42</v>
      </c>
      <c r="B693">
        <v>1880</v>
      </c>
      <c r="C693" t="s">
        <v>23</v>
      </c>
      <c r="D693" t="s">
        <v>24</v>
      </c>
      <c r="E693" t="s">
        <v>59</v>
      </c>
      <c r="F693" t="s">
        <v>26</v>
      </c>
      <c r="G693" t="s">
        <v>27</v>
      </c>
      <c r="H693" s="1">
        <v>45035.572604166664</v>
      </c>
      <c r="I693" s="1">
        <v>45037.572604166664</v>
      </c>
      <c r="J693" s="1">
        <v>45035.614270833335</v>
      </c>
      <c r="K693" s="2">
        <v>45035.611957951391</v>
      </c>
      <c r="L693" t="s">
        <v>28</v>
      </c>
      <c r="M693" s="2">
        <v>45036.631047523151</v>
      </c>
      <c r="N693" t="s">
        <v>28</v>
      </c>
      <c r="P693">
        <v>1</v>
      </c>
      <c r="R693" t="s">
        <v>29</v>
      </c>
      <c r="S693" t="s">
        <v>30</v>
      </c>
      <c r="T693" t="s">
        <v>57</v>
      </c>
      <c r="U693">
        <v>51.165691000000002</v>
      </c>
      <c r="V693">
        <v>10.451525999999999</v>
      </c>
      <c r="W693" t="str">
        <f t="shared" si="71"/>
        <v>ok</v>
      </c>
      <c r="X693" t="str">
        <f t="shared" si="77"/>
        <v>ok</v>
      </c>
      <c r="Y693" t="str">
        <f t="shared" si="72"/>
        <v>ok</v>
      </c>
      <c r="Z693" t="str">
        <f t="shared" si="73"/>
        <v>ok</v>
      </c>
      <c r="AA693" s="4" t="str">
        <f t="shared" si="74"/>
        <v>ok</v>
      </c>
      <c r="AB693" s="4" t="str">
        <f t="shared" si="75"/>
        <v>ok</v>
      </c>
      <c r="AC693" s="6">
        <f t="shared" si="76"/>
        <v>25.402640555694234</v>
      </c>
    </row>
    <row r="694" spans="1:29" x14ac:dyDescent="0.3">
      <c r="A694" t="s">
        <v>42</v>
      </c>
      <c r="B694">
        <v>1881</v>
      </c>
      <c r="C694" t="s">
        <v>33</v>
      </c>
      <c r="D694" t="s">
        <v>43</v>
      </c>
      <c r="E694" t="s">
        <v>44</v>
      </c>
      <c r="F694" t="s">
        <v>26</v>
      </c>
      <c r="G694" t="s">
        <v>45</v>
      </c>
      <c r="H694" s="1">
        <v>45035.955868055556</v>
      </c>
      <c r="I694" s="1">
        <v>45036.955868055556</v>
      </c>
      <c r="J694" s="1">
        <v>45035.957256944443</v>
      </c>
      <c r="K694" s="2">
        <v>45035.957193576389</v>
      </c>
      <c r="L694" t="s">
        <v>28</v>
      </c>
      <c r="M694" s="2">
        <v>45036.917640358799</v>
      </c>
      <c r="N694" t="s">
        <v>28</v>
      </c>
      <c r="P694">
        <v>6</v>
      </c>
      <c r="R694" t="s">
        <v>50</v>
      </c>
      <c r="S694" t="s">
        <v>30</v>
      </c>
      <c r="T694" t="s">
        <v>41</v>
      </c>
      <c r="U694">
        <v>43.036776000000003</v>
      </c>
      <c r="V694">
        <v>12.678565000000001</v>
      </c>
      <c r="W694" t="str">
        <f t="shared" si="71"/>
        <v>ok</v>
      </c>
      <c r="X694" t="str">
        <f t="shared" si="77"/>
        <v>ok</v>
      </c>
      <c r="Y694" t="str">
        <f t="shared" si="72"/>
        <v>ok</v>
      </c>
      <c r="Z694" t="str">
        <f t="shared" si="73"/>
        <v>ok</v>
      </c>
      <c r="AA694" s="4" t="str">
        <f t="shared" si="74"/>
        <v>ok</v>
      </c>
      <c r="AB694" s="4" t="str">
        <f t="shared" si="75"/>
        <v>ok</v>
      </c>
      <c r="AC694" s="6">
        <f t="shared" si="76"/>
        <v>23.082535277819261</v>
      </c>
    </row>
    <row r="695" spans="1:29" x14ac:dyDescent="0.3">
      <c r="A695" t="s">
        <v>42</v>
      </c>
      <c r="B695">
        <v>1882</v>
      </c>
      <c r="C695" t="s">
        <v>47</v>
      </c>
      <c r="D695" t="s">
        <v>43</v>
      </c>
      <c r="E695" t="s">
        <v>25</v>
      </c>
      <c r="F695" t="s">
        <v>26</v>
      </c>
      <c r="G695" t="s">
        <v>52</v>
      </c>
      <c r="H695" s="1">
        <v>45035.12127314815</v>
      </c>
      <c r="I695" s="1">
        <v>45036.12127314815</v>
      </c>
      <c r="J695" s="1">
        <v>45035.122662037036</v>
      </c>
      <c r="K695" s="2">
        <v>45035.124838807867</v>
      </c>
      <c r="L695" t="s">
        <v>38</v>
      </c>
      <c r="M695" s="2">
        <v>45038.163848194446</v>
      </c>
      <c r="N695" t="s">
        <v>38</v>
      </c>
      <c r="P695">
        <v>4</v>
      </c>
      <c r="R695" t="s">
        <v>50</v>
      </c>
      <c r="S695" t="s">
        <v>30</v>
      </c>
      <c r="T695" t="s">
        <v>63</v>
      </c>
      <c r="U695">
        <v>55.378051999999997</v>
      </c>
      <c r="V695">
        <v>-3.4359730000000002</v>
      </c>
      <c r="W695" t="str">
        <f t="shared" si="71"/>
        <v>ok</v>
      </c>
      <c r="X695" t="str">
        <f t="shared" si="77"/>
        <v>ok</v>
      </c>
      <c r="Y695" t="str">
        <f t="shared" si="72"/>
        <v>ok</v>
      </c>
      <c r="Z695" t="str">
        <f t="shared" si="73"/>
        <v>ok</v>
      </c>
      <c r="AA695" s="4" t="str">
        <f t="shared" si="74"/>
        <v>ok</v>
      </c>
      <c r="AB695" s="4" t="str">
        <f t="shared" si="75"/>
        <v>ok</v>
      </c>
      <c r="AC695" s="6">
        <f t="shared" si="76"/>
        <v>73.021801111113746</v>
      </c>
    </row>
    <row r="696" spans="1:29" x14ac:dyDescent="0.3">
      <c r="A696" t="s">
        <v>32</v>
      </c>
      <c r="B696">
        <v>1883</v>
      </c>
      <c r="C696" t="s">
        <v>23</v>
      </c>
      <c r="D696" t="s">
        <v>43</v>
      </c>
      <c r="E696" t="s">
        <v>25</v>
      </c>
      <c r="F696" t="s">
        <v>26</v>
      </c>
      <c r="G696" t="s">
        <v>49</v>
      </c>
      <c r="H696" s="1">
        <v>45035.633981481478</v>
      </c>
      <c r="I696" s="1">
        <v>45036.633981481478</v>
      </c>
      <c r="J696" s="1">
        <v>45035.635370370372</v>
      </c>
      <c r="K696" s="2">
        <v>45035.634771701392</v>
      </c>
      <c r="L696" t="s">
        <v>28</v>
      </c>
      <c r="N696" t="s">
        <v>38</v>
      </c>
      <c r="P696">
        <v>4</v>
      </c>
      <c r="R696" t="s">
        <v>29</v>
      </c>
      <c r="S696" t="s">
        <v>30</v>
      </c>
      <c r="T696" t="s">
        <v>65</v>
      </c>
      <c r="U696">
        <v>46.149166399999999</v>
      </c>
      <c r="V696">
        <v>14.9860106</v>
      </c>
      <c r="W696" t="str">
        <f t="shared" si="71"/>
        <v>ok</v>
      </c>
      <c r="X696" t="str">
        <f t="shared" si="77"/>
        <v>ok</v>
      </c>
      <c r="Y696" t="str">
        <f t="shared" si="72"/>
        <v>ok</v>
      </c>
      <c r="Z696" t="str">
        <f t="shared" si="73"/>
        <v>ok</v>
      </c>
      <c r="AA696" s="4" t="str">
        <f t="shared" si="74"/>
        <v>ok</v>
      </c>
      <c r="AB696" s="4" t="str">
        <f t="shared" si="75"/>
        <v>no resolution</v>
      </c>
      <c r="AC696" s="6" t="str">
        <f t="shared" si="76"/>
        <v/>
      </c>
    </row>
    <row r="697" spans="1:29" x14ac:dyDescent="0.3">
      <c r="A697" t="s">
        <v>22</v>
      </c>
      <c r="B697">
        <v>1884</v>
      </c>
      <c r="C697" t="s">
        <v>33</v>
      </c>
      <c r="D697" t="s">
        <v>24</v>
      </c>
      <c r="E697" t="s">
        <v>59</v>
      </c>
      <c r="F697" t="s">
        <v>36</v>
      </c>
      <c r="G697" t="s">
        <v>64</v>
      </c>
      <c r="H697" s="1">
        <v>45035.566203703704</v>
      </c>
      <c r="I697" s="1">
        <v>45037.566203703704</v>
      </c>
      <c r="J697" s="1">
        <v>45035.607870370368</v>
      </c>
      <c r="K697" s="2">
        <v>45035.869275775462</v>
      </c>
      <c r="L697" t="s">
        <v>38</v>
      </c>
      <c r="M697" s="2">
        <v>45035.689686319442</v>
      </c>
      <c r="N697" t="s">
        <v>28</v>
      </c>
      <c r="O697" s="2">
        <v>45040.077660636576</v>
      </c>
      <c r="P697">
        <v>5</v>
      </c>
      <c r="Q697">
        <v>3</v>
      </c>
      <c r="R697" t="s">
        <v>29</v>
      </c>
      <c r="S697" t="s">
        <v>40</v>
      </c>
      <c r="T697" t="s">
        <v>51</v>
      </c>
      <c r="U697">
        <v>39.673369999999998</v>
      </c>
      <c r="V697">
        <v>-4.7677259999999997</v>
      </c>
      <c r="W697" t="str">
        <f t="shared" si="71"/>
        <v>ok</v>
      </c>
      <c r="X697" t="str">
        <f t="shared" si="77"/>
        <v>ok</v>
      </c>
      <c r="Y697" t="str">
        <f t="shared" si="72"/>
        <v>ok</v>
      </c>
      <c r="Z697" t="str">
        <f t="shared" si="73"/>
        <v>ok</v>
      </c>
      <c r="AA697" s="4" t="str">
        <f t="shared" si="74"/>
        <v>ok</v>
      </c>
      <c r="AB697" s="4" t="str">
        <f t="shared" si="75"/>
        <v>ok</v>
      </c>
      <c r="AC697" s="6">
        <f t="shared" si="76"/>
        <v>2.9635827777092345</v>
      </c>
    </row>
    <row r="698" spans="1:29" x14ac:dyDescent="0.3">
      <c r="A698" t="s">
        <v>22</v>
      </c>
      <c r="B698">
        <v>1885</v>
      </c>
      <c r="C698" t="s">
        <v>47</v>
      </c>
      <c r="D698" t="s">
        <v>34</v>
      </c>
      <c r="E698" t="s">
        <v>39</v>
      </c>
      <c r="F698" t="s">
        <v>26</v>
      </c>
      <c r="G698" t="s">
        <v>52</v>
      </c>
      <c r="H698" s="1">
        <v>45035.026585648149</v>
      </c>
      <c r="I698" s="1">
        <v>45037.026585648149</v>
      </c>
      <c r="J698" s="1">
        <v>45035.027974537035</v>
      </c>
      <c r="K698" s="2">
        <v>45035.02840383102</v>
      </c>
      <c r="L698" t="s">
        <v>38</v>
      </c>
      <c r="M698" s="2">
        <v>45036.563302893519</v>
      </c>
      <c r="N698" t="s">
        <v>28</v>
      </c>
      <c r="O698" s="2">
        <v>45038.938610497687</v>
      </c>
      <c r="P698">
        <v>5</v>
      </c>
      <c r="Q698">
        <v>3</v>
      </c>
      <c r="R698" t="s">
        <v>50</v>
      </c>
      <c r="S698" t="s">
        <v>30</v>
      </c>
      <c r="T698" t="s">
        <v>41</v>
      </c>
      <c r="U698">
        <v>43.036776000000003</v>
      </c>
      <c r="V698">
        <v>12.678565000000001</v>
      </c>
      <c r="W698" t="str">
        <f t="shared" si="71"/>
        <v>ok</v>
      </c>
      <c r="X698" t="str">
        <f t="shared" si="77"/>
        <v>ok</v>
      </c>
      <c r="Y698" t="str">
        <f t="shared" si="72"/>
        <v>ok</v>
      </c>
      <c r="Z698" t="str">
        <f t="shared" si="73"/>
        <v>ok</v>
      </c>
      <c r="AA698" s="4" t="str">
        <f t="shared" si="74"/>
        <v>ok</v>
      </c>
      <c r="AB698" s="4" t="str">
        <f t="shared" si="75"/>
        <v>ok</v>
      </c>
      <c r="AC698" s="6">
        <f t="shared" si="76"/>
        <v>36.881213888875209</v>
      </c>
    </row>
    <row r="699" spans="1:29" x14ac:dyDescent="0.3">
      <c r="A699" t="s">
        <v>42</v>
      </c>
      <c r="B699">
        <v>1886</v>
      </c>
      <c r="C699" t="s">
        <v>23</v>
      </c>
      <c r="D699" t="s">
        <v>43</v>
      </c>
      <c r="E699" t="s">
        <v>59</v>
      </c>
      <c r="F699" t="s">
        <v>36</v>
      </c>
      <c r="G699" t="s">
        <v>54</v>
      </c>
      <c r="H699" s="1">
        <v>45035.210497685184</v>
      </c>
      <c r="I699" s="1">
        <v>45036.210497685184</v>
      </c>
      <c r="J699" s="1">
        <v>45035.211886574078</v>
      </c>
      <c r="K699" s="2">
        <v>45035.211629976853</v>
      </c>
      <c r="L699" t="s">
        <v>28</v>
      </c>
      <c r="M699" s="2">
        <v>45036.038138113428</v>
      </c>
      <c r="N699" t="s">
        <v>28</v>
      </c>
      <c r="P699">
        <v>6</v>
      </c>
      <c r="R699" t="s">
        <v>50</v>
      </c>
      <c r="S699" t="s">
        <v>40</v>
      </c>
      <c r="T699" t="s">
        <v>66</v>
      </c>
      <c r="U699">
        <v>48.864716000000001</v>
      </c>
      <c r="V699">
        <v>2.3490139999999999</v>
      </c>
      <c r="W699" t="str">
        <f t="shared" si="71"/>
        <v>ok</v>
      </c>
      <c r="X699" t="str">
        <f t="shared" si="77"/>
        <v>ok</v>
      </c>
      <c r="Y699" t="str">
        <f t="shared" si="72"/>
        <v>ok</v>
      </c>
      <c r="Z699" t="str">
        <f t="shared" si="73"/>
        <v>ok</v>
      </c>
      <c r="AA699" s="4" t="str">
        <f t="shared" si="74"/>
        <v>ok</v>
      </c>
      <c r="AB699" s="4" t="str">
        <f t="shared" si="75"/>
        <v>ok</v>
      </c>
      <c r="AC699" s="6">
        <f t="shared" si="76"/>
        <v>19.863370277860668</v>
      </c>
    </row>
    <row r="700" spans="1:29" x14ac:dyDescent="0.3">
      <c r="A700" t="s">
        <v>22</v>
      </c>
      <c r="B700">
        <v>1887</v>
      </c>
      <c r="C700" t="s">
        <v>23</v>
      </c>
      <c r="D700" t="s">
        <v>43</v>
      </c>
      <c r="E700" t="s">
        <v>48</v>
      </c>
      <c r="F700" t="s">
        <v>26</v>
      </c>
      <c r="G700" t="s">
        <v>52</v>
      </c>
      <c r="H700" s="1">
        <v>45035.214155092595</v>
      </c>
      <c r="I700" s="1">
        <v>45036.214155092595</v>
      </c>
      <c r="J700" s="1">
        <v>45035.215543981481</v>
      </c>
      <c r="K700" s="2">
        <v>45035.215240636571</v>
      </c>
      <c r="L700" t="s">
        <v>28</v>
      </c>
      <c r="M700" s="2">
        <v>45037.539660590279</v>
      </c>
      <c r="N700" t="s">
        <v>38</v>
      </c>
      <c r="O700" s="2">
        <v>45039.414151562502</v>
      </c>
      <c r="P700">
        <v>6</v>
      </c>
      <c r="Q700">
        <v>2</v>
      </c>
      <c r="R700" t="s">
        <v>29</v>
      </c>
      <c r="S700" t="s">
        <v>30</v>
      </c>
      <c r="T700" t="s">
        <v>57</v>
      </c>
      <c r="U700">
        <v>51.165691000000002</v>
      </c>
      <c r="V700">
        <v>10.451525999999999</v>
      </c>
      <c r="W700" t="str">
        <f t="shared" si="71"/>
        <v>ok</v>
      </c>
      <c r="X700" t="str">
        <f t="shared" si="77"/>
        <v>ok</v>
      </c>
      <c r="Y700" t="str">
        <f t="shared" si="72"/>
        <v>ok</v>
      </c>
      <c r="Z700" t="str">
        <f t="shared" si="73"/>
        <v>ok</v>
      </c>
      <c r="AA700" s="4" t="str">
        <f t="shared" si="74"/>
        <v>ok</v>
      </c>
      <c r="AB700" s="4" t="str">
        <f t="shared" si="75"/>
        <v>ok</v>
      </c>
      <c r="AC700" s="6">
        <f t="shared" si="76"/>
        <v>55.812131944403518</v>
      </c>
    </row>
    <row r="701" spans="1:29" x14ac:dyDescent="0.3">
      <c r="A701" t="s">
        <v>32</v>
      </c>
      <c r="B701">
        <v>1888</v>
      </c>
      <c r="C701" t="s">
        <v>23</v>
      </c>
      <c r="D701" t="s">
        <v>24</v>
      </c>
      <c r="E701" t="s">
        <v>44</v>
      </c>
      <c r="F701" t="s">
        <v>26</v>
      </c>
      <c r="G701" t="s">
        <v>52</v>
      </c>
      <c r="H701" s="1">
        <v>45036.222719907404</v>
      </c>
      <c r="I701" s="1">
        <v>45038.222719907404</v>
      </c>
      <c r="J701" s="1">
        <v>45036.264386574076</v>
      </c>
      <c r="K701" s="2">
        <v>45036.258536099536</v>
      </c>
      <c r="L701" t="s">
        <v>28</v>
      </c>
      <c r="N701" t="s">
        <v>38</v>
      </c>
      <c r="P701">
        <v>7</v>
      </c>
      <c r="R701" t="s">
        <v>50</v>
      </c>
      <c r="S701" t="s">
        <v>30</v>
      </c>
      <c r="T701" t="s">
        <v>56</v>
      </c>
      <c r="U701">
        <v>52.536273000000001</v>
      </c>
      <c r="V701">
        <v>19.050639</v>
      </c>
      <c r="W701" t="str">
        <f t="shared" si="71"/>
        <v>ok</v>
      </c>
      <c r="X701" t="str">
        <f t="shared" si="77"/>
        <v>ok</v>
      </c>
      <c r="Y701" t="str">
        <f t="shared" si="72"/>
        <v>ok</v>
      </c>
      <c r="Z701" t="str">
        <f t="shared" si="73"/>
        <v>ok</v>
      </c>
      <c r="AA701" s="4" t="str">
        <f t="shared" si="74"/>
        <v>ok</v>
      </c>
      <c r="AB701" s="4" t="str">
        <f t="shared" si="75"/>
        <v>no resolution</v>
      </c>
      <c r="AC701" s="6" t="str">
        <f t="shared" si="76"/>
        <v/>
      </c>
    </row>
    <row r="702" spans="1:29" x14ac:dyDescent="0.3">
      <c r="A702" t="s">
        <v>22</v>
      </c>
      <c r="B702">
        <v>1889</v>
      </c>
      <c r="C702" t="s">
        <v>23</v>
      </c>
      <c r="D702" t="s">
        <v>24</v>
      </c>
      <c r="E702" t="s">
        <v>48</v>
      </c>
      <c r="F702" t="s">
        <v>26</v>
      </c>
      <c r="G702" t="s">
        <v>60</v>
      </c>
      <c r="H702" s="1">
        <v>45036.135416666664</v>
      </c>
      <c r="I702" s="1">
        <v>45038.135416666664</v>
      </c>
      <c r="J702" s="1">
        <v>45036.177083333336</v>
      </c>
      <c r="K702" s="2">
        <v>45036.168483692127</v>
      </c>
      <c r="L702" t="s">
        <v>28</v>
      </c>
      <c r="M702" s="2">
        <v>45037.135562256946</v>
      </c>
      <c r="N702" t="s">
        <v>28</v>
      </c>
      <c r="O702" s="2">
        <v>45040.555902037035</v>
      </c>
      <c r="P702">
        <v>7</v>
      </c>
      <c r="Q702">
        <v>1</v>
      </c>
      <c r="R702" t="s">
        <v>29</v>
      </c>
      <c r="S702" t="s">
        <v>30</v>
      </c>
      <c r="T702" t="s">
        <v>41</v>
      </c>
      <c r="U702">
        <v>43.036776000000003</v>
      </c>
      <c r="V702">
        <v>12.678565000000001</v>
      </c>
      <c r="W702" t="str">
        <f t="shared" si="71"/>
        <v>ok</v>
      </c>
      <c r="X702" t="str">
        <f t="shared" si="77"/>
        <v>ok</v>
      </c>
      <c r="Y702" t="str">
        <f t="shared" si="72"/>
        <v>ok</v>
      </c>
      <c r="Z702" t="str">
        <f t="shared" si="73"/>
        <v>ok</v>
      </c>
      <c r="AA702" s="4" t="str">
        <f t="shared" si="74"/>
        <v>ok</v>
      </c>
      <c r="AB702" s="4" t="str">
        <f t="shared" si="75"/>
        <v>ok</v>
      </c>
      <c r="AC702" s="6">
        <f t="shared" si="76"/>
        <v>24.003494166769087</v>
      </c>
    </row>
    <row r="703" spans="1:29" x14ac:dyDescent="0.3">
      <c r="A703" t="s">
        <v>42</v>
      </c>
      <c r="B703">
        <v>1890</v>
      </c>
      <c r="C703" t="s">
        <v>33</v>
      </c>
      <c r="D703" t="s">
        <v>24</v>
      </c>
      <c r="E703" t="s">
        <v>44</v>
      </c>
      <c r="F703" t="s">
        <v>26</v>
      </c>
      <c r="G703" t="s">
        <v>49</v>
      </c>
      <c r="H703" s="1">
        <v>45036.118425925924</v>
      </c>
      <c r="I703" s="1">
        <v>45038.118425925924</v>
      </c>
      <c r="J703" s="1">
        <v>45036.160092592596</v>
      </c>
      <c r="K703" s="2">
        <v>45036.121204606483</v>
      </c>
      <c r="L703" t="s">
        <v>28</v>
      </c>
      <c r="M703" s="2">
        <v>45037.141236747688</v>
      </c>
      <c r="N703" t="s">
        <v>28</v>
      </c>
      <c r="P703">
        <v>7</v>
      </c>
      <c r="R703" t="s">
        <v>50</v>
      </c>
      <c r="S703" t="s">
        <v>30</v>
      </c>
      <c r="T703" t="s">
        <v>53</v>
      </c>
      <c r="U703">
        <v>39.368279000000001</v>
      </c>
      <c r="V703">
        <v>21.863140999999999</v>
      </c>
      <c r="W703" t="str">
        <f t="shared" si="71"/>
        <v>ok</v>
      </c>
      <c r="X703" t="str">
        <f t="shared" si="77"/>
        <v>ok</v>
      </c>
      <c r="Y703" t="str">
        <f t="shared" si="72"/>
        <v>ok</v>
      </c>
      <c r="Z703" t="str">
        <f t="shared" si="73"/>
        <v>ok</v>
      </c>
      <c r="AA703" s="4" t="str">
        <f t="shared" si="74"/>
        <v>ok</v>
      </c>
      <c r="AB703" s="4" t="str">
        <f t="shared" si="75"/>
        <v>ok</v>
      </c>
      <c r="AC703" s="6">
        <f t="shared" si="76"/>
        <v>24.547459722321946</v>
      </c>
    </row>
    <row r="704" spans="1:29" x14ac:dyDescent="0.3">
      <c r="A704" t="s">
        <v>42</v>
      </c>
      <c r="B704">
        <v>1891</v>
      </c>
      <c r="C704" t="s">
        <v>23</v>
      </c>
      <c r="D704" t="s">
        <v>24</v>
      </c>
      <c r="E704" t="s">
        <v>48</v>
      </c>
      <c r="F704" t="s">
        <v>26</v>
      </c>
      <c r="G704" t="s">
        <v>45</v>
      </c>
      <c r="H704" s="1">
        <v>45036.17</v>
      </c>
      <c r="I704" s="1">
        <v>45038.17</v>
      </c>
      <c r="J704" s="1">
        <v>45036.21166666667</v>
      </c>
      <c r="K704" s="2">
        <v>45036.178683113423</v>
      </c>
      <c r="L704" t="s">
        <v>28</v>
      </c>
      <c r="M704" s="2">
        <v>45037.267723611112</v>
      </c>
      <c r="N704" t="s">
        <v>28</v>
      </c>
      <c r="P704">
        <v>4</v>
      </c>
      <c r="R704" t="s">
        <v>39</v>
      </c>
      <c r="S704" t="s">
        <v>30</v>
      </c>
      <c r="T704" t="s">
        <v>57</v>
      </c>
      <c r="U704">
        <v>51.165691000000002</v>
      </c>
      <c r="V704">
        <v>10.451525999999999</v>
      </c>
      <c r="W704" t="str">
        <f t="shared" si="71"/>
        <v>ok</v>
      </c>
      <c r="X704" t="str">
        <f t="shared" si="77"/>
        <v>ok</v>
      </c>
      <c r="Y704" t="str">
        <f t="shared" si="72"/>
        <v>ok</v>
      </c>
      <c r="Z704" t="str">
        <f t="shared" si="73"/>
        <v>ok</v>
      </c>
      <c r="AA704" s="4" t="str">
        <f t="shared" si="74"/>
        <v>ok</v>
      </c>
      <c r="AB704" s="4" t="str">
        <f t="shared" si="75"/>
        <v>ok</v>
      </c>
      <c r="AC704" s="6">
        <f t="shared" si="76"/>
        <v>26.345366666733753</v>
      </c>
    </row>
    <row r="705" spans="1:29" x14ac:dyDescent="0.3">
      <c r="A705" t="s">
        <v>42</v>
      </c>
      <c r="B705">
        <v>1892</v>
      </c>
      <c r="C705" t="s">
        <v>23</v>
      </c>
      <c r="D705" t="s">
        <v>24</v>
      </c>
      <c r="E705" t="s">
        <v>39</v>
      </c>
      <c r="F705" t="s">
        <v>26</v>
      </c>
      <c r="G705" t="s">
        <v>52</v>
      </c>
      <c r="H705" s="1">
        <v>45036.422326388885</v>
      </c>
      <c r="I705" s="1">
        <v>45038.422326388885</v>
      </c>
      <c r="J705" s="1">
        <v>45036.463993055557</v>
      </c>
      <c r="K705" s="2">
        <v>45036.433479548614</v>
      </c>
      <c r="L705" t="s">
        <v>28</v>
      </c>
      <c r="M705" s="2">
        <v>45036.827523194443</v>
      </c>
      <c r="N705" t="s">
        <v>28</v>
      </c>
      <c r="P705">
        <v>8</v>
      </c>
      <c r="R705" t="s">
        <v>29</v>
      </c>
      <c r="S705" t="s">
        <v>30</v>
      </c>
      <c r="T705" t="s">
        <v>31</v>
      </c>
      <c r="U705">
        <v>53.094023999999997</v>
      </c>
      <c r="V705">
        <v>-8.0196749999999994</v>
      </c>
      <c r="W705" t="str">
        <f t="shared" si="71"/>
        <v>ok</v>
      </c>
      <c r="X705" t="str">
        <f t="shared" si="77"/>
        <v>ok</v>
      </c>
      <c r="Y705" t="str">
        <f t="shared" si="72"/>
        <v>ok</v>
      </c>
      <c r="Z705" t="str">
        <f t="shared" si="73"/>
        <v>ok</v>
      </c>
      <c r="AA705" s="4" t="str">
        <f t="shared" si="74"/>
        <v>ok</v>
      </c>
      <c r="AB705" s="4" t="str">
        <f t="shared" si="75"/>
        <v>ok</v>
      </c>
      <c r="AC705" s="6">
        <f t="shared" si="76"/>
        <v>9.7247233333764598</v>
      </c>
    </row>
    <row r="706" spans="1:29" x14ac:dyDescent="0.3">
      <c r="A706" t="s">
        <v>22</v>
      </c>
      <c r="B706">
        <v>1893</v>
      </c>
      <c r="C706" t="s">
        <v>23</v>
      </c>
      <c r="D706" t="s">
        <v>34</v>
      </c>
      <c r="E706" t="s">
        <v>25</v>
      </c>
      <c r="F706" t="s">
        <v>26</v>
      </c>
      <c r="G706" t="s">
        <v>52</v>
      </c>
      <c r="H706" s="1">
        <v>45036.350694444445</v>
      </c>
      <c r="I706" s="1">
        <v>45038.350694444445</v>
      </c>
      <c r="J706" s="1">
        <v>45036.352083333331</v>
      </c>
      <c r="K706" s="2">
        <v>45036.351654918981</v>
      </c>
      <c r="L706" t="s">
        <v>28</v>
      </c>
      <c r="M706" s="2">
        <v>45037.176857766201</v>
      </c>
      <c r="N706" t="s">
        <v>28</v>
      </c>
      <c r="O706" s="2">
        <v>45040.448726759256</v>
      </c>
      <c r="P706">
        <v>4</v>
      </c>
      <c r="Q706">
        <v>4</v>
      </c>
      <c r="R706" t="s">
        <v>50</v>
      </c>
      <c r="S706" t="s">
        <v>30</v>
      </c>
      <c r="T706" t="s">
        <v>65</v>
      </c>
      <c r="U706">
        <v>46.149166399999999</v>
      </c>
      <c r="V706">
        <v>14.9860106</v>
      </c>
      <c r="W706" t="str">
        <f t="shared" ref="W706:W769" si="78">IF(K706&lt;H706,"check","ok")</f>
        <v>ok</v>
      </c>
      <c r="X706" t="str">
        <f t="shared" si="77"/>
        <v>ok</v>
      </c>
      <c r="Y706" t="str">
        <f t="shared" ref="Y706:Y769" si="79">IF(AND(M706&lt;&gt;"",O706&lt;&gt;"",O706&lt;M706),"check","ok")</f>
        <v>ok</v>
      </c>
      <c r="Z706" t="str">
        <f t="shared" ref="Z706:Z769" si="80">IF(AND(OR(CA706="Closed",A706="Resolved"),M706=""),"check","ok")</f>
        <v>ok</v>
      </c>
      <c r="AA706" s="4" t="str">
        <f t="shared" ref="AA706:AA769" si="81">IF(K706="","no response",IF(OR(AND(K706&lt;=J706,L706="Within SLA"),AND(K706&gt;J706,L706="SLA Violated")),"ok","check"))</f>
        <v>ok</v>
      </c>
      <c r="AB706" s="4" t="str">
        <f t="shared" ref="AB706:AB769" si="82">IF(M706="","no resolution",IF(OR(AND(M706&lt;=I706,N706="Within SLA"),AND(M706&gt;I706,N706="SLA Violated")),"ok","check"))</f>
        <v>ok</v>
      </c>
      <c r="AC706" s="6">
        <f t="shared" ref="AC706:AC769" si="83">IF(M706="","",(M706-H706)*24)</f>
        <v>19.827919722127263</v>
      </c>
    </row>
    <row r="707" spans="1:29" x14ac:dyDescent="0.3">
      <c r="A707" t="s">
        <v>42</v>
      </c>
      <c r="B707">
        <v>1894</v>
      </c>
      <c r="C707" t="s">
        <v>47</v>
      </c>
      <c r="D707" t="s">
        <v>43</v>
      </c>
      <c r="E707" t="s">
        <v>25</v>
      </c>
      <c r="F707" t="s">
        <v>26</v>
      </c>
      <c r="G707" t="s">
        <v>60</v>
      </c>
      <c r="H707" s="1">
        <v>45036.999016203707</v>
      </c>
      <c r="I707" s="1">
        <v>45037.999016203707</v>
      </c>
      <c r="J707" s="1">
        <v>45037.000405092593</v>
      </c>
      <c r="K707" s="2">
        <v>45036.999049641207</v>
      </c>
      <c r="L707" t="s">
        <v>28</v>
      </c>
      <c r="M707" s="2">
        <v>45041.204105462966</v>
      </c>
      <c r="N707" t="s">
        <v>38</v>
      </c>
      <c r="P707">
        <v>6</v>
      </c>
      <c r="R707" t="s">
        <v>39</v>
      </c>
      <c r="S707" t="s">
        <v>30</v>
      </c>
      <c r="T707" t="s">
        <v>57</v>
      </c>
      <c r="U707">
        <v>51.165691000000002</v>
      </c>
      <c r="V707">
        <v>10.451525999999999</v>
      </c>
      <c r="W707" t="str">
        <f t="shared" si="78"/>
        <v>ok</v>
      </c>
      <c r="X707" t="str">
        <f t="shared" ref="X707:X770" si="84">IF(AND(M707&lt;&gt;"",M707&lt;H707),"check","ok")</f>
        <v>ok</v>
      </c>
      <c r="Y707" t="str">
        <f t="shared" si="79"/>
        <v>ok</v>
      </c>
      <c r="Z707" t="str">
        <f t="shared" si="80"/>
        <v>ok</v>
      </c>
      <c r="AA707" s="4" t="str">
        <f t="shared" si="81"/>
        <v>ok</v>
      </c>
      <c r="AB707" s="4" t="str">
        <f t="shared" si="82"/>
        <v>ok</v>
      </c>
      <c r="AC707" s="6">
        <f t="shared" si="83"/>
        <v>100.92214222223265</v>
      </c>
    </row>
    <row r="708" spans="1:29" x14ac:dyDescent="0.3">
      <c r="A708" t="s">
        <v>22</v>
      </c>
      <c r="B708">
        <v>1895</v>
      </c>
      <c r="C708" t="s">
        <v>23</v>
      </c>
      <c r="D708" t="s">
        <v>24</v>
      </c>
      <c r="E708" t="s">
        <v>35</v>
      </c>
      <c r="F708" t="s">
        <v>26</v>
      </c>
      <c r="G708" t="s">
        <v>49</v>
      </c>
      <c r="H708" s="1">
        <v>45036.036064814813</v>
      </c>
      <c r="I708" s="1">
        <v>45038.036064814813</v>
      </c>
      <c r="J708" s="1">
        <v>45036.077731481484</v>
      </c>
      <c r="K708" s="2">
        <v>45036.061126736109</v>
      </c>
      <c r="L708" t="s">
        <v>28</v>
      </c>
      <c r="M708" s="2">
        <v>45037.422893344905</v>
      </c>
      <c r="N708" t="s">
        <v>28</v>
      </c>
      <c r="O708" s="2">
        <v>45038.847829224535</v>
      </c>
      <c r="P708">
        <v>6</v>
      </c>
      <c r="Q708">
        <v>3</v>
      </c>
      <c r="R708" t="s">
        <v>39</v>
      </c>
      <c r="S708" t="s">
        <v>30</v>
      </c>
      <c r="T708" t="s">
        <v>31</v>
      </c>
      <c r="U708">
        <v>53.094023999999997</v>
      </c>
      <c r="V708">
        <v>-8.0196749999999994</v>
      </c>
      <c r="W708" t="str">
        <f t="shared" si="78"/>
        <v>ok</v>
      </c>
      <c r="X708" t="str">
        <f t="shared" si="84"/>
        <v>ok</v>
      </c>
      <c r="Y708" t="str">
        <f t="shared" si="79"/>
        <v>ok</v>
      </c>
      <c r="Z708" t="str">
        <f t="shared" si="80"/>
        <v>ok</v>
      </c>
      <c r="AA708" s="4" t="str">
        <f t="shared" si="81"/>
        <v>ok</v>
      </c>
      <c r="AB708" s="4" t="str">
        <f t="shared" si="82"/>
        <v>ok</v>
      </c>
      <c r="AC708" s="6">
        <f t="shared" si="83"/>
        <v>33.283884722215589</v>
      </c>
    </row>
    <row r="709" spans="1:29" x14ac:dyDescent="0.3">
      <c r="A709" t="s">
        <v>22</v>
      </c>
      <c r="B709">
        <v>1896</v>
      </c>
      <c r="C709" t="s">
        <v>23</v>
      </c>
      <c r="D709" t="s">
        <v>24</v>
      </c>
      <c r="E709" t="s">
        <v>39</v>
      </c>
      <c r="F709" t="s">
        <v>26</v>
      </c>
      <c r="G709" t="s">
        <v>49</v>
      </c>
      <c r="H709" s="1">
        <v>45036.814837962964</v>
      </c>
      <c r="I709" s="1">
        <v>45038.814837962964</v>
      </c>
      <c r="J709" s="1">
        <v>45036.856504629628</v>
      </c>
      <c r="K709" s="2">
        <v>45036.845116898148</v>
      </c>
      <c r="L709" t="s">
        <v>28</v>
      </c>
      <c r="M709" s="2">
        <v>45038.685149814817</v>
      </c>
      <c r="N709" t="s">
        <v>28</v>
      </c>
      <c r="O709" s="2">
        <v>45038.201304675924</v>
      </c>
      <c r="P709">
        <v>10</v>
      </c>
      <c r="Q709">
        <v>4</v>
      </c>
      <c r="R709" t="s">
        <v>55</v>
      </c>
      <c r="S709" t="s">
        <v>30</v>
      </c>
      <c r="T709" t="s">
        <v>31</v>
      </c>
      <c r="U709">
        <v>53.094023999999997</v>
      </c>
      <c r="V709">
        <v>-8.0196749999999994</v>
      </c>
      <c r="W709" t="str">
        <f t="shared" si="78"/>
        <v>ok</v>
      </c>
      <c r="X709" t="str">
        <f t="shared" si="84"/>
        <v>ok</v>
      </c>
      <c r="Y709" t="str">
        <f t="shared" si="79"/>
        <v>check</v>
      </c>
      <c r="Z709" t="str">
        <f t="shared" si="80"/>
        <v>ok</v>
      </c>
      <c r="AA709" s="4" t="str">
        <f t="shared" si="81"/>
        <v>ok</v>
      </c>
      <c r="AB709" s="4" t="str">
        <f t="shared" si="82"/>
        <v>ok</v>
      </c>
      <c r="AC709" s="6">
        <f t="shared" si="83"/>
        <v>44.887484444479924</v>
      </c>
    </row>
    <row r="710" spans="1:29" x14ac:dyDescent="0.3">
      <c r="A710" t="s">
        <v>42</v>
      </c>
      <c r="B710">
        <v>1897</v>
      </c>
      <c r="C710" t="s">
        <v>47</v>
      </c>
      <c r="D710" t="s">
        <v>43</v>
      </c>
      <c r="E710" t="s">
        <v>44</v>
      </c>
      <c r="F710" t="s">
        <v>26</v>
      </c>
      <c r="G710" t="s">
        <v>60</v>
      </c>
      <c r="H710" s="1">
        <v>45037.611550925925</v>
      </c>
      <c r="I710" s="1">
        <v>45038.611550925925</v>
      </c>
      <c r="J710" s="1">
        <v>45037.612939814811</v>
      </c>
      <c r="K710" s="2">
        <v>45037.611668310186</v>
      </c>
      <c r="L710" t="s">
        <v>28</v>
      </c>
      <c r="M710" s="2">
        <v>45038.18717769676</v>
      </c>
      <c r="N710" t="s">
        <v>28</v>
      </c>
      <c r="P710">
        <v>6</v>
      </c>
      <c r="R710" t="s">
        <v>55</v>
      </c>
      <c r="S710" t="s">
        <v>30</v>
      </c>
      <c r="T710" t="s">
        <v>57</v>
      </c>
      <c r="U710">
        <v>51.165691000000002</v>
      </c>
      <c r="V710">
        <v>10.451525999999999</v>
      </c>
      <c r="W710" t="str">
        <f t="shared" si="78"/>
        <v>ok</v>
      </c>
      <c r="X710" t="str">
        <f t="shared" si="84"/>
        <v>ok</v>
      </c>
      <c r="Y710" t="str">
        <f t="shared" si="79"/>
        <v>ok</v>
      </c>
      <c r="Z710" t="str">
        <f t="shared" si="80"/>
        <v>ok</v>
      </c>
      <c r="AA710" s="4" t="str">
        <f t="shared" si="81"/>
        <v>ok</v>
      </c>
      <c r="AB710" s="4" t="str">
        <f t="shared" si="82"/>
        <v>ok</v>
      </c>
      <c r="AC710" s="6">
        <f t="shared" si="83"/>
        <v>13.815042500034906</v>
      </c>
    </row>
    <row r="711" spans="1:29" x14ac:dyDescent="0.3">
      <c r="A711" t="s">
        <v>42</v>
      </c>
      <c r="B711">
        <v>1898</v>
      </c>
      <c r="C711" t="s">
        <v>23</v>
      </c>
      <c r="D711" t="s">
        <v>24</v>
      </c>
      <c r="E711" t="s">
        <v>35</v>
      </c>
      <c r="F711" t="s">
        <v>36</v>
      </c>
      <c r="G711" t="s">
        <v>37</v>
      </c>
      <c r="H711" s="1">
        <v>45037.777488425927</v>
      </c>
      <c r="I711" s="1">
        <v>45039.777488425927</v>
      </c>
      <c r="J711" s="1">
        <v>45037.819155092591</v>
      </c>
      <c r="K711" s="2">
        <v>45037.779250949076</v>
      </c>
      <c r="L711" t="s">
        <v>28</v>
      </c>
      <c r="M711" s="2">
        <v>45038.026114988425</v>
      </c>
      <c r="N711" t="s">
        <v>28</v>
      </c>
      <c r="P711">
        <v>5</v>
      </c>
      <c r="R711" t="s">
        <v>29</v>
      </c>
      <c r="S711" t="s">
        <v>40</v>
      </c>
      <c r="T711" t="s">
        <v>57</v>
      </c>
      <c r="U711">
        <v>51.165691000000002</v>
      </c>
      <c r="V711">
        <v>10.451525999999999</v>
      </c>
      <c r="W711" t="str">
        <f t="shared" si="78"/>
        <v>ok</v>
      </c>
      <c r="X711" t="str">
        <f t="shared" si="84"/>
        <v>ok</v>
      </c>
      <c r="Y711" t="str">
        <f t="shared" si="79"/>
        <v>ok</v>
      </c>
      <c r="Z711" t="str">
        <f t="shared" si="80"/>
        <v>ok</v>
      </c>
      <c r="AA711" s="4" t="str">
        <f t="shared" si="81"/>
        <v>ok</v>
      </c>
      <c r="AB711" s="4" t="str">
        <f t="shared" si="82"/>
        <v>ok</v>
      </c>
      <c r="AC711" s="6">
        <f t="shared" si="83"/>
        <v>5.9670374999404885</v>
      </c>
    </row>
    <row r="712" spans="1:29" x14ac:dyDescent="0.3">
      <c r="A712" t="s">
        <v>32</v>
      </c>
      <c r="B712">
        <v>1899</v>
      </c>
      <c r="C712" t="s">
        <v>23</v>
      </c>
      <c r="D712" t="s">
        <v>24</v>
      </c>
      <c r="E712" t="s">
        <v>44</v>
      </c>
      <c r="F712" t="s">
        <v>36</v>
      </c>
      <c r="G712" t="s">
        <v>54</v>
      </c>
      <c r="H712" s="1">
        <v>45037.654502314814</v>
      </c>
      <c r="I712" s="1">
        <v>45039.654502314814</v>
      </c>
      <c r="J712" s="1">
        <v>45037.696168981478</v>
      </c>
      <c r="K712" s="2">
        <v>45037.663490798608</v>
      </c>
      <c r="L712" t="s">
        <v>28</v>
      </c>
      <c r="N712" t="s">
        <v>38</v>
      </c>
      <c r="P712">
        <v>2</v>
      </c>
      <c r="R712" t="s">
        <v>55</v>
      </c>
      <c r="S712" t="s">
        <v>40</v>
      </c>
      <c r="T712" t="s">
        <v>41</v>
      </c>
      <c r="U712">
        <v>43.036776000000003</v>
      </c>
      <c r="V712">
        <v>12.678565000000001</v>
      </c>
      <c r="W712" t="str">
        <f t="shared" si="78"/>
        <v>ok</v>
      </c>
      <c r="X712" t="str">
        <f t="shared" si="84"/>
        <v>ok</v>
      </c>
      <c r="Y712" t="str">
        <f t="shared" si="79"/>
        <v>ok</v>
      </c>
      <c r="Z712" t="str">
        <f t="shared" si="80"/>
        <v>ok</v>
      </c>
      <c r="AA712" s="4" t="str">
        <f t="shared" si="81"/>
        <v>ok</v>
      </c>
      <c r="AB712" s="4" t="str">
        <f t="shared" si="82"/>
        <v>no resolution</v>
      </c>
      <c r="AC712" s="6" t="str">
        <f t="shared" si="83"/>
        <v/>
      </c>
    </row>
    <row r="713" spans="1:29" x14ac:dyDescent="0.3">
      <c r="A713" t="s">
        <v>32</v>
      </c>
      <c r="B713">
        <v>1900</v>
      </c>
      <c r="C713" t="s">
        <v>23</v>
      </c>
      <c r="D713" t="s">
        <v>24</v>
      </c>
      <c r="E713" t="s">
        <v>39</v>
      </c>
      <c r="F713" t="s">
        <v>36</v>
      </c>
      <c r="G713" t="s">
        <v>37</v>
      </c>
      <c r="H713" s="1">
        <v>45037.759814814817</v>
      </c>
      <c r="I713" s="1">
        <v>45039.759814814817</v>
      </c>
      <c r="J713" s="1">
        <v>45037.801481481481</v>
      </c>
      <c r="K713" s="2">
        <v>45037.789168460651</v>
      </c>
      <c r="L713" t="s">
        <v>28</v>
      </c>
      <c r="N713" t="s">
        <v>38</v>
      </c>
      <c r="P713">
        <v>7</v>
      </c>
      <c r="R713" t="s">
        <v>39</v>
      </c>
      <c r="S713" t="s">
        <v>40</v>
      </c>
      <c r="T713" t="s">
        <v>51</v>
      </c>
      <c r="U713">
        <v>39.673369999999998</v>
      </c>
      <c r="V713">
        <v>-4.7677259999999997</v>
      </c>
      <c r="W713" t="str">
        <f t="shared" si="78"/>
        <v>ok</v>
      </c>
      <c r="X713" t="str">
        <f t="shared" si="84"/>
        <v>ok</v>
      </c>
      <c r="Y713" t="str">
        <f t="shared" si="79"/>
        <v>ok</v>
      </c>
      <c r="Z713" t="str">
        <f t="shared" si="80"/>
        <v>ok</v>
      </c>
      <c r="AA713" s="4" t="str">
        <f t="shared" si="81"/>
        <v>ok</v>
      </c>
      <c r="AB713" s="4" t="str">
        <f t="shared" si="82"/>
        <v>no resolution</v>
      </c>
      <c r="AC713" s="6" t="str">
        <f t="shared" si="83"/>
        <v/>
      </c>
    </row>
    <row r="714" spans="1:29" x14ac:dyDescent="0.3">
      <c r="A714" t="s">
        <v>22</v>
      </c>
      <c r="B714">
        <v>1901</v>
      </c>
      <c r="C714" t="s">
        <v>47</v>
      </c>
      <c r="D714" t="s">
        <v>24</v>
      </c>
      <c r="E714" t="s">
        <v>25</v>
      </c>
      <c r="F714" t="s">
        <v>26</v>
      </c>
      <c r="G714" t="s">
        <v>45</v>
      </c>
      <c r="H714" s="1">
        <v>45037.125497685185</v>
      </c>
      <c r="I714" s="1">
        <v>45039.125497685185</v>
      </c>
      <c r="J714" s="1">
        <v>45037.167164351849</v>
      </c>
      <c r="K714" s="2">
        <v>45037.138343946761</v>
      </c>
      <c r="L714" t="s">
        <v>28</v>
      </c>
      <c r="M714" s="2">
        <v>45038.314804884256</v>
      </c>
      <c r="N714" t="s">
        <v>28</v>
      </c>
      <c r="O714" s="2">
        <v>45043.605209166664</v>
      </c>
      <c r="P714">
        <v>1</v>
      </c>
      <c r="Q714">
        <v>4</v>
      </c>
      <c r="R714" t="s">
        <v>50</v>
      </c>
      <c r="S714" t="s">
        <v>30</v>
      </c>
      <c r="T714" t="s">
        <v>31</v>
      </c>
      <c r="U714">
        <v>53.094023999999997</v>
      </c>
      <c r="V714">
        <v>-8.0196749999999994</v>
      </c>
      <c r="W714" t="str">
        <f t="shared" si="78"/>
        <v>ok</v>
      </c>
      <c r="X714" t="str">
        <f t="shared" si="84"/>
        <v>ok</v>
      </c>
      <c r="Y714" t="str">
        <f t="shared" si="79"/>
        <v>ok</v>
      </c>
      <c r="Z714" t="str">
        <f t="shared" si="80"/>
        <v>ok</v>
      </c>
      <c r="AA714" s="4" t="str">
        <f t="shared" si="81"/>
        <v>ok</v>
      </c>
      <c r="AB714" s="4" t="str">
        <f t="shared" si="82"/>
        <v>ok</v>
      </c>
      <c r="AC714" s="6">
        <f t="shared" si="83"/>
        <v>28.543372777698096</v>
      </c>
    </row>
    <row r="715" spans="1:29" x14ac:dyDescent="0.3">
      <c r="A715" t="s">
        <v>42</v>
      </c>
      <c r="B715">
        <v>1902</v>
      </c>
      <c r="C715" t="s">
        <v>23</v>
      </c>
      <c r="D715" t="s">
        <v>43</v>
      </c>
      <c r="E715" t="s">
        <v>35</v>
      </c>
      <c r="F715" t="s">
        <v>26</v>
      </c>
      <c r="G715" t="s">
        <v>49</v>
      </c>
      <c r="H715" s="1">
        <v>45037.95784722222</v>
      </c>
      <c r="I715" s="1">
        <v>45038.95784722222</v>
      </c>
      <c r="J715" s="1">
        <v>45037.959236111114</v>
      </c>
      <c r="K715" s="2">
        <v>45037.960343125</v>
      </c>
      <c r="L715" t="s">
        <v>38</v>
      </c>
      <c r="M715" s="2">
        <v>45041.286243506947</v>
      </c>
      <c r="N715" t="s">
        <v>38</v>
      </c>
      <c r="P715">
        <v>60</v>
      </c>
      <c r="R715" t="s">
        <v>55</v>
      </c>
      <c r="S715" t="s">
        <v>30</v>
      </c>
      <c r="T715" t="s">
        <v>57</v>
      </c>
      <c r="U715">
        <v>51.165691000000002</v>
      </c>
      <c r="V715">
        <v>10.451525999999999</v>
      </c>
      <c r="W715" t="str">
        <f t="shared" si="78"/>
        <v>ok</v>
      </c>
      <c r="X715" t="str">
        <f t="shared" si="84"/>
        <v>ok</v>
      </c>
      <c r="Y715" t="str">
        <f t="shared" si="79"/>
        <v>ok</v>
      </c>
      <c r="Z715" t="str">
        <f t="shared" si="80"/>
        <v>ok</v>
      </c>
      <c r="AA715" s="4" t="str">
        <f t="shared" si="81"/>
        <v>ok</v>
      </c>
      <c r="AB715" s="4" t="str">
        <f t="shared" si="82"/>
        <v>ok</v>
      </c>
      <c r="AC715" s="6">
        <f t="shared" si="83"/>
        <v>79.881510833452921</v>
      </c>
    </row>
    <row r="716" spans="1:29" x14ac:dyDescent="0.3">
      <c r="A716" t="s">
        <v>42</v>
      </c>
      <c r="B716">
        <v>1903</v>
      </c>
      <c r="C716" t="s">
        <v>33</v>
      </c>
      <c r="D716" t="s">
        <v>34</v>
      </c>
      <c r="E716" t="s">
        <v>62</v>
      </c>
      <c r="F716" t="s">
        <v>26</v>
      </c>
      <c r="G716" t="s">
        <v>52</v>
      </c>
      <c r="H716" s="1">
        <v>45037.728888888887</v>
      </c>
      <c r="I716" s="1">
        <v>45039.728888888887</v>
      </c>
      <c r="J716" s="1">
        <v>45037.73027777778</v>
      </c>
      <c r="K716" s="2">
        <v>45037.732500347222</v>
      </c>
      <c r="L716" t="s">
        <v>38</v>
      </c>
      <c r="M716" s="2">
        <v>45039.186130532406</v>
      </c>
      <c r="N716" t="s">
        <v>28</v>
      </c>
      <c r="P716">
        <v>2</v>
      </c>
      <c r="R716" t="s">
        <v>55</v>
      </c>
      <c r="S716" t="s">
        <v>30</v>
      </c>
      <c r="T716" t="s">
        <v>61</v>
      </c>
      <c r="U716">
        <v>42.724992499999999</v>
      </c>
      <c r="V716">
        <v>25.483303899999999</v>
      </c>
      <c r="W716" t="str">
        <f t="shared" si="78"/>
        <v>ok</v>
      </c>
      <c r="X716" t="str">
        <f t="shared" si="84"/>
        <v>ok</v>
      </c>
      <c r="Y716" t="str">
        <f t="shared" si="79"/>
        <v>ok</v>
      </c>
      <c r="Z716" t="str">
        <f t="shared" si="80"/>
        <v>ok</v>
      </c>
      <c r="AA716" s="4" t="str">
        <f t="shared" si="81"/>
        <v>ok</v>
      </c>
      <c r="AB716" s="4" t="str">
        <f t="shared" si="82"/>
        <v>ok</v>
      </c>
      <c r="AC716" s="6">
        <f t="shared" si="83"/>
        <v>34.973799444444012</v>
      </c>
    </row>
    <row r="717" spans="1:29" x14ac:dyDescent="0.3">
      <c r="A717" t="s">
        <v>42</v>
      </c>
      <c r="B717">
        <v>1904</v>
      </c>
      <c r="C717" t="s">
        <v>23</v>
      </c>
      <c r="D717" t="s">
        <v>43</v>
      </c>
      <c r="E717" t="s">
        <v>39</v>
      </c>
      <c r="F717" t="s">
        <v>36</v>
      </c>
      <c r="G717" t="s">
        <v>64</v>
      </c>
      <c r="H717" s="1">
        <v>45037.275902777779</v>
      </c>
      <c r="I717" s="1">
        <v>45038.275902777779</v>
      </c>
      <c r="J717" s="1">
        <v>45037.277291666665</v>
      </c>
      <c r="K717" s="2">
        <v>45037.276727245371</v>
      </c>
      <c r="L717" t="s">
        <v>28</v>
      </c>
      <c r="M717" s="2">
        <v>45037.690477743054</v>
      </c>
      <c r="N717" t="s">
        <v>28</v>
      </c>
      <c r="P717">
        <v>8</v>
      </c>
      <c r="R717" t="s">
        <v>50</v>
      </c>
      <c r="S717" t="s">
        <v>40</v>
      </c>
      <c r="T717" t="s">
        <v>51</v>
      </c>
      <c r="U717">
        <v>39.673369999999998</v>
      </c>
      <c r="V717">
        <v>-4.7677259999999997</v>
      </c>
      <c r="W717" t="str">
        <f t="shared" si="78"/>
        <v>ok</v>
      </c>
      <c r="X717" t="str">
        <f t="shared" si="84"/>
        <v>ok</v>
      </c>
      <c r="Y717" t="str">
        <f t="shared" si="79"/>
        <v>ok</v>
      </c>
      <c r="Z717" t="str">
        <f t="shared" si="80"/>
        <v>ok</v>
      </c>
      <c r="AA717" s="4" t="str">
        <f t="shared" si="81"/>
        <v>ok</v>
      </c>
      <c r="AB717" s="4" t="str">
        <f t="shared" si="82"/>
        <v>ok</v>
      </c>
      <c r="AC717" s="6">
        <f t="shared" si="83"/>
        <v>9.9497991665848531</v>
      </c>
    </row>
    <row r="718" spans="1:29" x14ac:dyDescent="0.3">
      <c r="A718" t="s">
        <v>32</v>
      </c>
      <c r="B718">
        <v>1905</v>
      </c>
      <c r="C718" t="s">
        <v>23</v>
      </c>
      <c r="D718" t="s">
        <v>24</v>
      </c>
      <c r="E718" t="s">
        <v>35</v>
      </c>
      <c r="F718" t="s">
        <v>36</v>
      </c>
      <c r="G718" t="s">
        <v>54</v>
      </c>
      <c r="H718" s="1">
        <v>45038.955949074072</v>
      </c>
      <c r="I718" s="1">
        <v>45040.955949074072</v>
      </c>
      <c r="J718" s="1">
        <v>45038.997615740744</v>
      </c>
      <c r="K718" s="2">
        <v>45039.035532638889</v>
      </c>
      <c r="L718" t="s">
        <v>38</v>
      </c>
      <c r="N718" t="s">
        <v>38</v>
      </c>
      <c r="P718">
        <v>9</v>
      </c>
      <c r="R718" t="s">
        <v>50</v>
      </c>
      <c r="S718" t="s">
        <v>40</v>
      </c>
      <c r="T718" t="s">
        <v>63</v>
      </c>
      <c r="U718">
        <v>55.378051999999997</v>
      </c>
      <c r="V718">
        <v>-3.4359730000000002</v>
      </c>
      <c r="W718" t="str">
        <f t="shared" si="78"/>
        <v>ok</v>
      </c>
      <c r="X718" t="str">
        <f t="shared" si="84"/>
        <v>ok</v>
      </c>
      <c r="Y718" t="str">
        <f t="shared" si="79"/>
        <v>ok</v>
      </c>
      <c r="Z718" t="str">
        <f t="shared" si="80"/>
        <v>ok</v>
      </c>
      <c r="AA718" s="4" t="str">
        <f t="shared" si="81"/>
        <v>ok</v>
      </c>
      <c r="AB718" s="4" t="str">
        <f t="shared" si="82"/>
        <v>no resolution</v>
      </c>
      <c r="AC718" s="6" t="str">
        <f t="shared" si="83"/>
        <v/>
      </c>
    </row>
    <row r="719" spans="1:29" x14ac:dyDescent="0.3">
      <c r="A719" t="s">
        <v>22</v>
      </c>
      <c r="B719">
        <v>1911</v>
      </c>
      <c r="C719" t="s">
        <v>33</v>
      </c>
      <c r="D719" t="s">
        <v>24</v>
      </c>
      <c r="E719" t="s">
        <v>35</v>
      </c>
      <c r="F719" t="s">
        <v>36</v>
      </c>
      <c r="G719" t="s">
        <v>37</v>
      </c>
      <c r="H719" s="1">
        <v>45039.275752314818</v>
      </c>
      <c r="I719" s="1">
        <v>45041.275752314818</v>
      </c>
      <c r="J719" s="1">
        <v>45039.317418981482</v>
      </c>
      <c r="K719" s="2">
        <v>45039.29994326389</v>
      </c>
      <c r="L719" t="s">
        <v>28</v>
      </c>
      <c r="M719" s="2">
        <v>45039.633845254626</v>
      </c>
      <c r="N719" t="s">
        <v>28</v>
      </c>
      <c r="O719" s="2">
        <v>45043.73811755787</v>
      </c>
      <c r="P719">
        <v>1</v>
      </c>
      <c r="Q719">
        <v>5</v>
      </c>
      <c r="R719" t="s">
        <v>39</v>
      </c>
      <c r="S719" t="s">
        <v>40</v>
      </c>
      <c r="T719" t="s">
        <v>31</v>
      </c>
      <c r="U719">
        <v>53.094023999999997</v>
      </c>
      <c r="V719">
        <v>-8.0196749999999994</v>
      </c>
      <c r="W719" t="str">
        <f t="shared" si="78"/>
        <v>ok</v>
      </c>
      <c r="X719" t="str">
        <f t="shared" si="84"/>
        <v>ok</v>
      </c>
      <c r="Y719" t="str">
        <f t="shared" si="79"/>
        <v>ok</v>
      </c>
      <c r="Z719" t="str">
        <f t="shared" si="80"/>
        <v>ok</v>
      </c>
      <c r="AA719" s="4" t="str">
        <f t="shared" si="81"/>
        <v>ok</v>
      </c>
      <c r="AB719" s="4" t="str">
        <f t="shared" si="82"/>
        <v>ok</v>
      </c>
      <c r="AC719" s="6">
        <f t="shared" si="83"/>
        <v>8.5942305554053746</v>
      </c>
    </row>
    <row r="720" spans="1:29" x14ac:dyDescent="0.3">
      <c r="A720" t="s">
        <v>42</v>
      </c>
      <c r="B720">
        <v>1912</v>
      </c>
      <c r="C720" t="s">
        <v>47</v>
      </c>
      <c r="D720" t="s">
        <v>43</v>
      </c>
      <c r="E720" t="s">
        <v>35</v>
      </c>
      <c r="F720" t="s">
        <v>26</v>
      </c>
      <c r="G720" t="s">
        <v>45</v>
      </c>
      <c r="H720" s="1">
        <v>45039.677719907406</v>
      </c>
      <c r="I720" s="1">
        <v>45040.677719907406</v>
      </c>
      <c r="J720" s="1">
        <v>45039.679108796299</v>
      </c>
      <c r="K720" s="2">
        <v>45039.679013402776</v>
      </c>
      <c r="L720" t="s">
        <v>28</v>
      </c>
      <c r="M720" s="2">
        <v>45040.106298749997</v>
      </c>
      <c r="N720" t="s">
        <v>28</v>
      </c>
      <c r="P720">
        <v>4</v>
      </c>
      <c r="R720" t="s">
        <v>39</v>
      </c>
      <c r="S720" t="s">
        <v>30</v>
      </c>
      <c r="T720" t="s">
        <v>57</v>
      </c>
      <c r="U720">
        <v>51.165691000000002</v>
      </c>
      <c r="V720">
        <v>10.451525999999999</v>
      </c>
      <c r="W720" t="str">
        <f t="shared" si="78"/>
        <v>ok</v>
      </c>
      <c r="X720" t="str">
        <f t="shared" si="84"/>
        <v>ok</v>
      </c>
      <c r="Y720" t="str">
        <f t="shared" si="79"/>
        <v>ok</v>
      </c>
      <c r="Z720" t="str">
        <f t="shared" si="80"/>
        <v>ok</v>
      </c>
      <c r="AA720" s="4" t="str">
        <f t="shared" si="81"/>
        <v>ok</v>
      </c>
      <c r="AB720" s="4" t="str">
        <f t="shared" si="82"/>
        <v>ok</v>
      </c>
      <c r="AC720" s="6">
        <f t="shared" si="83"/>
        <v>10.28589222219307</v>
      </c>
    </row>
    <row r="721" spans="1:29" x14ac:dyDescent="0.3">
      <c r="A721" t="s">
        <v>42</v>
      </c>
      <c r="B721">
        <v>1913</v>
      </c>
      <c r="C721" t="s">
        <v>47</v>
      </c>
      <c r="D721" t="s">
        <v>43</v>
      </c>
      <c r="E721" t="s">
        <v>39</v>
      </c>
      <c r="F721" t="s">
        <v>26</v>
      </c>
      <c r="G721" t="s">
        <v>45</v>
      </c>
      <c r="H721" s="1">
        <v>45039.721377314818</v>
      </c>
      <c r="I721" s="1">
        <v>45040.721377314818</v>
      </c>
      <c r="J721" s="1">
        <v>45039.722766203704</v>
      </c>
      <c r="K721" s="2">
        <v>45039.721993333333</v>
      </c>
      <c r="L721" t="s">
        <v>28</v>
      </c>
      <c r="M721" s="2">
        <v>45040.451921539352</v>
      </c>
      <c r="N721" t="s">
        <v>28</v>
      </c>
      <c r="P721">
        <v>9</v>
      </c>
      <c r="R721" t="s">
        <v>55</v>
      </c>
      <c r="S721" t="s">
        <v>30</v>
      </c>
      <c r="T721" t="s">
        <v>65</v>
      </c>
      <c r="U721">
        <v>46.149166399999999</v>
      </c>
      <c r="V721">
        <v>14.9860106</v>
      </c>
      <c r="W721" t="str">
        <f t="shared" si="78"/>
        <v>ok</v>
      </c>
      <c r="X721" t="str">
        <f t="shared" si="84"/>
        <v>ok</v>
      </c>
      <c r="Y721" t="str">
        <f t="shared" si="79"/>
        <v>ok</v>
      </c>
      <c r="Z721" t="str">
        <f t="shared" si="80"/>
        <v>ok</v>
      </c>
      <c r="AA721" s="4" t="str">
        <f t="shared" si="81"/>
        <v>ok</v>
      </c>
      <c r="AB721" s="4" t="str">
        <f t="shared" si="82"/>
        <v>ok</v>
      </c>
      <c r="AC721" s="6">
        <f t="shared" si="83"/>
        <v>17.533061388821807</v>
      </c>
    </row>
    <row r="722" spans="1:29" x14ac:dyDescent="0.3">
      <c r="A722" t="s">
        <v>22</v>
      </c>
      <c r="B722">
        <v>1914</v>
      </c>
      <c r="C722" t="s">
        <v>23</v>
      </c>
      <c r="D722" t="s">
        <v>24</v>
      </c>
      <c r="E722" t="s">
        <v>35</v>
      </c>
      <c r="F722" t="s">
        <v>26</v>
      </c>
      <c r="G722" t="s">
        <v>60</v>
      </c>
      <c r="H722" s="1">
        <v>45040.476782407408</v>
      </c>
      <c r="I722" s="1">
        <v>45042.476782407408</v>
      </c>
      <c r="J722" s="1">
        <v>45040.518449074072</v>
      </c>
      <c r="K722" s="2">
        <v>45040.509083171295</v>
      </c>
      <c r="L722" t="s">
        <v>28</v>
      </c>
      <c r="M722" s="2">
        <v>45040.563905185183</v>
      </c>
      <c r="N722" t="s">
        <v>28</v>
      </c>
      <c r="O722" s="2">
        <v>45040.793564791667</v>
      </c>
      <c r="P722">
        <v>8</v>
      </c>
      <c r="Q722">
        <v>1</v>
      </c>
      <c r="R722" t="s">
        <v>50</v>
      </c>
      <c r="S722" t="s">
        <v>30</v>
      </c>
      <c r="T722" t="s">
        <v>53</v>
      </c>
      <c r="U722">
        <v>39.368279000000001</v>
      </c>
      <c r="V722">
        <v>21.863140999999999</v>
      </c>
      <c r="W722" t="str">
        <f t="shared" si="78"/>
        <v>ok</v>
      </c>
      <c r="X722" t="str">
        <f t="shared" si="84"/>
        <v>ok</v>
      </c>
      <c r="Y722" t="str">
        <f t="shared" si="79"/>
        <v>ok</v>
      </c>
      <c r="Z722" t="str">
        <f t="shared" si="80"/>
        <v>ok</v>
      </c>
      <c r="AA722" s="4" t="str">
        <f t="shared" si="81"/>
        <v>ok</v>
      </c>
      <c r="AB722" s="4" t="str">
        <f t="shared" si="82"/>
        <v>ok</v>
      </c>
      <c r="AC722" s="6">
        <f t="shared" si="83"/>
        <v>2.0909466666053049</v>
      </c>
    </row>
    <row r="723" spans="1:29" x14ac:dyDescent="0.3">
      <c r="A723" t="s">
        <v>32</v>
      </c>
      <c r="B723">
        <v>1915</v>
      </c>
      <c r="C723" t="s">
        <v>23</v>
      </c>
      <c r="D723" t="s">
        <v>34</v>
      </c>
      <c r="E723" t="s">
        <v>35</v>
      </c>
      <c r="F723" t="s">
        <v>26</v>
      </c>
      <c r="G723" t="s">
        <v>49</v>
      </c>
      <c r="H723" s="1">
        <v>45040.314004629632</v>
      </c>
      <c r="I723" s="1">
        <v>45042.314004629632</v>
      </c>
      <c r="J723" s="1">
        <v>45040.315393518518</v>
      </c>
      <c r="K723" s="2">
        <v>45040.314766215277</v>
      </c>
      <c r="L723" t="s">
        <v>28</v>
      </c>
      <c r="N723" t="s">
        <v>38</v>
      </c>
      <c r="P723">
        <v>5</v>
      </c>
      <c r="R723" t="s">
        <v>50</v>
      </c>
      <c r="S723" t="s">
        <v>30</v>
      </c>
      <c r="T723" t="s">
        <v>58</v>
      </c>
      <c r="U723">
        <v>49.8037633</v>
      </c>
      <c r="V723">
        <v>15.4749126</v>
      </c>
      <c r="W723" t="str">
        <f t="shared" si="78"/>
        <v>ok</v>
      </c>
      <c r="X723" t="str">
        <f t="shared" si="84"/>
        <v>ok</v>
      </c>
      <c r="Y723" t="str">
        <f t="shared" si="79"/>
        <v>ok</v>
      </c>
      <c r="Z723" t="str">
        <f t="shared" si="80"/>
        <v>ok</v>
      </c>
      <c r="AA723" s="4" t="str">
        <f t="shared" si="81"/>
        <v>ok</v>
      </c>
      <c r="AB723" s="4" t="str">
        <f t="shared" si="82"/>
        <v>no resolution</v>
      </c>
      <c r="AC723" s="6" t="str">
        <f t="shared" si="83"/>
        <v/>
      </c>
    </row>
    <row r="724" spans="1:29" x14ac:dyDescent="0.3">
      <c r="A724" t="s">
        <v>22</v>
      </c>
      <c r="B724">
        <v>1916</v>
      </c>
      <c r="C724" t="s">
        <v>23</v>
      </c>
      <c r="D724" t="s">
        <v>24</v>
      </c>
      <c r="E724" t="s">
        <v>35</v>
      </c>
      <c r="F724" t="s">
        <v>26</v>
      </c>
      <c r="G724" t="s">
        <v>52</v>
      </c>
      <c r="H724" s="1">
        <v>45040.353634259256</v>
      </c>
      <c r="I724" s="1">
        <v>45042.353634259256</v>
      </c>
      <c r="J724" s="1">
        <v>45040.395300925928</v>
      </c>
      <c r="K724" s="2">
        <v>45040.354323865744</v>
      </c>
      <c r="L724" t="s">
        <v>28</v>
      </c>
      <c r="M724" s="2">
        <v>45042.03850696759</v>
      </c>
      <c r="N724" t="s">
        <v>28</v>
      </c>
      <c r="O724" s="2">
        <v>45044.048472847222</v>
      </c>
      <c r="P724">
        <v>2</v>
      </c>
      <c r="Q724">
        <v>4</v>
      </c>
      <c r="R724" t="s">
        <v>50</v>
      </c>
      <c r="S724" t="s">
        <v>30</v>
      </c>
      <c r="T724" t="s">
        <v>63</v>
      </c>
      <c r="U724">
        <v>55.378051999999997</v>
      </c>
      <c r="V724">
        <v>-3.4359730000000002</v>
      </c>
      <c r="W724" t="str">
        <f t="shared" si="78"/>
        <v>ok</v>
      </c>
      <c r="X724" t="str">
        <f t="shared" si="84"/>
        <v>ok</v>
      </c>
      <c r="Y724" t="str">
        <f t="shared" si="79"/>
        <v>ok</v>
      </c>
      <c r="Z724" t="str">
        <f t="shared" si="80"/>
        <v>ok</v>
      </c>
      <c r="AA724" s="4" t="str">
        <f t="shared" si="81"/>
        <v>ok</v>
      </c>
      <c r="AB724" s="4" t="str">
        <f t="shared" si="82"/>
        <v>ok</v>
      </c>
      <c r="AC724" s="6">
        <f t="shared" si="83"/>
        <v>40.436945000023115</v>
      </c>
    </row>
    <row r="725" spans="1:29" x14ac:dyDescent="0.3">
      <c r="A725" t="s">
        <v>22</v>
      </c>
      <c r="B725">
        <v>1917</v>
      </c>
      <c r="C725" t="s">
        <v>23</v>
      </c>
      <c r="D725" t="s">
        <v>24</v>
      </c>
      <c r="E725" t="s">
        <v>59</v>
      </c>
      <c r="F725" t="s">
        <v>26</v>
      </c>
      <c r="G725" t="s">
        <v>49</v>
      </c>
      <c r="H725" s="1">
        <v>45040.378703703704</v>
      </c>
      <c r="I725" s="1">
        <v>45042.378703703704</v>
      </c>
      <c r="J725" s="1">
        <v>45040.420370370368</v>
      </c>
      <c r="K725" s="2">
        <v>45040.407483645831</v>
      </c>
      <c r="L725" t="s">
        <v>28</v>
      </c>
      <c r="M725" s="2">
        <v>45040.800497662036</v>
      </c>
      <c r="N725" t="s">
        <v>28</v>
      </c>
      <c r="O725" s="2">
        <v>45043.653423391203</v>
      </c>
      <c r="P725">
        <v>5</v>
      </c>
      <c r="Q725">
        <v>4</v>
      </c>
      <c r="R725" t="s">
        <v>29</v>
      </c>
      <c r="S725" t="s">
        <v>30</v>
      </c>
      <c r="T725" t="s">
        <v>31</v>
      </c>
      <c r="U725">
        <v>53.094023999999997</v>
      </c>
      <c r="V725">
        <v>-8.0196749999999994</v>
      </c>
      <c r="W725" t="str">
        <f t="shared" si="78"/>
        <v>ok</v>
      </c>
      <c r="X725" t="str">
        <f t="shared" si="84"/>
        <v>ok</v>
      </c>
      <c r="Y725" t="str">
        <f t="shared" si="79"/>
        <v>ok</v>
      </c>
      <c r="Z725" t="str">
        <f t="shared" si="80"/>
        <v>ok</v>
      </c>
      <c r="AA725" s="4" t="str">
        <f t="shared" si="81"/>
        <v>ok</v>
      </c>
      <c r="AB725" s="4" t="str">
        <f t="shared" si="82"/>
        <v>ok</v>
      </c>
      <c r="AC725" s="6">
        <f t="shared" si="83"/>
        <v>10.123054999974556</v>
      </c>
    </row>
    <row r="726" spans="1:29" x14ac:dyDescent="0.3">
      <c r="A726" t="s">
        <v>42</v>
      </c>
      <c r="B726">
        <v>1918</v>
      </c>
      <c r="C726" t="s">
        <v>47</v>
      </c>
      <c r="D726" t="s">
        <v>24</v>
      </c>
      <c r="E726" t="s">
        <v>35</v>
      </c>
      <c r="F726" t="s">
        <v>26</v>
      </c>
      <c r="G726" t="s">
        <v>52</v>
      </c>
      <c r="H726" s="1">
        <v>45040.110972222225</v>
      </c>
      <c r="I726" s="1">
        <v>45042.110972222225</v>
      </c>
      <c r="J726" s="1">
        <v>45040.152638888889</v>
      </c>
      <c r="K726" s="2">
        <v>45040.141396701387</v>
      </c>
      <c r="L726" t="s">
        <v>28</v>
      </c>
      <c r="M726" s="2">
        <v>45042.054025833335</v>
      </c>
      <c r="N726" t="s">
        <v>28</v>
      </c>
      <c r="P726">
        <v>10</v>
      </c>
      <c r="R726" t="s">
        <v>50</v>
      </c>
      <c r="S726" t="s">
        <v>30</v>
      </c>
      <c r="T726" t="s">
        <v>41</v>
      </c>
      <c r="U726">
        <v>43.036776000000003</v>
      </c>
      <c r="V726">
        <v>12.678565000000001</v>
      </c>
      <c r="W726" t="str">
        <f t="shared" si="78"/>
        <v>ok</v>
      </c>
      <c r="X726" t="str">
        <f t="shared" si="84"/>
        <v>ok</v>
      </c>
      <c r="Y726" t="str">
        <f t="shared" si="79"/>
        <v>ok</v>
      </c>
      <c r="Z726" t="str">
        <f t="shared" si="80"/>
        <v>ok</v>
      </c>
      <c r="AA726" s="4" t="str">
        <f t="shared" si="81"/>
        <v>ok</v>
      </c>
      <c r="AB726" s="4" t="str">
        <f t="shared" si="82"/>
        <v>ok</v>
      </c>
      <c r="AC726" s="6">
        <f t="shared" si="83"/>
        <v>46.633286666648928</v>
      </c>
    </row>
    <row r="727" spans="1:29" x14ac:dyDescent="0.3">
      <c r="A727" t="s">
        <v>32</v>
      </c>
      <c r="B727">
        <v>1919</v>
      </c>
      <c r="C727" t="s">
        <v>23</v>
      </c>
      <c r="D727" t="s">
        <v>43</v>
      </c>
      <c r="E727" t="s">
        <v>39</v>
      </c>
      <c r="F727" t="s">
        <v>26</v>
      </c>
      <c r="G727" t="s">
        <v>52</v>
      </c>
      <c r="H727" s="1">
        <v>45040.221226851849</v>
      </c>
      <c r="I727" s="1">
        <v>45041.221226851849</v>
      </c>
      <c r="J727" s="1">
        <v>45040.222615740742</v>
      </c>
      <c r="K727" s="2">
        <v>45040.224167696761</v>
      </c>
      <c r="L727" t="s">
        <v>38</v>
      </c>
      <c r="N727" t="s">
        <v>38</v>
      </c>
      <c r="P727">
        <v>60</v>
      </c>
      <c r="R727" t="s">
        <v>39</v>
      </c>
      <c r="S727" t="s">
        <v>30</v>
      </c>
      <c r="T727" t="s">
        <v>57</v>
      </c>
      <c r="U727">
        <v>51.165691000000002</v>
      </c>
      <c r="V727">
        <v>10.451525999999999</v>
      </c>
      <c r="W727" t="str">
        <f t="shared" si="78"/>
        <v>ok</v>
      </c>
      <c r="X727" t="str">
        <f t="shared" si="84"/>
        <v>ok</v>
      </c>
      <c r="Y727" t="str">
        <f t="shared" si="79"/>
        <v>ok</v>
      </c>
      <c r="Z727" t="str">
        <f t="shared" si="80"/>
        <v>ok</v>
      </c>
      <c r="AA727" s="4" t="str">
        <f t="shared" si="81"/>
        <v>ok</v>
      </c>
      <c r="AB727" s="4" t="str">
        <f t="shared" si="82"/>
        <v>no resolution</v>
      </c>
      <c r="AC727" s="6" t="str">
        <f t="shared" si="83"/>
        <v/>
      </c>
    </row>
    <row r="728" spans="1:29" x14ac:dyDescent="0.3">
      <c r="A728" t="s">
        <v>22</v>
      </c>
      <c r="B728">
        <v>1920</v>
      </c>
      <c r="C728" t="s">
        <v>47</v>
      </c>
      <c r="D728" t="s">
        <v>24</v>
      </c>
      <c r="E728" t="s">
        <v>44</v>
      </c>
      <c r="F728" t="s">
        <v>36</v>
      </c>
      <c r="G728" t="s">
        <v>37</v>
      </c>
      <c r="H728" s="1">
        <v>45040.714074074072</v>
      </c>
      <c r="I728" s="1">
        <v>45042.714074074072</v>
      </c>
      <c r="J728" s="1">
        <v>45040.755740740744</v>
      </c>
      <c r="K728" s="2">
        <v>45040.719535023149</v>
      </c>
      <c r="L728" t="s">
        <v>28</v>
      </c>
      <c r="M728" s="2">
        <v>45041.689720243055</v>
      </c>
      <c r="N728" t="s">
        <v>28</v>
      </c>
      <c r="O728" s="2">
        <v>45045.831185555558</v>
      </c>
      <c r="P728">
        <v>6</v>
      </c>
      <c r="Q728">
        <v>5</v>
      </c>
      <c r="R728" t="s">
        <v>29</v>
      </c>
      <c r="S728" t="s">
        <v>40</v>
      </c>
      <c r="T728" t="s">
        <v>65</v>
      </c>
      <c r="U728">
        <v>46.149166399999999</v>
      </c>
      <c r="V728">
        <v>14.9860106</v>
      </c>
      <c r="W728" t="str">
        <f t="shared" si="78"/>
        <v>ok</v>
      </c>
      <c r="X728" t="str">
        <f t="shared" si="84"/>
        <v>ok</v>
      </c>
      <c r="Y728" t="str">
        <f t="shared" si="79"/>
        <v>ok</v>
      </c>
      <c r="Z728" t="str">
        <f t="shared" si="80"/>
        <v>ok</v>
      </c>
      <c r="AA728" s="4" t="str">
        <f t="shared" si="81"/>
        <v>ok</v>
      </c>
      <c r="AB728" s="4" t="str">
        <f t="shared" si="82"/>
        <v>ok</v>
      </c>
      <c r="AC728" s="6">
        <f t="shared" si="83"/>
        <v>23.415508055593818</v>
      </c>
    </row>
    <row r="729" spans="1:29" x14ac:dyDescent="0.3">
      <c r="A729" t="s">
        <v>42</v>
      </c>
      <c r="B729">
        <v>1921</v>
      </c>
      <c r="C729" t="s">
        <v>47</v>
      </c>
      <c r="D729" t="s">
        <v>43</v>
      </c>
      <c r="E729" t="s">
        <v>39</v>
      </c>
      <c r="F729" t="s">
        <v>26</v>
      </c>
      <c r="G729" t="s">
        <v>52</v>
      </c>
      <c r="H729" s="1">
        <v>45040.57613425926</v>
      </c>
      <c r="I729" s="1">
        <v>45041.57613425926</v>
      </c>
      <c r="J729" s="1">
        <v>45040.577523148146</v>
      </c>
      <c r="K729" s="2">
        <v>45040.576326956019</v>
      </c>
      <c r="L729" t="s">
        <v>28</v>
      </c>
      <c r="M729" s="2">
        <v>45040.761543368055</v>
      </c>
      <c r="N729" t="s">
        <v>28</v>
      </c>
      <c r="P729">
        <v>3</v>
      </c>
      <c r="R729" t="s">
        <v>50</v>
      </c>
      <c r="S729" t="s">
        <v>30</v>
      </c>
      <c r="T729" t="s">
        <v>63</v>
      </c>
      <c r="U729">
        <v>55.378051999999997</v>
      </c>
      <c r="V729">
        <v>-3.4359730000000002</v>
      </c>
      <c r="W729" t="str">
        <f t="shared" si="78"/>
        <v>ok</v>
      </c>
      <c r="X729" t="str">
        <f t="shared" si="84"/>
        <v>ok</v>
      </c>
      <c r="Y729" t="str">
        <f t="shared" si="79"/>
        <v>ok</v>
      </c>
      <c r="Z729" t="str">
        <f t="shared" si="80"/>
        <v>ok</v>
      </c>
      <c r="AA729" s="4" t="str">
        <f t="shared" si="81"/>
        <v>ok</v>
      </c>
      <c r="AB729" s="4" t="str">
        <f t="shared" si="82"/>
        <v>ok</v>
      </c>
      <c r="AC729" s="6">
        <f t="shared" si="83"/>
        <v>4.4498186110868119</v>
      </c>
    </row>
    <row r="730" spans="1:29" x14ac:dyDescent="0.3">
      <c r="A730" t="s">
        <v>32</v>
      </c>
      <c r="B730">
        <v>1922</v>
      </c>
      <c r="C730" t="s">
        <v>23</v>
      </c>
      <c r="D730" t="s">
        <v>24</v>
      </c>
      <c r="E730" t="s">
        <v>25</v>
      </c>
      <c r="F730" t="s">
        <v>26</v>
      </c>
      <c r="G730" t="s">
        <v>49</v>
      </c>
      <c r="H730" s="1">
        <v>45040.073518518519</v>
      </c>
      <c r="I730" s="1">
        <v>45042.073518518519</v>
      </c>
      <c r="J730" s="1">
        <v>45040.115185185183</v>
      </c>
      <c r="K730" s="2">
        <v>45040.075821840277</v>
      </c>
      <c r="L730" t="s">
        <v>28</v>
      </c>
      <c r="N730" t="s">
        <v>38</v>
      </c>
      <c r="P730">
        <v>8</v>
      </c>
      <c r="R730" t="s">
        <v>29</v>
      </c>
      <c r="S730" t="s">
        <v>30</v>
      </c>
      <c r="T730" t="s">
        <v>57</v>
      </c>
      <c r="U730">
        <v>51.165691000000002</v>
      </c>
      <c r="V730">
        <v>10.451525999999999</v>
      </c>
      <c r="W730" t="str">
        <f t="shared" si="78"/>
        <v>ok</v>
      </c>
      <c r="X730" t="str">
        <f t="shared" si="84"/>
        <v>ok</v>
      </c>
      <c r="Y730" t="str">
        <f t="shared" si="79"/>
        <v>ok</v>
      </c>
      <c r="Z730" t="str">
        <f t="shared" si="80"/>
        <v>ok</v>
      </c>
      <c r="AA730" s="4" t="str">
        <f t="shared" si="81"/>
        <v>ok</v>
      </c>
      <c r="AB730" s="4" t="str">
        <f t="shared" si="82"/>
        <v>no resolution</v>
      </c>
      <c r="AC730" s="6" t="str">
        <f t="shared" si="83"/>
        <v/>
      </c>
    </row>
    <row r="731" spans="1:29" x14ac:dyDescent="0.3">
      <c r="A731" t="s">
        <v>22</v>
      </c>
      <c r="B731">
        <v>1923</v>
      </c>
      <c r="C731" t="s">
        <v>47</v>
      </c>
      <c r="D731" t="s">
        <v>43</v>
      </c>
      <c r="E731" t="s">
        <v>25</v>
      </c>
      <c r="F731" t="s">
        <v>26</v>
      </c>
      <c r="G731" t="s">
        <v>49</v>
      </c>
      <c r="H731" s="1">
        <v>45041.822835648149</v>
      </c>
      <c r="I731" s="1">
        <v>45042.822835648149</v>
      </c>
      <c r="J731" s="1">
        <v>45041.824224537035</v>
      </c>
      <c r="K731" s="2">
        <v>45041.823668136574</v>
      </c>
      <c r="L731" t="s">
        <v>28</v>
      </c>
      <c r="M731" s="2">
        <v>45045.826505324076</v>
      </c>
      <c r="N731" t="s">
        <v>38</v>
      </c>
      <c r="O731" s="2">
        <v>45047.140594583332</v>
      </c>
      <c r="P731">
        <v>6</v>
      </c>
      <c r="Q731">
        <v>4</v>
      </c>
      <c r="R731" t="s">
        <v>29</v>
      </c>
      <c r="S731" t="s">
        <v>30</v>
      </c>
      <c r="T731" t="s">
        <v>63</v>
      </c>
      <c r="U731">
        <v>55.378051999999997</v>
      </c>
      <c r="V731">
        <v>-3.4359730000000002</v>
      </c>
      <c r="W731" t="str">
        <f t="shared" si="78"/>
        <v>ok</v>
      </c>
      <c r="X731" t="str">
        <f t="shared" si="84"/>
        <v>ok</v>
      </c>
      <c r="Y731" t="str">
        <f t="shared" si="79"/>
        <v>ok</v>
      </c>
      <c r="Z731" t="str">
        <f t="shared" si="80"/>
        <v>ok</v>
      </c>
      <c r="AA731" s="4" t="str">
        <f t="shared" si="81"/>
        <v>ok</v>
      </c>
      <c r="AB731" s="4" t="str">
        <f t="shared" si="82"/>
        <v>ok</v>
      </c>
      <c r="AC731" s="6">
        <f t="shared" si="83"/>
        <v>96.088072222250048</v>
      </c>
    </row>
    <row r="732" spans="1:29" x14ac:dyDescent="0.3">
      <c r="A732" t="s">
        <v>22</v>
      </c>
      <c r="B732">
        <v>1924</v>
      </c>
      <c r="C732" t="s">
        <v>33</v>
      </c>
      <c r="D732" t="s">
        <v>43</v>
      </c>
      <c r="E732" t="s">
        <v>48</v>
      </c>
      <c r="F732" t="s">
        <v>26</v>
      </c>
      <c r="G732" t="s">
        <v>49</v>
      </c>
      <c r="H732" s="1">
        <v>45041.895752314813</v>
      </c>
      <c r="I732" s="1">
        <v>45042.895752314813</v>
      </c>
      <c r="J732" s="1">
        <v>45041.897141203706</v>
      </c>
      <c r="K732" s="2">
        <v>45041.896568078701</v>
      </c>
      <c r="L732" t="s">
        <v>28</v>
      </c>
      <c r="M732" s="2">
        <v>45044.726881585651</v>
      </c>
      <c r="N732" t="s">
        <v>38</v>
      </c>
      <c r="O732" s="2">
        <v>45046.351770821762</v>
      </c>
      <c r="P732">
        <v>4</v>
      </c>
      <c r="Q732">
        <v>3</v>
      </c>
      <c r="R732" t="s">
        <v>55</v>
      </c>
      <c r="S732" t="s">
        <v>30</v>
      </c>
      <c r="T732" t="s">
        <v>46</v>
      </c>
      <c r="U732">
        <v>47.696471899999999</v>
      </c>
      <c r="V732">
        <v>13.3457347</v>
      </c>
      <c r="W732" t="str">
        <f t="shared" si="78"/>
        <v>ok</v>
      </c>
      <c r="X732" t="str">
        <f t="shared" si="84"/>
        <v>ok</v>
      </c>
      <c r="Y732" t="str">
        <f t="shared" si="79"/>
        <v>ok</v>
      </c>
      <c r="Z732" t="str">
        <f t="shared" si="80"/>
        <v>ok</v>
      </c>
      <c r="AA732" s="4" t="str">
        <f t="shared" si="81"/>
        <v>ok</v>
      </c>
      <c r="AB732" s="4" t="str">
        <f t="shared" si="82"/>
        <v>ok</v>
      </c>
      <c r="AC732" s="6">
        <f t="shared" si="83"/>
        <v>67.947102500125766</v>
      </c>
    </row>
    <row r="733" spans="1:29" x14ac:dyDescent="0.3">
      <c r="A733" t="s">
        <v>42</v>
      </c>
      <c r="B733">
        <v>1925</v>
      </c>
      <c r="C733" t="s">
        <v>33</v>
      </c>
      <c r="D733" t="s">
        <v>24</v>
      </c>
      <c r="E733" t="s">
        <v>35</v>
      </c>
      <c r="F733" t="s">
        <v>36</v>
      </c>
      <c r="G733" t="s">
        <v>64</v>
      </c>
      <c r="H733" s="1">
        <v>45041.17560185185</v>
      </c>
      <c r="I733" s="1">
        <v>45043.17560185185</v>
      </c>
      <c r="J733" s="1">
        <v>45041.217268518521</v>
      </c>
      <c r="K733" s="2">
        <v>45041.39880466435</v>
      </c>
      <c r="L733" t="s">
        <v>38</v>
      </c>
      <c r="M733" s="2">
        <v>45041.307524004631</v>
      </c>
      <c r="N733" t="s">
        <v>28</v>
      </c>
      <c r="P733">
        <v>8</v>
      </c>
      <c r="R733" t="s">
        <v>50</v>
      </c>
      <c r="S733" t="s">
        <v>40</v>
      </c>
      <c r="T733" t="s">
        <v>56</v>
      </c>
      <c r="U733">
        <v>52.536273000000001</v>
      </c>
      <c r="V733">
        <v>19.050639</v>
      </c>
      <c r="W733" t="str">
        <f t="shared" si="78"/>
        <v>ok</v>
      </c>
      <c r="X733" t="str">
        <f t="shared" si="84"/>
        <v>ok</v>
      </c>
      <c r="Y733" t="str">
        <f t="shared" si="79"/>
        <v>ok</v>
      </c>
      <c r="Z733" t="str">
        <f t="shared" si="80"/>
        <v>ok</v>
      </c>
      <c r="AA733" s="4" t="str">
        <f t="shared" si="81"/>
        <v>ok</v>
      </c>
      <c r="AB733" s="4" t="str">
        <f t="shared" si="82"/>
        <v>ok</v>
      </c>
      <c r="AC733" s="6">
        <f t="shared" si="83"/>
        <v>3.1661316667450592</v>
      </c>
    </row>
    <row r="734" spans="1:29" x14ac:dyDescent="0.3">
      <c r="A734" t="s">
        <v>32</v>
      </c>
      <c r="B734">
        <v>1927</v>
      </c>
      <c r="C734" t="s">
        <v>23</v>
      </c>
      <c r="D734" t="s">
        <v>43</v>
      </c>
      <c r="E734" t="s">
        <v>39</v>
      </c>
      <c r="F734" t="s">
        <v>36</v>
      </c>
      <c r="G734" t="s">
        <v>37</v>
      </c>
      <c r="H734" s="1">
        <v>45041.629583333335</v>
      </c>
      <c r="I734" s="1">
        <v>45042.629583333335</v>
      </c>
      <c r="J734" s="1">
        <v>45041.630972222221</v>
      </c>
      <c r="K734" s="2">
        <v>45041.629889594908</v>
      </c>
      <c r="L734" t="s">
        <v>28</v>
      </c>
      <c r="N734" t="s">
        <v>38</v>
      </c>
      <c r="P734">
        <v>4</v>
      </c>
      <c r="R734" t="s">
        <v>29</v>
      </c>
      <c r="S734" t="s">
        <v>40</v>
      </c>
      <c r="T734" t="s">
        <v>66</v>
      </c>
      <c r="U734">
        <v>48.864716000000001</v>
      </c>
      <c r="V734">
        <v>2.3490139999999999</v>
      </c>
      <c r="W734" t="str">
        <f t="shared" si="78"/>
        <v>ok</v>
      </c>
      <c r="X734" t="str">
        <f t="shared" si="84"/>
        <v>ok</v>
      </c>
      <c r="Y734" t="str">
        <f t="shared" si="79"/>
        <v>ok</v>
      </c>
      <c r="Z734" t="str">
        <f t="shared" si="80"/>
        <v>ok</v>
      </c>
      <c r="AA734" s="4" t="str">
        <f t="shared" si="81"/>
        <v>ok</v>
      </c>
      <c r="AB734" s="4" t="str">
        <f t="shared" si="82"/>
        <v>no resolution</v>
      </c>
      <c r="AC734" s="6" t="str">
        <f t="shared" si="83"/>
        <v/>
      </c>
    </row>
    <row r="735" spans="1:29" x14ac:dyDescent="0.3">
      <c r="A735" t="s">
        <v>32</v>
      </c>
      <c r="B735">
        <v>1928</v>
      </c>
      <c r="C735" t="s">
        <v>47</v>
      </c>
      <c r="D735" t="s">
        <v>24</v>
      </c>
      <c r="E735" t="s">
        <v>62</v>
      </c>
      <c r="F735" t="s">
        <v>36</v>
      </c>
      <c r="G735" t="s">
        <v>37</v>
      </c>
      <c r="H735" s="1">
        <v>45041.028171296297</v>
      </c>
      <c r="I735" s="1">
        <v>45043.028171296297</v>
      </c>
      <c r="J735" s="1">
        <v>45041.069837962961</v>
      </c>
      <c r="K735" s="2">
        <v>45041.038426435189</v>
      </c>
      <c r="L735" t="s">
        <v>28</v>
      </c>
      <c r="N735" t="s">
        <v>38</v>
      </c>
      <c r="P735">
        <v>1</v>
      </c>
      <c r="R735" t="s">
        <v>55</v>
      </c>
      <c r="S735" t="s">
        <v>40</v>
      </c>
      <c r="T735" t="s">
        <v>63</v>
      </c>
      <c r="U735">
        <v>55.378051999999997</v>
      </c>
      <c r="V735">
        <v>-3.4359730000000002</v>
      </c>
      <c r="W735" t="str">
        <f t="shared" si="78"/>
        <v>ok</v>
      </c>
      <c r="X735" t="str">
        <f t="shared" si="84"/>
        <v>ok</v>
      </c>
      <c r="Y735" t="str">
        <f t="shared" si="79"/>
        <v>ok</v>
      </c>
      <c r="Z735" t="str">
        <f t="shared" si="80"/>
        <v>ok</v>
      </c>
      <c r="AA735" s="4" t="str">
        <f t="shared" si="81"/>
        <v>ok</v>
      </c>
      <c r="AB735" s="4" t="str">
        <f t="shared" si="82"/>
        <v>no resolution</v>
      </c>
      <c r="AC735" s="6" t="str">
        <f t="shared" si="83"/>
        <v/>
      </c>
    </row>
    <row r="736" spans="1:29" x14ac:dyDescent="0.3">
      <c r="A736" t="s">
        <v>22</v>
      </c>
      <c r="B736">
        <v>1929</v>
      </c>
      <c r="C736" t="s">
        <v>47</v>
      </c>
      <c r="D736" t="s">
        <v>24</v>
      </c>
      <c r="E736" t="s">
        <v>39</v>
      </c>
      <c r="F736" t="s">
        <v>26</v>
      </c>
      <c r="G736" t="s">
        <v>45</v>
      </c>
      <c r="H736" s="1">
        <v>45041.990671296298</v>
      </c>
      <c r="I736" s="1">
        <v>45043.990671296298</v>
      </c>
      <c r="J736" s="1">
        <v>45042.032337962963</v>
      </c>
      <c r="K736" s="2">
        <v>45041.992820567131</v>
      </c>
      <c r="L736" t="s">
        <v>28</v>
      </c>
      <c r="M736" s="2">
        <v>45043.255645069446</v>
      </c>
      <c r="N736" t="s">
        <v>28</v>
      </c>
      <c r="O736" s="2">
        <v>45043.948981608795</v>
      </c>
      <c r="P736">
        <v>2</v>
      </c>
      <c r="Q736">
        <v>1</v>
      </c>
      <c r="R736" t="s">
        <v>39</v>
      </c>
      <c r="S736" t="s">
        <v>30</v>
      </c>
      <c r="T736" t="s">
        <v>66</v>
      </c>
      <c r="U736">
        <v>48.864716000000001</v>
      </c>
      <c r="V736">
        <v>2.3490139999999999</v>
      </c>
      <c r="W736" t="str">
        <f t="shared" si="78"/>
        <v>ok</v>
      </c>
      <c r="X736" t="str">
        <f t="shared" si="84"/>
        <v>ok</v>
      </c>
      <c r="Y736" t="str">
        <f t="shared" si="79"/>
        <v>ok</v>
      </c>
      <c r="Z736" t="str">
        <f t="shared" si="80"/>
        <v>ok</v>
      </c>
      <c r="AA736" s="4" t="str">
        <f t="shared" si="81"/>
        <v>ok</v>
      </c>
      <c r="AB736" s="4" t="str">
        <f t="shared" si="82"/>
        <v>ok</v>
      </c>
      <c r="AC736" s="6">
        <f t="shared" si="83"/>
        <v>30.359370555554051</v>
      </c>
    </row>
    <row r="737" spans="1:29" x14ac:dyDescent="0.3">
      <c r="A737" t="s">
        <v>22</v>
      </c>
      <c r="B737">
        <v>1930</v>
      </c>
      <c r="C737" t="s">
        <v>23</v>
      </c>
      <c r="D737" t="s">
        <v>43</v>
      </c>
      <c r="E737" t="s">
        <v>25</v>
      </c>
      <c r="F737" t="s">
        <v>26</v>
      </c>
      <c r="G737" t="s">
        <v>27</v>
      </c>
      <c r="H737" s="1">
        <v>45041.687175925923</v>
      </c>
      <c r="I737" s="1">
        <v>45042.687175925923</v>
      </c>
      <c r="J737" s="1">
        <v>45041.688564814816</v>
      </c>
      <c r="K737" s="2">
        <v>45041.687361493059</v>
      </c>
      <c r="L737" t="s">
        <v>28</v>
      </c>
      <c r="M737" s="2">
        <v>45041.885040324072</v>
      </c>
      <c r="N737" t="s">
        <v>28</v>
      </c>
      <c r="O737" s="2">
        <v>45045.794210856482</v>
      </c>
      <c r="P737">
        <v>4</v>
      </c>
      <c r="Q737">
        <v>2</v>
      </c>
      <c r="R737" t="s">
        <v>50</v>
      </c>
      <c r="S737" t="s">
        <v>30</v>
      </c>
      <c r="T737" t="s">
        <v>41</v>
      </c>
      <c r="U737">
        <v>43.036776000000003</v>
      </c>
      <c r="V737">
        <v>12.678565000000001</v>
      </c>
      <c r="W737" t="str">
        <f t="shared" si="78"/>
        <v>ok</v>
      </c>
      <c r="X737" t="str">
        <f t="shared" si="84"/>
        <v>ok</v>
      </c>
      <c r="Y737" t="str">
        <f t="shared" si="79"/>
        <v>ok</v>
      </c>
      <c r="Z737" t="str">
        <f t="shared" si="80"/>
        <v>ok</v>
      </c>
      <c r="AA737" s="4" t="str">
        <f t="shared" si="81"/>
        <v>ok</v>
      </c>
      <c r="AB737" s="4" t="str">
        <f t="shared" si="82"/>
        <v>ok</v>
      </c>
      <c r="AC737" s="6">
        <f t="shared" si="83"/>
        <v>4.7487455555819906</v>
      </c>
    </row>
    <row r="738" spans="1:29" x14ac:dyDescent="0.3">
      <c r="A738" t="s">
        <v>22</v>
      </c>
      <c r="B738">
        <v>1931</v>
      </c>
      <c r="C738" t="s">
        <v>23</v>
      </c>
      <c r="D738" t="s">
        <v>24</v>
      </c>
      <c r="E738" t="s">
        <v>59</v>
      </c>
      <c r="F738" t="s">
        <v>36</v>
      </c>
      <c r="G738" t="s">
        <v>37</v>
      </c>
      <c r="H738" s="1">
        <v>45042.130173611113</v>
      </c>
      <c r="I738" s="1">
        <v>45044.130173611113</v>
      </c>
      <c r="J738" s="1">
        <v>45042.171840277777</v>
      </c>
      <c r="K738" s="2">
        <v>45042.14196090278</v>
      </c>
      <c r="L738" t="s">
        <v>28</v>
      </c>
      <c r="M738" s="2">
        <v>45044.077345277779</v>
      </c>
      <c r="N738" t="s">
        <v>28</v>
      </c>
      <c r="O738" s="2">
        <v>45047.555299398147</v>
      </c>
      <c r="P738">
        <v>2</v>
      </c>
      <c r="Q738">
        <v>4</v>
      </c>
      <c r="R738" t="s">
        <v>55</v>
      </c>
      <c r="S738" t="s">
        <v>40</v>
      </c>
      <c r="T738" t="s">
        <v>51</v>
      </c>
      <c r="U738">
        <v>39.673369999999998</v>
      </c>
      <c r="V738">
        <v>-4.7677259999999997</v>
      </c>
      <c r="W738" t="str">
        <f t="shared" si="78"/>
        <v>ok</v>
      </c>
      <c r="X738" t="str">
        <f t="shared" si="84"/>
        <v>ok</v>
      </c>
      <c r="Y738" t="str">
        <f t="shared" si="79"/>
        <v>ok</v>
      </c>
      <c r="Z738" t="str">
        <f t="shared" si="80"/>
        <v>ok</v>
      </c>
      <c r="AA738" s="4" t="str">
        <f t="shared" si="81"/>
        <v>ok</v>
      </c>
      <c r="AB738" s="4" t="str">
        <f t="shared" si="82"/>
        <v>ok</v>
      </c>
      <c r="AC738" s="6">
        <f t="shared" si="83"/>
        <v>46.732120000000577</v>
      </c>
    </row>
    <row r="739" spans="1:29" x14ac:dyDescent="0.3">
      <c r="A739" t="s">
        <v>68</v>
      </c>
      <c r="B739">
        <v>1932</v>
      </c>
      <c r="C739" t="s">
        <v>33</v>
      </c>
      <c r="D739" t="s">
        <v>24</v>
      </c>
      <c r="E739" t="s">
        <v>62</v>
      </c>
      <c r="F739" t="s">
        <v>26</v>
      </c>
      <c r="G739" t="s">
        <v>49</v>
      </c>
      <c r="H739" s="1">
        <v>45042.483923611115</v>
      </c>
      <c r="I739" s="1">
        <v>45044.483923611115</v>
      </c>
      <c r="J739" s="1">
        <v>45042.525590277779</v>
      </c>
      <c r="L739" t="s">
        <v>38</v>
      </c>
      <c r="N739" t="s">
        <v>38</v>
      </c>
      <c r="R739" t="s">
        <v>55</v>
      </c>
      <c r="S739" t="s">
        <v>30</v>
      </c>
      <c r="T739" t="s">
        <v>41</v>
      </c>
      <c r="U739">
        <v>43.036776000000003</v>
      </c>
      <c r="V739">
        <v>12.678565000000001</v>
      </c>
      <c r="W739" t="str">
        <f t="shared" si="78"/>
        <v>check</v>
      </c>
      <c r="X739" t="str">
        <f t="shared" si="84"/>
        <v>ok</v>
      </c>
      <c r="Y739" t="str">
        <f t="shared" si="79"/>
        <v>ok</v>
      </c>
      <c r="Z739" t="str">
        <f t="shared" si="80"/>
        <v>ok</v>
      </c>
      <c r="AA739" s="4" t="str">
        <f t="shared" si="81"/>
        <v>no response</v>
      </c>
      <c r="AB739" s="4" t="str">
        <f t="shared" si="82"/>
        <v>no resolution</v>
      </c>
      <c r="AC739" s="6" t="str">
        <f t="shared" si="83"/>
        <v/>
      </c>
    </row>
    <row r="740" spans="1:29" x14ac:dyDescent="0.3">
      <c r="A740" t="s">
        <v>22</v>
      </c>
      <c r="B740">
        <v>1933</v>
      </c>
      <c r="C740" t="s">
        <v>23</v>
      </c>
      <c r="D740" t="s">
        <v>43</v>
      </c>
      <c r="E740" t="s">
        <v>25</v>
      </c>
      <c r="F740" t="s">
        <v>36</v>
      </c>
      <c r="G740" t="s">
        <v>64</v>
      </c>
      <c r="H740" s="1">
        <v>45042.877534722225</v>
      </c>
      <c r="I740" s="1">
        <v>45043.877534722225</v>
      </c>
      <c r="J740" s="1">
        <v>45042.878923611112</v>
      </c>
      <c r="K740" s="2">
        <v>45042.881278645837</v>
      </c>
      <c r="L740" t="s">
        <v>38</v>
      </c>
      <c r="M740" s="2">
        <v>45043.219753819445</v>
      </c>
      <c r="N740" t="s">
        <v>28</v>
      </c>
      <c r="O740" s="2">
        <v>45044.707224687503</v>
      </c>
      <c r="P740">
        <v>6</v>
      </c>
      <c r="Q740">
        <v>4</v>
      </c>
      <c r="R740" t="s">
        <v>29</v>
      </c>
      <c r="S740" t="s">
        <v>40</v>
      </c>
      <c r="T740" t="s">
        <v>63</v>
      </c>
      <c r="U740">
        <v>55.378051999999997</v>
      </c>
      <c r="V740">
        <v>-3.4359730000000002</v>
      </c>
      <c r="W740" t="str">
        <f t="shared" si="78"/>
        <v>ok</v>
      </c>
      <c r="X740" t="str">
        <f t="shared" si="84"/>
        <v>ok</v>
      </c>
      <c r="Y740" t="str">
        <f t="shared" si="79"/>
        <v>ok</v>
      </c>
      <c r="Z740" t="str">
        <f t="shared" si="80"/>
        <v>ok</v>
      </c>
      <c r="AA740" s="4" t="str">
        <f t="shared" si="81"/>
        <v>ok</v>
      </c>
      <c r="AB740" s="4" t="str">
        <f t="shared" si="82"/>
        <v>ok</v>
      </c>
      <c r="AC740" s="6">
        <f t="shared" si="83"/>
        <v>8.2132583332713693</v>
      </c>
    </row>
    <row r="741" spans="1:29" x14ac:dyDescent="0.3">
      <c r="A741" t="s">
        <v>22</v>
      </c>
      <c r="B741">
        <v>1934</v>
      </c>
      <c r="C741" t="s">
        <v>23</v>
      </c>
      <c r="D741" t="s">
        <v>24</v>
      </c>
      <c r="E741" t="s">
        <v>67</v>
      </c>
      <c r="F741" t="s">
        <v>26</v>
      </c>
      <c r="G741" t="s">
        <v>27</v>
      </c>
      <c r="H741" s="1">
        <v>45042.527546296296</v>
      </c>
      <c r="I741" s="1">
        <v>45044.527546296296</v>
      </c>
      <c r="J741" s="1">
        <v>45042.569212962961</v>
      </c>
      <c r="K741" s="2">
        <v>45042.532942592596</v>
      </c>
      <c r="L741" t="s">
        <v>28</v>
      </c>
      <c r="M741" s="2">
        <v>45043.054186863425</v>
      </c>
      <c r="N741" t="s">
        <v>28</v>
      </c>
      <c r="O741" s="2">
        <v>45043.806803564818</v>
      </c>
      <c r="P741">
        <v>10</v>
      </c>
      <c r="Q741">
        <v>2</v>
      </c>
      <c r="R741" t="s">
        <v>29</v>
      </c>
      <c r="S741" t="s">
        <v>30</v>
      </c>
      <c r="T741" t="s">
        <v>66</v>
      </c>
      <c r="U741">
        <v>48.864716000000001</v>
      </c>
      <c r="V741">
        <v>2.3490139999999999</v>
      </c>
      <c r="W741" t="str">
        <f t="shared" si="78"/>
        <v>ok</v>
      </c>
      <c r="X741" t="str">
        <f t="shared" si="84"/>
        <v>ok</v>
      </c>
      <c r="Y741" t="str">
        <f t="shared" si="79"/>
        <v>ok</v>
      </c>
      <c r="Z741" t="str">
        <f t="shared" si="80"/>
        <v>ok</v>
      </c>
      <c r="AA741" s="4" t="str">
        <f t="shared" si="81"/>
        <v>ok</v>
      </c>
      <c r="AB741" s="4" t="str">
        <f t="shared" si="82"/>
        <v>ok</v>
      </c>
      <c r="AC741" s="6">
        <f t="shared" si="83"/>
        <v>12.639373611076735</v>
      </c>
    </row>
    <row r="742" spans="1:29" x14ac:dyDescent="0.3">
      <c r="A742" t="s">
        <v>22</v>
      </c>
      <c r="B742">
        <v>1937</v>
      </c>
      <c r="C742" t="s">
        <v>23</v>
      </c>
      <c r="D742" t="s">
        <v>24</v>
      </c>
      <c r="E742" t="s">
        <v>39</v>
      </c>
      <c r="F742" t="s">
        <v>26</v>
      </c>
      <c r="G742" t="s">
        <v>27</v>
      </c>
      <c r="H742" s="1">
        <v>45044.17869212963</v>
      </c>
      <c r="I742" s="1">
        <v>45046.17869212963</v>
      </c>
      <c r="J742" s="1">
        <v>45044.220358796294</v>
      </c>
      <c r="K742" s="2">
        <v>45044.181330821761</v>
      </c>
      <c r="L742" t="s">
        <v>28</v>
      </c>
      <c r="M742" s="2">
        <v>45044.75276693287</v>
      </c>
      <c r="N742" t="s">
        <v>28</v>
      </c>
      <c r="O742" s="2">
        <v>45045.377919189814</v>
      </c>
      <c r="P742">
        <v>7</v>
      </c>
      <c r="Q742">
        <v>4</v>
      </c>
      <c r="R742" t="s">
        <v>50</v>
      </c>
      <c r="S742" t="s">
        <v>30</v>
      </c>
      <c r="T742" t="s">
        <v>41</v>
      </c>
      <c r="U742">
        <v>43.036776000000003</v>
      </c>
      <c r="V742">
        <v>12.678565000000001</v>
      </c>
      <c r="W742" t="str">
        <f t="shared" si="78"/>
        <v>ok</v>
      </c>
      <c r="X742" t="str">
        <f t="shared" si="84"/>
        <v>ok</v>
      </c>
      <c r="Y742" t="str">
        <f t="shared" si="79"/>
        <v>ok</v>
      </c>
      <c r="Z742" t="str">
        <f t="shared" si="80"/>
        <v>ok</v>
      </c>
      <c r="AA742" s="4" t="str">
        <f t="shared" si="81"/>
        <v>ok</v>
      </c>
      <c r="AB742" s="4" t="str">
        <f t="shared" si="82"/>
        <v>ok</v>
      </c>
      <c r="AC742" s="6">
        <f t="shared" si="83"/>
        <v>13.777795277768746</v>
      </c>
    </row>
    <row r="743" spans="1:29" x14ac:dyDescent="0.3">
      <c r="A743" t="s">
        <v>22</v>
      </c>
      <c r="B743">
        <v>1938</v>
      </c>
      <c r="C743" t="s">
        <v>47</v>
      </c>
      <c r="D743" t="s">
        <v>24</v>
      </c>
      <c r="E743" t="s">
        <v>48</v>
      </c>
      <c r="F743" t="s">
        <v>36</v>
      </c>
      <c r="G743" t="s">
        <v>64</v>
      </c>
      <c r="H743" s="1">
        <v>45044.531550925924</v>
      </c>
      <c r="I743" s="1">
        <v>45046.531550925924</v>
      </c>
      <c r="J743" s="1">
        <v>45044.573217592595</v>
      </c>
      <c r="K743" s="2">
        <v>45044.548749710651</v>
      </c>
      <c r="L743" t="s">
        <v>28</v>
      </c>
      <c r="M743" s="2">
        <v>45044.632701226852</v>
      </c>
      <c r="N743" t="s">
        <v>28</v>
      </c>
      <c r="O743" s="2">
        <v>45045.452293576389</v>
      </c>
      <c r="P743">
        <v>8</v>
      </c>
      <c r="Q743">
        <v>5</v>
      </c>
      <c r="R743" t="s">
        <v>50</v>
      </c>
      <c r="S743" t="s">
        <v>40</v>
      </c>
      <c r="T743" t="s">
        <v>57</v>
      </c>
      <c r="U743">
        <v>51.165691000000002</v>
      </c>
      <c r="V743">
        <v>10.451525999999999</v>
      </c>
      <c r="W743" t="str">
        <f t="shared" si="78"/>
        <v>ok</v>
      </c>
      <c r="X743" t="str">
        <f t="shared" si="84"/>
        <v>ok</v>
      </c>
      <c r="Y743" t="str">
        <f t="shared" si="79"/>
        <v>ok</v>
      </c>
      <c r="Z743" t="str">
        <f t="shared" si="80"/>
        <v>ok</v>
      </c>
      <c r="AA743" s="4" t="str">
        <f t="shared" si="81"/>
        <v>ok</v>
      </c>
      <c r="AB743" s="4" t="str">
        <f t="shared" si="82"/>
        <v>ok</v>
      </c>
      <c r="AC743" s="6">
        <f t="shared" si="83"/>
        <v>2.4276072222855873</v>
      </c>
    </row>
    <row r="744" spans="1:29" x14ac:dyDescent="0.3">
      <c r="A744" t="s">
        <v>32</v>
      </c>
      <c r="B744">
        <v>1939</v>
      </c>
      <c r="C744" t="s">
        <v>23</v>
      </c>
      <c r="D744" t="s">
        <v>43</v>
      </c>
      <c r="E744" t="s">
        <v>39</v>
      </c>
      <c r="F744" t="s">
        <v>26</v>
      </c>
      <c r="G744" t="s">
        <v>45</v>
      </c>
      <c r="H744" s="1">
        <v>45044.071157407408</v>
      </c>
      <c r="I744" s="1">
        <v>45045.071157407408</v>
      </c>
      <c r="J744" s="1">
        <v>45044.072546296295</v>
      </c>
      <c r="K744" s="2">
        <v>45044.072070833332</v>
      </c>
      <c r="L744" t="s">
        <v>28</v>
      </c>
      <c r="N744" t="s">
        <v>38</v>
      </c>
      <c r="P744">
        <v>3</v>
      </c>
      <c r="R744" t="s">
        <v>29</v>
      </c>
      <c r="S744" t="s">
        <v>30</v>
      </c>
      <c r="T744" t="s">
        <v>58</v>
      </c>
      <c r="U744">
        <v>49.8037633</v>
      </c>
      <c r="V744">
        <v>15.4749126</v>
      </c>
      <c r="W744" t="str">
        <f t="shared" si="78"/>
        <v>ok</v>
      </c>
      <c r="X744" t="str">
        <f t="shared" si="84"/>
        <v>ok</v>
      </c>
      <c r="Y744" t="str">
        <f t="shared" si="79"/>
        <v>ok</v>
      </c>
      <c r="Z744" t="str">
        <f t="shared" si="80"/>
        <v>ok</v>
      </c>
      <c r="AA744" s="4" t="str">
        <f t="shared" si="81"/>
        <v>ok</v>
      </c>
      <c r="AB744" s="4" t="str">
        <f t="shared" si="82"/>
        <v>no resolution</v>
      </c>
      <c r="AC744" s="6" t="str">
        <f t="shared" si="83"/>
        <v/>
      </c>
    </row>
    <row r="745" spans="1:29" x14ac:dyDescent="0.3">
      <c r="A745" t="s">
        <v>22</v>
      </c>
      <c r="B745">
        <v>1940</v>
      </c>
      <c r="C745" t="s">
        <v>23</v>
      </c>
      <c r="D745" t="s">
        <v>43</v>
      </c>
      <c r="E745" t="s">
        <v>25</v>
      </c>
      <c r="F745" t="s">
        <v>26</v>
      </c>
      <c r="G745" t="s">
        <v>49</v>
      </c>
      <c r="H745" s="1">
        <v>45044.371296296296</v>
      </c>
      <c r="I745" s="1">
        <v>45045.371296296296</v>
      </c>
      <c r="J745" s="1">
        <v>45044.372685185182</v>
      </c>
      <c r="K745" s="2">
        <v>45044.374019560186</v>
      </c>
      <c r="L745" t="s">
        <v>38</v>
      </c>
      <c r="M745" s="2">
        <v>45044.386601620368</v>
      </c>
      <c r="N745" t="s">
        <v>28</v>
      </c>
      <c r="O745" s="2">
        <v>45045.751635729168</v>
      </c>
      <c r="P745">
        <v>3</v>
      </c>
      <c r="Q745">
        <v>4</v>
      </c>
      <c r="R745" t="s">
        <v>50</v>
      </c>
      <c r="S745" t="s">
        <v>30</v>
      </c>
      <c r="T745" t="s">
        <v>57</v>
      </c>
      <c r="U745">
        <v>51.165691000000002</v>
      </c>
      <c r="V745">
        <v>10.451525999999999</v>
      </c>
      <c r="W745" t="str">
        <f t="shared" si="78"/>
        <v>ok</v>
      </c>
      <c r="X745" t="str">
        <f t="shared" si="84"/>
        <v>ok</v>
      </c>
      <c r="Y745" t="str">
        <f t="shared" si="79"/>
        <v>ok</v>
      </c>
      <c r="Z745" t="str">
        <f t="shared" si="80"/>
        <v>ok</v>
      </c>
      <c r="AA745" s="4" t="str">
        <f t="shared" si="81"/>
        <v>ok</v>
      </c>
      <c r="AB745" s="4" t="str">
        <f t="shared" si="82"/>
        <v>ok</v>
      </c>
      <c r="AC745" s="6">
        <f t="shared" si="83"/>
        <v>0.36732777772704139</v>
      </c>
    </row>
    <row r="746" spans="1:29" x14ac:dyDescent="0.3">
      <c r="A746" t="s">
        <v>22</v>
      </c>
      <c r="B746">
        <v>1942</v>
      </c>
      <c r="C746" t="s">
        <v>47</v>
      </c>
      <c r="D746" t="s">
        <v>24</v>
      </c>
      <c r="E746" t="s">
        <v>39</v>
      </c>
      <c r="F746" t="s">
        <v>26</v>
      </c>
      <c r="G746" t="s">
        <v>27</v>
      </c>
      <c r="H746" s="1">
        <v>45044.0153587963</v>
      </c>
      <c r="I746" s="1">
        <v>45046.0153587963</v>
      </c>
      <c r="J746" s="1">
        <v>45044.057025462964</v>
      </c>
      <c r="K746" s="2">
        <v>45044.037531493057</v>
      </c>
      <c r="L746" t="s">
        <v>28</v>
      </c>
      <c r="M746" s="2">
        <v>45045.461095995372</v>
      </c>
      <c r="N746" t="s">
        <v>28</v>
      </c>
      <c r="O746" s="2">
        <v>45047.799840879627</v>
      </c>
      <c r="P746">
        <v>1</v>
      </c>
      <c r="Q746">
        <v>4</v>
      </c>
      <c r="R746" t="s">
        <v>50</v>
      </c>
      <c r="S746" t="s">
        <v>30</v>
      </c>
      <c r="T746" t="s">
        <v>46</v>
      </c>
      <c r="U746">
        <v>47.696471899999999</v>
      </c>
      <c r="V746">
        <v>13.3457347</v>
      </c>
      <c r="W746" t="str">
        <f t="shared" si="78"/>
        <v>ok</v>
      </c>
      <c r="X746" t="str">
        <f t="shared" si="84"/>
        <v>ok</v>
      </c>
      <c r="Y746" t="str">
        <f t="shared" si="79"/>
        <v>ok</v>
      </c>
      <c r="Z746" t="str">
        <f t="shared" si="80"/>
        <v>ok</v>
      </c>
      <c r="AA746" s="4" t="str">
        <f t="shared" si="81"/>
        <v>ok</v>
      </c>
      <c r="AB746" s="4" t="str">
        <f t="shared" si="82"/>
        <v>ok</v>
      </c>
      <c r="AC746" s="6">
        <f t="shared" si="83"/>
        <v>34.697692777728662</v>
      </c>
    </row>
    <row r="747" spans="1:29" x14ac:dyDescent="0.3">
      <c r="A747" t="s">
        <v>42</v>
      </c>
      <c r="B747">
        <v>1943</v>
      </c>
      <c r="C747" t="s">
        <v>23</v>
      </c>
      <c r="D747" t="s">
        <v>24</v>
      </c>
      <c r="E747" t="s">
        <v>35</v>
      </c>
      <c r="F747" t="s">
        <v>26</v>
      </c>
      <c r="G747" t="s">
        <v>27</v>
      </c>
      <c r="H747" s="1">
        <v>45044.973460648151</v>
      </c>
      <c r="I747" s="1">
        <v>45046.973460648151</v>
      </c>
      <c r="J747" s="1">
        <v>45045.015127314815</v>
      </c>
      <c r="K747" s="2">
        <v>45044.974297673609</v>
      </c>
      <c r="L747" t="s">
        <v>28</v>
      </c>
      <c r="M747" s="2">
        <v>45045.521726574072</v>
      </c>
      <c r="N747" t="s">
        <v>28</v>
      </c>
      <c r="P747">
        <v>9</v>
      </c>
      <c r="R747" t="s">
        <v>50</v>
      </c>
      <c r="S747" t="s">
        <v>30</v>
      </c>
      <c r="T747" t="s">
        <v>41</v>
      </c>
      <c r="U747">
        <v>43.036776000000003</v>
      </c>
      <c r="V747">
        <v>12.678565000000001</v>
      </c>
      <c r="W747" t="str">
        <f t="shared" si="78"/>
        <v>ok</v>
      </c>
      <c r="X747" t="str">
        <f t="shared" si="84"/>
        <v>ok</v>
      </c>
      <c r="Y747" t="str">
        <f t="shared" si="79"/>
        <v>ok</v>
      </c>
      <c r="Z747" t="str">
        <f t="shared" si="80"/>
        <v>ok</v>
      </c>
      <c r="AA747" s="4" t="str">
        <f t="shared" si="81"/>
        <v>ok</v>
      </c>
      <c r="AB747" s="4" t="str">
        <f t="shared" si="82"/>
        <v>ok</v>
      </c>
      <c r="AC747" s="6">
        <f t="shared" si="83"/>
        <v>13.158382222114597</v>
      </c>
    </row>
    <row r="748" spans="1:29" x14ac:dyDescent="0.3">
      <c r="A748" t="s">
        <v>42</v>
      </c>
      <c r="B748">
        <v>1945</v>
      </c>
      <c r="C748" t="s">
        <v>47</v>
      </c>
      <c r="D748" t="s">
        <v>43</v>
      </c>
      <c r="E748" t="s">
        <v>25</v>
      </c>
      <c r="F748" t="s">
        <v>26</v>
      </c>
      <c r="G748" t="s">
        <v>45</v>
      </c>
      <c r="H748" s="1">
        <v>45045.553148148145</v>
      </c>
      <c r="I748" s="1">
        <v>45046.553148148145</v>
      </c>
      <c r="J748" s="1">
        <v>45045.554537037038</v>
      </c>
      <c r="K748" s="2">
        <v>45045.553477870373</v>
      </c>
      <c r="L748" t="s">
        <v>28</v>
      </c>
      <c r="M748" s="2">
        <v>45046.246950497683</v>
      </c>
      <c r="N748" t="s">
        <v>28</v>
      </c>
      <c r="P748">
        <v>3</v>
      </c>
      <c r="R748" t="s">
        <v>50</v>
      </c>
      <c r="S748" t="s">
        <v>30</v>
      </c>
      <c r="T748" t="s">
        <v>51</v>
      </c>
      <c r="U748">
        <v>39.673369999999998</v>
      </c>
      <c r="V748">
        <v>-4.7677259999999997</v>
      </c>
      <c r="W748" t="str">
        <f t="shared" si="78"/>
        <v>ok</v>
      </c>
      <c r="X748" t="str">
        <f t="shared" si="84"/>
        <v>ok</v>
      </c>
      <c r="Y748" t="str">
        <f t="shared" si="79"/>
        <v>ok</v>
      </c>
      <c r="Z748" t="str">
        <f t="shared" si="80"/>
        <v>ok</v>
      </c>
      <c r="AA748" s="4" t="str">
        <f t="shared" si="81"/>
        <v>ok</v>
      </c>
      <c r="AB748" s="4" t="str">
        <f t="shared" si="82"/>
        <v>ok</v>
      </c>
      <c r="AC748" s="6">
        <f t="shared" si="83"/>
        <v>16.651256388926413</v>
      </c>
    </row>
    <row r="749" spans="1:29" x14ac:dyDescent="0.3">
      <c r="A749" t="s">
        <v>22</v>
      </c>
      <c r="B749">
        <v>1946</v>
      </c>
      <c r="C749" t="s">
        <v>33</v>
      </c>
      <c r="D749" t="s">
        <v>24</v>
      </c>
      <c r="E749" t="s">
        <v>62</v>
      </c>
      <c r="F749" t="s">
        <v>36</v>
      </c>
      <c r="G749" t="s">
        <v>64</v>
      </c>
      <c r="H749" s="1">
        <v>45045.402129629627</v>
      </c>
      <c r="I749" s="1">
        <v>45047.402129629627</v>
      </c>
      <c r="J749" s="1">
        <v>45045.443796296298</v>
      </c>
      <c r="K749" s="2">
        <v>45045.410101296293</v>
      </c>
      <c r="L749" t="s">
        <v>28</v>
      </c>
      <c r="M749" s="2">
        <v>45047.633616898151</v>
      </c>
      <c r="N749" t="s">
        <v>38</v>
      </c>
      <c r="O749" s="2">
        <v>45049.562640115742</v>
      </c>
      <c r="P749">
        <v>3</v>
      </c>
      <c r="Q749">
        <v>4</v>
      </c>
      <c r="R749" t="s">
        <v>55</v>
      </c>
      <c r="S749" t="s">
        <v>40</v>
      </c>
      <c r="T749" t="s">
        <v>41</v>
      </c>
      <c r="U749">
        <v>43.036776000000003</v>
      </c>
      <c r="V749">
        <v>12.678565000000001</v>
      </c>
      <c r="W749" t="str">
        <f t="shared" si="78"/>
        <v>ok</v>
      </c>
      <c r="X749" t="str">
        <f t="shared" si="84"/>
        <v>ok</v>
      </c>
      <c r="Y749" t="str">
        <f t="shared" si="79"/>
        <v>ok</v>
      </c>
      <c r="Z749" t="str">
        <f t="shared" si="80"/>
        <v>ok</v>
      </c>
      <c r="AA749" s="4" t="str">
        <f t="shared" si="81"/>
        <v>ok</v>
      </c>
      <c r="AB749" s="4" t="str">
        <f t="shared" si="82"/>
        <v>ok</v>
      </c>
      <c r="AC749" s="6">
        <f t="shared" si="83"/>
        <v>53.55569444457069</v>
      </c>
    </row>
    <row r="750" spans="1:29" x14ac:dyDescent="0.3">
      <c r="A750" t="s">
        <v>42</v>
      </c>
      <c r="B750">
        <v>1956</v>
      </c>
      <c r="C750" t="s">
        <v>23</v>
      </c>
      <c r="D750" t="s">
        <v>24</v>
      </c>
      <c r="E750" t="s">
        <v>48</v>
      </c>
      <c r="F750" t="s">
        <v>26</v>
      </c>
      <c r="G750" t="s">
        <v>49</v>
      </c>
      <c r="H750" s="1">
        <v>45045.120497685188</v>
      </c>
      <c r="I750" s="1">
        <v>45047.120497685188</v>
      </c>
      <c r="J750" s="1">
        <v>45045.162164351852</v>
      </c>
      <c r="K750" s="2">
        <v>45045.161737199072</v>
      </c>
      <c r="L750" t="s">
        <v>28</v>
      </c>
      <c r="M750" s="2">
        <v>45045.152230590276</v>
      </c>
      <c r="N750" t="s">
        <v>28</v>
      </c>
      <c r="P750">
        <v>5</v>
      </c>
      <c r="R750" t="s">
        <v>39</v>
      </c>
      <c r="S750" t="s">
        <v>30</v>
      </c>
      <c r="T750" t="s">
        <v>61</v>
      </c>
      <c r="U750">
        <v>42.724992499999999</v>
      </c>
      <c r="V750">
        <v>25.483303899999999</v>
      </c>
      <c r="W750" t="str">
        <f t="shared" si="78"/>
        <v>ok</v>
      </c>
      <c r="X750" t="str">
        <f t="shared" si="84"/>
        <v>ok</v>
      </c>
      <c r="Y750" t="str">
        <f t="shared" si="79"/>
        <v>ok</v>
      </c>
      <c r="Z750" t="str">
        <f t="shared" si="80"/>
        <v>ok</v>
      </c>
      <c r="AA750" s="4" t="str">
        <f t="shared" si="81"/>
        <v>ok</v>
      </c>
      <c r="AB750" s="4" t="str">
        <f t="shared" si="82"/>
        <v>ok</v>
      </c>
      <c r="AC750" s="6">
        <f t="shared" si="83"/>
        <v>0.76158972212579101</v>
      </c>
    </row>
    <row r="751" spans="1:29" x14ac:dyDescent="0.3">
      <c r="A751" t="s">
        <v>42</v>
      </c>
      <c r="B751">
        <v>1957</v>
      </c>
      <c r="C751" t="s">
        <v>23</v>
      </c>
      <c r="D751" t="s">
        <v>24</v>
      </c>
      <c r="E751" t="s">
        <v>25</v>
      </c>
      <c r="F751" t="s">
        <v>26</v>
      </c>
      <c r="G751" t="s">
        <v>60</v>
      </c>
      <c r="H751" s="1">
        <v>45045.082962962966</v>
      </c>
      <c r="I751" s="1">
        <v>45047.082962962966</v>
      </c>
      <c r="J751" s="1">
        <v>45045.12462962963</v>
      </c>
      <c r="K751" s="2">
        <v>45045.345374618053</v>
      </c>
      <c r="L751" t="s">
        <v>38</v>
      </c>
      <c r="M751" s="2">
        <v>45045.529659004627</v>
      </c>
      <c r="N751" t="s">
        <v>28</v>
      </c>
      <c r="P751">
        <v>3</v>
      </c>
      <c r="R751" t="s">
        <v>50</v>
      </c>
      <c r="S751" t="s">
        <v>30</v>
      </c>
      <c r="T751" t="s">
        <v>65</v>
      </c>
      <c r="U751">
        <v>46.149166399999999</v>
      </c>
      <c r="V751">
        <v>14.9860106</v>
      </c>
      <c r="W751" t="str">
        <f t="shared" si="78"/>
        <v>ok</v>
      </c>
      <c r="X751" t="str">
        <f t="shared" si="84"/>
        <v>ok</v>
      </c>
      <c r="Y751" t="str">
        <f t="shared" si="79"/>
        <v>ok</v>
      </c>
      <c r="Z751" t="str">
        <f t="shared" si="80"/>
        <v>ok</v>
      </c>
      <c r="AA751" s="4" t="str">
        <f t="shared" si="81"/>
        <v>ok</v>
      </c>
      <c r="AB751" s="4" t="str">
        <f t="shared" si="82"/>
        <v>ok</v>
      </c>
      <c r="AC751" s="6">
        <f t="shared" si="83"/>
        <v>10.720704999868758</v>
      </c>
    </row>
    <row r="752" spans="1:29" x14ac:dyDescent="0.3">
      <c r="A752" t="s">
        <v>42</v>
      </c>
      <c r="B752">
        <v>1958</v>
      </c>
      <c r="C752" t="s">
        <v>23</v>
      </c>
      <c r="D752" t="s">
        <v>43</v>
      </c>
      <c r="E752" t="s">
        <v>35</v>
      </c>
      <c r="F752" t="s">
        <v>36</v>
      </c>
      <c r="G752" t="s">
        <v>54</v>
      </c>
      <c r="H752" s="1">
        <v>45045.789618055554</v>
      </c>
      <c r="I752" s="1">
        <v>45046.789618055554</v>
      </c>
      <c r="J752" s="1">
        <v>45045.791006944448</v>
      </c>
      <c r="K752" s="2">
        <v>45045.790940300925</v>
      </c>
      <c r="L752" t="s">
        <v>28</v>
      </c>
      <c r="M752" s="2">
        <v>45045.798430613424</v>
      </c>
      <c r="N752" t="s">
        <v>28</v>
      </c>
      <c r="P752">
        <v>4</v>
      </c>
      <c r="R752" t="s">
        <v>39</v>
      </c>
      <c r="S752" t="s">
        <v>40</v>
      </c>
      <c r="T752" t="s">
        <v>66</v>
      </c>
      <c r="U752">
        <v>48.864716000000001</v>
      </c>
      <c r="V752">
        <v>2.3490139999999999</v>
      </c>
      <c r="W752" t="str">
        <f t="shared" si="78"/>
        <v>ok</v>
      </c>
      <c r="X752" t="str">
        <f t="shared" si="84"/>
        <v>ok</v>
      </c>
      <c r="Y752" t="str">
        <f t="shared" si="79"/>
        <v>ok</v>
      </c>
      <c r="Z752" t="str">
        <f t="shared" si="80"/>
        <v>ok</v>
      </c>
      <c r="AA752" s="4" t="str">
        <f t="shared" si="81"/>
        <v>ok</v>
      </c>
      <c r="AB752" s="4" t="str">
        <f t="shared" si="82"/>
        <v>ok</v>
      </c>
      <c r="AC752" s="6">
        <f t="shared" si="83"/>
        <v>0.21150138886878267</v>
      </c>
    </row>
    <row r="753" spans="1:29" x14ac:dyDescent="0.3">
      <c r="A753" t="s">
        <v>22</v>
      </c>
      <c r="B753">
        <v>1959</v>
      </c>
      <c r="C753" t="s">
        <v>23</v>
      </c>
      <c r="D753" t="s">
        <v>24</v>
      </c>
      <c r="E753" t="s">
        <v>39</v>
      </c>
      <c r="F753" t="s">
        <v>26</v>
      </c>
      <c r="G753" t="s">
        <v>60</v>
      </c>
      <c r="H753" s="1">
        <v>45045.38989583333</v>
      </c>
      <c r="I753" s="1">
        <v>45047.38989583333</v>
      </c>
      <c r="J753" s="1">
        <v>45045.431562500002</v>
      </c>
      <c r="K753" s="2">
        <v>45045.399529652779</v>
      </c>
      <c r="L753" t="s">
        <v>28</v>
      </c>
      <c r="M753" s="2">
        <v>45045.576314999998</v>
      </c>
      <c r="N753" t="s">
        <v>28</v>
      </c>
      <c r="O753" s="2">
        <v>45048.731586087961</v>
      </c>
      <c r="P753">
        <v>10</v>
      </c>
      <c r="Q753">
        <v>2</v>
      </c>
      <c r="R753" t="s">
        <v>39</v>
      </c>
      <c r="S753" t="s">
        <v>30</v>
      </c>
      <c r="T753" t="s">
        <v>58</v>
      </c>
      <c r="U753">
        <v>49.8037633</v>
      </c>
      <c r="V753">
        <v>15.4749126</v>
      </c>
      <c r="W753" t="str">
        <f t="shared" si="78"/>
        <v>ok</v>
      </c>
      <c r="X753" t="str">
        <f t="shared" si="84"/>
        <v>ok</v>
      </c>
      <c r="Y753" t="str">
        <f t="shared" si="79"/>
        <v>ok</v>
      </c>
      <c r="Z753" t="str">
        <f t="shared" si="80"/>
        <v>ok</v>
      </c>
      <c r="AA753" s="4" t="str">
        <f t="shared" si="81"/>
        <v>ok</v>
      </c>
      <c r="AB753" s="4" t="str">
        <f t="shared" si="82"/>
        <v>ok</v>
      </c>
      <c r="AC753" s="6">
        <f t="shared" si="83"/>
        <v>4.4740600000368431</v>
      </c>
    </row>
    <row r="754" spans="1:29" x14ac:dyDescent="0.3">
      <c r="A754" t="s">
        <v>22</v>
      </c>
      <c r="B754">
        <v>1960</v>
      </c>
      <c r="C754" t="s">
        <v>23</v>
      </c>
      <c r="D754" t="s">
        <v>24</v>
      </c>
      <c r="E754" t="s">
        <v>59</v>
      </c>
      <c r="F754" t="s">
        <v>26</v>
      </c>
      <c r="G754" t="s">
        <v>27</v>
      </c>
      <c r="H754" s="1">
        <v>45046.194953703707</v>
      </c>
      <c r="I754" s="1">
        <v>45048.194953703707</v>
      </c>
      <c r="J754" s="1">
        <v>45046.236620370371</v>
      </c>
      <c r="K754" s="2">
        <v>45046.196314988425</v>
      </c>
      <c r="L754" t="s">
        <v>28</v>
      </c>
      <c r="M754" s="2">
        <v>45046.96957332176</v>
      </c>
      <c r="N754" t="s">
        <v>28</v>
      </c>
      <c r="O754" s="2">
        <v>45050.999352002313</v>
      </c>
      <c r="P754">
        <v>6</v>
      </c>
      <c r="Q754">
        <v>2</v>
      </c>
      <c r="R754" t="s">
        <v>50</v>
      </c>
      <c r="S754" t="s">
        <v>30</v>
      </c>
      <c r="T754" t="s">
        <v>56</v>
      </c>
      <c r="U754">
        <v>52.536273000000001</v>
      </c>
      <c r="V754">
        <v>19.050639</v>
      </c>
      <c r="W754" t="str">
        <f t="shared" si="78"/>
        <v>ok</v>
      </c>
      <c r="X754" t="str">
        <f t="shared" si="84"/>
        <v>ok</v>
      </c>
      <c r="Y754" t="str">
        <f t="shared" si="79"/>
        <v>ok</v>
      </c>
      <c r="Z754" t="str">
        <f t="shared" si="80"/>
        <v>ok</v>
      </c>
      <c r="AA754" s="4" t="str">
        <f t="shared" si="81"/>
        <v>ok</v>
      </c>
      <c r="AB754" s="4" t="str">
        <f t="shared" si="82"/>
        <v>ok</v>
      </c>
      <c r="AC754" s="6">
        <f t="shared" si="83"/>
        <v>18.590870833257213</v>
      </c>
    </row>
    <row r="755" spans="1:29" x14ac:dyDescent="0.3">
      <c r="A755" t="s">
        <v>22</v>
      </c>
      <c r="B755">
        <v>1961</v>
      </c>
      <c r="C755" t="s">
        <v>33</v>
      </c>
      <c r="D755" t="s">
        <v>24</v>
      </c>
      <c r="E755" t="s">
        <v>44</v>
      </c>
      <c r="F755" t="s">
        <v>26</v>
      </c>
      <c r="G755" t="s">
        <v>27</v>
      </c>
      <c r="H755" s="1">
        <v>45046.481458333335</v>
      </c>
      <c r="I755" s="1">
        <v>45048.481458333335</v>
      </c>
      <c r="J755" s="1">
        <v>45046.523125</v>
      </c>
      <c r="K755" s="2">
        <v>45046.48811888889</v>
      </c>
      <c r="L755" t="s">
        <v>28</v>
      </c>
      <c r="M755" s="2">
        <v>45050.408139675928</v>
      </c>
      <c r="N755" t="s">
        <v>38</v>
      </c>
      <c r="O755" s="2">
        <v>45051.219081400464</v>
      </c>
      <c r="P755">
        <v>1</v>
      </c>
      <c r="Q755">
        <v>5</v>
      </c>
      <c r="R755" t="s">
        <v>50</v>
      </c>
      <c r="S755" t="s">
        <v>30</v>
      </c>
      <c r="T755" t="s">
        <v>56</v>
      </c>
      <c r="U755">
        <v>52.536273000000001</v>
      </c>
      <c r="V755">
        <v>19.050639</v>
      </c>
      <c r="W755" t="str">
        <f t="shared" si="78"/>
        <v>ok</v>
      </c>
      <c r="X755" t="str">
        <f t="shared" si="84"/>
        <v>ok</v>
      </c>
      <c r="Y755" t="str">
        <f t="shared" si="79"/>
        <v>ok</v>
      </c>
      <c r="Z755" t="str">
        <f t="shared" si="80"/>
        <v>ok</v>
      </c>
      <c r="AA755" s="4" t="str">
        <f t="shared" si="81"/>
        <v>ok</v>
      </c>
      <c r="AB755" s="4" t="str">
        <f t="shared" si="82"/>
        <v>ok</v>
      </c>
      <c r="AC755" s="6">
        <f t="shared" si="83"/>
        <v>94.240352222230285</v>
      </c>
    </row>
    <row r="756" spans="1:29" x14ac:dyDescent="0.3">
      <c r="A756" t="s">
        <v>32</v>
      </c>
      <c r="B756">
        <v>1962</v>
      </c>
      <c r="C756" t="s">
        <v>23</v>
      </c>
      <c r="D756" t="s">
        <v>24</v>
      </c>
      <c r="E756" t="s">
        <v>48</v>
      </c>
      <c r="F756" t="s">
        <v>26</v>
      </c>
      <c r="G756" t="s">
        <v>45</v>
      </c>
      <c r="H756" s="1">
        <v>45046.807187500002</v>
      </c>
      <c r="I756" s="1">
        <v>45048.807187500002</v>
      </c>
      <c r="J756" s="1">
        <v>45046.848854166667</v>
      </c>
      <c r="K756" s="2">
        <v>45046.807870069446</v>
      </c>
      <c r="L756" t="s">
        <v>28</v>
      </c>
      <c r="N756" t="s">
        <v>38</v>
      </c>
      <c r="P756">
        <v>1</v>
      </c>
      <c r="R756" t="s">
        <v>29</v>
      </c>
      <c r="S756" t="s">
        <v>30</v>
      </c>
      <c r="T756" t="s">
        <v>57</v>
      </c>
      <c r="U756">
        <v>51.165691000000002</v>
      </c>
      <c r="V756">
        <v>10.451525999999999</v>
      </c>
      <c r="W756" t="str">
        <f t="shared" si="78"/>
        <v>ok</v>
      </c>
      <c r="X756" t="str">
        <f t="shared" si="84"/>
        <v>ok</v>
      </c>
      <c r="Y756" t="str">
        <f t="shared" si="79"/>
        <v>ok</v>
      </c>
      <c r="Z756" t="str">
        <f t="shared" si="80"/>
        <v>ok</v>
      </c>
      <c r="AA756" s="4" t="str">
        <f t="shared" si="81"/>
        <v>ok</v>
      </c>
      <c r="AB756" s="4" t="str">
        <f t="shared" si="82"/>
        <v>no resolution</v>
      </c>
      <c r="AC756" s="6" t="str">
        <f t="shared" si="83"/>
        <v/>
      </c>
    </row>
    <row r="757" spans="1:29" x14ac:dyDescent="0.3">
      <c r="A757" t="s">
        <v>22</v>
      </c>
      <c r="B757">
        <v>1963</v>
      </c>
      <c r="C757" t="s">
        <v>47</v>
      </c>
      <c r="D757" t="s">
        <v>34</v>
      </c>
      <c r="E757" t="s">
        <v>44</v>
      </c>
      <c r="F757" t="s">
        <v>36</v>
      </c>
      <c r="G757" t="s">
        <v>64</v>
      </c>
      <c r="H757" s="1">
        <v>45046.866053240738</v>
      </c>
      <c r="I757" s="1">
        <v>45048.866053240738</v>
      </c>
      <c r="J757" s="1">
        <v>45046.867442129631</v>
      </c>
      <c r="K757" s="2">
        <v>45046.869317662036</v>
      </c>
      <c r="L757" t="s">
        <v>38</v>
      </c>
      <c r="M757" s="2">
        <v>45047.330990405091</v>
      </c>
      <c r="N757" t="s">
        <v>28</v>
      </c>
      <c r="O757" s="2">
        <v>45048.70100346065</v>
      </c>
      <c r="P757">
        <v>2</v>
      </c>
      <c r="Q757">
        <v>4</v>
      </c>
      <c r="R757" t="s">
        <v>29</v>
      </c>
      <c r="S757" t="s">
        <v>40</v>
      </c>
      <c r="T757" t="s">
        <v>65</v>
      </c>
      <c r="U757">
        <v>46.149166399999999</v>
      </c>
      <c r="V757">
        <v>14.9860106</v>
      </c>
      <c r="W757" t="str">
        <f t="shared" si="78"/>
        <v>ok</v>
      </c>
      <c r="X757" t="str">
        <f t="shared" si="84"/>
        <v>ok</v>
      </c>
      <c r="Y757" t="str">
        <f t="shared" si="79"/>
        <v>ok</v>
      </c>
      <c r="Z757" t="str">
        <f t="shared" si="80"/>
        <v>ok</v>
      </c>
      <c r="AA757" s="4" t="str">
        <f t="shared" si="81"/>
        <v>ok</v>
      </c>
      <c r="AB757" s="4" t="str">
        <f t="shared" si="82"/>
        <v>ok</v>
      </c>
      <c r="AC757" s="6">
        <f t="shared" si="83"/>
        <v>11.158491944486741</v>
      </c>
    </row>
    <row r="758" spans="1:29" x14ac:dyDescent="0.3">
      <c r="A758" t="s">
        <v>42</v>
      </c>
      <c r="B758">
        <v>1964</v>
      </c>
      <c r="C758" t="s">
        <v>23</v>
      </c>
      <c r="D758" t="s">
        <v>24</v>
      </c>
      <c r="E758" t="s">
        <v>59</v>
      </c>
      <c r="F758" t="s">
        <v>26</v>
      </c>
      <c r="G758" t="s">
        <v>45</v>
      </c>
      <c r="H758" s="1">
        <v>45046.831388888888</v>
      </c>
      <c r="I758" s="1">
        <v>45048.831388888888</v>
      </c>
      <c r="J758" s="1">
        <v>45046.873055555552</v>
      </c>
      <c r="K758" s="2">
        <v>45046.849578923611</v>
      </c>
      <c r="L758" t="s">
        <v>28</v>
      </c>
      <c r="M758" s="2">
        <v>45048.435866307867</v>
      </c>
      <c r="N758" t="s">
        <v>28</v>
      </c>
      <c r="P758">
        <v>3</v>
      </c>
      <c r="R758" t="s">
        <v>29</v>
      </c>
      <c r="S758" t="s">
        <v>30</v>
      </c>
      <c r="T758" t="s">
        <v>51</v>
      </c>
      <c r="U758">
        <v>39.673369999999998</v>
      </c>
      <c r="V758">
        <v>-4.7677259999999997</v>
      </c>
      <c r="W758" t="str">
        <f t="shared" si="78"/>
        <v>ok</v>
      </c>
      <c r="X758" t="str">
        <f t="shared" si="84"/>
        <v>ok</v>
      </c>
      <c r="Y758" t="str">
        <f t="shared" si="79"/>
        <v>ok</v>
      </c>
      <c r="Z758" t="str">
        <f t="shared" si="80"/>
        <v>ok</v>
      </c>
      <c r="AA758" s="4" t="str">
        <f t="shared" si="81"/>
        <v>ok</v>
      </c>
      <c r="AB758" s="4" t="str">
        <f t="shared" si="82"/>
        <v>ok</v>
      </c>
      <c r="AC758" s="6">
        <f t="shared" si="83"/>
        <v>38.507458055508323</v>
      </c>
    </row>
    <row r="759" spans="1:29" x14ac:dyDescent="0.3">
      <c r="A759" t="s">
        <v>22</v>
      </c>
      <c r="B759">
        <v>1965</v>
      </c>
      <c r="C759" t="s">
        <v>47</v>
      </c>
      <c r="D759" t="s">
        <v>24</v>
      </c>
      <c r="E759" t="s">
        <v>35</v>
      </c>
      <c r="F759" t="s">
        <v>36</v>
      </c>
      <c r="G759" t="s">
        <v>37</v>
      </c>
      <c r="H759" s="1">
        <v>45046.042314814818</v>
      </c>
      <c r="I759" s="1">
        <v>45048.042314814818</v>
      </c>
      <c r="J759" s="1">
        <v>45046.083981481483</v>
      </c>
      <c r="K759" s="2">
        <v>45046.070865682872</v>
      </c>
      <c r="L759" t="s">
        <v>28</v>
      </c>
      <c r="M759" s="2">
        <v>45047.682667858797</v>
      </c>
      <c r="N759" t="s">
        <v>28</v>
      </c>
      <c r="O759" s="2">
        <v>45050.766916435183</v>
      </c>
      <c r="P759">
        <v>10</v>
      </c>
      <c r="Q759">
        <v>2</v>
      </c>
      <c r="R759" t="s">
        <v>50</v>
      </c>
      <c r="S759" t="s">
        <v>40</v>
      </c>
      <c r="T759" t="s">
        <v>57</v>
      </c>
      <c r="U759">
        <v>51.165691000000002</v>
      </c>
      <c r="V759">
        <v>10.451525999999999</v>
      </c>
      <c r="W759" t="str">
        <f t="shared" si="78"/>
        <v>ok</v>
      </c>
      <c r="X759" t="str">
        <f t="shared" si="84"/>
        <v>ok</v>
      </c>
      <c r="Y759" t="str">
        <f t="shared" si="79"/>
        <v>ok</v>
      </c>
      <c r="Z759" t="str">
        <f t="shared" si="80"/>
        <v>ok</v>
      </c>
      <c r="AA759" s="4" t="str">
        <f t="shared" si="81"/>
        <v>ok</v>
      </c>
      <c r="AB759" s="4" t="str">
        <f t="shared" si="82"/>
        <v>ok</v>
      </c>
      <c r="AC759" s="6">
        <f t="shared" si="83"/>
        <v>39.368473055481445</v>
      </c>
    </row>
    <row r="760" spans="1:29" x14ac:dyDescent="0.3">
      <c r="A760" t="s">
        <v>22</v>
      </c>
      <c r="B760">
        <v>1966</v>
      </c>
      <c r="C760" t="s">
        <v>33</v>
      </c>
      <c r="D760" t="s">
        <v>43</v>
      </c>
      <c r="E760" t="s">
        <v>35</v>
      </c>
      <c r="F760" t="s">
        <v>36</v>
      </c>
      <c r="G760" t="s">
        <v>64</v>
      </c>
      <c r="H760" s="1">
        <v>45046.334594907406</v>
      </c>
      <c r="I760" s="1">
        <v>45047.334594907406</v>
      </c>
      <c r="J760" s="1">
        <v>45046.3359837963</v>
      </c>
      <c r="K760" s="2">
        <v>45046.334742685183</v>
      </c>
      <c r="L760" t="s">
        <v>28</v>
      </c>
      <c r="M760" s="2">
        <v>45046.532998263887</v>
      </c>
      <c r="N760" t="s">
        <v>28</v>
      </c>
      <c r="O760" s="2">
        <v>45050.006235023146</v>
      </c>
      <c r="P760">
        <v>9</v>
      </c>
      <c r="Q760">
        <v>2</v>
      </c>
      <c r="R760" t="s">
        <v>50</v>
      </c>
      <c r="S760" t="s">
        <v>40</v>
      </c>
      <c r="T760" t="s">
        <v>58</v>
      </c>
      <c r="U760">
        <v>49.8037633</v>
      </c>
      <c r="V760">
        <v>15.4749126</v>
      </c>
      <c r="W760" t="str">
        <f t="shared" si="78"/>
        <v>ok</v>
      </c>
      <c r="X760" t="str">
        <f t="shared" si="84"/>
        <v>ok</v>
      </c>
      <c r="Y760" t="str">
        <f t="shared" si="79"/>
        <v>ok</v>
      </c>
      <c r="Z760" t="str">
        <f t="shared" si="80"/>
        <v>ok</v>
      </c>
      <c r="AA760" s="4" t="str">
        <f t="shared" si="81"/>
        <v>ok</v>
      </c>
      <c r="AB760" s="4" t="str">
        <f t="shared" si="82"/>
        <v>ok</v>
      </c>
      <c r="AC760" s="6">
        <f t="shared" si="83"/>
        <v>4.7616805555298924</v>
      </c>
    </row>
    <row r="761" spans="1:29" x14ac:dyDescent="0.3">
      <c r="A761" t="s">
        <v>32</v>
      </c>
      <c r="B761">
        <v>1974</v>
      </c>
      <c r="C761" t="s">
        <v>47</v>
      </c>
      <c r="D761" t="s">
        <v>24</v>
      </c>
      <c r="E761" t="s">
        <v>39</v>
      </c>
      <c r="F761" t="s">
        <v>26</v>
      </c>
      <c r="G761" t="s">
        <v>45</v>
      </c>
      <c r="H761" s="1">
        <v>45047.143368055556</v>
      </c>
      <c r="I761" s="1">
        <v>45049.143368055556</v>
      </c>
      <c r="J761" s="1">
        <v>45047.185034722221</v>
      </c>
      <c r="K761" s="2">
        <v>45047.163016423612</v>
      </c>
      <c r="L761" t="s">
        <v>28</v>
      </c>
      <c r="N761" t="s">
        <v>38</v>
      </c>
      <c r="P761">
        <v>5</v>
      </c>
      <c r="R761" t="s">
        <v>29</v>
      </c>
      <c r="S761" t="s">
        <v>30</v>
      </c>
      <c r="T761" t="s">
        <v>63</v>
      </c>
      <c r="U761">
        <v>55.378051999999997</v>
      </c>
      <c r="V761">
        <v>-3.4359730000000002</v>
      </c>
      <c r="W761" t="str">
        <f t="shared" si="78"/>
        <v>ok</v>
      </c>
      <c r="X761" t="str">
        <f t="shared" si="84"/>
        <v>ok</v>
      </c>
      <c r="Y761" t="str">
        <f t="shared" si="79"/>
        <v>ok</v>
      </c>
      <c r="Z761" t="str">
        <f t="shared" si="80"/>
        <v>ok</v>
      </c>
      <c r="AA761" s="4" t="str">
        <f t="shared" si="81"/>
        <v>ok</v>
      </c>
      <c r="AB761" s="4" t="str">
        <f t="shared" si="82"/>
        <v>no resolution</v>
      </c>
      <c r="AC761" s="6" t="str">
        <f t="shared" si="83"/>
        <v/>
      </c>
    </row>
    <row r="762" spans="1:29" x14ac:dyDescent="0.3">
      <c r="A762" t="s">
        <v>42</v>
      </c>
      <c r="B762">
        <v>1975</v>
      </c>
      <c r="C762" t="s">
        <v>23</v>
      </c>
      <c r="D762" t="s">
        <v>24</v>
      </c>
      <c r="E762" t="s">
        <v>48</v>
      </c>
      <c r="F762" t="s">
        <v>26</v>
      </c>
      <c r="G762" t="s">
        <v>52</v>
      </c>
      <c r="H762" s="1">
        <v>45047.010995370372</v>
      </c>
      <c r="I762" s="1">
        <v>45049.010995370372</v>
      </c>
      <c r="J762" s="1">
        <v>45047.052662037036</v>
      </c>
      <c r="K762" s="2">
        <v>45047.022912256944</v>
      </c>
      <c r="L762" t="s">
        <v>28</v>
      </c>
      <c r="M762" s="2">
        <v>45048.312365474536</v>
      </c>
      <c r="N762" t="s">
        <v>28</v>
      </c>
      <c r="P762">
        <v>2</v>
      </c>
      <c r="R762" t="s">
        <v>39</v>
      </c>
      <c r="S762" t="s">
        <v>30</v>
      </c>
      <c r="T762" t="s">
        <v>58</v>
      </c>
      <c r="U762">
        <v>49.8037633</v>
      </c>
      <c r="V762">
        <v>15.4749126</v>
      </c>
      <c r="W762" t="str">
        <f t="shared" si="78"/>
        <v>ok</v>
      </c>
      <c r="X762" t="str">
        <f t="shared" si="84"/>
        <v>ok</v>
      </c>
      <c r="Y762" t="str">
        <f t="shared" si="79"/>
        <v>ok</v>
      </c>
      <c r="Z762" t="str">
        <f t="shared" si="80"/>
        <v>ok</v>
      </c>
      <c r="AA762" s="4" t="str">
        <f t="shared" si="81"/>
        <v>ok</v>
      </c>
      <c r="AB762" s="4" t="str">
        <f t="shared" si="82"/>
        <v>ok</v>
      </c>
      <c r="AC762" s="6">
        <f t="shared" si="83"/>
        <v>31.232882499927655</v>
      </c>
    </row>
    <row r="763" spans="1:29" x14ac:dyDescent="0.3">
      <c r="A763" t="s">
        <v>22</v>
      </c>
      <c r="B763">
        <v>1976</v>
      </c>
      <c r="C763" t="s">
        <v>47</v>
      </c>
      <c r="D763" t="s">
        <v>24</v>
      </c>
      <c r="E763" t="s">
        <v>25</v>
      </c>
      <c r="F763" t="s">
        <v>26</v>
      </c>
      <c r="G763" t="s">
        <v>27</v>
      </c>
      <c r="H763" s="1">
        <v>45047.719872685186</v>
      </c>
      <c r="I763" s="1">
        <v>45049.719872685186</v>
      </c>
      <c r="J763" s="1">
        <v>45047.76153935185</v>
      </c>
      <c r="K763" s="2">
        <v>45047.754530243059</v>
      </c>
      <c r="L763" t="s">
        <v>28</v>
      </c>
      <c r="M763" s="2">
        <v>45049.042663831016</v>
      </c>
      <c r="N763" t="s">
        <v>28</v>
      </c>
      <c r="O763" s="2">
        <v>45050.235473356479</v>
      </c>
      <c r="P763">
        <v>1</v>
      </c>
      <c r="Q763">
        <v>5</v>
      </c>
      <c r="R763" t="s">
        <v>29</v>
      </c>
      <c r="S763" t="s">
        <v>30</v>
      </c>
      <c r="T763" t="s">
        <v>41</v>
      </c>
      <c r="U763">
        <v>43.036776000000003</v>
      </c>
      <c r="V763">
        <v>12.678565000000001</v>
      </c>
      <c r="W763" t="str">
        <f t="shared" si="78"/>
        <v>ok</v>
      </c>
      <c r="X763" t="str">
        <f t="shared" si="84"/>
        <v>ok</v>
      </c>
      <c r="Y763" t="str">
        <f t="shared" si="79"/>
        <v>ok</v>
      </c>
      <c r="Z763" t="str">
        <f t="shared" si="80"/>
        <v>ok</v>
      </c>
      <c r="AA763" s="4" t="str">
        <f t="shared" si="81"/>
        <v>ok</v>
      </c>
      <c r="AB763" s="4" t="str">
        <f t="shared" si="82"/>
        <v>ok</v>
      </c>
      <c r="AC763" s="6">
        <f t="shared" si="83"/>
        <v>31.746987499936949</v>
      </c>
    </row>
    <row r="764" spans="1:29" x14ac:dyDescent="0.3">
      <c r="A764" t="s">
        <v>22</v>
      </c>
      <c r="B764">
        <v>1977</v>
      </c>
      <c r="C764" t="s">
        <v>23</v>
      </c>
      <c r="D764" t="s">
        <v>24</v>
      </c>
      <c r="E764" t="s">
        <v>25</v>
      </c>
      <c r="F764" t="s">
        <v>26</v>
      </c>
      <c r="G764" t="s">
        <v>27</v>
      </c>
      <c r="H764" s="1">
        <v>45047.814131944448</v>
      </c>
      <c r="I764" s="1">
        <v>45049.814131944448</v>
      </c>
      <c r="J764" s="1">
        <v>45047.855798611112</v>
      </c>
      <c r="K764" s="2">
        <v>45047.926325173612</v>
      </c>
      <c r="L764" t="s">
        <v>38</v>
      </c>
      <c r="M764" s="2">
        <v>45048.778734189815</v>
      </c>
      <c r="N764" t="s">
        <v>28</v>
      </c>
      <c r="O764" s="2">
        <v>45053.946614432869</v>
      </c>
      <c r="P764">
        <v>2</v>
      </c>
      <c r="Q764">
        <v>4</v>
      </c>
      <c r="R764" t="s">
        <v>50</v>
      </c>
      <c r="S764" t="s">
        <v>30</v>
      </c>
      <c r="T764" t="s">
        <v>56</v>
      </c>
      <c r="U764">
        <v>52.536273000000001</v>
      </c>
      <c r="V764">
        <v>19.050639</v>
      </c>
      <c r="W764" t="str">
        <f t="shared" si="78"/>
        <v>ok</v>
      </c>
      <c r="X764" t="str">
        <f t="shared" si="84"/>
        <v>ok</v>
      </c>
      <c r="Y764" t="str">
        <f t="shared" si="79"/>
        <v>ok</v>
      </c>
      <c r="Z764" t="str">
        <f t="shared" si="80"/>
        <v>ok</v>
      </c>
      <c r="AA764" s="4" t="str">
        <f t="shared" si="81"/>
        <v>ok</v>
      </c>
      <c r="AB764" s="4" t="str">
        <f t="shared" si="82"/>
        <v>ok</v>
      </c>
      <c r="AC764" s="6">
        <f t="shared" si="83"/>
        <v>23.150453888811171</v>
      </c>
    </row>
    <row r="765" spans="1:29" x14ac:dyDescent="0.3">
      <c r="A765" t="s">
        <v>42</v>
      </c>
      <c r="B765">
        <v>1978</v>
      </c>
      <c r="C765" t="s">
        <v>23</v>
      </c>
      <c r="D765" t="s">
        <v>34</v>
      </c>
      <c r="E765" t="s">
        <v>48</v>
      </c>
      <c r="F765" t="s">
        <v>36</v>
      </c>
      <c r="G765" t="s">
        <v>37</v>
      </c>
      <c r="H765" s="1">
        <v>45047.59306712963</v>
      </c>
      <c r="I765" s="1">
        <v>45049.59306712963</v>
      </c>
      <c r="J765" s="1">
        <v>45047.594456018516</v>
      </c>
      <c r="K765" s="2">
        <v>45047.594238113423</v>
      </c>
      <c r="L765" t="s">
        <v>28</v>
      </c>
      <c r="M765" s="2">
        <v>45050.049174432868</v>
      </c>
      <c r="N765" t="s">
        <v>38</v>
      </c>
      <c r="P765">
        <v>3</v>
      </c>
      <c r="R765" t="s">
        <v>29</v>
      </c>
      <c r="S765" t="s">
        <v>40</v>
      </c>
      <c r="T765" t="s">
        <v>56</v>
      </c>
      <c r="U765">
        <v>52.536273000000001</v>
      </c>
      <c r="V765">
        <v>19.050639</v>
      </c>
      <c r="W765" t="str">
        <f t="shared" si="78"/>
        <v>ok</v>
      </c>
      <c r="X765" t="str">
        <f t="shared" si="84"/>
        <v>ok</v>
      </c>
      <c r="Y765" t="str">
        <f t="shared" si="79"/>
        <v>ok</v>
      </c>
      <c r="Z765" t="str">
        <f t="shared" si="80"/>
        <v>ok</v>
      </c>
      <c r="AA765" s="4" t="str">
        <f t="shared" si="81"/>
        <v>ok</v>
      </c>
      <c r="AB765" s="4" t="str">
        <f t="shared" si="82"/>
        <v>ok</v>
      </c>
      <c r="AC765" s="6">
        <f t="shared" si="83"/>
        <v>58.946575277717784</v>
      </c>
    </row>
    <row r="766" spans="1:29" x14ac:dyDescent="0.3">
      <c r="A766" t="s">
        <v>22</v>
      </c>
      <c r="B766">
        <v>1979</v>
      </c>
      <c r="C766" t="s">
        <v>23</v>
      </c>
      <c r="D766" t="s">
        <v>34</v>
      </c>
      <c r="E766" t="s">
        <v>44</v>
      </c>
      <c r="F766" t="s">
        <v>26</v>
      </c>
      <c r="G766" t="s">
        <v>60</v>
      </c>
      <c r="H766" s="1">
        <v>45047.894745370373</v>
      </c>
      <c r="I766" s="1">
        <v>45049.894745370373</v>
      </c>
      <c r="J766" s="1">
        <v>45047.896134259259</v>
      </c>
      <c r="K766" s="2">
        <v>45047.895717060186</v>
      </c>
      <c r="L766" t="s">
        <v>28</v>
      </c>
      <c r="M766" s="2">
        <v>45052.367520115738</v>
      </c>
      <c r="N766" t="s">
        <v>38</v>
      </c>
      <c r="O766" s="2">
        <v>45053.868934259262</v>
      </c>
      <c r="P766">
        <v>1</v>
      </c>
      <c r="Q766">
        <v>4</v>
      </c>
      <c r="R766" t="s">
        <v>55</v>
      </c>
      <c r="S766" t="s">
        <v>30</v>
      </c>
      <c r="T766" t="s">
        <v>66</v>
      </c>
      <c r="U766">
        <v>48.864716000000001</v>
      </c>
      <c r="V766">
        <v>2.3490139999999999</v>
      </c>
      <c r="W766" t="str">
        <f t="shared" si="78"/>
        <v>ok</v>
      </c>
      <c r="X766" t="str">
        <f t="shared" si="84"/>
        <v>ok</v>
      </c>
      <c r="Y766" t="str">
        <f t="shared" si="79"/>
        <v>ok</v>
      </c>
      <c r="Z766" t="str">
        <f t="shared" si="80"/>
        <v>ok</v>
      </c>
      <c r="AA766" s="4" t="str">
        <f t="shared" si="81"/>
        <v>ok</v>
      </c>
      <c r="AB766" s="4" t="str">
        <f t="shared" si="82"/>
        <v>ok</v>
      </c>
      <c r="AC766" s="6">
        <f t="shared" si="83"/>
        <v>107.34659388876753</v>
      </c>
    </row>
    <row r="767" spans="1:29" x14ac:dyDescent="0.3">
      <c r="A767" t="s">
        <v>22</v>
      </c>
      <c r="B767">
        <v>1980</v>
      </c>
      <c r="C767" t="s">
        <v>23</v>
      </c>
      <c r="D767" t="s">
        <v>24</v>
      </c>
      <c r="E767" t="s">
        <v>48</v>
      </c>
      <c r="F767" t="s">
        <v>36</v>
      </c>
      <c r="G767" t="s">
        <v>54</v>
      </c>
      <c r="H767" s="1">
        <v>45047.289409722223</v>
      </c>
      <c r="I767" s="1">
        <v>45049.289409722223</v>
      </c>
      <c r="J767" s="1">
        <v>45047.331076388888</v>
      </c>
      <c r="K767" s="2">
        <v>45047.29907390046</v>
      </c>
      <c r="L767" t="s">
        <v>28</v>
      </c>
      <c r="M767" s="2">
        <v>45048.037133900463</v>
      </c>
      <c r="N767" t="s">
        <v>28</v>
      </c>
      <c r="O767" s="2">
        <v>45052.846657766204</v>
      </c>
      <c r="P767">
        <v>8</v>
      </c>
      <c r="Q767">
        <v>3</v>
      </c>
      <c r="R767" t="s">
        <v>50</v>
      </c>
      <c r="S767" t="s">
        <v>40</v>
      </c>
      <c r="T767" t="s">
        <v>46</v>
      </c>
      <c r="U767">
        <v>47.696471899999999</v>
      </c>
      <c r="V767">
        <v>13.3457347</v>
      </c>
      <c r="W767" t="str">
        <f t="shared" si="78"/>
        <v>ok</v>
      </c>
      <c r="X767" t="str">
        <f t="shared" si="84"/>
        <v>ok</v>
      </c>
      <c r="Y767" t="str">
        <f t="shared" si="79"/>
        <v>ok</v>
      </c>
      <c r="Z767" t="str">
        <f t="shared" si="80"/>
        <v>ok</v>
      </c>
      <c r="AA767" s="4" t="str">
        <f t="shared" si="81"/>
        <v>ok</v>
      </c>
      <c r="AB767" s="4" t="str">
        <f t="shared" si="82"/>
        <v>ok</v>
      </c>
      <c r="AC767" s="6">
        <f t="shared" si="83"/>
        <v>17.945380277757067</v>
      </c>
    </row>
    <row r="768" spans="1:29" x14ac:dyDescent="0.3">
      <c r="A768" t="s">
        <v>42</v>
      </c>
      <c r="B768">
        <v>1981</v>
      </c>
      <c r="C768" t="s">
        <v>23</v>
      </c>
      <c r="D768" t="s">
        <v>24</v>
      </c>
      <c r="E768" t="s">
        <v>35</v>
      </c>
      <c r="F768" t="s">
        <v>26</v>
      </c>
      <c r="G768" t="s">
        <v>27</v>
      </c>
      <c r="H768" s="1">
        <v>45047.370509259257</v>
      </c>
      <c r="I768" s="1">
        <v>45049.370509259257</v>
      </c>
      <c r="J768" s="1">
        <v>45047.412175925929</v>
      </c>
      <c r="K768" s="2">
        <v>45047.409949583336</v>
      </c>
      <c r="L768" t="s">
        <v>28</v>
      </c>
      <c r="M768" s="2">
        <v>45048.101205289349</v>
      </c>
      <c r="N768" t="s">
        <v>28</v>
      </c>
      <c r="P768">
        <v>6</v>
      </c>
      <c r="R768" t="s">
        <v>29</v>
      </c>
      <c r="S768" t="s">
        <v>30</v>
      </c>
      <c r="T768" t="s">
        <v>41</v>
      </c>
      <c r="U768">
        <v>43.036776000000003</v>
      </c>
      <c r="V768">
        <v>12.678565000000001</v>
      </c>
      <c r="W768" t="str">
        <f t="shared" si="78"/>
        <v>ok</v>
      </c>
      <c r="X768" t="str">
        <f t="shared" si="84"/>
        <v>ok</v>
      </c>
      <c r="Y768" t="str">
        <f t="shared" si="79"/>
        <v>ok</v>
      </c>
      <c r="Z768" t="str">
        <f t="shared" si="80"/>
        <v>ok</v>
      </c>
      <c r="AA768" s="4" t="str">
        <f t="shared" si="81"/>
        <v>ok</v>
      </c>
      <c r="AB768" s="4" t="str">
        <f t="shared" si="82"/>
        <v>ok</v>
      </c>
      <c r="AC768" s="6">
        <f t="shared" si="83"/>
        <v>17.536704722209834</v>
      </c>
    </row>
    <row r="769" spans="1:29" x14ac:dyDescent="0.3">
      <c r="A769" t="s">
        <v>22</v>
      </c>
      <c r="B769">
        <v>1982</v>
      </c>
      <c r="C769" t="s">
        <v>23</v>
      </c>
      <c r="D769" t="s">
        <v>34</v>
      </c>
      <c r="E769" t="s">
        <v>44</v>
      </c>
      <c r="F769" t="s">
        <v>26</v>
      </c>
      <c r="G769" t="s">
        <v>27</v>
      </c>
      <c r="H769" s="1">
        <v>45047.751168981478</v>
      </c>
      <c r="I769" s="1">
        <v>45049.751168981478</v>
      </c>
      <c r="J769" s="1">
        <v>45047.752557870372</v>
      </c>
      <c r="K769" s="2">
        <v>45047.752548217592</v>
      </c>
      <c r="L769" t="s">
        <v>28</v>
      </c>
      <c r="M769" s="2">
        <v>45048.191992118052</v>
      </c>
      <c r="N769" t="s">
        <v>28</v>
      </c>
      <c r="O769" s="2">
        <v>45051.055667060187</v>
      </c>
      <c r="P769">
        <v>7</v>
      </c>
      <c r="Q769">
        <v>4</v>
      </c>
      <c r="R769" t="s">
        <v>50</v>
      </c>
      <c r="S769" t="s">
        <v>30</v>
      </c>
      <c r="T769" t="s">
        <v>57</v>
      </c>
      <c r="U769">
        <v>51.165691000000002</v>
      </c>
      <c r="V769">
        <v>10.451525999999999</v>
      </c>
      <c r="W769" t="str">
        <f t="shared" si="78"/>
        <v>ok</v>
      </c>
      <c r="X769" t="str">
        <f t="shared" si="84"/>
        <v>ok</v>
      </c>
      <c r="Y769" t="str">
        <f t="shared" si="79"/>
        <v>ok</v>
      </c>
      <c r="Z769" t="str">
        <f t="shared" si="80"/>
        <v>ok</v>
      </c>
      <c r="AA769" s="4" t="str">
        <f t="shared" si="81"/>
        <v>ok</v>
      </c>
      <c r="AB769" s="4" t="str">
        <f t="shared" si="82"/>
        <v>ok</v>
      </c>
      <c r="AC769" s="6">
        <f t="shared" si="83"/>
        <v>10.57975527778035</v>
      </c>
    </row>
    <row r="770" spans="1:29" x14ac:dyDescent="0.3">
      <c r="A770" t="s">
        <v>32</v>
      </c>
      <c r="B770">
        <v>1983</v>
      </c>
      <c r="C770" t="s">
        <v>23</v>
      </c>
      <c r="D770" t="s">
        <v>43</v>
      </c>
      <c r="E770" t="s">
        <v>35</v>
      </c>
      <c r="F770" t="s">
        <v>36</v>
      </c>
      <c r="G770" t="s">
        <v>54</v>
      </c>
      <c r="H770" s="1">
        <v>45047.670138888891</v>
      </c>
      <c r="I770" s="1">
        <v>45048.670138888891</v>
      </c>
      <c r="J770" s="1">
        <v>45047.671527777777</v>
      </c>
      <c r="K770" s="2">
        <v>45047.671132233794</v>
      </c>
      <c r="L770" t="s">
        <v>28</v>
      </c>
      <c r="N770" t="s">
        <v>38</v>
      </c>
      <c r="P770">
        <v>60</v>
      </c>
      <c r="R770" t="s">
        <v>29</v>
      </c>
      <c r="S770" t="s">
        <v>40</v>
      </c>
      <c r="T770" t="s">
        <v>31</v>
      </c>
      <c r="U770">
        <v>53.094023999999997</v>
      </c>
      <c r="V770">
        <v>-8.0196749999999994</v>
      </c>
      <c r="W770" t="str">
        <f t="shared" ref="W770:W833" si="85">IF(K770&lt;H770,"check","ok")</f>
        <v>ok</v>
      </c>
      <c r="X770" t="str">
        <f t="shared" si="84"/>
        <v>ok</v>
      </c>
      <c r="Y770" t="str">
        <f t="shared" ref="Y770:Y833" si="86">IF(AND(M770&lt;&gt;"",O770&lt;&gt;"",O770&lt;M770),"check","ok")</f>
        <v>ok</v>
      </c>
      <c r="Z770" t="str">
        <f t="shared" ref="Z770:Z833" si="87">IF(AND(OR(CA770="Closed",A770="Resolved"),M770=""),"check","ok")</f>
        <v>ok</v>
      </c>
      <c r="AA770" s="4" t="str">
        <f t="shared" ref="AA770:AA833" si="88">IF(K770="","no response",IF(OR(AND(K770&lt;=J770,L770="Within SLA"),AND(K770&gt;J770,L770="SLA Violated")),"ok","check"))</f>
        <v>ok</v>
      </c>
      <c r="AB770" s="4" t="str">
        <f t="shared" ref="AB770:AB833" si="89">IF(M770="","no resolution",IF(OR(AND(M770&lt;=I770,N770="Within SLA"),AND(M770&gt;I770,N770="SLA Violated")),"ok","check"))</f>
        <v>no resolution</v>
      </c>
      <c r="AC770" s="6" t="str">
        <f t="shared" ref="AC770:AC833" si="90">IF(M770="","",(M770-H770)*24)</f>
        <v/>
      </c>
    </row>
    <row r="771" spans="1:29" x14ac:dyDescent="0.3">
      <c r="A771" t="s">
        <v>32</v>
      </c>
      <c r="B771">
        <v>1984</v>
      </c>
      <c r="C771" t="s">
        <v>23</v>
      </c>
      <c r="D771" t="s">
        <v>43</v>
      </c>
      <c r="E771" t="s">
        <v>25</v>
      </c>
      <c r="F771" t="s">
        <v>26</v>
      </c>
      <c r="G771" t="s">
        <v>49</v>
      </c>
      <c r="H771" s="1">
        <v>45047.453969907408</v>
      </c>
      <c r="I771" s="1">
        <v>45048.453969907408</v>
      </c>
      <c r="J771" s="1">
        <v>45047.455358796295</v>
      </c>
      <c r="K771" s="2">
        <v>45047.457956192127</v>
      </c>
      <c r="L771" t="s">
        <v>38</v>
      </c>
      <c r="N771" t="s">
        <v>38</v>
      </c>
      <c r="P771">
        <v>4</v>
      </c>
      <c r="R771" t="s">
        <v>29</v>
      </c>
      <c r="S771" t="s">
        <v>30</v>
      </c>
      <c r="T771" t="s">
        <v>58</v>
      </c>
      <c r="U771">
        <v>49.8037633</v>
      </c>
      <c r="V771">
        <v>15.4749126</v>
      </c>
      <c r="W771" t="str">
        <f t="shared" si="85"/>
        <v>ok</v>
      </c>
      <c r="X771" t="str">
        <f t="shared" ref="X771:X834" si="91">IF(AND(M771&lt;&gt;"",M771&lt;H771),"check","ok")</f>
        <v>ok</v>
      </c>
      <c r="Y771" t="str">
        <f t="shared" si="86"/>
        <v>ok</v>
      </c>
      <c r="Z771" t="str">
        <f t="shared" si="87"/>
        <v>ok</v>
      </c>
      <c r="AA771" s="4" t="str">
        <f t="shared" si="88"/>
        <v>ok</v>
      </c>
      <c r="AB771" s="4" t="str">
        <f t="shared" si="89"/>
        <v>no resolution</v>
      </c>
      <c r="AC771" s="6" t="str">
        <f t="shared" si="90"/>
        <v/>
      </c>
    </row>
    <row r="772" spans="1:29" x14ac:dyDescent="0.3">
      <c r="A772" t="s">
        <v>42</v>
      </c>
      <c r="B772">
        <v>1985</v>
      </c>
      <c r="C772" t="s">
        <v>47</v>
      </c>
      <c r="D772" t="s">
        <v>24</v>
      </c>
      <c r="E772" t="s">
        <v>62</v>
      </c>
      <c r="F772" t="s">
        <v>26</v>
      </c>
      <c r="G772" t="s">
        <v>60</v>
      </c>
      <c r="H772" s="1">
        <v>45048.446956018517</v>
      </c>
      <c r="I772" s="1">
        <v>45050.446956018517</v>
      </c>
      <c r="J772" s="1">
        <v>45048.488622685189</v>
      </c>
      <c r="K772" s="2">
        <v>45048.472951238429</v>
      </c>
      <c r="L772" t="s">
        <v>28</v>
      </c>
      <c r="M772" s="2">
        <v>45049.360435902781</v>
      </c>
      <c r="N772" t="s">
        <v>28</v>
      </c>
      <c r="P772">
        <v>9</v>
      </c>
      <c r="R772" t="s">
        <v>55</v>
      </c>
      <c r="S772" t="s">
        <v>30</v>
      </c>
      <c r="T772" t="s">
        <v>66</v>
      </c>
      <c r="U772">
        <v>48.864716000000001</v>
      </c>
      <c r="V772">
        <v>2.3490139999999999</v>
      </c>
      <c r="W772" t="str">
        <f t="shared" si="85"/>
        <v>ok</v>
      </c>
      <c r="X772" t="str">
        <f t="shared" si="91"/>
        <v>ok</v>
      </c>
      <c r="Y772" t="str">
        <f t="shared" si="86"/>
        <v>ok</v>
      </c>
      <c r="Z772" t="str">
        <f t="shared" si="87"/>
        <v>ok</v>
      </c>
      <c r="AA772" s="4" t="str">
        <f t="shared" si="88"/>
        <v>ok</v>
      </c>
      <c r="AB772" s="4" t="str">
        <f t="shared" si="89"/>
        <v>ok</v>
      </c>
      <c r="AC772" s="6">
        <f t="shared" si="90"/>
        <v>21.923517222341616</v>
      </c>
    </row>
    <row r="773" spans="1:29" x14ac:dyDescent="0.3">
      <c r="A773" t="s">
        <v>22</v>
      </c>
      <c r="B773">
        <v>1986</v>
      </c>
      <c r="C773" t="s">
        <v>23</v>
      </c>
      <c r="D773" t="s">
        <v>24</v>
      </c>
      <c r="E773" t="s">
        <v>48</v>
      </c>
      <c r="F773" t="s">
        <v>26</v>
      </c>
      <c r="G773" t="s">
        <v>52</v>
      </c>
      <c r="H773" s="1">
        <v>45048.99</v>
      </c>
      <c r="I773" s="1">
        <v>45050.99</v>
      </c>
      <c r="J773" s="1">
        <v>45049.031666666669</v>
      </c>
      <c r="K773" s="2">
        <v>45049.017519432869</v>
      </c>
      <c r="L773" t="s">
        <v>28</v>
      </c>
      <c r="M773" s="2">
        <v>45049.314206689814</v>
      </c>
      <c r="N773" t="s">
        <v>28</v>
      </c>
      <c r="O773" s="2">
        <v>45051.979317106481</v>
      </c>
      <c r="P773">
        <v>3</v>
      </c>
      <c r="Q773">
        <v>4</v>
      </c>
      <c r="R773" t="s">
        <v>55</v>
      </c>
      <c r="S773" t="s">
        <v>30</v>
      </c>
      <c r="T773" t="s">
        <v>31</v>
      </c>
      <c r="U773">
        <v>53.094023999999997</v>
      </c>
      <c r="V773">
        <v>-8.0196749999999994</v>
      </c>
      <c r="W773" t="str">
        <f t="shared" si="85"/>
        <v>ok</v>
      </c>
      <c r="X773" t="str">
        <f t="shared" si="91"/>
        <v>ok</v>
      </c>
      <c r="Y773" t="str">
        <f t="shared" si="86"/>
        <v>ok</v>
      </c>
      <c r="Z773" t="str">
        <f t="shared" si="87"/>
        <v>ok</v>
      </c>
      <c r="AA773" s="4" t="str">
        <f t="shared" si="88"/>
        <v>ok</v>
      </c>
      <c r="AB773" s="4" t="str">
        <f t="shared" si="89"/>
        <v>ok</v>
      </c>
      <c r="AC773" s="6">
        <f t="shared" si="90"/>
        <v>7.7809605555958115</v>
      </c>
    </row>
    <row r="774" spans="1:29" x14ac:dyDescent="0.3">
      <c r="A774" t="s">
        <v>22</v>
      </c>
      <c r="B774">
        <v>1987</v>
      </c>
      <c r="C774" t="s">
        <v>47</v>
      </c>
      <c r="D774" t="s">
        <v>24</v>
      </c>
      <c r="E774" t="s">
        <v>35</v>
      </c>
      <c r="F774" t="s">
        <v>36</v>
      </c>
      <c r="G774" t="s">
        <v>54</v>
      </c>
      <c r="H774" s="1">
        <v>45048.365879629629</v>
      </c>
      <c r="I774" s="1">
        <v>45050.365879629629</v>
      </c>
      <c r="J774" s="1">
        <v>45048.407546296294</v>
      </c>
      <c r="K774" s="2">
        <v>45048.383149976849</v>
      </c>
      <c r="L774" t="s">
        <v>28</v>
      </c>
      <c r="M774" s="2">
        <v>45051.855472106479</v>
      </c>
      <c r="N774" t="s">
        <v>38</v>
      </c>
      <c r="O774" s="2">
        <v>45051.907647719905</v>
      </c>
      <c r="P774">
        <v>1</v>
      </c>
      <c r="Q774">
        <v>5</v>
      </c>
      <c r="R774" t="s">
        <v>29</v>
      </c>
      <c r="S774" t="s">
        <v>40</v>
      </c>
      <c r="T774" t="s">
        <v>58</v>
      </c>
      <c r="U774">
        <v>49.8037633</v>
      </c>
      <c r="V774">
        <v>15.4749126</v>
      </c>
      <c r="W774" t="str">
        <f t="shared" si="85"/>
        <v>ok</v>
      </c>
      <c r="X774" t="str">
        <f t="shared" si="91"/>
        <v>ok</v>
      </c>
      <c r="Y774" t="str">
        <f t="shared" si="86"/>
        <v>ok</v>
      </c>
      <c r="Z774" t="str">
        <f t="shared" si="87"/>
        <v>ok</v>
      </c>
      <c r="AA774" s="4" t="str">
        <f t="shared" si="88"/>
        <v>ok</v>
      </c>
      <c r="AB774" s="4" t="str">
        <f t="shared" si="89"/>
        <v>ok</v>
      </c>
      <c r="AC774" s="6">
        <f t="shared" si="90"/>
        <v>83.750219444395043</v>
      </c>
    </row>
    <row r="775" spans="1:29" x14ac:dyDescent="0.3">
      <c r="A775" t="s">
        <v>42</v>
      </c>
      <c r="B775">
        <v>1988</v>
      </c>
      <c r="C775" t="s">
        <v>23</v>
      </c>
      <c r="D775" t="s">
        <v>43</v>
      </c>
      <c r="E775" t="s">
        <v>44</v>
      </c>
      <c r="F775" t="s">
        <v>36</v>
      </c>
      <c r="G775" t="s">
        <v>64</v>
      </c>
      <c r="H775" s="1">
        <v>45048.645462962966</v>
      </c>
      <c r="I775" s="1">
        <v>45049.645462962966</v>
      </c>
      <c r="J775" s="1">
        <v>45048.646851851852</v>
      </c>
      <c r="K775" s="2">
        <v>45048.646590324075</v>
      </c>
      <c r="L775" t="s">
        <v>28</v>
      </c>
      <c r="M775" s="2">
        <v>45048.882485752314</v>
      </c>
      <c r="N775" t="s">
        <v>28</v>
      </c>
      <c r="P775">
        <v>4</v>
      </c>
      <c r="R775" t="s">
        <v>39</v>
      </c>
      <c r="S775" t="s">
        <v>40</v>
      </c>
      <c r="T775" t="s">
        <v>53</v>
      </c>
      <c r="U775">
        <v>39.368279000000001</v>
      </c>
      <c r="V775">
        <v>21.863140999999999</v>
      </c>
      <c r="W775" t="str">
        <f t="shared" si="85"/>
        <v>ok</v>
      </c>
      <c r="X775" t="str">
        <f t="shared" si="91"/>
        <v>ok</v>
      </c>
      <c r="Y775" t="str">
        <f t="shared" si="86"/>
        <v>ok</v>
      </c>
      <c r="Z775" t="str">
        <f t="shared" si="87"/>
        <v>ok</v>
      </c>
      <c r="AA775" s="4" t="str">
        <f t="shared" si="88"/>
        <v>ok</v>
      </c>
      <c r="AB775" s="4" t="str">
        <f t="shared" si="89"/>
        <v>ok</v>
      </c>
      <c r="AC775" s="6">
        <f t="shared" si="90"/>
        <v>5.6885469443514012</v>
      </c>
    </row>
    <row r="776" spans="1:29" x14ac:dyDescent="0.3">
      <c r="A776" t="s">
        <v>32</v>
      </c>
      <c r="B776">
        <v>1989</v>
      </c>
      <c r="C776" t="s">
        <v>33</v>
      </c>
      <c r="D776" t="s">
        <v>34</v>
      </c>
      <c r="E776" t="s">
        <v>48</v>
      </c>
      <c r="F776" t="s">
        <v>26</v>
      </c>
      <c r="G776" t="s">
        <v>45</v>
      </c>
      <c r="H776" s="1">
        <v>45048.747476851851</v>
      </c>
      <c r="I776" s="1">
        <v>45050.747476851851</v>
      </c>
      <c r="J776" s="1">
        <v>45048.748865740738</v>
      </c>
      <c r="K776" s="2">
        <v>45048.748839768516</v>
      </c>
      <c r="L776" t="s">
        <v>28</v>
      </c>
      <c r="N776" t="s">
        <v>38</v>
      </c>
      <c r="P776">
        <v>2</v>
      </c>
      <c r="R776" t="s">
        <v>29</v>
      </c>
      <c r="S776" t="s">
        <v>30</v>
      </c>
      <c r="T776" t="s">
        <v>63</v>
      </c>
      <c r="U776">
        <v>55.378051999999997</v>
      </c>
      <c r="V776">
        <v>-3.4359730000000002</v>
      </c>
      <c r="W776" t="str">
        <f t="shared" si="85"/>
        <v>ok</v>
      </c>
      <c r="X776" t="str">
        <f t="shared" si="91"/>
        <v>ok</v>
      </c>
      <c r="Y776" t="str">
        <f t="shared" si="86"/>
        <v>ok</v>
      </c>
      <c r="Z776" t="str">
        <f t="shared" si="87"/>
        <v>ok</v>
      </c>
      <c r="AA776" s="4" t="str">
        <f t="shared" si="88"/>
        <v>ok</v>
      </c>
      <c r="AB776" s="4" t="str">
        <f t="shared" si="89"/>
        <v>no resolution</v>
      </c>
      <c r="AC776" s="6" t="str">
        <f t="shared" si="90"/>
        <v/>
      </c>
    </row>
    <row r="777" spans="1:29" x14ac:dyDescent="0.3">
      <c r="A777" t="s">
        <v>42</v>
      </c>
      <c r="B777">
        <v>1990</v>
      </c>
      <c r="C777" t="s">
        <v>23</v>
      </c>
      <c r="D777" t="s">
        <v>24</v>
      </c>
      <c r="E777" t="s">
        <v>44</v>
      </c>
      <c r="F777" t="s">
        <v>36</v>
      </c>
      <c r="G777" t="s">
        <v>37</v>
      </c>
      <c r="H777" s="1">
        <v>45048.167824074073</v>
      </c>
      <c r="I777" s="1">
        <v>45050.167824074073</v>
      </c>
      <c r="J777" s="1">
        <v>45048.209490740737</v>
      </c>
      <c r="K777" s="2">
        <v>45048.175533923612</v>
      </c>
      <c r="L777" t="s">
        <v>28</v>
      </c>
      <c r="M777" s="2">
        <v>45049.270093692132</v>
      </c>
      <c r="N777" t="s">
        <v>28</v>
      </c>
      <c r="P777">
        <v>7</v>
      </c>
      <c r="R777" t="s">
        <v>50</v>
      </c>
      <c r="S777" t="s">
        <v>40</v>
      </c>
      <c r="T777" t="s">
        <v>56</v>
      </c>
      <c r="U777">
        <v>52.536273000000001</v>
      </c>
      <c r="V777">
        <v>19.050639</v>
      </c>
      <c r="W777" t="str">
        <f t="shared" si="85"/>
        <v>ok</v>
      </c>
      <c r="X777" t="str">
        <f t="shared" si="91"/>
        <v>ok</v>
      </c>
      <c r="Y777" t="str">
        <f t="shared" si="86"/>
        <v>ok</v>
      </c>
      <c r="Z777" t="str">
        <f t="shared" si="87"/>
        <v>ok</v>
      </c>
      <c r="AA777" s="4" t="str">
        <f t="shared" si="88"/>
        <v>ok</v>
      </c>
      <c r="AB777" s="4" t="str">
        <f t="shared" si="89"/>
        <v>ok</v>
      </c>
      <c r="AC777" s="6">
        <f t="shared" si="90"/>
        <v>26.454470833414234</v>
      </c>
    </row>
    <row r="778" spans="1:29" x14ac:dyDescent="0.3">
      <c r="A778" t="s">
        <v>22</v>
      </c>
      <c r="B778">
        <v>1991</v>
      </c>
      <c r="C778" t="s">
        <v>23</v>
      </c>
      <c r="D778" t="s">
        <v>43</v>
      </c>
      <c r="E778" t="s">
        <v>48</v>
      </c>
      <c r="F778" t="s">
        <v>26</v>
      </c>
      <c r="G778" t="s">
        <v>60</v>
      </c>
      <c r="H778" s="1">
        <v>45048.465960648151</v>
      </c>
      <c r="I778" s="1">
        <v>45049.465960648151</v>
      </c>
      <c r="J778" s="1">
        <v>45048.467349537037</v>
      </c>
      <c r="K778" s="2">
        <v>45048.466923912034</v>
      </c>
      <c r="L778" t="s">
        <v>28</v>
      </c>
      <c r="M778" s="2">
        <v>45048.512593449072</v>
      </c>
      <c r="N778" t="s">
        <v>28</v>
      </c>
      <c r="O778" s="2">
        <v>45056.27901554398</v>
      </c>
      <c r="P778">
        <v>7</v>
      </c>
      <c r="Q778">
        <v>3</v>
      </c>
      <c r="R778" t="s">
        <v>29</v>
      </c>
      <c r="S778" t="s">
        <v>30</v>
      </c>
      <c r="T778" t="s">
        <v>61</v>
      </c>
      <c r="U778">
        <v>42.724992499999999</v>
      </c>
      <c r="V778">
        <v>25.483303899999999</v>
      </c>
      <c r="W778" t="str">
        <f t="shared" si="85"/>
        <v>ok</v>
      </c>
      <c r="X778" t="str">
        <f t="shared" si="91"/>
        <v>ok</v>
      </c>
      <c r="Y778" t="str">
        <f t="shared" si="86"/>
        <v>ok</v>
      </c>
      <c r="Z778" t="str">
        <f t="shared" si="87"/>
        <v>ok</v>
      </c>
      <c r="AA778" s="4" t="str">
        <f t="shared" si="88"/>
        <v>ok</v>
      </c>
      <c r="AB778" s="4" t="str">
        <f t="shared" si="89"/>
        <v>ok</v>
      </c>
      <c r="AC778" s="6">
        <f t="shared" si="90"/>
        <v>1.1191872220952064</v>
      </c>
    </row>
    <row r="779" spans="1:29" x14ac:dyDescent="0.3">
      <c r="A779" t="s">
        <v>42</v>
      </c>
      <c r="B779">
        <v>1992</v>
      </c>
      <c r="C779" t="s">
        <v>47</v>
      </c>
      <c r="D779" t="s">
        <v>34</v>
      </c>
      <c r="E779" t="s">
        <v>25</v>
      </c>
      <c r="F779" t="s">
        <v>26</v>
      </c>
      <c r="G779" t="s">
        <v>49</v>
      </c>
      <c r="H779" s="1">
        <v>45048.678171296298</v>
      </c>
      <c r="I779" s="1">
        <v>45050.678171296298</v>
      </c>
      <c r="J779" s="1">
        <v>45048.679560185185</v>
      </c>
      <c r="K779" s="2">
        <v>45048.679369907404</v>
      </c>
      <c r="L779" t="s">
        <v>28</v>
      </c>
      <c r="M779" s="2">
        <v>45051.978731423609</v>
      </c>
      <c r="N779" t="s">
        <v>38</v>
      </c>
      <c r="P779">
        <v>3</v>
      </c>
      <c r="R779" t="s">
        <v>29</v>
      </c>
      <c r="S779" t="s">
        <v>30</v>
      </c>
      <c r="T779" t="s">
        <v>61</v>
      </c>
      <c r="U779">
        <v>42.724992499999999</v>
      </c>
      <c r="V779">
        <v>25.483303899999999</v>
      </c>
      <c r="W779" t="str">
        <f t="shared" si="85"/>
        <v>ok</v>
      </c>
      <c r="X779" t="str">
        <f t="shared" si="91"/>
        <v>ok</v>
      </c>
      <c r="Y779" t="str">
        <f t="shared" si="86"/>
        <v>ok</v>
      </c>
      <c r="Z779" t="str">
        <f t="shared" si="87"/>
        <v>ok</v>
      </c>
      <c r="AA779" s="4" t="str">
        <f t="shared" si="88"/>
        <v>ok</v>
      </c>
      <c r="AB779" s="4" t="str">
        <f t="shared" si="89"/>
        <v>ok</v>
      </c>
      <c r="AC779" s="6">
        <f t="shared" si="90"/>
        <v>79.213443055457901</v>
      </c>
    </row>
    <row r="780" spans="1:29" x14ac:dyDescent="0.3">
      <c r="A780" t="s">
        <v>22</v>
      </c>
      <c r="B780">
        <v>1993</v>
      </c>
      <c r="C780" t="s">
        <v>47</v>
      </c>
      <c r="D780" t="s">
        <v>34</v>
      </c>
      <c r="E780" t="s">
        <v>62</v>
      </c>
      <c r="F780" t="s">
        <v>26</v>
      </c>
      <c r="G780" t="s">
        <v>60</v>
      </c>
      <c r="H780" s="1">
        <v>45048.693009259259</v>
      </c>
      <c r="I780" s="1">
        <v>45050.693009259259</v>
      </c>
      <c r="J780" s="1">
        <v>45048.694398148145</v>
      </c>
      <c r="K780" s="2">
        <v>45048.693861331019</v>
      </c>
      <c r="L780" t="s">
        <v>28</v>
      </c>
      <c r="M780" s="2">
        <v>45049.433527499998</v>
      </c>
      <c r="N780" t="s">
        <v>28</v>
      </c>
      <c r="O780" s="2">
        <v>45051.57629041667</v>
      </c>
      <c r="P780">
        <v>4</v>
      </c>
      <c r="Q780">
        <v>3</v>
      </c>
      <c r="R780" t="s">
        <v>55</v>
      </c>
      <c r="S780" t="s">
        <v>30</v>
      </c>
      <c r="T780" t="s">
        <v>57</v>
      </c>
      <c r="U780">
        <v>51.165691000000002</v>
      </c>
      <c r="V780">
        <v>10.451525999999999</v>
      </c>
      <c r="W780" t="str">
        <f t="shared" si="85"/>
        <v>ok</v>
      </c>
      <c r="X780" t="str">
        <f t="shared" si="91"/>
        <v>ok</v>
      </c>
      <c r="Y780" t="str">
        <f t="shared" si="86"/>
        <v>ok</v>
      </c>
      <c r="Z780" t="str">
        <f t="shared" si="87"/>
        <v>ok</v>
      </c>
      <c r="AA780" s="4" t="str">
        <f t="shared" si="88"/>
        <v>ok</v>
      </c>
      <c r="AB780" s="4" t="str">
        <f t="shared" si="89"/>
        <v>ok</v>
      </c>
      <c r="AC780" s="6">
        <f t="shared" si="90"/>
        <v>17.77243777771946</v>
      </c>
    </row>
    <row r="781" spans="1:29" x14ac:dyDescent="0.3">
      <c r="A781" t="s">
        <v>42</v>
      </c>
      <c r="B781">
        <v>1994</v>
      </c>
      <c r="C781" t="s">
        <v>23</v>
      </c>
      <c r="D781" t="s">
        <v>43</v>
      </c>
      <c r="E781" t="s">
        <v>39</v>
      </c>
      <c r="F781" t="s">
        <v>26</v>
      </c>
      <c r="G781" t="s">
        <v>60</v>
      </c>
      <c r="H781" s="1">
        <v>45048.895104166666</v>
      </c>
      <c r="I781" s="1">
        <v>45049.895104166666</v>
      </c>
      <c r="J781" s="1">
        <v>45048.896493055552</v>
      </c>
      <c r="K781" s="2">
        <v>45048.895772662036</v>
      </c>
      <c r="L781" t="s">
        <v>28</v>
      </c>
      <c r="M781" s="2">
        <v>45049.240095868059</v>
      </c>
      <c r="N781" t="s">
        <v>28</v>
      </c>
      <c r="P781">
        <v>7</v>
      </c>
      <c r="R781" t="s">
        <v>50</v>
      </c>
      <c r="S781" t="s">
        <v>30</v>
      </c>
      <c r="T781" t="s">
        <v>57</v>
      </c>
      <c r="U781">
        <v>51.165691000000002</v>
      </c>
      <c r="V781">
        <v>10.451525999999999</v>
      </c>
      <c r="W781" t="str">
        <f t="shared" si="85"/>
        <v>ok</v>
      </c>
      <c r="X781" t="str">
        <f t="shared" si="91"/>
        <v>ok</v>
      </c>
      <c r="Y781" t="str">
        <f t="shared" si="86"/>
        <v>ok</v>
      </c>
      <c r="Z781" t="str">
        <f t="shared" si="87"/>
        <v>ok</v>
      </c>
      <c r="AA781" s="4" t="str">
        <f t="shared" si="88"/>
        <v>ok</v>
      </c>
      <c r="AB781" s="4" t="str">
        <f t="shared" si="89"/>
        <v>ok</v>
      </c>
      <c r="AC781" s="6">
        <f t="shared" si="90"/>
        <v>8.2798008334357291</v>
      </c>
    </row>
    <row r="782" spans="1:29" x14ac:dyDescent="0.3">
      <c r="A782" t="s">
        <v>42</v>
      </c>
      <c r="B782">
        <v>1995</v>
      </c>
      <c r="C782" t="s">
        <v>47</v>
      </c>
      <c r="D782" t="s">
        <v>34</v>
      </c>
      <c r="E782" t="s">
        <v>39</v>
      </c>
      <c r="F782" t="s">
        <v>26</v>
      </c>
      <c r="G782" t="s">
        <v>27</v>
      </c>
      <c r="H782" s="1">
        <v>45049.203564814816</v>
      </c>
      <c r="I782" s="1">
        <v>45051.203564814816</v>
      </c>
      <c r="J782" s="1">
        <v>45049.204953703702</v>
      </c>
      <c r="K782" s="2">
        <v>45049.20400568287</v>
      </c>
      <c r="L782" t="s">
        <v>28</v>
      </c>
      <c r="M782" s="2">
        <v>45049.592403576389</v>
      </c>
      <c r="N782" t="s">
        <v>28</v>
      </c>
      <c r="P782">
        <v>2</v>
      </c>
      <c r="R782" t="s">
        <v>50</v>
      </c>
      <c r="S782" t="s">
        <v>30</v>
      </c>
      <c r="T782" t="s">
        <v>63</v>
      </c>
      <c r="U782">
        <v>55.378051999999997</v>
      </c>
      <c r="V782">
        <v>-3.4359730000000002</v>
      </c>
      <c r="W782" t="str">
        <f t="shared" si="85"/>
        <v>ok</v>
      </c>
      <c r="X782" t="str">
        <f t="shared" si="91"/>
        <v>ok</v>
      </c>
      <c r="Y782" t="str">
        <f t="shared" si="86"/>
        <v>ok</v>
      </c>
      <c r="Z782" t="str">
        <f t="shared" si="87"/>
        <v>ok</v>
      </c>
      <c r="AA782" s="4" t="str">
        <f t="shared" si="88"/>
        <v>ok</v>
      </c>
      <c r="AB782" s="4" t="str">
        <f t="shared" si="89"/>
        <v>ok</v>
      </c>
      <c r="AC782" s="6">
        <f t="shared" si="90"/>
        <v>9.3321302777621895</v>
      </c>
    </row>
    <row r="783" spans="1:29" x14ac:dyDescent="0.3">
      <c r="A783" t="s">
        <v>22</v>
      </c>
      <c r="B783">
        <v>1996</v>
      </c>
      <c r="C783" t="s">
        <v>47</v>
      </c>
      <c r="D783" t="s">
        <v>34</v>
      </c>
      <c r="E783" t="s">
        <v>48</v>
      </c>
      <c r="F783" t="s">
        <v>26</v>
      </c>
      <c r="G783" t="s">
        <v>45</v>
      </c>
      <c r="H783" s="1">
        <v>45049.676423611112</v>
      </c>
      <c r="I783" s="1">
        <v>45051.676423611112</v>
      </c>
      <c r="J783" s="1">
        <v>45049.677812499998</v>
      </c>
      <c r="K783" s="2">
        <v>45049.676745555553</v>
      </c>
      <c r="L783" t="s">
        <v>28</v>
      </c>
      <c r="M783" s="2">
        <v>45054.276549629627</v>
      </c>
      <c r="N783" t="s">
        <v>38</v>
      </c>
      <c r="O783" s="2">
        <v>45055.880167476855</v>
      </c>
      <c r="P783">
        <v>1</v>
      </c>
      <c r="Q783">
        <v>3</v>
      </c>
      <c r="R783" t="s">
        <v>50</v>
      </c>
      <c r="S783" t="s">
        <v>30</v>
      </c>
      <c r="T783" t="s">
        <v>56</v>
      </c>
      <c r="U783">
        <v>52.536273000000001</v>
      </c>
      <c r="V783">
        <v>19.050639</v>
      </c>
      <c r="W783" t="str">
        <f t="shared" si="85"/>
        <v>ok</v>
      </c>
      <c r="X783" t="str">
        <f t="shared" si="91"/>
        <v>ok</v>
      </c>
      <c r="Y783" t="str">
        <f t="shared" si="86"/>
        <v>ok</v>
      </c>
      <c r="Z783" t="str">
        <f t="shared" si="87"/>
        <v>ok</v>
      </c>
      <c r="AA783" s="4" t="str">
        <f t="shared" si="88"/>
        <v>ok</v>
      </c>
      <c r="AB783" s="4" t="str">
        <f t="shared" si="89"/>
        <v>ok</v>
      </c>
      <c r="AC783" s="6">
        <f t="shared" si="90"/>
        <v>110.40302444435656</v>
      </c>
    </row>
    <row r="784" spans="1:29" x14ac:dyDescent="0.3">
      <c r="A784" t="s">
        <v>42</v>
      </c>
      <c r="B784">
        <v>1997</v>
      </c>
      <c r="C784" t="s">
        <v>23</v>
      </c>
      <c r="D784" t="s">
        <v>24</v>
      </c>
      <c r="E784" t="s">
        <v>35</v>
      </c>
      <c r="F784" t="s">
        <v>36</v>
      </c>
      <c r="G784" t="s">
        <v>37</v>
      </c>
      <c r="H784" s="1">
        <v>45049.543761574074</v>
      </c>
      <c r="I784" s="1">
        <v>45051.543761574074</v>
      </c>
      <c r="J784" s="1">
        <v>45049.585428240738</v>
      </c>
      <c r="K784" s="2">
        <v>45049.556141145833</v>
      </c>
      <c r="L784" t="s">
        <v>28</v>
      </c>
      <c r="M784" s="2">
        <v>45051.345342222223</v>
      </c>
      <c r="N784" t="s">
        <v>28</v>
      </c>
      <c r="P784">
        <v>2</v>
      </c>
      <c r="R784" t="s">
        <v>29</v>
      </c>
      <c r="S784" t="s">
        <v>40</v>
      </c>
      <c r="T784" t="s">
        <v>63</v>
      </c>
      <c r="U784">
        <v>55.378051999999997</v>
      </c>
      <c r="V784">
        <v>-3.4359730000000002</v>
      </c>
      <c r="W784" t="str">
        <f t="shared" si="85"/>
        <v>ok</v>
      </c>
      <c r="X784" t="str">
        <f t="shared" si="91"/>
        <v>ok</v>
      </c>
      <c r="Y784" t="str">
        <f t="shared" si="86"/>
        <v>ok</v>
      </c>
      <c r="Z784" t="str">
        <f t="shared" si="87"/>
        <v>ok</v>
      </c>
      <c r="AA784" s="4" t="str">
        <f t="shared" si="88"/>
        <v>ok</v>
      </c>
      <c r="AB784" s="4" t="str">
        <f t="shared" si="89"/>
        <v>ok</v>
      </c>
      <c r="AC784" s="6">
        <f t="shared" si="90"/>
        <v>43.23793555557495</v>
      </c>
    </row>
    <row r="785" spans="1:29" x14ac:dyDescent="0.3">
      <c r="A785" t="s">
        <v>22</v>
      </c>
      <c r="B785">
        <v>1998</v>
      </c>
      <c r="C785" t="s">
        <v>47</v>
      </c>
      <c r="D785" t="s">
        <v>24</v>
      </c>
      <c r="E785" t="s">
        <v>35</v>
      </c>
      <c r="F785" t="s">
        <v>36</v>
      </c>
      <c r="G785" t="s">
        <v>64</v>
      </c>
      <c r="H785" s="1">
        <v>45049.700509259259</v>
      </c>
      <c r="I785" s="1">
        <v>45051.700509259259</v>
      </c>
      <c r="J785" s="1">
        <v>45049.742175925923</v>
      </c>
      <c r="K785" s="2">
        <v>45049.739180729164</v>
      </c>
      <c r="L785" t="s">
        <v>28</v>
      </c>
      <c r="M785" s="2">
        <v>45049.716790694445</v>
      </c>
      <c r="N785" t="s">
        <v>28</v>
      </c>
      <c r="O785" s="2">
        <v>45051.873831736113</v>
      </c>
      <c r="P785">
        <v>4</v>
      </c>
      <c r="Q785">
        <v>3</v>
      </c>
      <c r="R785" t="s">
        <v>39</v>
      </c>
      <c r="S785" t="s">
        <v>40</v>
      </c>
      <c r="T785" t="s">
        <v>63</v>
      </c>
      <c r="U785">
        <v>55.378051999999997</v>
      </c>
      <c r="V785">
        <v>-3.4359730000000002</v>
      </c>
      <c r="W785" t="str">
        <f t="shared" si="85"/>
        <v>ok</v>
      </c>
      <c r="X785" t="str">
        <f t="shared" si="91"/>
        <v>ok</v>
      </c>
      <c r="Y785" t="str">
        <f t="shared" si="86"/>
        <v>ok</v>
      </c>
      <c r="Z785" t="str">
        <f t="shared" si="87"/>
        <v>ok</v>
      </c>
      <c r="AA785" s="4" t="str">
        <f t="shared" si="88"/>
        <v>ok</v>
      </c>
      <c r="AB785" s="4" t="str">
        <f t="shared" si="89"/>
        <v>ok</v>
      </c>
      <c r="AC785" s="6">
        <f t="shared" si="90"/>
        <v>0.39075444446643814</v>
      </c>
    </row>
    <row r="786" spans="1:29" x14ac:dyDescent="0.3">
      <c r="A786" t="s">
        <v>32</v>
      </c>
      <c r="B786">
        <v>1999</v>
      </c>
      <c r="C786" t="s">
        <v>23</v>
      </c>
      <c r="D786" t="s">
        <v>34</v>
      </c>
      <c r="E786" t="s">
        <v>35</v>
      </c>
      <c r="F786" t="s">
        <v>36</v>
      </c>
      <c r="G786" t="s">
        <v>37</v>
      </c>
      <c r="H786" s="1">
        <v>45049.756805555553</v>
      </c>
      <c r="I786" s="1">
        <v>45051.756805555553</v>
      </c>
      <c r="J786" s="1">
        <v>45049.758194444446</v>
      </c>
      <c r="K786" s="2">
        <v>45049.759563125001</v>
      </c>
      <c r="L786" t="s">
        <v>38</v>
      </c>
      <c r="N786" t="s">
        <v>38</v>
      </c>
      <c r="P786">
        <v>4</v>
      </c>
      <c r="R786" t="s">
        <v>29</v>
      </c>
      <c r="S786" t="s">
        <v>40</v>
      </c>
      <c r="T786" t="s">
        <v>65</v>
      </c>
      <c r="U786">
        <v>46.149166399999999</v>
      </c>
      <c r="V786">
        <v>14.9860106</v>
      </c>
      <c r="W786" t="str">
        <f t="shared" si="85"/>
        <v>ok</v>
      </c>
      <c r="X786" t="str">
        <f t="shared" si="91"/>
        <v>ok</v>
      </c>
      <c r="Y786" t="str">
        <f t="shared" si="86"/>
        <v>ok</v>
      </c>
      <c r="Z786" t="str">
        <f t="shared" si="87"/>
        <v>ok</v>
      </c>
      <c r="AA786" s="4" t="str">
        <f t="shared" si="88"/>
        <v>ok</v>
      </c>
      <c r="AB786" s="4" t="str">
        <f t="shared" si="89"/>
        <v>no resolution</v>
      </c>
      <c r="AC786" s="6" t="str">
        <f t="shared" si="90"/>
        <v/>
      </c>
    </row>
    <row r="787" spans="1:29" x14ac:dyDescent="0.3">
      <c r="A787" t="s">
        <v>32</v>
      </c>
      <c r="B787">
        <v>2000</v>
      </c>
      <c r="C787" t="s">
        <v>23</v>
      </c>
      <c r="D787" t="s">
        <v>24</v>
      </c>
      <c r="E787" t="s">
        <v>25</v>
      </c>
      <c r="F787" t="s">
        <v>26</v>
      </c>
      <c r="G787" t="s">
        <v>52</v>
      </c>
      <c r="H787" s="1">
        <v>45049.43074074074</v>
      </c>
      <c r="I787" s="1">
        <v>45051.43074074074</v>
      </c>
      <c r="J787" s="1">
        <v>45049.472407407404</v>
      </c>
      <c r="K787" s="2">
        <v>45049.464399027776</v>
      </c>
      <c r="L787" t="s">
        <v>28</v>
      </c>
      <c r="N787" t="s">
        <v>38</v>
      </c>
      <c r="P787">
        <v>1</v>
      </c>
      <c r="R787" t="s">
        <v>29</v>
      </c>
      <c r="S787" t="s">
        <v>30</v>
      </c>
      <c r="T787" t="s">
        <v>31</v>
      </c>
      <c r="U787">
        <v>53.094023999999997</v>
      </c>
      <c r="V787">
        <v>-8.0196749999999994</v>
      </c>
      <c r="W787" t="str">
        <f t="shared" si="85"/>
        <v>ok</v>
      </c>
      <c r="X787" t="str">
        <f t="shared" si="91"/>
        <v>ok</v>
      </c>
      <c r="Y787" t="str">
        <f t="shared" si="86"/>
        <v>ok</v>
      </c>
      <c r="Z787" t="str">
        <f t="shared" si="87"/>
        <v>ok</v>
      </c>
      <c r="AA787" s="4" t="str">
        <f t="shared" si="88"/>
        <v>ok</v>
      </c>
      <c r="AB787" s="4" t="str">
        <f t="shared" si="89"/>
        <v>no resolution</v>
      </c>
      <c r="AC787" s="6" t="str">
        <f t="shared" si="90"/>
        <v/>
      </c>
    </row>
    <row r="788" spans="1:29" x14ac:dyDescent="0.3">
      <c r="A788" t="s">
        <v>42</v>
      </c>
      <c r="B788">
        <v>2001</v>
      </c>
      <c r="C788" t="s">
        <v>47</v>
      </c>
      <c r="D788" t="s">
        <v>24</v>
      </c>
      <c r="E788" t="s">
        <v>59</v>
      </c>
      <c r="F788" t="s">
        <v>26</v>
      </c>
      <c r="G788" t="s">
        <v>52</v>
      </c>
      <c r="H788" s="1">
        <v>45049.359733796293</v>
      </c>
      <c r="I788" s="1">
        <v>45051.359733796293</v>
      </c>
      <c r="J788" s="1">
        <v>45049.401400462964</v>
      </c>
      <c r="K788" s="2">
        <v>45049.587997870367</v>
      </c>
      <c r="L788" t="s">
        <v>38</v>
      </c>
      <c r="M788" s="2">
        <v>45051.009149062498</v>
      </c>
      <c r="N788" t="s">
        <v>28</v>
      </c>
      <c r="P788">
        <v>1</v>
      </c>
      <c r="R788" t="s">
        <v>50</v>
      </c>
      <c r="S788" t="s">
        <v>30</v>
      </c>
      <c r="T788" t="s">
        <v>61</v>
      </c>
      <c r="U788">
        <v>42.724992499999999</v>
      </c>
      <c r="V788">
        <v>25.483303899999999</v>
      </c>
      <c r="W788" t="str">
        <f t="shared" si="85"/>
        <v>ok</v>
      </c>
      <c r="X788" t="str">
        <f t="shared" si="91"/>
        <v>ok</v>
      </c>
      <c r="Y788" t="str">
        <f t="shared" si="86"/>
        <v>ok</v>
      </c>
      <c r="Z788" t="str">
        <f t="shared" si="87"/>
        <v>ok</v>
      </c>
      <c r="AA788" s="4" t="str">
        <f t="shared" si="88"/>
        <v>ok</v>
      </c>
      <c r="AB788" s="4" t="str">
        <f t="shared" si="89"/>
        <v>ok</v>
      </c>
      <c r="AC788" s="6">
        <f t="shared" si="90"/>
        <v>39.585966388927773</v>
      </c>
    </row>
    <row r="789" spans="1:29" x14ac:dyDescent="0.3">
      <c r="A789" t="s">
        <v>32</v>
      </c>
      <c r="B789">
        <v>2002</v>
      </c>
      <c r="C789" t="s">
        <v>23</v>
      </c>
      <c r="D789" t="s">
        <v>24</v>
      </c>
      <c r="E789" t="s">
        <v>48</v>
      </c>
      <c r="F789" t="s">
        <v>26</v>
      </c>
      <c r="G789" t="s">
        <v>60</v>
      </c>
      <c r="H789" s="1">
        <v>45049.290983796294</v>
      </c>
      <c r="I789" s="1">
        <v>45051.290983796294</v>
      </c>
      <c r="J789" s="1">
        <v>45049.332650462966</v>
      </c>
      <c r="K789" s="2">
        <v>45049.309452291665</v>
      </c>
      <c r="L789" t="s">
        <v>28</v>
      </c>
      <c r="N789" t="s">
        <v>38</v>
      </c>
      <c r="P789">
        <v>2</v>
      </c>
      <c r="R789" t="s">
        <v>29</v>
      </c>
      <c r="S789" t="s">
        <v>30</v>
      </c>
      <c r="T789" t="s">
        <v>41</v>
      </c>
      <c r="U789">
        <v>43.036776000000003</v>
      </c>
      <c r="V789">
        <v>12.678565000000001</v>
      </c>
      <c r="W789" t="str">
        <f t="shared" si="85"/>
        <v>ok</v>
      </c>
      <c r="X789" t="str">
        <f t="shared" si="91"/>
        <v>ok</v>
      </c>
      <c r="Y789" t="str">
        <f t="shared" si="86"/>
        <v>ok</v>
      </c>
      <c r="Z789" t="str">
        <f t="shared" si="87"/>
        <v>ok</v>
      </c>
      <c r="AA789" s="4" t="str">
        <f t="shared" si="88"/>
        <v>ok</v>
      </c>
      <c r="AB789" s="4" t="str">
        <f t="shared" si="89"/>
        <v>no resolution</v>
      </c>
      <c r="AC789" s="6" t="str">
        <f t="shared" si="90"/>
        <v/>
      </c>
    </row>
    <row r="790" spans="1:29" x14ac:dyDescent="0.3">
      <c r="A790" t="s">
        <v>42</v>
      </c>
      <c r="B790">
        <v>2003</v>
      </c>
      <c r="C790" t="s">
        <v>33</v>
      </c>
      <c r="D790" t="s">
        <v>43</v>
      </c>
      <c r="E790" t="s">
        <v>35</v>
      </c>
      <c r="F790" t="s">
        <v>36</v>
      </c>
      <c r="G790" t="s">
        <v>37</v>
      </c>
      <c r="H790" s="1">
        <v>45049.983749999999</v>
      </c>
      <c r="I790" s="1">
        <v>45050.983749999999</v>
      </c>
      <c r="J790" s="1">
        <v>45049.985138888886</v>
      </c>
      <c r="K790" s="2">
        <v>45049.984479872684</v>
      </c>
      <c r="L790" t="s">
        <v>28</v>
      </c>
      <c r="M790" s="2">
        <v>45050.89809923611</v>
      </c>
      <c r="N790" t="s">
        <v>28</v>
      </c>
      <c r="P790">
        <v>6</v>
      </c>
      <c r="R790" t="s">
        <v>55</v>
      </c>
      <c r="S790" t="s">
        <v>40</v>
      </c>
      <c r="T790" t="s">
        <v>51</v>
      </c>
      <c r="U790">
        <v>39.673369999999998</v>
      </c>
      <c r="V790">
        <v>-4.7677259999999997</v>
      </c>
      <c r="W790" t="str">
        <f t="shared" si="85"/>
        <v>ok</v>
      </c>
      <c r="X790" t="str">
        <f t="shared" si="91"/>
        <v>ok</v>
      </c>
      <c r="Y790" t="str">
        <f t="shared" si="86"/>
        <v>ok</v>
      </c>
      <c r="Z790" t="str">
        <f t="shared" si="87"/>
        <v>ok</v>
      </c>
      <c r="AA790" s="4" t="str">
        <f t="shared" si="88"/>
        <v>ok</v>
      </c>
      <c r="AB790" s="4" t="str">
        <f t="shared" si="89"/>
        <v>ok</v>
      </c>
      <c r="AC790" s="6">
        <f t="shared" si="90"/>
        <v>21.944381666660774</v>
      </c>
    </row>
    <row r="791" spans="1:29" x14ac:dyDescent="0.3">
      <c r="A791" t="s">
        <v>42</v>
      </c>
      <c r="B791">
        <v>2004</v>
      </c>
      <c r="C791" t="s">
        <v>47</v>
      </c>
      <c r="D791" t="s">
        <v>24</v>
      </c>
      <c r="E791" t="s">
        <v>35</v>
      </c>
      <c r="F791" t="s">
        <v>26</v>
      </c>
      <c r="G791" t="s">
        <v>27</v>
      </c>
      <c r="H791" s="1">
        <v>45049.402071759258</v>
      </c>
      <c r="I791" s="1">
        <v>45051.402071759258</v>
      </c>
      <c r="J791" s="1">
        <v>45049.443738425929</v>
      </c>
      <c r="K791" s="2">
        <v>45049.420943425925</v>
      </c>
      <c r="L791" t="s">
        <v>28</v>
      </c>
      <c r="M791" s="2">
        <v>45051.279478472221</v>
      </c>
      <c r="N791" t="s">
        <v>28</v>
      </c>
      <c r="P791">
        <v>7</v>
      </c>
      <c r="R791" t="s">
        <v>29</v>
      </c>
      <c r="S791" t="s">
        <v>30</v>
      </c>
      <c r="T791" t="s">
        <v>53</v>
      </c>
      <c r="U791">
        <v>39.368279000000001</v>
      </c>
      <c r="V791">
        <v>21.863140999999999</v>
      </c>
      <c r="W791" t="str">
        <f t="shared" si="85"/>
        <v>ok</v>
      </c>
      <c r="X791" t="str">
        <f t="shared" si="91"/>
        <v>ok</v>
      </c>
      <c r="Y791" t="str">
        <f t="shared" si="86"/>
        <v>ok</v>
      </c>
      <c r="Z791" t="str">
        <f t="shared" si="87"/>
        <v>ok</v>
      </c>
      <c r="AA791" s="4" t="str">
        <f t="shared" si="88"/>
        <v>ok</v>
      </c>
      <c r="AB791" s="4" t="str">
        <f t="shared" si="89"/>
        <v>ok</v>
      </c>
      <c r="AC791" s="6">
        <f t="shared" si="90"/>
        <v>45.05776111112209</v>
      </c>
    </row>
    <row r="792" spans="1:29" x14ac:dyDescent="0.3">
      <c r="A792" t="s">
        <v>22</v>
      </c>
      <c r="B792">
        <v>2005</v>
      </c>
      <c r="C792" t="s">
        <v>23</v>
      </c>
      <c r="D792" t="s">
        <v>24</v>
      </c>
      <c r="E792" t="s">
        <v>39</v>
      </c>
      <c r="F792" t="s">
        <v>26</v>
      </c>
      <c r="G792" t="s">
        <v>52</v>
      </c>
      <c r="H792" s="1">
        <v>45049.898611111108</v>
      </c>
      <c r="I792" s="1">
        <v>45051.898611111108</v>
      </c>
      <c r="J792" s="1">
        <v>45049.94027777778</v>
      </c>
      <c r="K792" s="2">
        <v>45049.912870613429</v>
      </c>
      <c r="L792" t="s">
        <v>28</v>
      </c>
      <c r="M792" s="2">
        <v>45050.503362812502</v>
      </c>
      <c r="N792" t="s">
        <v>28</v>
      </c>
      <c r="O792" s="2">
        <v>45053.697528865741</v>
      </c>
      <c r="P792">
        <v>2</v>
      </c>
      <c r="Q792">
        <v>4</v>
      </c>
      <c r="R792" t="s">
        <v>29</v>
      </c>
      <c r="S792" t="s">
        <v>30</v>
      </c>
      <c r="T792" t="s">
        <v>57</v>
      </c>
      <c r="U792">
        <v>51.165691000000002</v>
      </c>
      <c r="V792">
        <v>10.451525999999999</v>
      </c>
      <c r="W792" t="str">
        <f t="shared" si="85"/>
        <v>ok</v>
      </c>
      <c r="X792" t="str">
        <f t="shared" si="91"/>
        <v>ok</v>
      </c>
      <c r="Y792" t="str">
        <f t="shared" si="86"/>
        <v>ok</v>
      </c>
      <c r="Z792" t="str">
        <f t="shared" si="87"/>
        <v>ok</v>
      </c>
      <c r="AA792" s="4" t="str">
        <f t="shared" si="88"/>
        <v>ok</v>
      </c>
      <c r="AB792" s="4" t="str">
        <f t="shared" si="89"/>
        <v>ok</v>
      </c>
      <c r="AC792" s="6">
        <f t="shared" si="90"/>
        <v>14.51404083345551</v>
      </c>
    </row>
    <row r="793" spans="1:29" x14ac:dyDescent="0.3">
      <c r="A793" t="s">
        <v>22</v>
      </c>
      <c r="B793">
        <v>2006</v>
      </c>
      <c r="C793" t="s">
        <v>33</v>
      </c>
      <c r="D793" t="s">
        <v>24</v>
      </c>
      <c r="E793" t="s">
        <v>25</v>
      </c>
      <c r="F793" t="s">
        <v>26</v>
      </c>
      <c r="G793" t="s">
        <v>27</v>
      </c>
      <c r="H793" s="1">
        <v>45049.241678240738</v>
      </c>
      <c r="I793" s="1">
        <v>45051.241678240738</v>
      </c>
      <c r="J793" s="1">
        <v>45049.28334490741</v>
      </c>
      <c r="K793" s="2">
        <v>45049.25037533565</v>
      </c>
      <c r="L793" t="s">
        <v>28</v>
      </c>
      <c r="M793" s="2">
        <v>45049.977047384258</v>
      </c>
      <c r="N793" t="s">
        <v>28</v>
      </c>
      <c r="O793" s="2">
        <v>45055.986532280091</v>
      </c>
      <c r="P793">
        <v>1</v>
      </c>
      <c r="Q793">
        <v>5</v>
      </c>
      <c r="R793" t="s">
        <v>50</v>
      </c>
      <c r="S793" t="s">
        <v>30</v>
      </c>
      <c r="T793" t="s">
        <v>41</v>
      </c>
      <c r="U793">
        <v>43.036776000000003</v>
      </c>
      <c r="V793">
        <v>12.678565000000001</v>
      </c>
      <c r="W793" t="str">
        <f t="shared" si="85"/>
        <v>ok</v>
      </c>
      <c r="X793" t="str">
        <f t="shared" si="91"/>
        <v>ok</v>
      </c>
      <c r="Y793" t="str">
        <f t="shared" si="86"/>
        <v>ok</v>
      </c>
      <c r="Z793" t="str">
        <f t="shared" si="87"/>
        <v>ok</v>
      </c>
      <c r="AA793" s="4" t="str">
        <f t="shared" si="88"/>
        <v>ok</v>
      </c>
      <c r="AB793" s="4" t="str">
        <f t="shared" si="89"/>
        <v>ok</v>
      </c>
      <c r="AC793" s="6">
        <f t="shared" si="90"/>
        <v>17.648859444481786</v>
      </c>
    </row>
    <row r="794" spans="1:29" x14ac:dyDescent="0.3">
      <c r="A794" t="s">
        <v>22</v>
      </c>
      <c r="B794">
        <v>2007</v>
      </c>
      <c r="C794" t="s">
        <v>23</v>
      </c>
      <c r="D794" t="s">
        <v>43</v>
      </c>
      <c r="E794" t="s">
        <v>35</v>
      </c>
      <c r="F794" t="s">
        <v>26</v>
      </c>
      <c r="G794" t="s">
        <v>60</v>
      </c>
      <c r="H794" s="1">
        <v>45050.809745370374</v>
      </c>
      <c r="I794" s="1">
        <v>45051.809745370374</v>
      </c>
      <c r="J794" s="1">
        <v>45050.81113425926</v>
      </c>
      <c r="K794" s="2">
        <v>45050.81062773148</v>
      </c>
      <c r="L794" t="s">
        <v>28</v>
      </c>
      <c r="M794" s="2">
        <v>45051.646201215277</v>
      </c>
      <c r="N794" t="s">
        <v>28</v>
      </c>
      <c r="O794" s="2">
        <v>45053.185455914354</v>
      </c>
      <c r="P794">
        <v>5</v>
      </c>
      <c r="Q794">
        <v>1</v>
      </c>
      <c r="R794" t="s">
        <v>50</v>
      </c>
      <c r="S794" t="s">
        <v>30</v>
      </c>
      <c r="T794" t="s">
        <v>31</v>
      </c>
      <c r="U794">
        <v>53.094023999999997</v>
      </c>
      <c r="V794">
        <v>-8.0196749999999994</v>
      </c>
      <c r="W794" t="str">
        <f t="shared" si="85"/>
        <v>ok</v>
      </c>
      <c r="X794" t="str">
        <f t="shared" si="91"/>
        <v>ok</v>
      </c>
      <c r="Y794" t="str">
        <f t="shared" si="86"/>
        <v>ok</v>
      </c>
      <c r="Z794" t="str">
        <f t="shared" si="87"/>
        <v>ok</v>
      </c>
      <c r="AA794" s="4" t="str">
        <f t="shared" si="88"/>
        <v>ok</v>
      </c>
      <c r="AB794" s="4" t="str">
        <f t="shared" si="89"/>
        <v>ok</v>
      </c>
      <c r="AC794" s="6">
        <f t="shared" si="90"/>
        <v>20.074940277670976</v>
      </c>
    </row>
    <row r="795" spans="1:29" x14ac:dyDescent="0.3">
      <c r="A795" t="s">
        <v>22</v>
      </c>
      <c r="B795">
        <v>2008</v>
      </c>
      <c r="C795" t="s">
        <v>47</v>
      </c>
      <c r="D795" t="s">
        <v>43</v>
      </c>
      <c r="E795" t="s">
        <v>35</v>
      </c>
      <c r="F795" t="s">
        <v>36</v>
      </c>
      <c r="G795" t="s">
        <v>64</v>
      </c>
      <c r="H795" s="1">
        <v>45050.056979166664</v>
      </c>
      <c r="I795" s="1">
        <v>45051.056979166664</v>
      </c>
      <c r="J795" s="1">
        <v>45050.058368055557</v>
      </c>
      <c r="K795" s="2">
        <v>45050.057372407406</v>
      </c>
      <c r="L795" t="s">
        <v>28</v>
      </c>
      <c r="M795" s="2">
        <v>45053.679659710651</v>
      </c>
      <c r="N795" t="s">
        <v>38</v>
      </c>
      <c r="O795" s="2">
        <v>45055.468803703705</v>
      </c>
      <c r="P795">
        <v>7</v>
      </c>
      <c r="Q795">
        <v>5</v>
      </c>
      <c r="R795" t="s">
        <v>39</v>
      </c>
      <c r="S795" t="s">
        <v>40</v>
      </c>
      <c r="T795" t="s">
        <v>66</v>
      </c>
      <c r="U795">
        <v>48.864716000000001</v>
      </c>
      <c r="V795">
        <v>2.3490139999999999</v>
      </c>
      <c r="W795" t="str">
        <f t="shared" si="85"/>
        <v>ok</v>
      </c>
      <c r="X795" t="str">
        <f t="shared" si="91"/>
        <v>ok</v>
      </c>
      <c r="Y795" t="str">
        <f t="shared" si="86"/>
        <v>ok</v>
      </c>
      <c r="Z795" t="str">
        <f t="shared" si="87"/>
        <v>ok</v>
      </c>
      <c r="AA795" s="4" t="str">
        <f t="shared" si="88"/>
        <v>ok</v>
      </c>
      <c r="AB795" s="4" t="str">
        <f t="shared" si="89"/>
        <v>ok</v>
      </c>
      <c r="AC795" s="6">
        <f t="shared" si="90"/>
        <v>86.944333055696916</v>
      </c>
    </row>
    <row r="796" spans="1:29" x14ac:dyDescent="0.3">
      <c r="A796" t="s">
        <v>32</v>
      </c>
      <c r="B796">
        <v>2010</v>
      </c>
      <c r="C796" t="s">
        <v>47</v>
      </c>
      <c r="D796" t="s">
        <v>24</v>
      </c>
      <c r="E796" t="s">
        <v>35</v>
      </c>
      <c r="F796" t="s">
        <v>26</v>
      </c>
      <c r="G796" t="s">
        <v>27</v>
      </c>
      <c r="H796" s="1">
        <v>45050.487951388888</v>
      </c>
      <c r="I796" s="1">
        <v>45052.487951388888</v>
      </c>
      <c r="J796" s="1">
        <v>45050.529618055552</v>
      </c>
      <c r="K796" s="2">
        <v>45050.538222337964</v>
      </c>
      <c r="L796" t="s">
        <v>38</v>
      </c>
      <c r="N796" t="s">
        <v>38</v>
      </c>
      <c r="P796">
        <v>3</v>
      </c>
      <c r="R796" t="s">
        <v>29</v>
      </c>
      <c r="S796" t="s">
        <v>30</v>
      </c>
      <c r="T796" t="s">
        <v>66</v>
      </c>
      <c r="U796">
        <v>48.864716000000001</v>
      </c>
      <c r="V796">
        <v>2.3490139999999999</v>
      </c>
      <c r="W796" t="str">
        <f t="shared" si="85"/>
        <v>ok</v>
      </c>
      <c r="X796" t="str">
        <f t="shared" si="91"/>
        <v>ok</v>
      </c>
      <c r="Y796" t="str">
        <f t="shared" si="86"/>
        <v>ok</v>
      </c>
      <c r="Z796" t="str">
        <f t="shared" si="87"/>
        <v>ok</v>
      </c>
      <c r="AA796" s="4" t="str">
        <f t="shared" si="88"/>
        <v>ok</v>
      </c>
      <c r="AB796" s="4" t="str">
        <f t="shared" si="89"/>
        <v>no resolution</v>
      </c>
      <c r="AC796" s="6" t="str">
        <f t="shared" si="90"/>
        <v/>
      </c>
    </row>
    <row r="797" spans="1:29" x14ac:dyDescent="0.3">
      <c r="A797" t="s">
        <v>22</v>
      </c>
      <c r="B797">
        <v>2011</v>
      </c>
      <c r="C797" t="s">
        <v>47</v>
      </c>
      <c r="D797" t="s">
        <v>43</v>
      </c>
      <c r="E797" t="s">
        <v>48</v>
      </c>
      <c r="F797" t="s">
        <v>26</v>
      </c>
      <c r="G797" t="s">
        <v>27</v>
      </c>
      <c r="H797" s="1">
        <v>45051.589745370373</v>
      </c>
      <c r="I797" s="1">
        <v>45052.589745370373</v>
      </c>
      <c r="J797" s="1">
        <v>45051.591134259259</v>
      </c>
      <c r="K797" s="2">
        <v>45051.592022268516</v>
      </c>
      <c r="L797" t="s">
        <v>38</v>
      </c>
      <c r="M797" s="2">
        <v>45052.061207418985</v>
      </c>
      <c r="N797" t="s">
        <v>28</v>
      </c>
      <c r="O797" s="2">
        <v>45053.57576010417</v>
      </c>
      <c r="P797">
        <v>9</v>
      </c>
      <c r="Q797">
        <v>4</v>
      </c>
      <c r="R797" t="s">
        <v>50</v>
      </c>
      <c r="S797" t="s">
        <v>30</v>
      </c>
      <c r="T797" t="s">
        <v>65</v>
      </c>
      <c r="U797">
        <v>46.149166399999999</v>
      </c>
      <c r="V797">
        <v>14.9860106</v>
      </c>
      <c r="W797" t="str">
        <f t="shared" si="85"/>
        <v>ok</v>
      </c>
      <c r="X797" t="str">
        <f t="shared" si="91"/>
        <v>ok</v>
      </c>
      <c r="Y797" t="str">
        <f t="shared" si="86"/>
        <v>ok</v>
      </c>
      <c r="Z797" t="str">
        <f t="shared" si="87"/>
        <v>ok</v>
      </c>
      <c r="AA797" s="4" t="str">
        <f t="shared" si="88"/>
        <v>ok</v>
      </c>
      <c r="AB797" s="4" t="str">
        <f t="shared" si="89"/>
        <v>ok</v>
      </c>
      <c r="AC797" s="6">
        <f t="shared" si="90"/>
        <v>11.315089166688267</v>
      </c>
    </row>
    <row r="798" spans="1:29" x14ac:dyDescent="0.3">
      <c r="A798" t="s">
        <v>22</v>
      </c>
      <c r="B798">
        <v>2012</v>
      </c>
      <c r="C798" t="s">
        <v>23</v>
      </c>
      <c r="D798" t="s">
        <v>43</v>
      </c>
      <c r="E798" t="s">
        <v>59</v>
      </c>
      <c r="F798" t="s">
        <v>26</v>
      </c>
      <c r="G798" t="s">
        <v>60</v>
      </c>
      <c r="H798" s="1">
        <v>45051.993194444447</v>
      </c>
      <c r="I798" s="1">
        <v>45052.993194444447</v>
      </c>
      <c r="J798" s="1">
        <v>45051.994583333333</v>
      </c>
      <c r="K798" s="2">
        <v>45051.993467881941</v>
      </c>
      <c r="L798" t="s">
        <v>28</v>
      </c>
      <c r="M798" s="2">
        <v>45052.409296481484</v>
      </c>
      <c r="N798" t="s">
        <v>28</v>
      </c>
      <c r="O798" s="2">
        <v>45058.264338738423</v>
      </c>
      <c r="P798">
        <v>9</v>
      </c>
      <c r="Q798">
        <v>5</v>
      </c>
      <c r="R798" t="s">
        <v>29</v>
      </c>
      <c r="S798" t="s">
        <v>30</v>
      </c>
      <c r="T798" t="s">
        <v>46</v>
      </c>
      <c r="U798">
        <v>47.696471899999999</v>
      </c>
      <c r="V798">
        <v>13.3457347</v>
      </c>
      <c r="W798" t="str">
        <f t="shared" si="85"/>
        <v>ok</v>
      </c>
      <c r="X798" t="str">
        <f t="shared" si="91"/>
        <v>ok</v>
      </c>
      <c r="Y798" t="str">
        <f t="shared" si="86"/>
        <v>ok</v>
      </c>
      <c r="Z798" t="str">
        <f t="shared" si="87"/>
        <v>ok</v>
      </c>
      <c r="AA798" s="4" t="str">
        <f t="shared" si="88"/>
        <v>ok</v>
      </c>
      <c r="AB798" s="4" t="str">
        <f t="shared" si="89"/>
        <v>ok</v>
      </c>
      <c r="AC798" s="6">
        <f t="shared" si="90"/>
        <v>9.9864488888997585</v>
      </c>
    </row>
    <row r="799" spans="1:29" x14ac:dyDescent="0.3">
      <c r="A799" t="s">
        <v>22</v>
      </c>
      <c r="B799">
        <v>2014</v>
      </c>
      <c r="C799" t="s">
        <v>33</v>
      </c>
      <c r="D799" t="s">
        <v>24</v>
      </c>
      <c r="E799" t="s">
        <v>39</v>
      </c>
      <c r="F799" t="s">
        <v>26</v>
      </c>
      <c r="G799" t="s">
        <v>27</v>
      </c>
      <c r="H799" s="1">
        <v>45051.445706018516</v>
      </c>
      <c r="I799" s="1">
        <v>45053.445706018516</v>
      </c>
      <c r="J799" s="1">
        <v>45051.487372685187</v>
      </c>
      <c r="K799" s="2">
        <v>45051.446182500003</v>
      </c>
      <c r="L799" t="s">
        <v>28</v>
      </c>
      <c r="M799" s="2">
        <v>45052.727893784722</v>
      </c>
      <c r="N799" t="s">
        <v>28</v>
      </c>
      <c r="O799" s="2">
        <v>45055.213402106485</v>
      </c>
      <c r="P799">
        <v>5</v>
      </c>
      <c r="Q799">
        <v>2</v>
      </c>
      <c r="R799" t="s">
        <v>55</v>
      </c>
      <c r="S799" t="s">
        <v>30</v>
      </c>
      <c r="T799" t="s">
        <v>31</v>
      </c>
      <c r="U799">
        <v>53.094023999999997</v>
      </c>
      <c r="V799">
        <v>-8.0196749999999994</v>
      </c>
      <c r="W799" t="str">
        <f t="shared" si="85"/>
        <v>ok</v>
      </c>
      <c r="X799" t="str">
        <f t="shared" si="91"/>
        <v>ok</v>
      </c>
      <c r="Y799" t="str">
        <f t="shared" si="86"/>
        <v>ok</v>
      </c>
      <c r="Z799" t="str">
        <f t="shared" si="87"/>
        <v>ok</v>
      </c>
      <c r="AA799" s="4" t="str">
        <f t="shared" si="88"/>
        <v>ok</v>
      </c>
      <c r="AB799" s="4" t="str">
        <f t="shared" si="89"/>
        <v>ok</v>
      </c>
      <c r="AC799" s="6">
        <f t="shared" si="90"/>
        <v>30.772506388952024</v>
      </c>
    </row>
    <row r="800" spans="1:29" x14ac:dyDescent="0.3">
      <c r="A800" t="s">
        <v>22</v>
      </c>
      <c r="B800">
        <v>2015</v>
      </c>
      <c r="C800" t="s">
        <v>23</v>
      </c>
      <c r="D800" t="s">
        <v>24</v>
      </c>
      <c r="E800" t="s">
        <v>25</v>
      </c>
      <c r="F800" t="s">
        <v>26</v>
      </c>
      <c r="G800" t="s">
        <v>49</v>
      </c>
      <c r="H800" s="1">
        <v>45051.127615740741</v>
      </c>
      <c r="I800" s="1">
        <v>45053.127615740741</v>
      </c>
      <c r="J800" s="1">
        <v>45051.169282407405</v>
      </c>
      <c r="K800" s="2">
        <v>45051.140536967592</v>
      </c>
      <c r="L800" t="s">
        <v>28</v>
      </c>
      <c r="M800" s="2">
        <v>45051.1935231713</v>
      </c>
      <c r="N800" t="s">
        <v>28</v>
      </c>
      <c r="O800" s="2">
        <v>45057.303664050924</v>
      </c>
      <c r="P800">
        <v>5</v>
      </c>
      <c r="Q800">
        <v>5</v>
      </c>
      <c r="R800" t="s">
        <v>50</v>
      </c>
      <c r="S800" t="s">
        <v>30</v>
      </c>
      <c r="T800" t="s">
        <v>41</v>
      </c>
      <c r="U800">
        <v>43.036776000000003</v>
      </c>
      <c r="V800">
        <v>12.678565000000001</v>
      </c>
      <c r="W800" t="str">
        <f t="shared" si="85"/>
        <v>ok</v>
      </c>
      <c r="X800" t="str">
        <f t="shared" si="91"/>
        <v>ok</v>
      </c>
      <c r="Y800" t="str">
        <f t="shared" si="86"/>
        <v>ok</v>
      </c>
      <c r="Z800" t="str">
        <f t="shared" si="87"/>
        <v>ok</v>
      </c>
      <c r="AA800" s="4" t="str">
        <f t="shared" si="88"/>
        <v>ok</v>
      </c>
      <c r="AB800" s="4" t="str">
        <f t="shared" si="89"/>
        <v>ok</v>
      </c>
      <c r="AC800" s="6">
        <f t="shared" si="90"/>
        <v>1.5817783334059641</v>
      </c>
    </row>
    <row r="801" spans="1:29" x14ac:dyDescent="0.3">
      <c r="A801" t="s">
        <v>32</v>
      </c>
      <c r="B801">
        <v>2016</v>
      </c>
      <c r="C801" t="s">
        <v>47</v>
      </c>
      <c r="D801" t="s">
        <v>24</v>
      </c>
      <c r="E801" t="s">
        <v>44</v>
      </c>
      <c r="F801" t="s">
        <v>26</v>
      </c>
      <c r="G801" t="s">
        <v>60</v>
      </c>
      <c r="H801" s="1">
        <v>45051.688055555554</v>
      </c>
      <c r="I801" s="1">
        <v>45053.688055555554</v>
      </c>
      <c r="J801" s="1">
        <v>45051.729722222219</v>
      </c>
      <c r="K801" s="2">
        <v>45051.703080462961</v>
      </c>
      <c r="L801" t="s">
        <v>28</v>
      </c>
      <c r="N801" t="s">
        <v>38</v>
      </c>
      <c r="P801">
        <v>1</v>
      </c>
      <c r="R801" t="s">
        <v>50</v>
      </c>
      <c r="S801" t="s">
        <v>30</v>
      </c>
      <c r="T801" t="s">
        <v>51</v>
      </c>
      <c r="U801">
        <v>39.673369999999998</v>
      </c>
      <c r="V801">
        <v>-4.7677259999999997</v>
      </c>
      <c r="W801" t="str">
        <f t="shared" si="85"/>
        <v>ok</v>
      </c>
      <c r="X801" t="str">
        <f t="shared" si="91"/>
        <v>ok</v>
      </c>
      <c r="Y801" t="str">
        <f t="shared" si="86"/>
        <v>ok</v>
      </c>
      <c r="Z801" t="str">
        <f t="shared" si="87"/>
        <v>ok</v>
      </c>
      <c r="AA801" s="4" t="str">
        <f t="shared" si="88"/>
        <v>ok</v>
      </c>
      <c r="AB801" s="4" t="str">
        <f t="shared" si="89"/>
        <v>no resolution</v>
      </c>
      <c r="AC801" s="6" t="str">
        <f t="shared" si="90"/>
        <v/>
      </c>
    </row>
    <row r="802" spans="1:29" x14ac:dyDescent="0.3">
      <c r="A802" t="s">
        <v>22</v>
      </c>
      <c r="B802">
        <v>2017</v>
      </c>
      <c r="C802" t="s">
        <v>23</v>
      </c>
      <c r="D802" t="s">
        <v>24</v>
      </c>
      <c r="E802" t="s">
        <v>35</v>
      </c>
      <c r="F802" t="s">
        <v>36</v>
      </c>
      <c r="G802" t="s">
        <v>37</v>
      </c>
      <c r="H802" s="1">
        <v>45051.063888888886</v>
      </c>
      <c r="I802" s="1">
        <v>45053.063888888886</v>
      </c>
      <c r="J802" s="1">
        <v>45051.105555555558</v>
      </c>
      <c r="K802" s="2">
        <v>45051.088712881945</v>
      </c>
      <c r="L802" t="s">
        <v>28</v>
      </c>
      <c r="M802" s="2">
        <v>45052.07690537037</v>
      </c>
      <c r="N802" t="s">
        <v>28</v>
      </c>
      <c r="O802" s="2">
        <v>45056.581161805552</v>
      </c>
      <c r="P802">
        <v>1</v>
      </c>
      <c r="Q802">
        <v>3</v>
      </c>
      <c r="R802" t="s">
        <v>50</v>
      </c>
      <c r="S802" t="s">
        <v>40</v>
      </c>
      <c r="T802" t="s">
        <v>58</v>
      </c>
      <c r="U802">
        <v>49.8037633</v>
      </c>
      <c r="V802">
        <v>15.4749126</v>
      </c>
      <c r="W802" t="str">
        <f t="shared" si="85"/>
        <v>ok</v>
      </c>
      <c r="X802" t="str">
        <f t="shared" si="91"/>
        <v>ok</v>
      </c>
      <c r="Y802" t="str">
        <f t="shared" si="86"/>
        <v>ok</v>
      </c>
      <c r="Z802" t="str">
        <f t="shared" si="87"/>
        <v>ok</v>
      </c>
      <c r="AA802" s="4" t="str">
        <f t="shared" si="88"/>
        <v>ok</v>
      </c>
      <c r="AB802" s="4" t="str">
        <f t="shared" si="89"/>
        <v>ok</v>
      </c>
      <c r="AC802" s="6">
        <f t="shared" si="90"/>
        <v>24.312395555607509</v>
      </c>
    </row>
    <row r="803" spans="1:29" x14ac:dyDescent="0.3">
      <c r="A803" t="s">
        <v>22</v>
      </c>
      <c r="B803">
        <v>2018</v>
      </c>
      <c r="C803" t="s">
        <v>23</v>
      </c>
      <c r="D803" t="s">
        <v>43</v>
      </c>
      <c r="E803" t="s">
        <v>25</v>
      </c>
      <c r="F803" t="s">
        <v>26</v>
      </c>
      <c r="G803" t="s">
        <v>49</v>
      </c>
      <c r="H803" s="1">
        <v>45051.632013888891</v>
      </c>
      <c r="I803" s="1">
        <v>45052.632013888891</v>
      </c>
      <c r="J803" s="1">
        <v>45051.633402777778</v>
      </c>
      <c r="K803" s="2">
        <v>45051.632178958331</v>
      </c>
      <c r="L803" t="s">
        <v>28</v>
      </c>
      <c r="M803" s="2">
        <v>45052.106756770831</v>
      </c>
      <c r="N803" t="s">
        <v>28</v>
      </c>
      <c r="O803" s="2">
        <v>45052.257676574074</v>
      </c>
      <c r="P803">
        <v>5</v>
      </c>
      <c r="Q803">
        <v>5</v>
      </c>
      <c r="R803" t="s">
        <v>50</v>
      </c>
      <c r="S803" t="s">
        <v>30</v>
      </c>
      <c r="T803" t="s">
        <v>31</v>
      </c>
      <c r="U803">
        <v>53.094023999999997</v>
      </c>
      <c r="V803">
        <v>-8.0196749999999994</v>
      </c>
      <c r="W803" t="str">
        <f t="shared" si="85"/>
        <v>ok</v>
      </c>
      <c r="X803" t="str">
        <f t="shared" si="91"/>
        <v>ok</v>
      </c>
      <c r="Y803" t="str">
        <f t="shared" si="86"/>
        <v>ok</v>
      </c>
      <c r="Z803" t="str">
        <f t="shared" si="87"/>
        <v>ok</v>
      </c>
      <c r="AA803" s="4" t="str">
        <f t="shared" si="88"/>
        <v>ok</v>
      </c>
      <c r="AB803" s="4" t="str">
        <f t="shared" si="89"/>
        <v>ok</v>
      </c>
      <c r="AC803" s="6">
        <f t="shared" si="90"/>
        <v>11.393829166539945</v>
      </c>
    </row>
    <row r="804" spans="1:29" x14ac:dyDescent="0.3">
      <c r="A804" t="s">
        <v>42</v>
      </c>
      <c r="B804">
        <v>2019</v>
      </c>
      <c r="C804" t="s">
        <v>23</v>
      </c>
      <c r="D804" t="s">
        <v>43</v>
      </c>
      <c r="E804" t="s">
        <v>59</v>
      </c>
      <c r="F804" t="s">
        <v>26</v>
      </c>
      <c r="G804" t="s">
        <v>27</v>
      </c>
      <c r="H804" s="1">
        <v>45051.245972222219</v>
      </c>
      <c r="I804" s="1">
        <v>45052.245972222219</v>
      </c>
      <c r="J804" s="1">
        <v>45051.247361111113</v>
      </c>
      <c r="K804" s="2">
        <v>45051.246581006948</v>
      </c>
      <c r="L804" t="s">
        <v>28</v>
      </c>
      <c r="M804" s="2">
        <v>45051.369242928238</v>
      </c>
      <c r="N804" t="s">
        <v>28</v>
      </c>
      <c r="P804">
        <v>5</v>
      </c>
      <c r="R804" t="s">
        <v>50</v>
      </c>
      <c r="S804" t="s">
        <v>30</v>
      </c>
      <c r="T804" t="s">
        <v>46</v>
      </c>
      <c r="U804">
        <v>47.696471899999999</v>
      </c>
      <c r="V804">
        <v>13.3457347</v>
      </c>
      <c r="W804" t="str">
        <f t="shared" si="85"/>
        <v>ok</v>
      </c>
      <c r="X804" t="str">
        <f t="shared" si="91"/>
        <v>ok</v>
      </c>
      <c r="Y804" t="str">
        <f t="shared" si="86"/>
        <v>ok</v>
      </c>
      <c r="Z804" t="str">
        <f t="shared" si="87"/>
        <v>ok</v>
      </c>
      <c r="AA804" s="4" t="str">
        <f t="shared" si="88"/>
        <v>ok</v>
      </c>
      <c r="AB804" s="4" t="str">
        <f t="shared" si="89"/>
        <v>ok</v>
      </c>
      <c r="AC804" s="6">
        <f t="shared" si="90"/>
        <v>2.9584969444549643</v>
      </c>
    </row>
    <row r="805" spans="1:29" x14ac:dyDescent="0.3">
      <c r="A805" t="s">
        <v>22</v>
      </c>
      <c r="B805">
        <v>2020</v>
      </c>
      <c r="C805" t="s">
        <v>33</v>
      </c>
      <c r="D805" t="s">
        <v>24</v>
      </c>
      <c r="E805" t="s">
        <v>25</v>
      </c>
      <c r="F805" t="s">
        <v>26</v>
      </c>
      <c r="G805" t="s">
        <v>27</v>
      </c>
      <c r="H805" s="1">
        <v>45051.379282407404</v>
      </c>
      <c r="I805" s="1">
        <v>45053.379282407404</v>
      </c>
      <c r="J805" s="1">
        <v>45051.420949074076</v>
      </c>
      <c r="K805" s="2">
        <v>45051.408955775463</v>
      </c>
      <c r="L805" t="s">
        <v>28</v>
      </c>
      <c r="M805" s="2">
        <v>45051.614952569442</v>
      </c>
      <c r="N805" t="s">
        <v>28</v>
      </c>
      <c r="O805" s="2">
        <v>45057.234785624998</v>
      </c>
      <c r="P805">
        <v>6</v>
      </c>
      <c r="Q805">
        <v>4</v>
      </c>
      <c r="R805" t="s">
        <v>29</v>
      </c>
      <c r="S805" t="s">
        <v>30</v>
      </c>
      <c r="T805" t="s">
        <v>63</v>
      </c>
      <c r="U805">
        <v>55.378051999999997</v>
      </c>
      <c r="V805">
        <v>-3.4359730000000002</v>
      </c>
      <c r="W805" t="str">
        <f t="shared" si="85"/>
        <v>ok</v>
      </c>
      <c r="X805" t="str">
        <f t="shared" si="91"/>
        <v>ok</v>
      </c>
      <c r="Y805" t="str">
        <f t="shared" si="86"/>
        <v>ok</v>
      </c>
      <c r="Z805" t="str">
        <f t="shared" si="87"/>
        <v>ok</v>
      </c>
      <c r="AA805" s="4" t="str">
        <f t="shared" si="88"/>
        <v>ok</v>
      </c>
      <c r="AB805" s="4" t="str">
        <f t="shared" si="89"/>
        <v>ok</v>
      </c>
      <c r="AC805" s="6">
        <f t="shared" si="90"/>
        <v>5.656083888898138</v>
      </c>
    </row>
    <row r="806" spans="1:29" x14ac:dyDescent="0.3">
      <c r="A806" t="s">
        <v>32</v>
      </c>
      <c r="B806">
        <v>2021</v>
      </c>
      <c r="C806" t="s">
        <v>33</v>
      </c>
      <c r="D806" t="s">
        <v>43</v>
      </c>
      <c r="E806" t="s">
        <v>25</v>
      </c>
      <c r="F806" t="s">
        <v>26</v>
      </c>
      <c r="G806" t="s">
        <v>49</v>
      </c>
      <c r="H806" s="1">
        <v>45051.636342592596</v>
      </c>
      <c r="I806" s="1">
        <v>45052.636342592596</v>
      </c>
      <c r="J806" s="1">
        <v>45051.637731481482</v>
      </c>
      <c r="K806" s="2">
        <v>45051.637384340276</v>
      </c>
      <c r="L806" t="s">
        <v>28</v>
      </c>
      <c r="N806" t="s">
        <v>38</v>
      </c>
      <c r="P806">
        <v>4</v>
      </c>
      <c r="R806" t="s">
        <v>50</v>
      </c>
      <c r="S806" t="s">
        <v>30</v>
      </c>
      <c r="T806" t="s">
        <v>65</v>
      </c>
      <c r="U806">
        <v>46.149166399999999</v>
      </c>
      <c r="V806">
        <v>14.9860106</v>
      </c>
      <c r="W806" t="str">
        <f t="shared" si="85"/>
        <v>ok</v>
      </c>
      <c r="X806" t="str">
        <f t="shared" si="91"/>
        <v>ok</v>
      </c>
      <c r="Y806" t="str">
        <f t="shared" si="86"/>
        <v>ok</v>
      </c>
      <c r="Z806" t="str">
        <f t="shared" si="87"/>
        <v>ok</v>
      </c>
      <c r="AA806" s="4" t="str">
        <f t="shared" si="88"/>
        <v>ok</v>
      </c>
      <c r="AB806" s="4" t="str">
        <f t="shared" si="89"/>
        <v>no resolution</v>
      </c>
      <c r="AC806" s="6" t="str">
        <f t="shared" si="90"/>
        <v/>
      </c>
    </row>
    <row r="807" spans="1:29" x14ac:dyDescent="0.3">
      <c r="A807" t="s">
        <v>22</v>
      </c>
      <c r="B807">
        <v>2022</v>
      </c>
      <c r="C807" t="s">
        <v>23</v>
      </c>
      <c r="D807" t="s">
        <v>24</v>
      </c>
      <c r="E807" t="s">
        <v>62</v>
      </c>
      <c r="F807" t="s">
        <v>26</v>
      </c>
      <c r="G807" t="s">
        <v>49</v>
      </c>
      <c r="H807" s="1">
        <v>45051.251921296294</v>
      </c>
      <c r="I807" s="1">
        <v>45053.251921296294</v>
      </c>
      <c r="J807" s="1">
        <v>45051.293587962966</v>
      </c>
      <c r="K807" s="2">
        <v>45051.28473486111</v>
      </c>
      <c r="L807" t="s">
        <v>28</v>
      </c>
      <c r="M807" s="2">
        <v>45052.555548171295</v>
      </c>
      <c r="N807" t="s">
        <v>28</v>
      </c>
      <c r="O807" s="2">
        <v>45053.031433634256</v>
      </c>
      <c r="P807">
        <v>2</v>
      </c>
      <c r="Q807">
        <v>5</v>
      </c>
      <c r="R807" t="s">
        <v>55</v>
      </c>
      <c r="S807" t="s">
        <v>30</v>
      </c>
      <c r="T807" t="s">
        <v>41</v>
      </c>
      <c r="U807">
        <v>43.036776000000003</v>
      </c>
      <c r="V807">
        <v>12.678565000000001</v>
      </c>
      <c r="W807" t="str">
        <f t="shared" si="85"/>
        <v>ok</v>
      </c>
      <c r="X807" t="str">
        <f t="shared" si="91"/>
        <v>ok</v>
      </c>
      <c r="Y807" t="str">
        <f t="shared" si="86"/>
        <v>ok</v>
      </c>
      <c r="Z807" t="str">
        <f t="shared" si="87"/>
        <v>ok</v>
      </c>
      <c r="AA807" s="4" t="str">
        <f t="shared" si="88"/>
        <v>ok</v>
      </c>
      <c r="AB807" s="4" t="str">
        <f t="shared" si="89"/>
        <v>ok</v>
      </c>
      <c r="AC807" s="6">
        <f t="shared" si="90"/>
        <v>31.287045000004582</v>
      </c>
    </row>
    <row r="808" spans="1:29" x14ac:dyDescent="0.3">
      <c r="A808" t="s">
        <v>22</v>
      </c>
      <c r="B808">
        <v>2023</v>
      </c>
      <c r="C808" t="s">
        <v>23</v>
      </c>
      <c r="D808" t="s">
        <v>24</v>
      </c>
      <c r="E808" t="s">
        <v>35</v>
      </c>
      <c r="F808" t="s">
        <v>26</v>
      </c>
      <c r="G808" t="s">
        <v>27</v>
      </c>
      <c r="H808" s="1">
        <v>45051.30097222222</v>
      </c>
      <c r="I808" s="1">
        <v>45053.30097222222</v>
      </c>
      <c r="J808" s="1">
        <v>45051.342638888891</v>
      </c>
      <c r="K808" s="2">
        <v>45051.492333113427</v>
      </c>
      <c r="L808" t="s">
        <v>38</v>
      </c>
      <c r="M808" s="2">
        <v>45054.101926967596</v>
      </c>
      <c r="N808" t="s">
        <v>38</v>
      </c>
      <c r="O808" s="2">
        <v>45055.83384900463</v>
      </c>
      <c r="P808">
        <v>1</v>
      </c>
      <c r="Q808">
        <v>5</v>
      </c>
      <c r="R808" t="s">
        <v>29</v>
      </c>
      <c r="S808" t="s">
        <v>30</v>
      </c>
      <c r="T808" t="s">
        <v>56</v>
      </c>
      <c r="U808">
        <v>52.536273000000001</v>
      </c>
      <c r="V808">
        <v>19.050639</v>
      </c>
      <c r="W808" t="str">
        <f t="shared" si="85"/>
        <v>ok</v>
      </c>
      <c r="X808" t="str">
        <f t="shared" si="91"/>
        <v>ok</v>
      </c>
      <c r="Y808" t="str">
        <f t="shared" si="86"/>
        <v>ok</v>
      </c>
      <c r="Z808" t="str">
        <f t="shared" si="87"/>
        <v>ok</v>
      </c>
      <c r="AA808" s="4" t="str">
        <f t="shared" si="88"/>
        <v>ok</v>
      </c>
      <c r="AB808" s="4" t="str">
        <f t="shared" si="89"/>
        <v>ok</v>
      </c>
      <c r="AC808" s="6">
        <f t="shared" si="90"/>
        <v>67.222913889039773</v>
      </c>
    </row>
    <row r="809" spans="1:29" x14ac:dyDescent="0.3">
      <c r="A809" t="s">
        <v>22</v>
      </c>
      <c r="B809">
        <v>2028</v>
      </c>
      <c r="C809" t="s">
        <v>23</v>
      </c>
      <c r="D809" t="s">
        <v>24</v>
      </c>
      <c r="E809" t="s">
        <v>48</v>
      </c>
      <c r="F809" t="s">
        <v>26</v>
      </c>
      <c r="G809" t="s">
        <v>52</v>
      </c>
      <c r="H809" s="1">
        <v>45052.962395833332</v>
      </c>
      <c r="I809" s="1">
        <v>45054.962395833332</v>
      </c>
      <c r="J809" s="1">
        <v>45053.004062499997</v>
      </c>
      <c r="K809" s="2">
        <v>45053.003993796294</v>
      </c>
      <c r="L809" t="s">
        <v>28</v>
      </c>
      <c r="M809" s="2">
        <v>45058.682867476855</v>
      </c>
      <c r="N809" t="s">
        <v>38</v>
      </c>
      <c r="O809" s="2">
        <v>45060.457038541666</v>
      </c>
      <c r="P809">
        <v>5</v>
      </c>
      <c r="Q809">
        <v>2</v>
      </c>
      <c r="R809" t="s">
        <v>29</v>
      </c>
      <c r="S809" t="s">
        <v>30</v>
      </c>
      <c r="T809" t="s">
        <v>58</v>
      </c>
      <c r="U809">
        <v>49.8037633</v>
      </c>
      <c r="V809">
        <v>15.4749126</v>
      </c>
      <c r="W809" t="str">
        <f t="shared" si="85"/>
        <v>ok</v>
      </c>
      <c r="X809" t="str">
        <f t="shared" si="91"/>
        <v>ok</v>
      </c>
      <c r="Y809" t="str">
        <f t="shared" si="86"/>
        <v>ok</v>
      </c>
      <c r="Z809" t="str">
        <f t="shared" si="87"/>
        <v>ok</v>
      </c>
      <c r="AA809" s="4" t="str">
        <f t="shared" si="88"/>
        <v>ok</v>
      </c>
      <c r="AB809" s="4" t="str">
        <f t="shared" si="89"/>
        <v>ok</v>
      </c>
      <c r="AC809" s="6">
        <f t="shared" si="90"/>
        <v>137.29131944454275</v>
      </c>
    </row>
    <row r="810" spans="1:29" x14ac:dyDescent="0.3">
      <c r="A810" t="s">
        <v>42</v>
      </c>
      <c r="B810">
        <v>2029</v>
      </c>
      <c r="C810" t="s">
        <v>47</v>
      </c>
      <c r="D810" t="s">
        <v>24</v>
      </c>
      <c r="E810" t="s">
        <v>48</v>
      </c>
      <c r="F810" t="s">
        <v>26</v>
      </c>
      <c r="G810" t="s">
        <v>45</v>
      </c>
      <c r="H810" s="1">
        <v>45052.359583333331</v>
      </c>
      <c r="I810" s="1">
        <v>45054.359583333331</v>
      </c>
      <c r="J810" s="1">
        <v>45052.401250000003</v>
      </c>
      <c r="K810" s="2">
        <v>45052.53958902778</v>
      </c>
      <c r="L810" t="s">
        <v>38</v>
      </c>
      <c r="M810" s="2">
        <v>45053.419031111109</v>
      </c>
      <c r="N810" t="s">
        <v>28</v>
      </c>
      <c r="P810">
        <v>1</v>
      </c>
      <c r="R810" t="s">
        <v>39</v>
      </c>
      <c r="S810" t="s">
        <v>30</v>
      </c>
      <c r="T810" t="s">
        <v>41</v>
      </c>
      <c r="U810">
        <v>43.036776000000003</v>
      </c>
      <c r="V810">
        <v>12.678565000000001</v>
      </c>
      <c r="W810" t="str">
        <f t="shared" si="85"/>
        <v>ok</v>
      </c>
      <c r="X810" t="str">
        <f t="shared" si="91"/>
        <v>ok</v>
      </c>
      <c r="Y810" t="str">
        <f t="shared" si="86"/>
        <v>ok</v>
      </c>
      <c r="Z810" t="str">
        <f t="shared" si="87"/>
        <v>ok</v>
      </c>
      <c r="AA810" s="4" t="str">
        <f t="shared" si="88"/>
        <v>ok</v>
      </c>
      <c r="AB810" s="4" t="str">
        <f t="shared" si="89"/>
        <v>ok</v>
      </c>
      <c r="AC810" s="6">
        <f t="shared" si="90"/>
        <v>25.426746666664258</v>
      </c>
    </row>
    <row r="811" spans="1:29" x14ac:dyDescent="0.3">
      <c r="A811" t="s">
        <v>22</v>
      </c>
      <c r="B811">
        <v>2030</v>
      </c>
      <c r="C811" t="s">
        <v>23</v>
      </c>
      <c r="D811" t="s">
        <v>24</v>
      </c>
      <c r="E811" t="s">
        <v>48</v>
      </c>
      <c r="F811" t="s">
        <v>26</v>
      </c>
      <c r="G811" t="s">
        <v>27</v>
      </c>
      <c r="H811" s="1">
        <v>45052.902615740742</v>
      </c>
      <c r="I811" s="1">
        <v>45054.902615740742</v>
      </c>
      <c r="J811" s="1">
        <v>45052.944282407407</v>
      </c>
      <c r="K811" s="2">
        <v>45052.911140057869</v>
      </c>
      <c r="L811" t="s">
        <v>28</v>
      </c>
      <c r="M811" s="2">
        <v>45054.706658240742</v>
      </c>
      <c r="N811" t="s">
        <v>28</v>
      </c>
      <c r="O811" s="2">
        <v>45058.247037372683</v>
      </c>
      <c r="P811">
        <v>5</v>
      </c>
      <c r="Q811">
        <v>1</v>
      </c>
      <c r="R811" t="s">
        <v>29</v>
      </c>
      <c r="S811" t="s">
        <v>30</v>
      </c>
      <c r="T811" t="s">
        <v>66</v>
      </c>
      <c r="U811">
        <v>48.864716000000001</v>
      </c>
      <c r="V811">
        <v>2.3490139999999999</v>
      </c>
      <c r="W811" t="str">
        <f t="shared" si="85"/>
        <v>ok</v>
      </c>
      <c r="X811" t="str">
        <f t="shared" si="91"/>
        <v>ok</v>
      </c>
      <c r="Y811" t="str">
        <f t="shared" si="86"/>
        <v>ok</v>
      </c>
      <c r="Z811" t="str">
        <f t="shared" si="87"/>
        <v>ok</v>
      </c>
      <c r="AA811" s="4" t="str">
        <f t="shared" si="88"/>
        <v>ok</v>
      </c>
      <c r="AB811" s="4" t="str">
        <f t="shared" si="89"/>
        <v>ok</v>
      </c>
      <c r="AC811" s="6">
        <f t="shared" si="90"/>
        <v>43.297019999998156</v>
      </c>
    </row>
    <row r="812" spans="1:29" x14ac:dyDescent="0.3">
      <c r="A812" t="s">
        <v>32</v>
      </c>
      <c r="B812">
        <v>2031</v>
      </c>
      <c r="C812" t="s">
        <v>23</v>
      </c>
      <c r="D812" t="s">
        <v>43</v>
      </c>
      <c r="E812" t="s">
        <v>59</v>
      </c>
      <c r="F812" t="s">
        <v>26</v>
      </c>
      <c r="G812" t="s">
        <v>49</v>
      </c>
      <c r="H812" s="1">
        <v>45053.851493055554</v>
      </c>
      <c r="I812" s="1">
        <v>45054.851493055554</v>
      </c>
      <c r="J812" s="1">
        <v>45053.852881944447</v>
      </c>
      <c r="K812" s="2">
        <v>45053.851703333334</v>
      </c>
      <c r="L812" t="s">
        <v>28</v>
      </c>
      <c r="N812" t="s">
        <v>38</v>
      </c>
      <c r="P812">
        <v>6</v>
      </c>
      <c r="R812" t="s">
        <v>29</v>
      </c>
      <c r="S812" t="s">
        <v>30</v>
      </c>
      <c r="T812" t="s">
        <v>63</v>
      </c>
      <c r="U812">
        <v>55.378051999999997</v>
      </c>
      <c r="V812">
        <v>-3.4359730000000002</v>
      </c>
      <c r="W812" t="str">
        <f t="shared" si="85"/>
        <v>ok</v>
      </c>
      <c r="X812" t="str">
        <f t="shared" si="91"/>
        <v>ok</v>
      </c>
      <c r="Y812" t="str">
        <f t="shared" si="86"/>
        <v>ok</v>
      </c>
      <c r="Z812" t="str">
        <f t="shared" si="87"/>
        <v>ok</v>
      </c>
      <c r="AA812" s="4" t="str">
        <f t="shared" si="88"/>
        <v>ok</v>
      </c>
      <c r="AB812" s="4" t="str">
        <f t="shared" si="89"/>
        <v>no resolution</v>
      </c>
      <c r="AC812" s="6" t="str">
        <f t="shared" si="90"/>
        <v/>
      </c>
    </row>
    <row r="813" spans="1:29" x14ac:dyDescent="0.3">
      <c r="A813" t="s">
        <v>42</v>
      </c>
      <c r="B813">
        <v>2032</v>
      </c>
      <c r="C813" t="s">
        <v>23</v>
      </c>
      <c r="D813" t="s">
        <v>43</v>
      </c>
      <c r="E813" t="s">
        <v>44</v>
      </c>
      <c r="F813" t="s">
        <v>26</v>
      </c>
      <c r="G813" t="s">
        <v>52</v>
      </c>
      <c r="H813" s="1">
        <v>45053.359085648146</v>
      </c>
      <c r="I813" s="1">
        <v>45054.359085648146</v>
      </c>
      <c r="J813" s="1">
        <v>45053.360474537039</v>
      </c>
      <c r="K813" s="2">
        <v>45053.360592500001</v>
      </c>
      <c r="L813" t="s">
        <v>38</v>
      </c>
      <c r="M813" s="2">
        <v>45054.031869953702</v>
      </c>
      <c r="N813" t="s">
        <v>28</v>
      </c>
      <c r="P813">
        <v>6</v>
      </c>
      <c r="R813" t="s">
        <v>55</v>
      </c>
      <c r="S813" t="s">
        <v>30</v>
      </c>
      <c r="T813" t="s">
        <v>58</v>
      </c>
      <c r="U813">
        <v>49.8037633</v>
      </c>
      <c r="V813">
        <v>15.4749126</v>
      </c>
      <c r="W813" t="str">
        <f t="shared" si="85"/>
        <v>ok</v>
      </c>
      <c r="X813" t="str">
        <f t="shared" si="91"/>
        <v>ok</v>
      </c>
      <c r="Y813" t="str">
        <f t="shared" si="86"/>
        <v>ok</v>
      </c>
      <c r="Z813" t="str">
        <f t="shared" si="87"/>
        <v>ok</v>
      </c>
      <c r="AA813" s="4" t="str">
        <f t="shared" si="88"/>
        <v>ok</v>
      </c>
      <c r="AB813" s="4" t="str">
        <f t="shared" si="89"/>
        <v>ok</v>
      </c>
      <c r="AC813" s="6">
        <f t="shared" si="90"/>
        <v>16.146823333343491</v>
      </c>
    </row>
    <row r="814" spans="1:29" x14ac:dyDescent="0.3">
      <c r="A814" t="s">
        <v>22</v>
      </c>
      <c r="B814">
        <v>2034</v>
      </c>
      <c r="C814" t="s">
        <v>23</v>
      </c>
      <c r="D814" t="s">
        <v>24</v>
      </c>
      <c r="E814" t="s">
        <v>44</v>
      </c>
      <c r="F814" t="s">
        <v>26</v>
      </c>
      <c r="G814" t="s">
        <v>52</v>
      </c>
      <c r="H814" s="1">
        <v>45053.090509259258</v>
      </c>
      <c r="I814" s="1">
        <v>45055.090509259258</v>
      </c>
      <c r="J814" s="1">
        <v>45053.132175925923</v>
      </c>
      <c r="K814" s="2">
        <v>45053.094834861113</v>
      </c>
      <c r="L814" t="s">
        <v>28</v>
      </c>
      <c r="M814" s="2">
        <v>45054.920615787036</v>
      </c>
      <c r="N814" t="s">
        <v>28</v>
      </c>
      <c r="O814" s="2">
        <v>45054.164349456019</v>
      </c>
      <c r="P814">
        <v>1</v>
      </c>
      <c r="Q814">
        <v>4</v>
      </c>
      <c r="R814" t="s">
        <v>39</v>
      </c>
      <c r="S814" t="s">
        <v>30</v>
      </c>
      <c r="T814" t="s">
        <v>63</v>
      </c>
      <c r="U814">
        <v>55.378051999999997</v>
      </c>
      <c r="V814">
        <v>-3.4359730000000002</v>
      </c>
      <c r="W814" t="str">
        <f t="shared" si="85"/>
        <v>ok</v>
      </c>
      <c r="X814" t="str">
        <f t="shared" si="91"/>
        <v>ok</v>
      </c>
      <c r="Y814" t="str">
        <f t="shared" si="86"/>
        <v>check</v>
      </c>
      <c r="Z814" t="str">
        <f t="shared" si="87"/>
        <v>ok</v>
      </c>
      <c r="AA814" s="4" t="str">
        <f t="shared" si="88"/>
        <v>ok</v>
      </c>
      <c r="AB814" s="4" t="str">
        <f t="shared" si="89"/>
        <v>ok</v>
      </c>
      <c r="AC814" s="6">
        <f t="shared" si="90"/>
        <v>43.922556666657329</v>
      </c>
    </row>
    <row r="815" spans="1:29" x14ac:dyDescent="0.3">
      <c r="A815" t="s">
        <v>22</v>
      </c>
      <c r="B815">
        <v>2035</v>
      </c>
      <c r="C815" t="s">
        <v>23</v>
      </c>
      <c r="D815" t="s">
        <v>24</v>
      </c>
      <c r="E815" t="s">
        <v>35</v>
      </c>
      <c r="F815" t="s">
        <v>26</v>
      </c>
      <c r="G815" t="s">
        <v>45</v>
      </c>
      <c r="H815" s="1">
        <v>45053.229895833334</v>
      </c>
      <c r="I815" s="1">
        <v>45055.229895833334</v>
      </c>
      <c r="J815" s="1">
        <v>45053.271562499998</v>
      </c>
      <c r="K815" s="2">
        <v>45053.264752326388</v>
      </c>
      <c r="L815" t="s">
        <v>28</v>
      </c>
      <c r="M815" s="2">
        <v>45053.763032233794</v>
      </c>
      <c r="N815" t="s">
        <v>28</v>
      </c>
      <c r="O815" s="2">
        <v>45058.799711273146</v>
      </c>
      <c r="P815">
        <v>9</v>
      </c>
      <c r="Q815">
        <v>3</v>
      </c>
      <c r="R815" t="s">
        <v>55</v>
      </c>
      <c r="S815" t="s">
        <v>30</v>
      </c>
      <c r="T815" t="s">
        <v>58</v>
      </c>
      <c r="U815">
        <v>49.8037633</v>
      </c>
      <c r="V815">
        <v>15.4749126</v>
      </c>
      <c r="W815" t="str">
        <f t="shared" si="85"/>
        <v>ok</v>
      </c>
      <c r="X815" t="str">
        <f t="shared" si="91"/>
        <v>ok</v>
      </c>
      <c r="Y815" t="str">
        <f t="shared" si="86"/>
        <v>ok</v>
      </c>
      <c r="Z815" t="str">
        <f t="shared" si="87"/>
        <v>ok</v>
      </c>
      <c r="AA815" s="4" t="str">
        <f t="shared" si="88"/>
        <v>ok</v>
      </c>
      <c r="AB815" s="4" t="str">
        <f t="shared" si="89"/>
        <v>ok</v>
      </c>
      <c r="AC815" s="6">
        <f t="shared" si="90"/>
        <v>12.795273611031007</v>
      </c>
    </row>
    <row r="816" spans="1:29" x14ac:dyDescent="0.3">
      <c r="A816" t="s">
        <v>22</v>
      </c>
      <c r="B816">
        <v>2036</v>
      </c>
      <c r="C816" t="s">
        <v>47</v>
      </c>
      <c r="D816" t="s">
        <v>24</v>
      </c>
      <c r="E816" t="s">
        <v>35</v>
      </c>
      <c r="F816" t="s">
        <v>26</v>
      </c>
      <c r="G816" t="s">
        <v>45</v>
      </c>
      <c r="H816" s="1">
        <v>45054.575011574074</v>
      </c>
      <c r="I816" s="1">
        <v>45056.575011574074</v>
      </c>
      <c r="J816" s="1">
        <v>45054.616678240738</v>
      </c>
      <c r="K816" s="2">
        <v>45054.581925995371</v>
      </c>
      <c r="L816" t="s">
        <v>28</v>
      </c>
      <c r="M816" s="2">
        <v>45054.940187615743</v>
      </c>
      <c r="N816" t="s">
        <v>28</v>
      </c>
      <c r="O816" s="2">
        <v>45056.611091296298</v>
      </c>
      <c r="P816">
        <v>10</v>
      </c>
      <c r="Q816">
        <v>1</v>
      </c>
      <c r="R816" t="s">
        <v>50</v>
      </c>
      <c r="S816" t="s">
        <v>30</v>
      </c>
      <c r="T816" t="s">
        <v>58</v>
      </c>
      <c r="U816">
        <v>49.8037633</v>
      </c>
      <c r="V816">
        <v>15.4749126</v>
      </c>
      <c r="W816" t="str">
        <f t="shared" si="85"/>
        <v>ok</v>
      </c>
      <c r="X816" t="str">
        <f t="shared" si="91"/>
        <v>ok</v>
      </c>
      <c r="Y816" t="str">
        <f t="shared" si="86"/>
        <v>ok</v>
      </c>
      <c r="Z816" t="str">
        <f t="shared" si="87"/>
        <v>ok</v>
      </c>
      <c r="AA816" s="4" t="str">
        <f t="shared" si="88"/>
        <v>ok</v>
      </c>
      <c r="AB816" s="4" t="str">
        <f t="shared" si="89"/>
        <v>ok</v>
      </c>
      <c r="AC816" s="6">
        <f t="shared" si="90"/>
        <v>8.7642250000499189</v>
      </c>
    </row>
    <row r="817" spans="1:29" x14ac:dyDescent="0.3">
      <c r="A817" t="s">
        <v>22</v>
      </c>
      <c r="B817">
        <v>2039</v>
      </c>
      <c r="C817" t="s">
        <v>23</v>
      </c>
      <c r="D817" t="s">
        <v>24</v>
      </c>
      <c r="E817" t="s">
        <v>44</v>
      </c>
      <c r="F817" t="s">
        <v>26</v>
      </c>
      <c r="G817" t="s">
        <v>49</v>
      </c>
      <c r="H817" s="1">
        <v>45054.742002314815</v>
      </c>
      <c r="I817" s="1">
        <v>45056.742002314815</v>
      </c>
      <c r="J817" s="1">
        <v>45054.783668981479</v>
      </c>
      <c r="K817" s="2">
        <v>45054.749899699076</v>
      </c>
      <c r="L817" t="s">
        <v>28</v>
      </c>
      <c r="M817" s="2">
        <v>45054.783842118057</v>
      </c>
      <c r="N817" t="s">
        <v>28</v>
      </c>
      <c r="O817" s="2">
        <v>45060.362918425926</v>
      </c>
      <c r="P817">
        <v>5</v>
      </c>
      <c r="Q817">
        <v>4</v>
      </c>
      <c r="R817" t="s">
        <v>50</v>
      </c>
      <c r="S817" t="s">
        <v>30</v>
      </c>
      <c r="T817" t="s">
        <v>56</v>
      </c>
      <c r="U817">
        <v>52.536273000000001</v>
      </c>
      <c r="V817">
        <v>19.050639</v>
      </c>
      <c r="W817" t="str">
        <f t="shared" si="85"/>
        <v>ok</v>
      </c>
      <c r="X817" t="str">
        <f t="shared" si="91"/>
        <v>ok</v>
      </c>
      <c r="Y817" t="str">
        <f t="shared" si="86"/>
        <v>ok</v>
      </c>
      <c r="Z817" t="str">
        <f t="shared" si="87"/>
        <v>ok</v>
      </c>
      <c r="AA817" s="4" t="str">
        <f t="shared" si="88"/>
        <v>ok</v>
      </c>
      <c r="AB817" s="4" t="str">
        <f t="shared" si="89"/>
        <v>ok</v>
      </c>
      <c r="AC817" s="6">
        <f t="shared" si="90"/>
        <v>1.004155277798418</v>
      </c>
    </row>
    <row r="818" spans="1:29" x14ac:dyDescent="0.3">
      <c r="A818" t="s">
        <v>42</v>
      </c>
      <c r="B818">
        <v>2040</v>
      </c>
      <c r="C818" t="s">
        <v>23</v>
      </c>
      <c r="D818" t="s">
        <v>24</v>
      </c>
      <c r="E818" t="s">
        <v>48</v>
      </c>
      <c r="F818" t="s">
        <v>26</v>
      </c>
      <c r="G818" t="s">
        <v>45</v>
      </c>
      <c r="H818" s="1">
        <v>45054.06622685185</v>
      </c>
      <c r="I818" s="1">
        <v>45056.06622685185</v>
      </c>
      <c r="J818" s="1">
        <v>45054.107893518521</v>
      </c>
      <c r="K818" s="2">
        <v>45054.087399374999</v>
      </c>
      <c r="L818" t="s">
        <v>28</v>
      </c>
      <c r="M818" s="2">
        <v>45055.053605034722</v>
      </c>
      <c r="N818" t="s">
        <v>28</v>
      </c>
      <c r="P818">
        <v>5</v>
      </c>
      <c r="R818" t="s">
        <v>55</v>
      </c>
      <c r="S818" t="s">
        <v>30</v>
      </c>
      <c r="T818" t="s">
        <v>63</v>
      </c>
      <c r="U818">
        <v>55.378051999999997</v>
      </c>
      <c r="V818">
        <v>-3.4359730000000002</v>
      </c>
      <c r="W818" t="str">
        <f t="shared" si="85"/>
        <v>ok</v>
      </c>
      <c r="X818" t="str">
        <f t="shared" si="91"/>
        <v>ok</v>
      </c>
      <c r="Y818" t="str">
        <f t="shared" si="86"/>
        <v>ok</v>
      </c>
      <c r="Z818" t="str">
        <f t="shared" si="87"/>
        <v>ok</v>
      </c>
      <c r="AA818" s="4" t="str">
        <f t="shared" si="88"/>
        <v>ok</v>
      </c>
      <c r="AB818" s="4" t="str">
        <f t="shared" si="89"/>
        <v>ok</v>
      </c>
      <c r="AC818" s="6">
        <f t="shared" si="90"/>
        <v>23.69707638892578</v>
      </c>
    </row>
    <row r="819" spans="1:29" x14ac:dyDescent="0.3">
      <c r="A819" t="s">
        <v>42</v>
      </c>
      <c r="B819">
        <v>2041</v>
      </c>
      <c r="C819" t="s">
        <v>23</v>
      </c>
      <c r="D819" t="s">
        <v>24</v>
      </c>
      <c r="E819" t="s">
        <v>59</v>
      </c>
      <c r="F819" t="s">
        <v>26</v>
      </c>
      <c r="G819" t="s">
        <v>45</v>
      </c>
      <c r="H819" s="1">
        <v>45054.486539351848</v>
      </c>
      <c r="I819" s="1">
        <v>45056.486539351848</v>
      </c>
      <c r="J819" s="1">
        <v>45054.52820601852</v>
      </c>
      <c r="K819" s="2">
        <v>45054.502739490737</v>
      </c>
      <c r="L819" t="s">
        <v>28</v>
      </c>
      <c r="M819" s="2">
        <v>45055.879136770833</v>
      </c>
      <c r="N819" t="s">
        <v>28</v>
      </c>
      <c r="P819">
        <v>1</v>
      </c>
      <c r="R819" t="s">
        <v>50</v>
      </c>
      <c r="S819" t="s">
        <v>30</v>
      </c>
      <c r="T819" t="s">
        <v>56</v>
      </c>
      <c r="U819">
        <v>52.536273000000001</v>
      </c>
      <c r="V819">
        <v>19.050639</v>
      </c>
      <c r="W819" t="str">
        <f t="shared" si="85"/>
        <v>ok</v>
      </c>
      <c r="X819" t="str">
        <f t="shared" si="91"/>
        <v>ok</v>
      </c>
      <c r="Y819" t="str">
        <f t="shared" si="86"/>
        <v>ok</v>
      </c>
      <c r="Z819" t="str">
        <f t="shared" si="87"/>
        <v>ok</v>
      </c>
      <c r="AA819" s="4" t="str">
        <f t="shared" si="88"/>
        <v>ok</v>
      </c>
      <c r="AB819" s="4" t="str">
        <f t="shared" si="89"/>
        <v>ok</v>
      </c>
      <c r="AC819" s="6">
        <f t="shared" si="90"/>
        <v>33.422338055621367</v>
      </c>
    </row>
    <row r="820" spans="1:29" x14ac:dyDescent="0.3">
      <c r="A820" t="s">
        <v>32</v>
      </c>
      <c r="B820">
        <v>2042</v>
      </c>
      <c r="C820" t="s">
        <v>23</v>
      </c>
      <c r="D820" t="s">
        <v>24</v>
      </c>
      <c r="E820" t="s">
        <v>39</v>
      </c>
      <c r="F820" t="s">
        <v>26</v>
      </c>
      <c r="G820" t="s">
        <v>49</v>
      </c>
      <c r="H820" s="1">
        <v>45054.860011574077</v>
      </c>
      <c r="I820" s="1">
        <v>45056.860011574077</v>
      </c>
      <c r="J820" s="1">
        <v>45054.901678240742</v>
      </c>
      <c r="K820" s="2">
        <v>45054.875634699078</v>
      </c>
      <c r="L820" t="s">
        <v>28</v>
      </c>
      <c r="N820" t="s">
        <v>38</v>
      </c>
      <c r="P820">
        <v>5</v>
      </c>
      <c r="R820" t="s">
        <v>55</v>
      </c>
      <c r="S820" t="s">
        <v>30</v>
      </c>
      <c r="T820" t="s">
        <v>58</v>
      </c>
      <c r="U820">
        <v>49.8037633</v>
      </c>
      <c r="V820">
        <v>15.4749126</v>
      </c>
      <c r="W820" t="str">
        <f t="shared" si="85"/>
        <v>ok</v>
      </c>
      <c r="X820" t="str">
        <f t="shared" si="91"/>
        <v>ok</v>
      </c>
      <c r="Y820" t="str">
        <f t="shared" si="86"/>
        <v>ok</v>
      </c>
      <c r="Z820" t="str">
        <f t="shared" si="87"/>
        <v>ok</v>
      </c>
      <c r="AA820" s="4" t="str">
        <f t="shared" si="88"/>
        <v>ok</v>
      </c>
      <c r="AB820" s="4" t="str">
        <f t="shared" si="89"/>
        <v>no resolution</v>
      </c>
      <c r="AC820" s="6" t="str">
        <f t="shared" si="90"/>
        <v/>
      </c>
    </row>
    <row r="821" spans="1:29" x14ac:dyDescent="0.3">
      <c r="A821" t="s">
        <v>32</v>
      </c>
      <c r="B821">
        <v>2044</v>
      </c>
      <c r="C821" t="s">
        <v>33</v>
      </c>
      <c r="D821" t="s">
        <v>43</v>
      </c>
      <c r="E821" t="s">
        <v>35</v>
      </c>
      <c r="F821" t="s">
        <v>26</v>
      </c>
      <c r="G821" t="s">
        <v>60</v>
      </c>
      <c r="H821" s="1">
        <v>45055.201886574076</v>
      </c>
      <c r="I821" s="1">
        <v>45056.201886574076</v>
      </c>
      <c r="J821" s="1">
        <v>45055.203275462962</v>
      </c>
      <c r="K821" s="2">
        <v>45055.202939525465</v>
      </c>
      <c r="L821" t="s">
        <v>28</v>
      </c>
      <c r="N821" t="s">
        <v>38</v>
      </c>
      <c r="P821">
        <v>8</v>
      </c>
      <c r="R821" t="s">
        <v>50</v>
      </c>
      <c r="S821" t="s">
        <v>30</v>
      </c>
      <c r="T821" t="s">
        <v>41</v>
      </c>
      <c r="U821">
        <v>43.036776000000003</v>
      </c>
      <c r="V821">
        <v>12.678565000000001</v>
      </c>
      <c r="W821" t="str">
        <f t="shared" si="85"/>
        <v>ok</v>
      </c>
      <c r="X821" t="str">
        <f t="shared" si="91"/>
        <v>ok</v>
      </c>
      <c r="Y821" t="str">
        <f t="shared" si="86"/>
        <v>ok</v>
      </c>
      <c r="Z821" t="str">
        <f t="shared" si="87"/>
        <v>ok</v>
      </c>
      <c r="AA821" s="4" t="str">
        <f t="shared" si="88"/>
        <v>ok</v>
      </c>
      <c r="AB821" s="4" t="str">
        <f t="shared" si="89"/>
        <v>no resolution</v>
      </c>
      <c r="AC821" s="6" t="str">
        <f t="shared" si="90"/>
        <v/>
      </c>
    </row>
    <row r="822" spans="1:29" x14ac:dyDescent="0.3">
      <c r="A822" t="s">
        <v>22</v>
      </c>
      <c r="B822">
        <v>2045</v>
      </c>
      <c r="C822" t="s">
        <v>23</v>
      </c>
      <c r="D822" t="s">
        <v>43</v>
      </c>
      <c r="E822" t="s">
        <v>35</v>
      </c>
      <c r="F822" t="s">
        <v>26</v>
      </c>
      <c r="G822" t="s">
        <v>49</v>
      </c>
      <c r="H822" s="1">
        <v>45055.53634259259</v>
      </c>
      <c r="I822" s="1">
        <v>45056.53634259259</v>
      </c>
      <c r="J822" s="1">
        <v>45055.537731481483</v>
      </c>
      <c r="K822" s="2">
        <v>45055.536908958333</v>
      </c>
      <c r="L822" t="s">
        <v>28</v>
      </c>
      <c r="M822" s="2">
        <v>45055.67799960648</v>
      </c>
      <c r="N822" t="s">
        <v>28</v>
      </c>
      <c r="O822" s="2">
        <v>45058.458962881945</v>
      </c>
      <c r="P822">
        <v>6</v>
      </c>
      <c r="Q822">
        <v>4</v>
      </c>
      <c r="R822" t="s">
        <v>29</v>
      </c>
      <c r="S822" t="s">
        <v>30</v>
      </c>
      <c r="T822" t="s">
        <v>41</v>
      </c>
      <c r="U822">
        <v>43.036776000000003</v>
      </c>
      <c r="V822">
        <v>12.678565000000001</v>
      </c>
      <c r="W822" t="str">
        <f t="shared" si="85"/>
        <v>ok</v>
      </c>
      <c r="X822" t="str">
        <f t="shared" si="91"/>
        <v>ok</v>
      </c>
      <c r="Y822" t="str">
        <f t="shared" si="86"/>
        <v>ok</v>
      </c>
      <c r="Z822" t="str">
        <f t="shared" si="87"/>
        <v>ok</v>
      </c>
      <c r="AA822" s="4" t="str">
        <f t="shared" si="88"/>
        <v>ok</v>
      </c>
      <c r="AB822" s="4" t="str">
        <f t="shared" si="89"/>
        <v>ok</v>
      </c>
      <c r="AC822" s="6">
        <f t="shared" si="90"/>
        <v>3.3997683333582245</v>
      </c>
    </row>
    <row r="823" spans="1:29" x14ac:dyDescent="0.3">
      <c r="A823" t="s">
        <v>42</v>
      </c>
      <c r="B823">
        <v>2046</v>
      </c>
      <c r="C823" t="s">
        <v>23</v>
      </c>
      <c r="D823" t="s">
        <v>24</v>
      </c>
      <c r="E823" t="s">
        <v>39</v>
      </c>
      <c r="F823" t="s">
        <v>26</v>
      </c>
      <c r="G823" t="s">
        <v>27</v>
      </c>
      <c r="H823" s="1">
        <v>45055.244074074071</v>
      </c>
      <c r="I823" s="1">
        <v>45057.244074074071</v>
      </c>
      <c r="J823" s="1">
        <v>45055.285740740743</v>
      </c>
      <c r="K823" s="2">
        <v>45055.258068124996</v>
      </c>
      <c r="L823" t="s">
        <v>28</v>
      </c>
      <c r="M823" s="2">
        <v>45056.617773020836</v>
      </c>
      <c r="N823" t="s">
        <v>28</v>
      </c>
      <c r="P823">
        <v>1</v>
      </c>
      <c r="R823" t="s">
        <v>50</v>
      </c>
      <c r="S823" t="s">
        <v>30</v>
      </c>
      <c r="T823" t="s">
        <v>41</v>
      </c>
      <c r="U823">
        <v>43.036776000000003</v>
      </c>
      <c r="V823">
        <v>12.678565000000001</v>
      </c>
      <c r="W823" t="str">
        <f t="shared" si="85"/>
        <v>ok</v>
      </c>
      <c r="X823" t="str">
        <f t="shared" si="91"/>
        <v>ok</v>
      </c>
      <c r="Y823" t="str">
        <f t="shared" si="86"/>
        <v>ok</v>
      </c>
      <c r="Z823" t="str">
        <f t="shared" si="87"/>
        <v>ok</v>
      </c>
      <c r="AA823" s="4" t="str">
        <f t="shared" si="88"/>
        <v>ok</v>
      </c>
      <c r="AB823" s="4" t="str">
        <f t="shared" si="89"/>
        <v>ok</v>
      </c>
      <c r="AC823" s="6">
        <f t="shared" si="90"/>
        <v>32.968774722365197</v>
      </c>
    </row>
    <row r="824" spans="1:29" x14ac:dyDescent="0.3">
      <c r="A824" t="s">
        <v>32</v>
      </c>
      <c r="B824">
        <v>2048</v>
      </c>
      <c r="C824" t="s">
        <v>47</v>
      </c>
      <c r="D824" t="s">
        <v>24</v>
      </c>
      <c r="E824" t="s">
        <v>35</v>
      </c>
      <c r="F824" t="s">
        <v>26</v>
      </c>
      <c r="G824" t="s">
        <v>60</v>
      </c>
      <c r="H824" s="1">
        <v>45055.470983796295</v>
      </c>
      <c r="I824" s="1">
        <v>45057.470983796295</v>
      </c>
      <c r="J824" s="1">
        <v>45055.512650462966</v>
      </c>
      <c r="K824" s="2">
        <v>45055.475354629627</v>
      </c>
      <c r="L824" t="s">
        <v>28</v>
      </c>
      <c r="N824" t="s">
        <v>38</v>
      </c>
      <c r="P824">
        <v>10</v>
      </c>
      <c r="R824" t="s">
        <v>55</v>
      </c>
      <c r="S824" t="s">
        <v>30</v>
      </c>
      <c r="T824" t="s">
        <v>61</v>
      </c>
      <c r="U824">
        <v>42.724992499999999</v>
      </c>
      <c r="V824">
        <v>25.483303899999999</v>
      </c>
      <c r="W824" t="str">
        <f t="shared" si="85"/>
        <v>ok</v>
      </c>
      <c r="X824" t="str">
        <f t="shared" si="91"/>
        <v>ok</v>
      </c>
      <c r="Y824" t="str">
        <f t="shared" si="86"/>
        <v>ok</v>
      </c>
      <c r="Z824" t="str">
        <f t="shared" si="87"/>
        <v>ok</v>
      </c>
      <c r="AA824" s="4" t="str">
        <f t="shared" si="88"/>
        <v>ok</v>
      </c>
      <c r="AB824" s="4" t="str">
        <f t="shared" si="89"/>
        <v>no resolution</v>
      </c>
      <c r="AC824" s="6" t="str">
        <f t="shared" si="90"/>
        <v/>
      </c>
    </row>
    <row r="825" spans="1:29" x14ac:dyDescent="0.3">
      <c r="A825" t="s">
        <v>32</v>
      </c>
      <c r="B825">
        <v>2049</v>
      </c>
      <c r="C825" t="s">
        <v>23</v>
      </c>
      <c r="D825" t="s">
        <v>24</v>
      </c>
      <c r="E825" t="s">
        <v>35</v>
      </c>
      <c r="F825" t="s">
        <v>26</v>
      </c>
      <c r="G825" t="s">
        <v>45</v>
      </c>
      <c r="H825" s="1">
        <v>45055.607002314813</v>
      </c>
      <c r="I825" s="1">
        <v>45057.607002314813</v>
      </c>
      <c r="J825" s="1">
        <v>45055.648668981485</v>
      </c>
      <c r="K825" s="2">
        <v>45055.609737939812</v>
      </c>
      <c r="L825" t="s">
        <v>28</v>
      </c>
      <c r="N825" t="s">
        <v>38</v>
      </c>
      <c r="P825">
        <v>1</v>
      </c>
      <c r="R825" t="s">
        <v>50</v>
      </c>
      <c r="S825" t="s">
        <v>30</v>
      </c>
      <c r="T825" t="s">
        <v>56</v>
      </c>
      <c r="U825">
        <v>52.536273000000001</v>
      </c>
      <c r="V825">
        <v>19.050639</v>
      </c>
      <c r="W825" t="str">
        <f t="shared" si="85"/>
        <v>ok</v>
      </c>
      <c r="X825" t="str">
        <f t="shared" si="91"/>
        <v>ok</v>
      </c>
      <c r="Y825" t="str">
        <f t="shared" si="86"/>
        <v>ok</v>
      </c>
      <c r="Z825" t="str">
        <f t="shared" si="87"/>
        <v>ok</v>
      </c>
      <c r="AA825" s="4" t="str">
        <f t="shared" si="88"/>
        <v>ok</v>
      </c>
      <c r="AB825" s="4" t="str">
        <f t="shared" si="89"/>
        <v>no resolution</v>
      </c>
      <c r="AC825" s="6" t="str">
        <f t="shared" si="90"/>
        <v/>
      </c>
    </row>
    <row r="826" spans="1:29" x14ac:dyDescent="0.3">
      <c r="A826" t="s">
        <v>42</v>
      </c>
      <c r="B826">
        <v>2050</v>
      </c>
      <c r="C826" t="s">
        <v>23</v>
      </c>
      <c r="D826" t="s">
        <v>43</v>
      </c>
      <c r="E826" t="s">
        <v>48</v>
      </c>
      <c r="F826" t="s">
        <v>36</v>
      </c>
      <c r="G826" t="s">
        <v>54</v>
      </c>
      <c r="H826" s="1">
        <v>45055.720995370371</v>
      </c>
      <c r="I826" s="1">
        <v>45056.720995370371</v>
      </c>
      <c r="J826" s="1">
        <v>45055.722384259258</v>
      </c>
      <c r="K826" s="2">
        <v>45055.721771793978</v>
      </c>
      <c r="L826" t="s">
        <v>28</v>
      </c>
      <c r="M826" s="2">
        <v>45056.098736655091</v>
      </c>
      <c r="N826" t="s">
        <v>28</v>
      </c>
      <c r="P826">
        <v>9</v>
      </c>
      <c r="R826" t="s">
        <v>55</v>
      </c>
      <c r="S826" t="s">
        <v>40</v>
      </c>
      <c r="T826" t="s">
        <v>56</v>
      </c>
      <c r="U826">
        <v>52.536273000000001</v>
      </c>
      <c r="V826">
        <v>19.050639</v>
      </c>
      <c r="W826" t="str">
        <f t="shared" si="85"/>
        <v>ok</v>
      </c>
      <c r="X826" t="str">
        <f t="shared" si="91"/>
        <v>ok</v>
      </c>
      <c r="Y826" t="str">
        <f t="shared" si="86"/>
        <v>ok</v>
      </c>
      <c r="Z826" t="str">
        <f t="shared" si="87"/>
        <v>ok</v>
      </c>
      <c r="AA826" s="4" t="str">
        <f t="shared" si="88"/>
        <v>ok</v>
      </c>
      <c r="AB826" s="4" t="str">
        <f t="shared" si="89"/>
        <v>ok</v>
      </c>
      <c r="AC826" s="6">
        <f t="shared" si="90"/>
        <v>9.065790833265055</v>
      </c>
    </row>
    <row r="827" spans="1:29" x14ac:dyDescent="0.3">
      <c r="A827" t="s">
        <v>22</v>
      </c>
      <c r="B827">
        <v>2051</v>
      </c>
      <c r="C827" t="s">
        <v>23</v>
      </c>
      <c r="D827" t="s">
        <v>43</v>
      </c>
      <c r="E827" t="s">
        <v>35</v>
      </c>
      <c r="F827" t="s">
        <v>26</v>
      </c>
      <c r="G827" t="s">
        <v>45</v>
      </c>
      <c r="H827" s="1">
        <v>45055.442557870374</v>
      </c>
      <c r="I827" s="1">
        <v>45056.442557870374</v>
      </c>
      <c r="J827" s="1">
        <v>45055.44394675926</v>
      </c>
      <c r="K827" s="2">
        <v>45055.445115949071</v>
      </c>
      <c r="L827" t="s">
        <v>38</v>
      </c>
      <c r="M827" s="2">
        <v>45057.459195185183</v>
      </c>
      <c r="N827" t="s">
        <v>38</v>
      </c>
      <c r="O827" s="2">
        <v>45059.348448171295</v>
      </c>
      <c r="P827">
        <v>6</v>
      </c>
      <c r="Q827">
        <v>3</v>
      </c>
      <c r="R827" t="s">
        <v>55</v>
      </c>
      <c r="S827" t="s">
        <v>30</v>
      </c>
      <c r="T827" t="s">
        <v>65</v>
      </c>
      <c r="U827">
        <v>46.149166399999999</v>
      </c>
      <c r="V827">
        <v>14.9860106</v>
      </c>
      <c r="W827" t="str">
        <f t="shared" si="85"/>
        <v>ok</v>
      </c>
      <c r="X827" t="str">
        <f t="shared" si="91"/>
        <v>ok</v>
      </c>
      <c r="Y827" t="str">
        <f t="shared" si="86"/>
        <v>ok</v>
      </c>
      <c r="Z827" t="str">
        <f t="shared" si="87"/>
        <v>ok</v>
      </c>
      <c r="AA827" s="4" t="str">
        <f t="shared" si="88"/>
        <v>ok</v>
      </c>
      <c r="AB827" s="4" t="str">
        <f t="shared" si="89"/>
        <v>ok</v>
      </c>
      <c r="AC827" s="6">
        <f t="shared" si="90"/>
        <v>48.39929555542767</v>
      </c>
    </row>
    <row r="828" spans="1:29" x14ac:dyDescent="0.3">
      <c r="A828" t="s">
        <v>22</v>
      </c>
      <c r="B828">
        <v>2052</v>
      </c>
      <c r="C828" t="s">
        <v>23</v>
      </c>
      <c r="D828" t="s">
        <v>24</v>
      </c>
      <c r="E828" t="s">
        <v>39</v>
      </c>
      <c r="F828" t="s">
        <v>26</v>
      </c>
      <c r="G828" t="s">
        <v>49</v>
      </c>
      <c r="H828" s="1">
        <v>45055.185104166667</v>
      </c>
      <c r="I828" s="1">
        <v>45057.185104166667</v>
      </c>
      <c r="J828" s="1">
        <v>45055.226770833331</v>
      </c>
      <c r="K828" s="2">
        <v>45055.377600150459</v>
      </c>
      <c r="L828" t="s">
        <v>38</v>
      </c>
      <c r="M828" s="2">
        <v>45056.58191270833</v>
      </c>
      <c r="N828" t="s">
        <v>28</v>
      </c>
      <c r="O828" s="2">
        <v>45060.841758923612</v>
      </c>
      <c r="P828">
        <v>6</v>
      </c>
      <c r="Q828">
        <v>4</v>
      </c>
      <c r="R828" t="s">
        <v>50</v>
      </c>
      <c r="S828" t="s">
        <v>30</v>
      </c>
      <c r="T828" t="s">
        <v>41</v>
      </c>
      <c r="U828">
        <v>43.036776000000003</v>
      </c>
      <c r="V828">
        <v>12.678565000000001</v>
      </c>
      <c r="W828" t="str">
        <f t="shared" si="85"/>
        <v>ok</v>
      </c>
      <c r="X828" t="str">
        <f t="shared" si="91"/>
        <v>ok</v>
      </c>
      <c r="Y828" t="str">
        <f t="shared" si="86"/>
        <v>ok</v>
      </c>
      <c r="Z828" t="str">
        <f t="shared" si="87"/>
        <v>ok</v>
      </c>
      <c r="AA828" s="4" t="str">
        <f t="shared" si="88"/>
        <v>ok</v>
      </c>
      <c r="AB828" s="4" t="str">
        <f t="shared" si="89"/>
        <v>ok</v>
      </c>
      <c r="AC828" s="6">
        <f t="shared" si="90"/>
        <v>33.523404999927152</v>
      </c>
    </row>
    <row r="829" spans="1:29" x14ac:dyDescent="0.3">
      <c r="A829" t="s">
        <v>22</v>
      </c>
      <c r="B829">
        <v>2053</v>
      </c>
      <c r="C829" t="s">
        <v>33</v>
      </c>
      <c r="D829" t="s">
        <v>43</v>
      </c>
      <c r="E829" t="s">
        <v>48</v>
      </c>
      <c r="F829" t="s">
        <v>36</v>
      </c>
      <c r="G829" t="s">
        <v>37</v>
      </c>
      <c r="H829" s="1">
        <v>45056.369976851849</v>
      </c>
      <c r="I829" s="1">
        <v>45057.369976851849</v>
      </c>
      <c r="J829" s="1">
        <v>45056.371365740742</v>
      </c>
      <c r="K829" s="2">
        <v>45056.372991666663</v>
      </c>
      <c r="L829" t="s">
        <v>38</v>
      </c>
      <c r="M829" s="2">
        <v>45057.336446817128</v>
      </c>
      <c r="N829" t="s">
        <v>28</v>
      </c>
      <c r="O829" s="2">
        <v>45062.468901967593</v>
      </c>
      <c r="P829">
        <v>4</v>
      </c>
      <c r="Q829">
        <v>5</v>
      </c>
      <c r="R829" t="s">
        <v>55</v>
      </c>
      <c r="S829" t="s">
        <v>40</v>
      </c>
      <c r="T829" t="s">
        <v>53</v>
      </c>
      <c r="U829">
        <v>39.368279000000001</v>
      </c>
      <c r="V829">
        <v>21.863140999999999</v>
      </c>
      <c r="W829" t="str">
        <f t="shared" si="85"/>
        <v>ok</v>
      </c>
      <c r="X829" t="str">
        <f t="shared" si="91"/>
        <v>ok</v>
      </c>
      <c r="Y829" t="str">
        <f t="shared" si="86"/>
        <v>ok</v>
      </c>
      <c r="Z829" t="str">
        <f t="shared" si="87"/>
        <v>ok</v>
      </c>
      <c r="AA829" s="4" t="str">
        <f t="shared" si="88"/>
        <v>ok</v>
      </c>
      <c r="AB829" s="4" t="str">
        <f t="shared" si="89"/>
        <v>ok</v>
      </c>
      <c r="AC829" s="6">
        <f t="shared" si="90"/>
        <v>23.195279166684486</v>
      </c>
    </row>
    <row r="830" spans="1:29" x14ac:dyDescent="0.3">
      <c r="A830" t="s">
        <v>32</v>
      </c>
      <c r="B830">
        <v>2054</v>
      </c>
      <c r="C830" t="s">
        <v>47</v>
      </c>
      <c r="D830" t="s">
        <v>24</v>
      </c>
      <c r="E830" t="s">
        <v>25</v>
      </c>
      <c r="F830" t="s">
        <v>26</v>
      </c>
      <c r="G830" t="s">
        <v>45</v>
      </c>
      <c r="H830" s="1">
        <v>45056.215543981481</v>
      </c>
      <c r="I830" s="1">
        <v>45058.215543981481</v>
      </c>
      <c r="J830" s="1">
        <v>45056.257210648146</v>
      </c>
      <c r="K830" s="2">
        <v>45056.22592164352</v>
      </c>
      <c r="L830" t="s">
        <v>28</v>
      </c>
      <c r="N830" t="s">
        <v>38</v>
      </c>
      <c r="P830">
        <v>6</v>
      </c>
      <c r="R830" t="s">
        <v>29</v>
      </c>
      <c r="S830" t="s">
        <v>30</v>
      </c>
      <c r="T830" t="s">
        <v>53</v>
      </c>
      <c r="U830">
        <v>39.368279000000001</v>
      </c>
      <c r="V830">
        <v>21.863140999999999</v>
      </c>
      <c r="W830" t="str">
        <f t="shared" si="85"/>
        <v>ok</v>
      </c>
      <c r="X830" t="str">
        <f t="shared" si="91"/>
        <v>ok</v>
      </c>
      <c r="Y830" t="str">
        <f t="shared" si="86"/>
        <v>ok</v>
      </c>
      <c r="Z830" t="str">
        <f t="shared" si="87"/>
        <v>ok</v>
      </c>
      <c r="AA830" s="4" t="str">
        <f t="shared" si="88"/>
        <v>ok</v>
      </c>
      <c r="AB830" s="4" t="str">
        <f t="shared" si="89"/>
        <v>no resolution</v>
      </c>
      <c r="AC830" s="6" t="str">
        <f t="shared" si="90"/>
        <v/>
      </c>
    </row>
    <row r="831" spans="1:29" x14ac:dyDescent="0.3">
      <c r="A831" t="s">
        <v>32</v>
      </c>
      <c r="B831">
        <v>2055</v>
      </c>
      <c r="C831" t="s">
        <v>47</v>
      </c>
      <c r="D831" t="s">
        <v>24</v>
      </c>
      <c r="E831" t="s">
        <v>48</v>
      </c>
      <c r="F831" t="s">
        <v>26</v>
      </c>
      <c r="G831" t="s">
        <v>52</v>
      </c>
      <c r="H831" s="1">
        <v>45056.473368055558</v>
      </c>
      <c r="I831" s="1">
        <v>45058.473368055558</v>
      </c>
      <c r="J831" s="1">
        <v>45056.515034722222</v>
      </c>
      <c r="K831" s="2">
        <v>45056.501968356482</v>
      </c>
      <c r="L831" t="s">
        <v>28</v>
      </c>
      <c r="N831" t="s">
        <v>38</v>
      </c>
      <c r="P831">
        <v>9</v>
      </c>
      <c r="R831" t="s">
        <v>29</v>
      </c>
      <c r="S831" t="s">
        <v>30</v>
      </c>
      <c r="T831" t="s">
        <v>58</v>
      </c>
      <c r="U831">
        <v>49.8037633</v>
      </c>
      <c r="V831">
        <v>15.4749126</v>
      </c>
      <c r="W831" t="str">
        <f t="shared" si="85"/>
        <v>ok</v>
      </c>
      <c r="X831" t="str">
        <f t="shared" si="91"/>
        <v>ok</v>
      </c>
      <c r="Y831" t="str">
        <f t="shared" si="86"/>
        <v>ok</v>
      </c>
      <c r="Z831" t="str">
        <f t="shared" si="87"/>
        <v>ok</v>
      </c>
      <c r="AA831" s="4" t="str">
        <f t="shared" si="88"/>
        <v>ok</v>
      </c>
      <c r="AB831" s="4" t="str">
        <f t="shared" si="89"/>
        <v>no resolution</v>
      </c>
      <c r="AC831" s="6" t="str">
        <f t="shared" si="90"/>
        <v/>
      </c>
    </row>
    <row r="832" spans="1:29" x14ac:dyDescent="0.3">
      <c r="A832" t="s">
        <v>42</v>
      </c>
      <c r="B832">
        <v>2056</v>
      </c>
      <c r="C832" t="s">
        <v>47</v>
      </c>
      <c r="D832" t="s">
        <v>43</v>
      </c>
      <c r="E832" t="s">
        <v>35</v>
      </c>
      <c r="F832" t="s">
        <v>26</v>
      </c>
      <c r="G832" t="s">
        <v>45</v>
      </c>
      <c r="H832" s="1">
        <v>45056.328912037039</v>
      </c>
      <c r="I832" s="1">
        <v>45057.328912037039</v>
      </c>
      <c r="J832" s="1">
        <v>45056.330300925925</v>
      </c>
      <c r="K832" s="2">
        <v>45056.330236620372</v>
      </c>
      <c r="L832" t="s">
        <v>28</v>
      </c>
      <c r="M832" s="2">
        <v>45056.779509513886</v>
      </c>
      <c r="N832" t="s">
        <v>28</v>
      </c>
      <c r="P832">
        <v>4</v>
      </c>
      <c r="R832" t="s">
        <v>39</v>
      </c>
      <c r="S832" t="s">
        <v>30</v>
      </c>
      <c r="T832" t="s">
        <v>46</v>
      </c>
      <c r="U832">
        <v>47.696471899999999</v>
      </c>
      <c r="V832">
        <v>13.3457347</v>
      </c>
      <c r="W832" t="str">
        <f t="shared" si="85"/>
        <v>ok</v>
      </c>
      <c r="X832" t="str">
        <f t="shared" si="91"/>
        <v>ok</v>
      </c>
      <c r="Y832" t="str">
        <f t="shared" si="86"/>
        <v>ok</v>
      </c>
      <c r="Z832" t="str">
        <f t="shared" si="87"/>
        <v>ok</v>
      </c>
      <c r="AA832" s="4" t="str">
        <f t="shared" si="88"/>
        <v>ok</v>
      </c>
      <c r="AB832" s="4" t="str">
        <f t="shared" si="89"/>
        <v>ok</v>
      </c>
      <c r="AC832" s="6">
        <f t="shared" si="90"/>
        <v>10.81433944433229</v>
      </c>
    </row>
    <row r="833" spans="1:29" x14ac:dyDescent="0.3">
      <c r="A833" t="s">
        <v>32</v>
      </c>
      <c r="B833">
        <v>2057</v>
      </c>
      <c r="C833" t="s">
        <v>47</v>
      </c>
      <c r="D833" t="s">
        <v>43</v>
      </c>
      <c r="E833" t="s">
        <v>48</v>
      </c>
      <c r="F833" t="s">
        <v>36</v>
      </c>
      <c r="G833" t="s">
        <v>54</v>
      </c>
      <c r="H833" s="1">
        <v>45056.311562499999</v>
      </c>
      <c r="I833" s="1">
        <v>45057.311562499999</v>
      </c>
      <c r="J833" s="1">
        <v>45056.312951388885</v>
      </c>
      <c r="K833" s="2">
        <v>45056.312450451391</v>
      </c>
      <c r="L833" t="s">
        <v>28</v>
      </c>
      <c r="N833" t="s">
        <v>38</v>
      </c>
      <c r="P833">
        <v>6</v>
      </c>
      <c r="R833" t="s">
        <v>50</v>
      </c>
      <c r="S833" t="s">
        <v>40</v>
      </c>
      <c r="T833" t="s">
        <v>58</v>
      </c>
      <c r="U833">
        <v>49.8037633</v>
      </c>
      <c r="V833">
        <v>15.4749126</v>
      </c>
      <c r="W833" t="str">
        <f t="shared" si="85"/>
        <v>ok</v>
      </c>
      <c r="X833" t="str">
        <f t="shared" si="91"/>
        <v>ok</v>
      </c>
      <c r="Y833" t="str">
        <f t="shared" si="86"/>
        <v>ok</v>
      </c>
      <c r="Z833" t="str">
        <f t="shared" si="87"/>
        <v>ok</v>
      </c>
      <c r="AA833" s="4" t="str">
        <f t="shared" si="88"/>
        <v>ok</v>
      </c>
      <c r="AB833" s="4" t="str">
        <f t="shared" si="89"/>
        <v>no resolution</v>
      </c>
      <c r="AC833" s="6" t="str">
        <f t="shared" si="90"/>
        <v/>
      </c>
    </row>
    <row r="834" spans="1:29" x14ac:dyDescent="0.3">
      <c r="A834" t="s">
        <v>22</v>
      </c>
      <c r="B834">
        <v>2058</v>
      </c>
      <c r="C834" t="s">
        <v>47</v>
      </c>
      <c r="D834" t="s">
        <v>43</v>
      </c>
      <c r="E834" t="s">
        <v>35</v>
      </c>
      <c r="F834" t="s">
        <v>26</v>
      </c>
      <c r="G834" t="s">
        <v>49</v>
      </c>
      <c r="H834" s="1">
        <v>45057.727233796293</v>
      </c>
      <c r="I834" s="1">
        <v>45058.727233796293</v>
      </c>
      <c r="J834" s="1">
        <v>45057.728622685187</v>
      </c>
      <c r="K834" s="2">
        <v>45057.72799097222</v>
      </c>
      <c r="L834" t="s">
        <v>28</v>
      </c>
      <c r="M834" s="2">
        <v>45062.968448472224</v>
      </c>
      <c r="N834" t="s">
        <v>38</v>
      </c>
      <c r="O834" s="2">
        <v>45063.985749965279</v>
      </c>
      <c r="P834">
        <v>9</v>
      </c>
      <c r="Q834">
        <v>3</v>
      </c>
      <c r="R834" t="s">
        <v>50</v>
      </c>
      <c r="S834" t="s">
        <v>30</v>
      </c>
      <c r="T834" t="s">
        <v>46</v>
      </c>
      <c r="U834">
        <v>47.696471899999999</v>
      </c>
      <c r="V834">
        <v>13.3457347</v>
      </c>
      <c r="W834" t="str">
        <f t="shared" ref="W834:W897" si="92">IF(K834&lt;H834,"check","ok")</f>
        <v>ok</v>
      </c>
      <c r="X834" t="str">
        <f t="shared" si="91"/>
        <v>ok</v>
      </c>
      <c r="Y834" t="str">
        <f t="shared" ref="Y834:Y897" si="93">IF(AND(M834&lt;&gt;"",O834&lt;&gt;"",O834&lt;M834),"check","ok")</f>
        <v>ok</v>
      </c>
      <c r="Z834" t="str">
        <f t="shared" ref="Z834:Z897" si="94">IF(AND(OR(CA834="Closed",A834="Resolved"),M834=""),"check","ok")</f>
        <v>ok</v>
      </c>
      <c r="AA834" s="4" t="str">
        <f t="shared" ref="AA834:AA897" si="95">IF(K834="","no response",IF(OR(AND(K834&lt;=J834,L834="Within SLA"),AND(K834&gt;J834,L834="SLA Violated")),"ok","check"))</f>
        <v>ok</v>
      </c>
      <c r="AB834" s="4" t="str">
        <f t="shared" ref="AB834:AB897" si="96">IF(M834="","no resolution",IF(OR(AND(M834&lt;=I834,N834="Within SLA"),AND(M834&gt;I834,N834="SLA Violated")),"ok","check"))</f>
        <v>ok</v>
      </c>
      <c r="AC834" s="6">
        <f t="shared" ref="AC834:AC897" si="97">IF(M834="","",(M834-H834)*24)</f>
        <v>125.78915222233627</v>
      </c>
    </row>
    <row r="835" spans="1:29" x14ac:dyDescent="0.3">
      <c r="A835" t="s">
        <v>22</v>
      </c>
      <c r="B835">
        <v>2059</v>
      </c>
      <c r="C835" t="s">
        <v>33</v>
      </c>
      <c r="D835" t="s">
        <v>24</v>
      </c>
      <c r="E835" t="s">
        <v>48</v>
      </c>
      <c r="F835" t="s">
        <v>26</v>
      </c>
      <c r="G835" t="s">
        <v>52</v>
      </c>
      <c r="H835" s="1">
        <v>45057.390428240738</v>
      </c>
      <c r="I835" s="1">
        <v>45059.390428240738</v>
      </c>
      <c r="J835" s="1">
        <v>45057.43209490741</v>
      </c>
      <c r="K835" s="2">
        <v>45057.391082916663</v>
      </c>
      <c r="L835" t="s">
        <v>28</v>
      </c>
      <c r="M835" s="2">
        <v>45058.083471712962</v>
      </c>
      <c r="N835" t="s">
        <v>28</v>
      </c>
      <c r="O835" s="2">
        <v>45061.945015972226</v>
      </c>
      <c r="P835">
        <v>9</v>
      </c>
      <c r="Q835">
        <v>4</v>
      </c>
      <c r="R835" t="s">
        <v>50</v>
      </c>
      <c r="S835" t="s">
        <v>30</v>
      </c>
      <c r="T835" t="s">
        <v>61</v>
      </c>
      <c r="U835">
        <v>42.724992499999999</v>
      </c>
      <c r="V835">
        <v>25.483303899999999</v>
      </c>
      <c r="W835" t="str">
        <f t="shared" si="92"/>
        <v>ok</v>
      </c>
      <c r="X835" t="str">
        <f t="shared" ref="X835:X898" si="98">IF(AND(M835&lt;&gt;"",M835&lt;H835),"check","ok")</f>
        <v>ok</v>
      </c>
      <c r="Y835" t="str">
        <f t="shared" si="93"/>
        <v>ok</v>
      </c>
      <c r="Z835" t="str">
        <f t="shared" si="94"/>
        <v>ok</v>
      </c>
      <c r="AA835" s="4" t="str">
        <f t="shared" si="95"/>
        <v>ok</v>
      </c>
      <c r="AB835" s="4" t="str">
        <f t="shared" si="96"/>
        <v>ok</v>
      </c>
      <c r="AC835" s="6">
        <f t="shared" si="97"/>
        <v>16.633043333364185</v>
      </c>
    </row>
    <row r="836" spans="1:29" x14ac:dyDescent="0.3">
      <c r="A836" t="s">
        <v>42</v>
      </c>
      <c r="B836">
        <v>2060</v>
      </c>
      <c r="C836" t="s">
        <v>47</v>
      </c>
      <c r="D836" t="s">
        <v>24</v>
      </c>
      <c r="E836" t="s">
        <v>39</v>
      </c>
      <c r="F836" t="s">
        <v>26</v>
      </c>
      <c r="G836" t="s">
        <v>27</v>
      </c>
      <c r="H836" s="1">
        <v>45057.541435185187</v>
      </c>
      <c r="I836" s="1">
        <v>45059.541435185187</v>
      </c>
      <c r="J836" s="1">
        <v>45057.583101851851</v>
      </c>
      <c r="K836" s="2">
        <v>45057.554963518516</v>
      </c>
      <c r="L836" t="s">
        <v>28</v>
      </c>
      <c r="M836" s="2">
        <v>45058.085020995371</v>
      </c>
      <c r="N836" t="s">
        <v>28</v>
      </c>
      <c r="P836">
        <v>3</v>
      </c>
      <c r="R836" t="s">
        <v>29</v>
      </c>
      <c r="S836" t="s">
        <v>30</v>
      </c>
      <c r="T836" t="s">
        <v>66</v>
      </c>
      <c r="U836">
        <v>48.864716000000001</v>
      </c>
      <c r="V836">
        <v>2.3490139999999999</v>
      </c>
      <c r="W836" t="str">
        <f t="shared" si="92"/>
        <v>ok</v>
      </c>
      <c r="X836" t="str">
        <f t="shared" si="98"/>
        <v>ok</v>
      </c>
      <c r="Y836" t="str">
        <f t="shared" si="93"/>
        <v>ok</v>
      </c>
      <c r="Z836" t="str">
        <f t="shared" si="94"/>
        <v>ok</v>
      </c>
      <c r="AA836" s="4" t="str">
        <f t="shared" si="95"/>
        <v>ok</v>
      </c>
      <c r="AB836" s="4" t="str">
        <f t="shared" si="96"/>
        <v>ok</v>
      </c>
      <c r="AC836" s="6">
        <f t="shared" si="97"/>
        <v>13.046059444430284</v>
      </c>
    </row>
    <row r="837" spans="1:29" x14ac:dyDescent="0.3">
      <c r="A837" t="s">
        <v>42</v>
      </c>
      <c r="B837">
        <v>2061</v>
      </c>
      <c r="C837" t="s">
        <v>23</v>
      </c>
      <c r="D837" t="s">
        <v>24</v>
      </c>
      <c r="E837" t="s">
        <v>35</v>
      </c>
      <c r="F837" t="s">
        <v>36</v>
      </c>
      <c r="G837" t="s">
        <v>64</v>
      </c>
      <c r="H837" s="1">
        <v>45057.350960648146</v>
      </c>
      <c r="I837" s="1">
        <v>45059.350960648146</v>
      </c>
      <c r="J837" s="1">
        <v>45057.392627314817</v>
      </c>
      <c r="K837" s="2">
        <v>45057.382273483796</v>
      </c>
      <c r="L837" t="s">
        <v>28</v>
      </c>
      <c r="M837" s="2">
        <v>45057.521452048612</v>
      </c>
      <c r="N837" t="s">
        <v>28</v>
      </c>
      <c r="P837">
        <v>9</v>
      </c>
      <c r="R837" t="s">
        <v>29</v>
      </c>
      <c r="S837" t="s">
        <v>40</v>
      </c>
      <c r="T837" t="s">
        <v>46</v>
      </c>
      <c r="U837">
        <v>47.696471899999999</v>
      </c>
      <c r="V837">
        <v>13.3457347</v>
      </c>
      <c r="W837" t="str">
        <f t="shared" si="92"/>
        <v>ok</v>
      </c>
      <c r="X837" t="str">
        <f t="shared" si="98"/>
        <v>ok</v>
      </c>
      <c r="Y837" t="str">
        <f t="shared" si="93"/>
        <v>ok</v>
      </c>
      <c r="Z837" t="str">
        <f t="shared" si="94"/>
        <v>ok</v>
      </c>
      <c r="AA837" s="4" t="str">
        <f t="shared" si="95"/>
        <v>ok</v>
      </c>
      <c r="AB837" s="4" t="str">
        <f t="shared" si="96"/>
        <v>ok</v>
      </c>
      <c r="AC837" s="6">
        <f t="shared" si="97"/>
        <v>4.0917936111800373</v>
      </c>
    </row>
    <row r="838" spans="1:29" x14ac:dyDescent="0.3">
      <c r="A838" t="s">
        <v>42</v>
      </c>
      <c r="B838">
        <v>2062</v>
      </c>
      <c r="C838" t="s">
        <v>23</v>
      </c>
      <c r="D838" t="s">
        <v>24</v>
      </c>
      <c r="E838" t="s">
        <v>44</v>
      </c>
      <c r="F838" t="s">
        <v>26</v>
      </c>
      <c r="G838" t="s">
        <v>60</v>
      </c>
      <c r="H838" s="1">
        <v>45057.863587962966</v>
      </c>
      <c r="I838" s="1">
        <v>45059.863587962966</v>
      </c>
      <c r="J838" s="1">
        <v>45057.90525462963</v>
      </c>
      <c r="K838" s="2">
        <v>45057.888373657406</v>
      </c>
      <c r="L838" t="s">
        <v>28</v>
      </c>
      <c r="M838" s="2">
        <v>45057.999119618056</v>
      </c>
      <c r="N838" t="s">
        <v>28</v>
      </c>
      <c r="P838">
        <v>2</v>
      </c>
      <c r="R838" t="s">
        <v>55</v>
      </c>
      <c r="S838" t="s">
        <v>30</v>
      </c>
      <c r="T838" t="s">
        <v>66</v>
      </c>
      <c r="U838">
        <v>48.864716000000001</v>
      </c>
      <c r="V838">
        <v>2.3490139999999999</v>
      </c>
      <c r="W838" t="str">
        <f t="shared" si="92"/>
        <v>ok</v>
      </c>
      <c r="X838" t="str">
        <f t="shared" si="98"/>
        <v>ok</v>
      </c>
      <c r="Y838" t="str">
        <f t="shared" si="93"/>
        <v>ok</v>
      </c>
      <c r="Z838" t="str">
        <f t="shared" si="94"/>
        <v>ok</v>
      </c>
      <c r="AA838" s="4" t="str">
        <f t="shared" si="95"/>
        <v>ok</v>
      </c>
      <c r="AB838" s="4" t="str">
        <f t="shared" si="96"/>
        <v>ok</v>
      </c>
      <c r="AC838" s="6">
        <f t="shared" si="97"/>
        <v>3.2527597221778706</v>
      </c>
    </row>
    <row r="839" spans="1:29" x14ac:dyDescent="0.3">
      <c r="A839" t="s">
        <v>32</v>
      </c>
      <c r="B839">
        <v>2063</v>
      </c>
      <c r="C839" t="s">
        <v>47</v>
      </c>
      <c r="D839" t="s">
        <v>34</v>
      </c>
      <c r="E839" t="s">
        <v>35</v>
      </c>
      <c r="F839" t="s">
        <v>26</v>
      </c>
      <c r="G839" t="s">
        <v>49</v>
      </c>
      <c r="H839" s="1">
        <v>45057.979745370372</v>
      </c>
      <c r="I839" s="1">
        <v>45059.979745370372</v>
      </c>
      <c r="J839" s="1">
        <v>45057.981134259258</v>
      </c>
      <c r="K839" s="2">
        <v>45057.97995361111</v>
      </c>
      <c r="L839" t="s">
        <v>28</v>
      </c>
      <c r="N839" t="s">
        <v>38</v>
      </c>
      <c r="P839">
        <v>3</v>
      </c>
      <c r="R839" t="s">
        <v>50</v>
      </c>
      <c r="S839" t="s">
        <v>30</v>
      </c>
      <c r="T839" t="s">
        <v>56</v>
      </c>
      <c r="U839">
        <v>52.536273000000001</v>
      </c>
      <c r="V839">
        <v>19.050639</v>
      </c>
      <c r="W839" t="str">
        <f t="shared" si="92"/>
        <v>ok</v>
      </c>
      <c r="X839" t="str">
        <f t="shared" si="98"/>
        <v>ok</v>
      </c>
      <c r="Y839" t="str">
        <f t="shared" si="93"/>
        <v>ok</v>
      </c>
      <c r="Z839" t="str">
        <f t="shared" si="94"/>
        <v>ok</v>
      </c>
      <c r="AA839" s="4" t="str">
        <f t="shared" si="95"/>
        <v>ok</v>
      </c>
      <c r="AB839" s="4" t="str">
        <f t="shared" si="96"/>
        <v>no resolution</v>
      </c>
      <c r="AC839" s="6" t="str">
        <f t="shared" si="97"/>
        <v/>
      </c>
    </row>
    <row r="840" spans="1:29" x14ac:dyDescent="0.3">
      <c r="A840" t="s">
        <v>32</v>
      </c>
      <c r="B840">
        <v>2064</v>
      </c>
      <c r="C840" t="s">
        <v>23</v>
      </c>
      <c r="D840" t="s">
        <v>24</v>
      </c>
      <c r="E840" t="s">
        <v>48</v>
      </c>
      <c r="F840" t="s">
        <v>26</v>
      </c>
      <c r="G840" t="s">
        <v>45</v>
      </c>
      <c r="H840" s="1">
        <v>45058.607002314813</v>
      </c>
      <c r="I840" s="1">
        <v>45060.607002314813</v>
      </c>
      <c r="J840" s="1">
        <v>45058.648668981485</v>
      </c>
      <c r="K840" s="2">
        <v>45058.619271388889</v>
      </c>
      <c r="L840" t="s">
        <v>28</v>
      </c>
      <c r="N840" t="s">
        <v>38</v>
      </c>
      <c r="P840">
        <v>3</v>
      </c>
      <c r="R840" t="s">
        <v>29</v>
      </c>
      <c r="S840" t="s">
        <v>30</v>
      </c>
      <c r="T840" t="s">
        <v>31</v>
      </c>
      <c r="U840">
        <v>53.094023999999997</v>
      </c>
      <c r="V840">
        <v>-8.0196749999999994</v>
      </c>
      <c r="W840" t="str">
        <f t="shared" si="92"/>
        <v>ok</v>
      </c>
      <c r="X840" t="str">
        <f t="shared" si="98"/>
        <v>ok</v>
      </c>
      <c r="Y840" t="str">
        <f t="shared" si="93"/>
        <v>ok</v>
      </c>
      <c r="Z840" t="str">
        <f t="shared" si="94"/>
        <v>ok</v>
      </c>
      <c r="AA840" s="4" t="str">
        <f t="shared" si="95"/>
        <v>ok</v>
      </c>
      <c r="AB840" s="4" t="str">
        <f t="shared" si="96"/>
        <v>no resolution</v>
      </c>
      <c r="AC840" s="6" t="str">
        <f t="shared" si="97"/>
        <v/>
      </c>
    </row>
    <row r="841" spans="1:29" x14ac:dyDescent="0.3">
      <c r="A841" t="s">
        <v>42</v>
      </c>
      <c r="B841">
        <v>2065</v>
      </c>
      <c r="C841" t="s">
        <v>23</v>
      </c>
      <c r="D841" t="s">
        <v>34</v>
      </c>
      <c r="E841" t="s">
        <v>62</v>
      </c>
      <c r="F841" t="s">
        <v>26</v>
      </c>
      <c r="G841" t="s">
        <v>45</v>
      </c>
      <c r="H841" s="1">
        <v>45058.294409722221</v>
      </c>
      <c r="I841" s="1">
        <v>45060.294409722221</v>
      </c>
      <c r="J841" s="1">
        <v>45058.295798611114</v>
      </c>
      <c r="K841" s="2">
        <v>45058.296653796293</v>
      </c>
      <c r="L841" t="s">
        <v>38</v>
      </c>
      <c r="M841" s="2">
        <v>45064.188656041668</v>
      </c>
      <c r="N841" t="s">
        <v>38</v>
      </c>
      <c r="P841">
        <v>1</v>
      </c>
      <c r="R841" t="s">
        <v>55</v>
      </c>
      <c r="S841" t="s">
        <v>30</v>
      </c>
      <c r="T841" t="s">
        <v>51</v>
      </c>
      <c r="U841">
        <v>39.673369999999998</v>
      </c>
      <c r="V841">
        <v>-4.7677259999999997</v>
      </c>
      <c r="W841" t="str">
        <f t="shared" si="92"/>
        <v>ok</v>
      </c>
      <c r="X841" t="str">
        <f t="shared" si="98"/>
        <v>ok</v>
      </c>
      <c r="Y841" t="str">
        <f t="shared" si="93"/>
        <v>ok</v>
      </c>
      <c r="Z841" t="str">
        <f t="shared" si="94"/>
        <v>ok</v>
      </c>
      <c r="AA841" s="4" t="str">
        <f t="shared" si="95"/>
        <v>ok</v>
      </c>
      <c r="AB841" s="4" t="str">
        <f t="shared" si="96"/>
        <v>ok</v>
      </c>
      <c r="AC841" s="6">
        <f t="shared" si="97"/>
        <v>141.46191166673088</v>
      </c>
    </row>
    <row r="842" spans="1:29" x14ac:dyDescent="0.3">
      <c r="A842" t="s">
        <v>32</v>
      </c>
      <c r="B842">
        <v>2066</v>
      </c>
      <c r="C842" t="s">
        <v>47</v>
      </c>
      <c r="D842" t="s">
        <v>43</v>
      </c>
      <c r="E842" t="s">
        <v>48</v>
      </c>
      <c r="F842" t="s">
        <v>26</v>
      </c>
      <c r="G842" t="s">
        <v>60</v>
      </c>
      <c r="H842" s="1">
        <v>45058.765393518515</v>
      </c>
      <c r="I842" s="1">
        <v>45059.765393518515</v>
      </c>
      <c r="J842" s="1">
        <v>45058.766782407409</v>
      </c>
      <c r="K842" s="2">
        <v>45058.76673491898</v>
      </c>
      <c r="L842" t="s">
        <v>28</v>
      </c>
      <c r="N842" t="s">
        <v>38</v>
      </c>
      <c r="P842">
        <v>60</v>
      </c>
      <c r="R842" t="s">
        <v>39</v>
      </c>
      <c r="S842" t="s">
        <v>30</v>
      </c>
      <c r="T842" t="s">
        <v>66</v>
      </c>
      <c r="U842">
        <v>48.864716000000001</v>
      </c>
      <c r="V842">
        <v>2.3490139999999999</v>
      </c>
      <c r="W842" t="str">
        <f t="shared" si="92"/>
        <v>ok</v>
      </c>
      <c r="X842" t="str">
        <f t="shared" si="98"/>
        <v>ok</v>
      </c>
      <c r="Y842" t="str">
        <f t="shared" si="93"/>
        <v>ok</v>
      </c>
      <c r="Z842" t="str">
        <f t="shared" si="94"/>
        <v>ok</v>
      </c>
      <c r="AA842" s="4" t="str">
        <f t="shared" si="95"/>
        <v>ok</v>
      </c>
      <c r="AB842" s="4" t="str">
        <f t="shared" si="96"/>
        <v>no resolution</v>
      </c>
      <c r="AC842" s="6" t="str">
        <f t="shared" si="97"/>
        <v/>
      </c>
    </row>
    <row r="843" spans="1:29" x14ac:dyDescent="0.3">
      <c r="A843" t="s">
        <v>42</v>
      </c>
      <c r="B843">
        <v>2067</v>
      </c>
      <c r="C843" t="s">
        <v>23</v>
      </c>
      <c r="D843" t="s">
        <v>34</v>
      </c>
      <c r="E843" t="s">
        <v>44</v>
      </c>
      <c r="F843" t="s">
        <v>26</v>
      </c>
      <c r="G843" t="s">
        <v>49</v>
      </c>
      <c r="H843" s="1">
        <v>45058.593807870369</v>
      </c>
      <c r="I843" s="1">
        <v>45060.593807870369</v>
      </c>
      <c r="J843" s="1">
        <v>45058.595196759263</v>
      </c>
      <c r="K843" s="2">
        <v>45058.594173240737</v>
      </c>
      <c r="L843" t="s">
        <v>28</v>
      </c>
      <c r="M843" s="2">
        <v>45060.420013599534</v>
      </c>
      <c r="N843" t="s">
        <v>28</v>
      </c>
      <c r="P843">
        <v>2</v>
      </c>
      <c r="R843" t="s">
        <v>55</v>
      </c>
      <c r="S843" t="s">
        <v>30</v>
      </c>
      <c r="T843" t="s">
        <v>63</v>
      </c>
      <c r="U843">
        <v>55.378051999999997</v>
      </c>
      <c r="V843">
        <v>-3.4359730000000002</v>
      </c>
      <c r="W843" t="str">
        <f t="shared" si="92"/>
        <v>ok</v>
      </c>
      <c r="X843" t="str">
        <f t="shared" si="98"/>
        <v>ok</v>
      </c>
      <c r="Y843" t="str">
        <f t="shared" si="93"/>
        <v>ok</v>
      </c>
      <c r="Z843" t="str">
        <f t="shared" si="94"/>
        <v>ok</v>
      </c>
      <c r="AA843" s="4" t="str">
        <f t="shared" si="95"/>
        <v>ok</v>
      </c>
      <c r="AB843" s="4" t="str">
        <f t="shared" si="96"/>
        <v>ok</v>
      </c>
      <c r="AC843" s="6">
        <f t="shared" si="97"/>
        <v>43.828937499958556</v>
      </c>
    </row>
    <row r="844" spans="1:29" x14ac:dyDescent="0.3">
      <c r="A844" t="s">
        <v>22</v>
      </c>
      <c r="B844">
        <v>2068</v>
      </c>
      <c r="C844" t="s">
        <v>23</v>
      </c>
      <c r="D844" t="s">
        <v>34</v>
      </c>
      <c r="E844" t="s">
        <v>25</v>
      </c>
      <c r="F844" t="s">
        <v>26</v>
      </c>
      <c r="G844" t="s">
        <v>60</v>
      </c>
      <c r="H844" s="1">
        <v>45058.302731481483</v>
      </c>
      <c r="I844" s="1">
        <v>45060.302731481483</v>
      </c>
      <c r="J844" s="1">
        <v>45058.304120370369</v>
      </c>
      <c r="K844" s="2">
        <v>45058.302802951388</v>
      </c>
      <c r="L844" t="s">
        <v>28</v>
      </c>
      <c r="M844" s="2">
        <v>45058.522884745369</v>
      </c>
      <c r="N844" t="s">
        <v>28</v>
      </c>
      <c r="O844" s="2">
        <v>45063.655084606478</v>
      </c>
      <c r="P844">
        <v>6</v>
      </c>
      <c r="Q844">
        <v>3</v>
      </c>
      <c r="R844" t="s">
        <v>50</v>
      </c>
      <c r="S844" t="s">
        <v>30</v>
      </c>
      <c r="T844" t="s">
        <v>46</v>
      </c>
      <c r="U844">
        <v>47.696471899999999</v>
      </c>
      <c r="V844">
        <v>13.3457347</v>
      </c>
      <c r="W844" t="str">
        <f t="shared" si="92"/>
        <v>ok</v>
      </c>
      <c r="X844" t="str">
        <f t="shared" si="98"/>
        <v>ok</v>
      </c>
      <c r="Y844" t="str">
        <f t="shared" si="93"/>
        <v>ok</v>
      </c>
      <c r="Z844" t="str">
        <f t="shared" si="94"/>
        <v>ok</v>
      </c>
      <c r="AA844" s="4" t="str">
        <f t="shared" si="95"/>
        <v>ok</v>
      </c>
      <c r="AB844" s="4" t="str">
        <f t="shared" si="96"/>
        <v>ok</v>
      </c>
      <c r="AC844" s="6">
        <f t="shared" si="97"/>
        <v>5.2836783332750201</v>
      </c>
    </row>
    <row r="845" spans="1:29" x14ac:dyDescent="0.3">
      <c r="A845" t="s">
        <v>42</v>
      </c>
      <c r="B845">
        <v>2069</v>
      </c>
      <c r="C845" t="s">
        <v>23</v>
      </c>
      <c r="D845" t="s">
        <v>24</v>
      </c>
      <c r="E845" t="s">
        <v>25</v>
      </c>
      <c r="F845" t="s">
        <v>26</v>
      </c>
      <c r="G845" t="s">
        <v>52</v>
      </c>
      <c r="H845" s="1">
        <v>45058.16207175926</v>
      </c>
      <c r="I845" s="1">
        <v>45060.16207175926</v>
      </c>
      <c r="J845" s="1">
        <v>45058.203738425924</v>
      </c>
      <c r="K845" s="2">
        <v>45058.186456284719</v>
      </c>
      <c r="L845" t="s">
        <v>28</v>
      </c>
      <c r="M845" s="2">
        <v>45060.111753032405</v>
      </c>
      <c r="N845" t="s">
        <v>28</v>
      </c>
      <c r="P845">
        <v>3</v>
      </c>
      <c r="R845" t="s">
        <v>29</v>
      </c>
      <c r="S845" t="s">
        <v>30</v>
      </c>
      <c r="T845" t="s">
        <v>66</v>
      </c>
      <c r="U845">
        <v>48.864716000000001</v>
      </c>
      <c r="V845">
        <v>2.3490139999999999</v>
      </c>
      <c r="W845" t="str">
        <f t="shared" si="92"/>
        <v>ok</v>
      </c>
      <c r="X845" t="str">
        <f t="shared" si="98"/>
        <v>ok</v>
      </c>
      <c r="Y845" t="str">
        <f t="shared" si="93"/>
        <v>ok</v>
      </c>
      <c r="Z845" t="str">
        <f t="shared" si="94"/>
        <v>ok</v>
      </c>
      <c r="AA845" s="4" t="str">
        <f t="shared" si="95"/>
        <v>ok</v>
      </c>
      <c r="AB845" s="4" t="str">
        <f t="shared" si="96"/>
        <v>ok</v>
      </c>
      <c r="AC845" s="6">
        <f t="shared" si="97"/>
        <v>46.792350555479061</v>
      </c>
    </row>
    <row r="846" spans="1:29" x14ac:dyDescent="0.3">
      <c r="A846" t="s">
        <v>22</v>
      </c>
      <c r="B846">
        <v>2070</v>
      </c>
      <c r="C846" t="s">
        <v>23</v>
      </c>
      <c r="D846" t="s">
        <v>24</v>
      </c>
      <c r="E846" t="s">
        <v>44</v>
      </c>
      <c r="F846" t="s">
        <v>26</v>
      </c>
      <c r="G846" t="s">
        <v>49</v>
      </c>
      <c r="H846" s="1">
        <v>45058.291041666664</v>
      </c>
      <c r="I846" s="1">
        <v>45060.291041666664</v>
      </c>
      <c r="J846" s="1">
        <v>45058.332708333335</v>
      </c>
      <c r="K846" s="2">
        <v>45058.300038611109</v>
      </c>
      <c r="L846" t="s">
        <v>28</v>
      </c>
      <c r="M846" s="2">
        <v>45059.8513303125</v>
      </c>
      <c r="N846" t="s">
        <v>28</v>
      </c>
      <c r="O846" s="2">
        <v>45065.019862395835</v>
      </c>
      <c r="P846">
        <v>1</v>
      </c>
      <c r="Q846">
        <v>3</v>
      </c>
      <c r="R846" t="s">
        <v>55</v>
      </c>
      <c r="S846" t="s">
        <v>30</v>
      </c>
      <c r="T846" t="s">
        <v>53</v>
      </c>
      <c r="U846">
        <v>39.368279000000001</v>
      </c>
      <c r="V846">
        <v>21.863140999999999</v>
      </c>
      <c r="W846" t="str">
        <f t="shared" si="92"/>
        <v>ok</v>
      </c>
      <c r="X846" t="str">
        <f t="shared" si="98"/>
        <v>ok</v>
      </c>
      <c r="Y846" t="str">
        <f t="shared" si="93"/>
        <v>ok</v>
      </c>
      <c r="Z846" t="str">
        <f t="shared" si="94"/>
        <v>ok</v>
      </c>
      <c r="AA846" s="4" t="str">
        <f t="shared" si="95"/>
        <v>ok</v>
      </c>
      <c r="AB846" s="4" t="str">
        <f t="shared" si="96"/>
        <v>ok</v>
      </c>
      <c r="AC846" s="6">
        <f t="shared" si="97"/>
        <v>37.446927500073798</v>
      </c>
    </row>
    <row r="847" spans="1:29" x14ac:dyDescent="0.3">
      <c r="A847" t="s">
        <v>22</v>
      </c>
      <c r="B847">
        <v>2071</v>
      </c>
      <c r="C847" t="s">
        <v>47</v>
      </c>
      <c r="D847" t="s">
        <v>24</v>
      </c>
      <c r="E847" t="s">
        <v>25</v>
      </c>
      <c r="F847" t="s">
        <v>26</v>
      </c>
      <c r="G847" t="s">
        <v>45</v>
      </c>
      <c r="H847" s="1">
        <v>45058.603564814817</v>
      </c>
      <c r="I847" s="1">
        <v>45060.603564814817</v>
      </c>
      <c r="J847" s="1">
        <v>45058.645231481481</v>
      </c>
      <c r="K847" s="2">
        <v>45058.645107546297</v>
      </c>
      <c r="L847" t="s">
        <v>28</v>
      </c>
      <c r="M847" s="2">
        <v>45058.932361608793</v>
      </c>
      <c r="N847" t="s">
        <v>28</v>
      </c>
      <c r="O847" s="2">
        <v>45061.547210810182</v>
      </c>
      <c r="P847">
        <v>5</v>
      </c>
      <c r="Q847">
        <v>2</v>
      </c>
      <c r="R847" t="s">
        <v>39</v>
      </c>
      <c r="S847" t="s">
        <v>30</v>
      </c>
      <c r="T847" t="s">
        <v>57</v>
      </c>
      <c r="U847">
        <v>51.165691000000002</v>
      </c>
      <c r="V847">
        <v>10.451525999999999</v>
      </c>
      <c r="W847" t="str">
        <f t="shared" si="92"/>
        <v>ok</v>
      </c>
      <c r="X847" t="str">
        <f t="shared" si="98"/>
        <v>ok</v>
      </c>
      <c r="Y847" t="str">
        <f t="shared" si="93"/>
        <v>ok</v>
      </c>
      <c r="Z847" t="str">
        <f t="shared" si="94"/>
        <v>ok</v>
      </c>
      <c r="AA847" s="4" t="str">
        <f t="shared" si="95"/>
        <v>ok</v>
      </c>
      <c r="AB847" s="4" t="str">
        <f t="shared" si="96"/>
        <v>ok</v>
      </c>
      <c r="AC847" s="6">
        <f t="shared" si="97"/>
        <v>7.8911230554222129</v>
      </c>
    </row>
    <row r="848" spans="1:29" x14ac:dyDescent="0.3">
      <c r="A848" t="s">
        <v>22</v>
      </c>
      <c r="B848">
        <v>2072</v>
      </c>
      <c r="C848" t="s">
        <v>33</v>
      </c>
      <c r="D848" t="s">
        <v>24</v>
      </c>
      <c r="E848" t="s">
        <v>39</v>
      </c>
      <c r="F848" t="s">
        <v>36</v>
      </c>
      <c r="G848" t="s">
        <v>37</v>
      </c>
      <c r="H848" s="1">
        <v>45058.191331018519</v>
      </c>
      <c r="I848" s="1">
        <v>45060.191331018519</v>
      </c>
      <c r="J848" s="1">
        <v>45058.232997685183</v>
      </c>
      <c r="K848" s="2">
        <v>45058.488832361109</v>
      </c>
      <c r="L848" t="s">
        <v>38</v>
      </c>
      <c r="M848" s="2">
        <v>45060.178422870369</v>
      </c>
      <c r="N848" t="s">
        <v>28</v>
      </c>
      <c r="O848" s="2">
        <v>45064.826957164354</v>
      </c>
      <c r="P848">
        <v>2</v>
      </c>
      <c r="Q848">
        <v>5</v>
      </c>
      <c r="R848" t="s">
        <v>50</v>
      </c>
      <c r="S848" t="s">
        <v>40</v>
      </c>
      <c r="T848" t="s">
        <v>65</v>
      </c>
      <c r="U848">
        <v>46.149166399999999</v>
      </c>
      <c r="V848">
        <v>14.9860106</v>
      </c>
      <c r="W848" t="str">
        <f t="shared" si="92"/>
        <v>ok</v>
      </c>
      <c r="X848" t="str">
        <f t="shared" si="98"/>
        <v>ok</v>
      </c>
      <c r="Y848" t="str">
        <f t="shared" si="93"/>
        <v>ok</v>
      </c>
      <c r="Z848" t="str">
        <f t="shared" si="94"/>
        <v>ok</v>
      </c>
      <c r="AA848" s="4" t="str">
        <f t="shared" si="95"/>
        <v>ok</v>
      </c>
      <c r="AB848" s="4" t="str">
        <f t="shared" si="96"/>
        <v>ok</v>
      </c>
      <c r="AC848" s="6">
        <f t="shared" si="97"/>
        <v>47.690204444399569</v>
      </c>
    </row>
    <row r="849" spans="1:29" x14ac:dyDescent="0.3">
      <c r="A849" t="s">
        <v>22</v>
      </c>
      <c r="B849">
        <v>2073</v>
      </c>
      <c r="C849" t="s">
        <v>47</v>
      </c>
      <c r="D849" t="s">
        <v>34</v>
      </c>
      <c r="E849" t="s">
        <v>48</v>
      </c>
      <c r="F849" t="s">
        <v>26</v>
      </c>
      <c r="G849" t="s">
        <v>52</v>
      </c>
      <c r="H849" s="1">
        <v>45058.496701388889</v>
      </c>
      <c r="I849" s="1">
        <v>45060.496701388889</v>
      </c>
      <c r="J849" s="1">
        <v>45058.498090277775</v>
      </c>
      <c r="K849" s="2">
        <v>45058.497884594908</v>
      </c>
      <c r="L849" t="s">
        <v>28</v>
      </c>
      <c r="M849" s="2">
        <v>45059.259768599535</v>
      </c>
      <c r="N849" t="s">
        <v>28</v>
      </c>
      <c r="O849" s="2">
        <v>45063.498178541668</v>
      </c>
      <c r="P849">
        <v>6</v>
      </c>
      <c r="Q849">
        <v>5</v>
      </c>
      <c r="R849" t="s">
        <v>50</v>
      </c>
      <c r="S849" t="s">
        <v>30</v>
      </c>
      <c r="T849" t="s">
        <v>41</v>
      </c>
      <c r="U849">
        <v>43.036776000000003</v>
      </c>
      <c r="V849">
        <v>12.678565000000001</v>
      </c>
      <c r="W849" t="str">
        <f t="shared" si="92"/>
        <v>ok</v>
      </c>
      <c r="X849" t="str">
        <f t="shared" si="98"/>
        <v>ok</v>
      </c>
      <c r="Y849" t="str">
        <f t="shared" si="93"/>
        <v>ok</v>
      </c>
      <c r="Z849" t="str">
        <f t="shared" si="94"/>
        <v>ok</v>
      </c>
      <c r="AA849" s="4" t="str">
        <f t="shared" si="95"/>
        <v>ok</v>
      </c>
      <c r="AB849" s="4" t="str">
        <f t="shared" si="96"/>
        <v>ok</v>
      </c>
      <c r="AC849" s="6">
        <f t="shared" si="97"/>
        <v>18.313613055506721</v>
      </c>
    </row>
    <row r="850" spans="1:29" x14ac:dyDescent="0.3">
      <c r="A850" t="s">
        <v>22</v>
      </c>
      <c r="B850">
        <v>2074</v>
      </c>
      <c r="C850" t="s">
        <v>23</v>
      </c>
      <c r="D850" t="s">
        <v>43</v>
      </c>
      <c r="E850" t="s">
        <v>35</v>
      </c>
      <c r="F850" t="s">
        <v>26</v>
      </c>
      <c r="G850" t="s">
        <v>45</v>
      </c>
      <c r="H850" s="1">
        <v>45058.795219907406</v>
      </c>
      <c r="I850" s="1">
        <v>45059.795219907406</v>
      </c>
      <c r="J850" s="1">
        <v>45058.7966087963</v>
      </c>
      <c r="K850" s="2">
        <v>45058.795901226855</v>
      </c>
      <c r="L850" t="s">
        <v>28</v>
      </c>
      <c r="M850" s="2">
        <v>45058.810061597222</v>
      </c>
      <c r="N850" t="s">
        <v>28</v>
      </c>
      <c r="O850" s="2">
        <v>45063.932464224534</v>
      </c>
      <c r="P850">
        <v>6</v>
      </c>
      <c r="Q850">
        <v>5</v>
      </c>
      <c r="R850" t="s">
        <v>29</v>
      </c>
      <c r="S850" t="s">
        <v>30</v>
      </c>
      <c r="T850" t="s">
        <v>56</v>
      </c>
      <c r="U850">
        <v>52.536273000000001</v>
      </c>
      <c r="V850">
        <v>19.050639</v>
      </c>
      <c r="W850" t="str">
        <f t="shared" si="92"/>
        <v>ok</v>
      </c>
      <c r="X850" t="str">
        <f t="shared" si="98"/>
        <v>ok</v>
      </c>
      <c r="Y850" t="str">
        <f t="shared" si="93"/>
        <v>ok</v>
      </c>
      <c r="Z850" t="str">
        <f t="shared" si="94"/>
        <v>ok</v>
      </c>
      <c r="AA850" s="4" t="str">
        <f t="shared" si="95"/>
        <v>ok</v>
      </c>
      <c r="AB850" s="4" t="str">
        <f t="shared" si="96"/>
        <v>ok</v>
      </c>
      <c r="AC850" s="6">
        <f t="shared" si="97"/>
        <v>0.35620055557228625</v>
      </c>
    </row>
    <row r="851" spans="1:29" x14ac:dyDescent="0.3">
      <c r="A851" t="s">
        <v>42</v>
      </c>
      <c r="B851">
        <v>2075</v>
      </c>
      <c r="C851" t="s">
        <v>23</v>
      </c>
      <c r="D851" t="s">
        <v>34</v>
      </c>
      <c r="E851" t="s">
        <v>25</v>
      </c>
      <c r="F851" t="s">
        <v>26</v>
      </c>
      <c r="G851" t="s">
        <v>52</v>
      </c>
      <c r="H851" s="1">
        <v>45058.270671296297</v>
      </c>
      <c r="I851" s="1">
        <v>45060.270671296297</v>
      </c>
      <c r="J851" s="1">
        <v>45058.272060185183</v>
      </c>
      <c r="K851" s="2">
        <v>45058.272275532407</v>
      </c>
      <c r="L851" t="s">
        <v>38</v>
      </c>
      <c r="M851" s="2">
        <v>45058.80605201389</v>
      </c>
      <c r="N851" t="s">
        <v>28</v>
      </c>
      <c r="P851">
        <v>2</v>
      </c>
      <c r="R851" t="s">
        <v>39</v>
      </c>
      <c r="S851" t="s">
        <v>30</v>
      </c>
      <c r="T851" t="s">
        <v>31</v>
      </c>
      <c r="U851">
        <v>53.094023999999997</v>
      </c>
      <c r="V851">
        <v>-8.0196749999999994</v>
      </c>
      <c r="W851" t="str">
        <f t="shared" si="92"/>
        <v>ok</v>
      </c>
      <c r="X851" t="str">
        <f t="shared" si="98"/>
        <v>ok</v>
      </c>
      <c r="Y851" t="str">
        <f t="shared" si="93"/>
        <v>ok</v>
      </c>
      <c r="Z851" t="str">
        <f t="shared" si="94"/>
        <v>ok</v>
      </c>
      <c r="AA851" s="4" t="str">
        <f t="shared" si="95"/>
        <v>ok</v>
      </c>
      <c r="AB851" s="4" t="str">
        <f t="shared" si="96"/>
        <v>ok</v>
      </c>
      <c r="AC851" s="6">
        <f t="shared" si="97"/>
        <v>12.849137222219724</v>
      </c>
    </row>
    <row r="852" spans="1:29" x14ac:dyDescent="0.3">
      <c r="A852" t="s">
        <v>42</v>
      </c>
      <c r="B852">
        <v>2076</v>
      </c>
      <c r="C852" t="s">
        <v>47</v>
      </c>
      <c r="D852" t="s">
        <v>34</v>
      </c>
      <c r="E852" t="s">
        <v>25</v>
      </c>
      <c r="F852" t="s">
        <v>36</v>
      </c>
      <c r="G852" t="s">
        <v>64</v>
      </c>
      <c r="H852" s="1">
        <v>45058.627395833333</v>
      </c>
      <c r="I852" s="1">
        <v>45060.627395833333</v>
      </c>
      <c r="J852" s="1">
        <v>45058.628784722219</v>
      </c>
      <c r="K852" s="2">
        <v>45058.628496689817</v>
      </c>
      <c r="L852" t="s">
        <v>28</v>
      </c>
      <c r="M852" s="2">
        <v>45060.093690277776</v>
      </c>
      <c r="N852" t="s">
        <v>28</v>
      </c>
      <c r="P852">
        <v>4</v>
      </c>
      <c r="R852" t="s">
        <v>50</v>
      </c>
      <c r="S852" t="s">
        <v>40</v>
      </c>
      <c r="T852" t="s">
        <v>57</v>
      </c>
      <c r="U852">
        <v>51.165691000000002</v>
      </c>
      <c r="V852">
        <v>10.451525999999999</v>
      </c>
      <c r="W852" t="str">
        <f t="shared" si="92"/>
        <v>ok</v>
      </c>
      <c r="X852" t="str">
        <f t="shared" si="98"/>
        <v>ok</v>
      </c>
      <c r="Y852" t="str">
        <f t="shared" si="93"/>
        <v>ok</v>
      </c>
      <c r="Z852" t="str">
        <f t="shared" si="94"/>
        <v>ok</v>
      </c>
      <c r="AA852" s="4" t="str">
        <f t="shared" si="95"/>
        <v>ok</v>
      </c>
      <c r="AB852" s="4" t="str">
        <f t="shared" si="96"/>
        <v>ok</v>
      </c>
      <c r="AC852" s="6">
        <f t="shared" si="97"/>
        <v>35.191066666622646</v>
      </c>
    </row>
    <row r="853" spans="1:29" x14ac:dyDescent="0.3">
      <c r="A853" t="s">
        <v>32</v>
      </c>
      <c r="B853">
        <v>2077</v>
      </c>
      <c r="C853" t="s">
        <v>23</v>
      </c>
      <c r="D853" t="s">
        <v>34</v>
      </c>
      <c r="E853" t="s">
        <v>39</v>
      </c>
      <c r="F853" t="s">
        <v>26</v>
      </c>
      <c r="G853" t="s">
        <v>60</v>
      </c>
      <c r="H853" s="1">
        <v>45058.837152777778</v>
      </c>
      <c r="I853" s="1">
        <v>45060.837152777778</v>
      </c>
      <c r="J853" s="1">
        <v>45058.838541666664</v>
      </c>
      <c r="K853" s="2">
        <v>45058.83748908565</v>
      </c>
      <c r="L853" t="s">
        <v>28</v>
      </c>
      <c r="N853" t="s">
        <v>38</v>
      </c>
      <c r="P853">
        <v>1</v>
      </c>
      <c r="R853" t="s">
        <v>29</v>
      </c>
      <c r="S853" t="s">
        <v>30</v>
      </c>
      <c r="T853" t="s">
        <v>46</v>
      </c>
      <c r="U853">
        <v>47.696471899999999</v>
      </c>
      <c r="V853">
        <v>13.3457347</v>
      </c>
      <c r="W853" t="str">
        <f t="shared" si="92"/>
        <v>ok</v>
      </c>
      <c r="X853" t="str">
        <f t="shared" si="98"/>
        <v>ok</v>
      </c>
      <c r="Y853" t="str">
        <f t="shared" si="93"/>
        <v>ok</v>
      </c>
      <c r="Z853" t="str">
        <f t="shared" si="94"/>
        <v>ok</v>
      </c>
      <c r="AA853" s="4" t="str">
        <f t="shared" si="95"/>
        <v>ok</v>
      </c>
      <c r="AB853" s="4" t="str">
        <f t="shared" si="96"/>
        <v>no resolution</v>
      </c>
      <c r="AC853" s="6" t="str">
        <f t="shared" si="97"/>
        <v/>
      </c>
    </row>
    <row r="854" spans="1:29" x14ac:dyDescent="0.3">
      <c r="A854" t="s">
        <v>42</v>
      </c>
      <c r="B854">
        <v>2078</v>
      </c>
      <c r="C854" t="s">
        <v>23</v>
      </c>
      <c r="D854" t="s">
        <v>43</v>
      </c>
      <c r="E854" t="s">
        <v>25</v>
      </c>
      <c r="F854" t="s">
        <v>26</v>
      </c>
      <c r="G854" t="s">
        <v>27</v>
      </c>
      <c r="H854" s="1">
        <v>45059.115671296298</v>
      </c>
      <c r="I854" s="1">
        <v>45060.115671296298</v>
      </c>
      <c r="J854" s="1">
        <v>45059.117060185185</v>
      </c>
      <c r="K854" s="2">
        <v>45059.116945254631</v>
      </c>
      <c r="L854" t="s">
        <v>28</v>
      </c>
      <c r="M854" s="2">
        <v>45059.561156307871</v>
      </c>
      <c r="N854" t="s">
        <v>28</v>
      </c>
      <c r="P854">
        <v>6</v>
      </c>
      <c r="R854" t="s">
        <v>29</v>
      </c>
      <c r="S854" t="s">
        <v>30</v>
      </c>
      <c r="T854" t="s">
        <v>41</v>
      </c>
      <c r="U854">
        <v>43.036776000000003</v>
      </c>
      <c r="V854">
        <v>12.678565000000001</v>
      </c>
      <c r="W854" t="str">
        <f t="shared" si="92"/>
        <v>ok</v>
      </c>
      <c r="X854" t="str">
        <f t="shared" si="98"/>
        <v>ok</v>
      </c>
      <c r="Y854" t="str">
        <f t="shared" si="93"/>
        <v>ok</v>
      </c>
      <c r="Z854" t="str">
        <f t="shared" si="94"/>
        <v>ok</v>
      </c>
      <c r="AA854" s="4" t="str">
        <f t="shared" si="95"/>
        <v>ok</v>
      </c>
      <c r="AB854" s="4" t="str">
        <f t="shared" si="96"/>
        <v>ok</v>
      </c>
      <c r="AC854" s="6">
        <f t="shared" si="97"/>
        <v>10.691640277742408</v>
      </c>
    </row>
    <row r="855" spans="1:29" x14ac:dyDescent="0.3">
      <c r="A855" t="s">
        <v>22</v>
      </c>
      <c r="B855">
        <v>2079</v>
      </c>
      <c r="C855" t="s">
        <v>47</v>
      </c>
      <c r="D855" t="s">
        <v>24</v>
      </c>
      <c r="E855" t="s">
        <v>48</v>
      </c>
      <c r="F855" t="s">
        <v>36</v>
      </c>
      <c r="G855" t="s">
        <v>64</v>
      </c>
      <c r="H855" s="1">
        <v>45059.363240740742</v>
      </c>
      <c r="I855" s="1">
        <v>45061.363240740742</v>
      </c>
      <c r="J855" s="1">
        <v>45059.404907407406</v>
      </c>
      <c r="K855" s="2">
        <v>45059.392083125</v>
      </c>
      <c r="L855" t="s">
        <v>28</v>
      </c>
      <c r="M855" s="2">
        <v>45060.172226296294</v>
      </c>
      <c r="N855" t="s">
        <v>28</v>
      </c>
      <c r="O855" s="2">
        <v>45065.778062546298</v>
      </c>
      <c r="P855">
        <v>6</v>
      </c>
      <c r="Q855">
        <v>2</v>
      </c>
      <c r="R855" t="s">
        <v>29</v>
      </c>
      <c r="S855" t="s">
        <v>40</v>
      </c>
      <c r="T855" t="s">
        <v>31</v>
      </c>
      <c r="U855">
        <v>53.094023999999997</v>
      </c>
      <c r="V855">
        <v>-8.0196749999999994</v>
      </c>
      <c r="W855" t="str">
        <f t="shared" si="92"/>
        <v>ok</v>
      </c>
      <c r="X855" t="str">
        <f t="shared" si="98"/>
        <v>ok</v>
      </c>
      <c r="Y855" t="str">
        <f t="shared" si="93"/>
        <v>ok</v>
      </c>
      <c r="Z855" t="str">
        <f t="shared" si="94"/>
        <v>ok</v>
      </c>
      <c r="AA855" s="4" t="str">
        <f t="shared" si="95"/>
        <v>ok</v>
      </c>
      <c r="AB855" s="4" t="str">
        <f t="shared" si="96"/>
        <v>ok</v>
      </c>
      <c r="AC855" s="6">
        <f t="shared" si="97"/>
        <v>19.415653333242517</v>
      </c>
    </row>
    <row r="856" spans="1:29" x14ac:dyDescent="0.3">
      <c r="A856" t="s">
        <v>22</v>
      </c>
      <c r="B856">
        <v>2080</v>
      </c>
      <c r="C856" t="s">
        <v>47</v>
      </c>
      <c r="D856" t="s">
        <v>24</v>
      </c>
      <c r="E856" t="s">
        <v>44</v>
      </c>
      <c r="F856" t="s">
        <v>26</v>
      </c>
      <c r="G856" t="s">
        <v>45</v>
      </c>
      <c r="H856" s="1">
        <v>45059.244131944448</v>
      </c>
      <c r="I856" s="1">
        <v>45061.244131944448</v>
      </c>
      <c r="J856" s="1">
        <v>45059.285798611112</v>
      </c>
      <c r="K856" s="2">
        <v>45059.276310254631</v>
      </c>
      <c r="L856" t="s">
        <v>28</v>
      </c>
      <c r="M856" s="2">
        <v>45060.144036979167</v>
      </c>
      <c r="N856" t="s">
        <v>28</v>
      </c>
      <c r="O856" s="2">
        <v>45061.859307928244</v>
      </c>
      <c r="P856">
        <v>8</v>
      </c>
      <c r="Q856">
        <v>1</v>
      </c>
      <c r="R856" t="s">
        <v>39</v>
      </c>
      <c r="S856" t="s">
        <v>30</v>
      </c>
      <c r="T856" t="s">
        <v>66</v>
      </c>
      <c r="U856">
        <v>48.864716000000001</v>
      </c>
      <c r="V856">
        <v>2.3490139999999999</v>
      </c>
      <c r="W856" t="str">
        <f t="shared" si="92"/>
        <v>ok</v>
      </c>
      <c r="X856" t="str">
        <f t="shared" si="98"/>
        <v>ok</v>
      </c>
      <c r="Y856" t="str">
        <f t="shared" si="93"/>
        <v>ok</v>
      </c>
      <c r="Z856" t="str">
        <f t="shared" si="94"/>
        <v>ok</v>
      </c>
      <c r="AA856" s="4" t="str">
        <f t="shared" si="95"/>
        <v>ok</v>
      </c>
      <c r="AB856" s="4" t="str">
        <f t="shared" si="96"/>
        <v>ok</v>
      </c>
      <c r="AC856" s="6">
        <f t="shared" si="97"/>
        <v>21.597720833262429</v>
      </c>
    </row>
    <row r="857" spans="1:29" x14ac:dyDescent="0.3">
      <c r="A857" t="s">
        <v>22</v>
      </c>
      <c r="B857">
        <v>2081</v>
      </c>
      <c r="C857" t="s">
        <v>47</v>
      </c>
      <c r="D857" t="s">
        <v>34</v>
      </c>
      <c r="E857" t="s">
        <v>39</v>
      </c>
      <c r="F857" t="s">
        <v>26</v>
      </c>
      <c r="G857" t="s">
        <v>49</v>
      </c>
      <c r="H857" s="1">
        <v>45059.223541666666</v>
      </c>
      <c r="I857" s="1">
        <v>45061.223541666666</v>
      </c>
      <c r="J857" s="1">
        <v>45059.224930555552</v>
      </c>
      <c r="K857" s="2">
        <v>45059.224033935185</v>
      </c>
      <c r="L857" t="s">
        <v>28</v>
      </c>
      <c r="M857" s="2">
        <v>45060.257979490743</v>
      </c>
      <c r="N857" t="s">
        <v>28</v>
      </c>
      <c r="O857" s="2">
        <v>45063.374087118056</v>
      </c>
      <c r="P857">
        <v>1</v>
      </c>
      <c r="Q857">
        <v>4</v>
      </c>
      <c r="R857" t="s">
        <v>50</v>
      </c>
      <c r="S857" t="s">
        <v>30</v>
      </c>
      <c r="T857" t="s">
        <v>61</v>
      </c>
      <c r="U857">
        <v>42.724992499999999</v>
      </c>
      <c r="V857">
        <v>25.483303899999999</v>
      </c>
      <c r="W857" t="str">
        <f t="shared" si="92"/>
        <v>ok</v>
      </c>
      <c r="X857" t="str">
        <f t="shared" si="98"/>
        <v>ok</v>
      </c>
      <c r="Y857" t="str">
        <f t="shared" si="93"/>
        <v>ok</v>
      </c>
      <c r="Z857" t="str">
        <f t="shared" si="94"/>
        <v>ok</v>
      </c>
      <c r="AA857" s="4" t="str">
        <f t="shared" si="95"/>
        <v>ok</v>
      </c>
      <c r="AB857" s="4" t="str">
        <f t="shared" si="96"/>
        <v>ok</v>
      </c>
      <c r="AC857" s="6">
        <f t="shared" si="97"/>
        <v>24.826507777848747</v>
      </c>
    </row>
    <row r="858" spans="1:29" x14ac:dyDescent="0.3">
      <c r="A858" t="s">
        <v>42</v>
      </c>
      <c r="B858">
        <v>2082</v>
      </c>
      <c r="C858" t="s">
        <v>33</v>
      </c>
      <c r="D858" t="s">
        <v>24</v>
      </c>
      <c r="E858" t="s">
        <v>48</v>
      </c>
      <c r="F858" t="s">
        <v>26</v>
      </c>
      <c r="G858" t="s">
        <v>60</v>
      </c>
      <c r="H858" s="1">
        <v>45059.80982638889</v>
      </c>
      <c r="I858" s="1">
        <v>45061.80982638889</v>
      </c>
      <c r="J858" s="1">
        <v>45059.851493055554</v>
      </c>
      <c r="K858" s="2">
        <v>45059.835231249999</v>
      </c>
      <c r="L858" t="s">
        <v>28</v>
      </c>
      <c r="M858" s="2">
        <v>45060.056215243058</v>
      </c>
      <c r="N858" t="s">
        <v>28</v>
      </c>
      <c r="P858">
        <v>5</v>
      </c>
      <c r="R858" t="s">
        <v>50</v>
      </c>
      <c r="S858" t="s">
        <v>30</v>
      </c>
      <c r="T858" t="s">
        <v>57</v>
      </c>
      <c r="U858">
        <v>51.165691000000002</v>
      </c>
      <c r="V858">
        <v>10.451525999999999</v>
      </c>
      <c r="W858" t="str">
        <f t="shared" si="92"/>
        <v>ok</v>
      </c>
      <c r="X858" t="str">
        <f t="shared" si="98"/>
        <v>ok</v>
      </c>
      <c r="Y858" t="str">
        <f t="shared" si="93"/>
        <v>ok</v>
      </c>
      <c r="Z858" t="str">
        <f t="shared" si="94"/>
        <v>ok</v>
      </c>
      <c r="AA858" s="4" t="str">
        <f t="shared" si="95"/>
        <v>ok</v>
      </c>
      <c r="AB858" s="4" t="str">
        <f t="shared" si="96"/>
        <v>ok</v>
      </c>
      <c r="AC858" s="6">
        <f t="shared" si="97"/>
        <v>5.9133325000293553</v>
      </c>
    </row>
    <row r="859" spans="1:29" x14ac:dyDescent="0.3">
      <c r="A859" t="s">
        <v>22</v>
      </c>
      <c r="B859">
        <v>2098</v>
      </c>
      <c r="C859" t="s">
        <v>23</v>
      </c>
      <c r="D859" t="s">
        <v>43</v>
      </c>
      <c r="E859" t="s">
        <v>35</v>
      </c>
      <c r="F859" t="s">
        <v>26</v>
      </c>
      <c r="G859" t="s">
        <v>60</v>
      </c>
      <c r="H859" s="1">
        <v>45060.292303240742</v>
      </c>
      <c r="I859" s="1">
        <v>45061.292303240742</v>
      </c>
      <c r="J859" s="1">
        <v>45060.293692129628</v>
      </c>
      <c r="K859" s="2">
        <v>45060.295430497688</v>
      </c>
      <c r="L859" t="s">
        <v>38</v>
      </c>
      <c r="M859" s="2">
        <v>45060.933710740741</v>
      </c>
      <c r="N859" t="s">
        <v>28</v>
      </c>
      <c r="O859" s="2">
        <v>45062.733957430559</v>
      </c>
      <c r="P859">
        <v>4</v>
      </c>
      <c r="Q859">
        <v>3</v>
      </c>
      <c r="R859" t="s">
        <v>50</v>
      </c>
      <c r="S859" t="s">
        <v>30</v>
      </c>
      <c r="T859" t="s">
        <v>66</v>
      </c>
      <c r="U859">
        <v>48.864716000000001</v>
      </c>
      <c r="V859">
        <v>2.3490139999999999</v>
      </c>
      <c r="W859" t="str">
        <f t="shared" si="92"/>
        <v>ok</v>
      </c>
      <c r="X859" t="str">
        <f t="shared" si="98"/>
        <v>ok</v>
      </c>
      <c r="Y859" t="str">
        <f t="shared" si="93"/>
        <v>ok</v>
      </c>
      <c r="Z859" t="str">
        <f t="shared" si="94"/>
        <v>ok</v>
      </c>
      <c r="AA859" s="4" t="str">
        <f t="shared" si="95"/>
        <v>ok</v>
      </c>
      <c r="AB859" s="4" t="str">
        <f t="shared" si="96"/>
        <v>ok</v>
      </c>
      <c r="AC859" s="6">
        <f t="shared" si="97"/>
        <v>15.393779999983963</v>
      </c>
    </row>
    <row r="860" spans="1:29" x14ac:dyDescent="0.3">
      <c r="A860" t="s">
        <v>22</v>
      </c>
      <c r="B860">
        <v>2099</v>
      </c>
      <c r="C860" t="s">
        <v>23</v>
      </c>
      <c r="D860" t="s">
        <v>43</v>
      </c>
      <c r="E860" t="s">
        <v>35</v>
      </c>
      <c r="F860" t="s">
        <v>36</v>
      </c>
      <c r="G860" t="s">
        <v>37</v>
      </c>
      <c r="H860" s="1">
        <v>45060.843298611115</v>
      </c>
      <c r="I860" s="1">
        <v>45061.843298611115</v>
      </c>
      <c r="J860" s="1">
        <v>45060.844687500001</v>
      </c>
      <c r="K860" s="2">
        <v>45060.844413287035</v>
      </c>
      <c r="L860" t="s">
        <v>28</v>
      </c>
      <c r="M860" s="2">
        <v>45060.936779768519</v>
      </c>
      <c r="N860" t="s">
        <v>28</v>
      </c>
      <c r="O860" s="2">
        <v>45064.090126759256</v>
      </c>
      <c r="P860">
        <v>6</v>
      </c>
      <c r="Q860">
        <v>4</v>
      </c>
      <c r="R860" t="s">
        <v>29</v>
      </c>
      <c r="S860" t="s">
        <v>40</v>
      </c>
      <c r="T860" t="s">
        <v>46</v>
      </c>
      <c r="U860">
        <v>47.696471899999999</v>
      </c>
      <c r="V860">
        <v>13.3457347</v>
      </c>
      <c r="W860" t="str">
        <f t="shared" si="92"/>
        <v>ok</v>
      </c>
      <c r="X860" t="str">
        <f t="shared" si="98"/>
        <v>ok</v>
      </c>
      <c r="Y860" t="str">
        <f t="shared" si="93"/>
        <v>ok</v>
      </c>
      <c r="Z860" t="str">
        <f t="shared" si="94"/>
        <v>ok</v>
      </c>
      <c r="AA860" s="4" t="str">
        <f t="shared" si="95"/>
        <v>ok</v>
      </c>
      <c r="AB860" s="4" t="str">
        <f t="shared" si="96"/>
        <v>ok</v>
      </c>
      <c r="AC860" s="6">
        <f t="shared" si="97"/>
        <v>2.2435477777034976</v>
      </c>
    </row>
    <row r="861" spans="1:29" x14ac:dyDescent="0.3">
      <c r="A861" t="s">
        <v>22</v>
      </c>
      <c r="B861">
        <v>2100</v>
      </c>
      <c r="C861" t="s">
        <v>47</v>
      </c>
      <c r="D861" t="s">
        <v>43</v>
      </c>
      <c r="E861" t="s">
        <v>35</v>
      </c>
      <c r="F861" t="s">
        <v>26</v>
      </c>
      <c r="G861" t="s">
        <v>49</v>
      </c>
      <c r="H861" s="1">
        <v>45060.44798611111</v>
      </c>
      <c r="I861" s="1">
        <v>45061.44798611111</v>
      </c>
      <c r="J861" s="1">
        <v>45060.449374999997</v>
      </c>
      <c r="K861" s="2">
        <v>45060.449009641205</v>
      </c>
      <c r="L861" t="s">
        <v>28</v>
      </c>
      <c r="M861" s="2">
        <v>45060.937123298609</v>
      </c>
      <c r="N861" t="s">
        <v>28</v>
      </c>
      <c r="O861" s="2">
        <v>45063.666069791667</v>
      </c>
      <c r="P861">
        <v>4</v>
      </c>
      <c r="Q861">
        <v>4</v>
      </c>
      <c r="R861" t="s">
        <v>39</v>
      </c>
      <c r="S861" t="s">
        <v>30</v>
      </c>
      <c r="T861" t="s">
        <v>57</v>
      </c>
      <c r="U861">
        <v>51.165691000000002</v>
      </c>
      <c r="V861">
        <v>10.451525999999999</v>
      </c>
      <c r="W861" t="str">
        <f t="shared" si="92"/>
        <v>ok</v>
      </c>
      <c r="X861" t="str">
        <f t="shared" si="98"/>
        <v>ok</v>
      </c>
      <c r="Y861" t="str">
        <f t="shared" si="93"/>
        <v>ok</v>
      </c>
      <c r="Z861" t="str">
        <f t="shared" si="94"/>
        <v>ok</v>
      </c>
      <c r="AA861" s="4" t="str">
        <f t="shared" si="95"/>
        <v>ok</v>
      </c>
      <c r="AB861" s="4" t="str">
        <f t="shared" si="96"/>
        <v>ok</v>
      </c>
      <c r="AC861" s="6">
        <f t="shared" si="97"/>
        <v>11.739292499958538</v>
      </c>
    </row>
    <row r="862" spans="1:29" x14ac:dyDescent="0.3">
      <c r="A862" t="s">
        <v>32</v>
      </c>
      <c r="B862">
        <v>2101</v>
      </c>
      <c r="C862" t="s">
        <v>33</v>
      </c>
      <c r="D862" t="s">
        <v>34</v>
      </c>
      <c r="E862" t="s">
        <v>44</v>
      </c>
      <c r="F862" t="s">
        <v>36</v>
      </c>
      <c r="G862" t="s">
        <v>64</v>
      </c>
      <c r="H862" s="1">
        <v>45060.343240740738</v>
      </c>
      <c r="I862" s="1">
        <v>45062.343240740738</v>
      </c>
      <c r="J862" s="1">
        <v>45060.344629629632</v>
      </c>
      <c r="K862" s="2">
        <v>45060.343596712963</v>
      </c>
      <c r="L862" t="s">
        <v>28</v>
      </c>
      <c r="N862" t="s">
        <v>38</v>
      </c>
      <c r="P862">
        <v>3</v>
      </c>
      <c r="R862" t="s">
        <v>50</v>
      </c>
      <c r="S862" t="s">
        <v>40</v>
      </c>
      <c r="T862" t="s">
        <v>66</v>
      </c>
      <c r="U862">
        <v>48.864716000000001</v>
      </c>
      <c r="V862">
        <v>2.3490139999999999</v>
      </c>
      <c r="W862" t="str">
        <f t="shared" si="92"/>
        <v>ok</v>
      </c>
      <c r="X862" t="str">
        <f t="shared" si="98"/>
        <v>ok</v>
      </c>
      <c r="Y862" t="str">
        <f t="shared" si="93"/>
        <v>ok</v>
      </c>
      <c r="Z862" t="str">
        <f t="shared" si="94"/>
        <v>ok</v>
      </c>
      <c r="AA862" s="4" t="str">
        <f t="shared" si="95"/>
        <v>ok</v>
      </c>
      <c r="AB862" s="4" t="str">
        <f t="shared" si="96"/>
        <v>no resolution</v>
      </c>
      <c r="AC862" s="6" t="str">
        <f t="shared" si="97"/>
        <v/>
      </c>
    </row>
    <row r="863" spans="1:29" x14ac:dyDescent="0.3">
      <c r="A863" t="s">
        <v>32</v>
      </c>
      <c r="B863">
        <v>2102</v>
      </c>
      <c r="C863" t="s">
        <v>33</v>
      </c>
      <c r="D863" t="s">
        <v>34</v>
      </c>
      <c r="E863" t="s">
        <v>35</v>
      </c>
      <c r="F863" t="s">
        <v>36</v>
      </c>
      <c r="G863" t="s">
        <v>37</v>
      </c>
      <c r="H863" s="1">
        <v>45061.081863425927</v>
      </c>
      <c r="I863" s="1">
        <v>45063.081863425927</v>
      </c>
      <c r="J863" s="1">
        <v>45061.083252314813</v>
      </c>
      <c r="K863" s="2">
        <v>45061.084561030089</v>
      </c>
      <c r="L863" t="s">
        <v>38</v>
      </c>
      <c r="N863" t="s">
        <v>38</v>
      </c>
      <c r="P863">
        <v>1</v>
      </c>
      <c r="R863" t="s">
        <v>50</v>
      </c>
      <c r="S863" t="s">
        <v>40</v>
      </c>
      <c r="T863" t="s">
        <v>57</v>
      </c>
      <c r="U863">
        <v>51.165691000000002</v>
      </c>
      <c r="V863">
        <v>10.451525999999999</v>
      </c>
      <c r="W863" t="str">
        <f t="shared" si="92"/>
        <v>ok</v>
      </c>
      <c r="X863" t="str">
        <f t="shared" si="98"/>
        <v>ok</v>
      </c>
      <c r="Y863" t="str">
        <f t="shared" si="93"/>
        <v>ok</v>
      </c>
      <c r="Z863" t="str">
        <f t="shared" si="94"/>
        <v>ok</v>
      </c>
      <c r="AA863" s="4" t="str">
        <f t="shared" si="95"/>
        <v>ok</v>
      </c>
      <c r="AB863" s="4" t="str">
        <f t="shared" si="96"/>
        <v>no resolution</v>
      </c>
      <c r="AC863" s="6" t="str">
        <f t="shared" si="97"/>
        <v/>
      </c>
    </row>
    <row r="864" spans="1:29" x14ac:dyDescent="0.3">
      <c r="A864" t="s">
        <v>42</v>
      </c>
      <c r="B864">
        <v>2103</v>
      </c>
      <c r="C864" t="s">
        <v>47</v>
      </c>
      <c r="D864" t="s">
        <v>43</v>
      </c>
      <c r="E864" t="s">
        <v>25</v>
      </c>
      <c r="F864" t="s">
        <v>26</v>
      </c>
      <c r="G864" t="s">
        <v>27</v>
      </c>
      <c r="H864" s="1">
        <v>45061.155162037037</v>
      </c>
      <c r="I864" s="1">
        <v>45062.155162037037</v>
      </c>
      <c r="J864" s="1">
        <v>45061.156550925924</v>
      </c>
      <c r="K864" s="2">
        <v>45061.156082349538</v>
      </c>
      <c r="L864" t="s">
        <v>28</v>
      </c>
      <c r="M864" s="2">
        <v>45061.317928206015</v>
      </c>
      <c r="N864" t="s">
        <v>28</v>
      </c>
      <c r="P864">
        <v>3</v>
      </c>
      <c r="R864" t="s">
        <v>29</v>
      </c>
      <c r="S864" t="s">
        <v>30</v>
      </c>
      <c r="T864" t="s">
        <v>56</v>
      </c>
      <c r="U864">
        <v>52.536273000000001</v>
      </c>
      <c r="V864">
        <v>19.050639</v>
      </c>
      <c r="W864" t="str">
        <f t="shared" si="92"/>
        <v>ok</v>
      </c>
      <c r="X864" t="str">
        <f t="shared" si="98"/>
        <v>ok</v>
      </c>
      <c r="Y864" t="str">
        <f t="shared" si="93"/>
        <v>ok</v>
      </c>
      <c r="Z864" t="str">
        <f t="shared" si="94"/>
        <v>ok</v>
      </c>
      <c r="AA864" s="4" t="str">
        <f t="shared" si="95"/>
        <v>ok</v>
      </c>
      <c r="AB864" s="4" t="str">
        <f t="shared" si="96"/>
        <v>ok</v>
      </c>
      <c r="AC864" s="6">
        <f t="shared" si="97"/>
        <v>3.906388055474963</v>
      </c>
    </row>
    <row r="865" spans="1:29" x14ac:dyDescent="0.3">
      <c r="A865" t="s">
        <v>22</v>
      </c>
      <c r="B865">
        <v>2104</v>
      </c>
      <c r="C865" t="s">
        <v>23</v>
      </c>
      <c r="D865" t="s">
        <v>24</v>
      </c>
      <c r="E865" t="s">
        <v>44</v>
      </c>
      <c r="F865" t="s">
        <v>26</v>
      </c>
      <c r="G865" t="s">
        <v>49</v>
      </c>
      <c r="H865" s="1">
        <v>45061.518495370372</v>
      </c>
      <c r="I865" s="1">
        <v>45063.518495370372</v>
      </c>
      <c r="J865" s="1">
        <v>45061.560162037036</v>
      </c>
      <c r="K865" s="2">
        <v>45061.558310127315</v>
      </c>
      <c r="L865" t="s">
        <v>28</v>
      </c>
      <c r="M865" s="2">
        <v>45063.139836400464</v>
      </c>
      <c r="N865" t="s">
        <v>28</v>
      </c>
      <c r="O865" s="2">
        <v>45068.212003136578</v>
      </c>
      <c r="P865">
        <v>2</v>
      </c>
      <c r="Q865">
        <v>5</v>
      </c>
      <c r="R865" t="s">
        <v>55</v>
      </c>
      <c r="S865" t="s">
        <v>30</v>
      </c>
      <c r="T865" t="s">
        <v>61</v>
      </c>
      <c r="U865">
        <v>42.724992499999999</v>
      </c>
      <c r="V865">
        <v>25.483303899999999</v>
      </c>
      <c r="W865" t="str">
        <f t="shared" si="92"/>
        <v>ok</v>
      </c>
      <c r="X865" t="str">
        <f t="shared" si="98"/>
        <v>ok</v>
      </c>
      <c r="Y865" t="str">
        <f t="shared" si="93"/>
        <v>ok</v>
      </c>
      <c r="Z865" t="str">
        <f t="shared" si="94"/>
        <v>ok</v>
      </c>
      <c r="AA865" s="4" t="str">
        <f t="shared" si="95"/>
        <v>ok</v>
      </c>
      <c r="AB865" s="4" t="str">
        <f t="shared" si="96"/>
        <v>ok</v>
      </c>
      <c r="AC865" s="6">
        <f t="shared" si="97"/>
        <v>38.912184722197708</v>
      </c>
    </row>
    <row r="866" spans="1:29" x14ac:dyDescent="0.3">
      <c r="A866" t="s">
        <v>42</v>
      </c>
      <c r="B866">
        <v>2105</v>
      </c>
      <c r="C866" t="s">
        <v>47</v>
      </c>
      <c r="D866" t="s">
        <v>43</v>
      </c>
      <c r="E866" t="s">
        <v>35</v>
      </c>
      <c r="F866" t="s">
        <v>26</v>
      </c>
      <c r="G866" t="s">
        <v>60</v>
      </c>
      <c r="H866" s="1">
        <v>45061.668020833335</v>
      </c>
      <c r="I866" s="1">
        <v>45062.668020833335</v>
      </c>
      <c r="J866" s="1">
        <v>45061.669409722221</v>
      </c>
      <c r="K866" s="2">
        <v>45061.668283101855</v>
      </c>
      <c r="L866" t="s">
        <v>28</v>
      </c>
      <c r="M866" s="2">
        <v>45062.239781296295</v>
      </c>
      <c r="N866" t="s">
        <v>28</v>
      </c>
      <c r="P866">
        <v>5</v>
      </c>
      <c r="R866" t="s">
        <v>55</v>
      </c>
      <c r="S866" t="s">
        <v>30</v>
      </c>
      <c r="T866" t="s">
        <v>63</v>
      </c>
      <c r="U866">
        <v>55.378051999999997</v>
      </c>
      <c r="V866">
        <v>-3.4359730000000002</v>
      </c>
      <c r="W866" t="str">
        <f t="shared" si="92"/>
        <v>ok</v>
      </c>
      <c r="X866" t="str">
        <f t="shared" si="98"/>
        <v>ok</v>
      </c>
      <c r="Y866" t="str">
        <f t="shared" si="93"/>
        <v>ok</v>
      </c>
      <c r="Z866" t="str">
        <f t="shared" si="94"/>
        <v>ok</v>
      </c>
      <c r="AA866" s="4" t="str">
        <f t="shared" si="95"/>
        <v>ok</v>
      </c>
      <c r="AB866" s="4" t="str">
        <f t="shared" si="96"/>
        <v>ok</v>
      </c>
      <c r="AC866" s="6">
        <f t="shared" si="97"/>
        <v>13.72225111105945</v>
      </c>
    </row>
    <row r="867" spans="1:29" x14ac:dyDescent="0.3">
      <c r="A867" t="s">
        <v>42</v>
      </c>
      <c r="B867">
        <v>2106</v>
      </c>
      <c r="C867" t="s">
        <v>23</v>
      </c>
      <c r="D867" t="s">
        <v>24</v>
      </c>
      <c r="E867" t="s">
        <v>48</v>
      </c>
      <c r="F867" t="s">
        <v>26</v>
      </c>
      <c r="G867" t="s">
        <v>45</v>
      </c>
      <c r="H867" s="1">
        <v>45061.961828703701</v>
      </c>
      <c r="I867" s="1">
        <v>45063.961828703701</v>
      </c>
      <c r="J867" s="1">
        <v>45062.003495370373</v>
      </c>
      <c r="K867" s="2">
        <v>45061.96564991898</v>
      </c>
      <c r="L867" t="s">
        <v>28</v>
      </c>
      <c r="M867" s="2">
        <v>45066.454089386571</v>
      </c>
      <c r="N867" t="s">
        <v>38</v>
      </c>
      <c r="P867">
        <v>2</v>
      </c>
      <c r="R867" t="s">
        <v>50</v>
      </c>
      <c r="S867" t="s">
        <v>30</v>
      </c>
      <c r="T867" t="s">
        <v>46</v>
      </c>
      <c r="U867">
        <v>47.696471899999999</v>
      </c>
      <c r="V867">
        <v>13.3457347</v>
      </c>
      <c r="W867" t="str">
        <f t="shared" si="92"/>
        <v>ok</v>
      </c>
      <c r="X867" t="str">
        <f t="shared" si="98"/>
        <v>ok</v>
      </c>
      <c r="Y867" t="str">
        <f t="shared" si="93"/>
        <v>ok</v>
      </c>
      <c r="Z867" t="str">
        <f t="shared" si="94"/>
        <v>ok</v>
      </c>
      <c r="AA867" s="4" t="str">
        <f t="shared" si="95"/>
        <v>ok</v>
      </c>
      <c r="AB867" s="4" t="str">
        <f t="shared" si="96"/>
        <v>ok</v>
      </c>
      <c r="AC867" s="6">
        <f t="shared" si="97"/>
        <v>107.81425638886867</v>
      </c>
    </row>
    <row r="868" spans="1:29" x14ac:dyDescent="0.3">
      <c r="A868" t="s">
        <v>22</v>
      </c>
      <c r="B868">
        <v>2107</v>
      </c>
      <c r="C868" t="s">
        <v>47</v>
      </c>
      <c r="D868" t="s">
        <v>24</v>
      </c>
      <c r="E868" t="s">
        <v>35</v>
      </c>
      <c r="F868" t="s">
        <v>26</v>
      </c>
      <c r="G868" t="s">
        <v>45</v>
      </c>
      <c r="H868" s="1">
        <v>45061.805023148147</v>
      </c>
      <c r="I868" s="1">
        <v>45063.805023148147</v>
      </c>
      <c r="J868" s="1">
        <v>45061.846689814818</v>
      </c>
      <c r="K868" s="2">
        <v>45061.818238055559</v>
      </c>
      <c r="L868" t="s">
        <v>28</v>
      </c>
      <c r="M868" s="2">
        <v>45067.615266273147</v>
      </c>
      <c r="N868" t="s">
        <v>38</v>
      </c>
      <c r="O868" s="2">
        <v>45067.837024050925</v>
      </c>
      <c r="P868">
        <v>2</v>
      </c>
      <c r="Q868">
        <v>4</v>
      </c>
      <c r="R868" t="s">
        <v>50</v>
      </c>
      <c r="S868" t="s">
        <v>30</v>
      </c>
      <c r="T868" t="s">
        <v>53</v>
      </c>
      <c r="U868">
        <v>39.368279000000001</v>
      </c>
      <c r="V868">
        <v>21.863140999999999</v>
      </c>
      <c r="W868" t="str">
        <f t="shared" si="92"/>
        <v>ok</v>
      </c>
      <c r="X868" t="str">
        <f t="shared" si="98"/>
        <v>ok</v>
      </c>
      <c r="Y868" t="str">
        <f t="shared" si="93"/>
        <v>ok</v>
      </c>
      <c r="Z868" t="str">
        <f t="shared" si="94"/>
        <v>ok</v>
      </c>
      <c r="AA868" s="4" t="str">
        <f t="shared" si="95"/>
        <v>ok</v>
      </c>
      <c r="AB868" s="4" t="str">
        <f t="shared" si="96"/>
        <v>ok</v>
      </c>
      <c r="AC868" s="6">
        <f t="shared" si="97"/>
        <v>139.44583500002045</v>
      </c>
    </row>
    <row r="869" spans="1:29" x14ac:dyDescent="0.3">
      <c r="A869" t="s">
        <v>22</v>
      </c>
      <c r="B869">
        <v>2108</v>
      </c>
      <c r="C869" t="s">
        <v>33</v>
      </c>
      <c r="D869" t="s">
        <v>43</v>
      </c>
      <c r="E869" t="s">
        <v>25</v>
      </c>
      <c r="F869" t="s">
        <v>26</v>
      </c>
      <c r="G869" t="s">
        <v>49</v>
      </c>
      <c r="H869" s="1">
        <v>45061.65252314815</v>
      </c>
      <c r="I869" s="1">
        <v>45062.65252314815</v>
      </c>
      <c r="J869" s="1">
        <v>45061.653912037036</v>
      </c>
      <c r="K869" s="2">
        <v>45061.653213912039</v>
      </c>
      <c r="L869" t="s">
        <v>28</v>
      </c>
      <c r="M869" s="2">
        <v>45062.294316747684</v>
      </c>
      <c r="N869" t="s">
        <v>28</v>
      </c>
      <c r="O869" s="2">
        <v>45066.164270358793</v>
      </c>
      <c r="P869">
        <v>9</v>
      </c>
      <c r="Q869">
        <v>4</v>
      </c>
      <c r="R869" t="s">
        <v>50</v>
      </c>
      <c r="S869" t="s">
        <v>30</v>
      </c>
      <c r="T869" t="s">
        <v>46</v>
      </c>
      <c r="U869">
        <v>47.696471899999999</v>
      </c>
      <c r="V869">
        <v>13.3457347</v>
      </c>
      <c r="W869" t="str">
        <f t="shared" si="92"/>
        <v>ok</v>
      </c>
      <c r="X869" t="str">
        <f t="shared" si="98"/>
        <v>ok</v>
      </c>
      <c r="Y869" t="str">
        <f t="shared" si="93"/>
        <v>ok</v>
      </c>
      <c r="Z869" t="str">
        <f t="shared" si="94"/>
        <v>ok</v>
      </c>
      <c r="AA869" s="4" t="str">
        <f t="shared" si="95"/>
        <v>ok</v>
      </c>
      <c r="AB869" s="4" t="str">
        <f t="shared" si="96"/>
        <v>ok</v>
      </c>
      <c r="AC869" s="6">
        <f t="shared" si="97"/>
        <v>15.403046388819348</v>
      </c>
    </row>
    <row r="870" spans="1:29" x14ac:dyDescent="0.3">
      <c r="A870" t="s">
        <v>42</v>
      </c>
      <c r="B870">
        <v>2109</v>
      </c>
      <c r="C870" t="s">
        <v>47</v>
      </c>
      <c r="D870" t="s">
        <v>43</v>
      </c>
      <c r="E870" t="s">
        <v>44</v>
      </c>
      <c r="F870" t="s">
        <v>26</v>
      </c>
      <c r="G870" t="s">
        <v>60</v>
      </c>
      <c r="H870" s="1">
        <v>45061.670011574075</v>
      </c>
      <c r="I870" s="1">
        <v>45062.670011574075</v>
      </c>
      <c r="J870" s="1">
        <v>45061.671400462961</v>
      </c>
      <c r="K870" s="2">
        <v>45061.67023822917</v>
      </c>
      <c r="L870" t="s">
        <v>28</v>
      </c>
      <c r="M870" s="2">
        <v>45062.222456863426</v>
      </c>
      <c r="N870" t="s">
        <v>28</v>
      </c>
      <c r="P870">
        <v>4</v>
      </c>
      <c r="R870" t="s">
        <v>50</v>
      </c>
      <c r="S870" t="s">
        <v>30</v>
      </c>
      <c r="T870" t="s">
        <v>61</v>
      </c>
      <c r="U870">
        <v>42.724992499999999</v>
      </c>
      <c r="V870">
        <v>25.483303899999999</v>
      </c>
      <c r="W870" t="str">
        <f t="shared" si="92"/>
        <v>ok</v>
      </c>
      <c r="X870" t="str">
        <f t="shared" si="98"/>
        <v>ok</v>
      </c>
      <c r="Y870" t="str">
        <f t="shared" si="93"/>
        <v>ok</v>
      </c>
      <c r="Z870" t="str">
        <f t="shared" si="94"/>
        <v>ok</v>
      </c>
      <c r="AA870" s="4" t="str">
        <f t="shared" si="95"/>
        <v>ok</v>
      </c>
      <c r="AB870" s="4" t="str">
        <f t="shared" si="96"/>
        <v>ok</v>
      </c>
      <c r="AC870" s="6">
        <f t="shared" si="97"/>
        <v>13.258686944434885</v>
      </c>
    </row>
    <row r="871" spans="1:29" x14ac:dyDescent="0.3">
      <c r="A871" t="s">
        <v>32</v>
      </c>
      <c r="B871">
        <v>2110</v>
      </c>
      <c r="C871" t="s">
        <v>23</v>
      </c>
      <c r="D871" t="s">
        <v>24</v>
      </c>
      <c r="E871" t="s">
        <v>25</v>
      </c>
      <c r="F871" t="s">
        <v>26</v>
      </c>
      <c r="G871" t="s">
        <v>52</v>
      </c>
      <c r="H871" s="1">
        <v>45062.771180555559</v>
      </c>
      <c r="I871" s="1">
        <v>45064.771180555559</v>
      </c>
      <c r="J871" s="1">
        <v>45062.812847222223</v>
      </c>
      <c r="K871" s="2">
        <v>45062.808381215276</v>
      </c>
      <c r="L871" t="s">
        <v>28</v>
      </c>
      <c r="N871" t="s">
        <v>38</v>
      </c>
      <c r="P871">
        <v>1</v>
      </c>
      <c r="R871" t="s">
        <v>29</v>
      </c>
      <c r="S871" t="s">
        <v>30</v>
      </c>
      <c r="T871" t="s">
        <v>41</v>
      </c>
      <c r="U871">
        <v>43.036776000000003</v>
      </c>
      <c r="V871">
        <v>12.678565000000001</v>
      </c>
      <c r="W871" t="str">
        <f t="shared" si="92"/>
        <v>ok</v>
      </c>
      <c r="X871" t="str">
        <f t="shared" si="98"/>
        <v>ok</v>
      </c>
      <c r="Y871" t="str">
        <f t="shared" si="93"/>
        <v>ok</v>
      </c>
      <c r="Z871" t="str">
        <f t="shared" si="94"/>
        <v>ok</v>
      </c>
      <c r="AA871" s="4" t="str">
        <f t="shared" si="95"/>
        <v>ok</v>
      </c>
      <c r="AB871" s="4" t="str">
        <f t="shared" si="96"/>
        <v>no resolution</v>
      </c>
      <c r="AC871" s="6" t="str">
        <f t="shared" si="97"/>
        <v/>
      </c>
    </row>
    <row r="872" spans="1:29" x14ac:dyDescent="0.3">
      <c r="A872" t="s">
        <v>42</v>
      </c>
      <c r="B872">
        <v>2111</v>
      </c>
      <c r="C872" t="s">
        <v>23</v>
      </c>
      <c r="D872" t="s">
        <v>24</v>
      </c>
      <c r="E872" t="s">
        <v>48</v>
      </c>
      <c r="F872" t="s">
        <v>26</v>
      </c>
      <c r="G872" t="s">
        <v>45</v>
      </c>
      <c r="H872" s="1">
        <v>45062.451851851853</v>
      </c>
      <c r="I872" s="1">
        <v>45064.451851851853</v>
      </c>
      <c r="J872" s="1">
        <v>45062.493518518517</v>
      </c>
      <c r="K872" s="2">
        <v>45062.473543819448</v>
      </c>
      <c r="L872" t="s">
        <v>28</v>
      </c>
      <c r="M872" s="2">
        <v>45063.342880810182</v>
      </c>
      <c r="N872" t="s">
        <v>28</v>
      </c>
      <c r="P872">
        <v>8</v>
      </c>
      <c r="R872" t="s">
        <v>50</v>
      </c>
      <c r="S872" t="s">
        <v>30</v>
      </c>
      <c r="T872" t="s">
        <v>53</v>
      </c>
      <c r="U872">
        <v>39.368279000000001</v>
      </c>
      <c r="V872">
        <v>21.863140999999999</v>
      </c>
      <c r="W872" t="str">
        <f t="shared" si="92"/>
        <v>ok</v>
      </c>
      <c r="X872" t="str">
        <f t="shared" si="98"/>
        <v>ok</v>
      </c>
      <c r="Y872" t="str">
        <f t="shared" si="93"/>
        <v>ok</v>
      </c>
      <c r="Z872" t="str">
        <f t="shared" si="94"/>
        <v>ok</v>
      </c>
      <c r="AA872" s="4" t="str">
        <f t="shared" si="95"/>
        <v>ok</v>
      </c>
      <c r="AB872" s="4" t="str">
        <f t="shared" si="96"/>
        <v>ok</v>
      </c>
      <c r="AC872" s="6">
        <f t="shared" si="97"/>
        <v>21.384694999898784</v>
      </c>
    </row>
    <row r="873" spans="1:29" x14ac:dyDescent="0.3">
      <c r="A873" t="s">
        <v>22</v>
      </c>
      <c r="B873">
        <v>2112</v>
      </c>
      <c r="C873" t="s">
        <v>23</v>
      </c>
      <c r="D873" t="s">
        <v>43</v>
      </c>
      <c r="E873" t="s">
        <v>35</v>
      </c>
      <c r="F873" t="s">
        <v>26</v>
      </c>
      <c r="G873" t="s">
        <v>52</v>
      </c>
      <c r="H873" s="1">
        <v>45062.29478009259</v>
      </c>
      <c r="I873" s="1">
        <v>45063.29478009259</v>
      </c>
      <c r="J873" s="1">
        <v>45062.296168981484</v>
      </c>
      <c r="K873" s="2">
        <v>45062.295741805552</v>
      </c>
      <c r="L873" t="s">
        <v>28</v>
      </c>
      <c r="M873" s="2">
        <v>45062.977820613429</v>
      </c>
      <c r="N873" t="s">
        <v>28</v>
      </c>
      <c r="O873" s="2">
        <v>45066.008414027776</v>
      </c>
      <c r="P873">
        <v>5</v>
      </c>
      <c r="Q873">
        <v>4</v>
      </c>
      <c r="R873" t="s">
        <v>29</v>
      </c>
      <c r="S873" t="s">
        <v>30</v>
      </c>
      <c r="T873" t="s">
        <v>57</v>
      </c>
      <c r="U873">
        <v>51.165691000000002</v>
      </c>
      <c r="V873">
        <v>10.451525999999999</v>
      </c>
      <c r="W873" t="str">
        <f t="shared" si="92"/>
        <v>ok</v>
      </c>
      <c r="X873" t="str">
        <f t="shared" si="98"/>
        <v>ok</v>
      </c>
      <c r="Y873" t="str">
        <f t="shared" si="93"/>
        <v>ok</v>
      </c>
      <c r="Z873" t="str">
        <f t="shared" si="94"/>
        <v>ok</v>
      </c>
      <c r="AA873" s="4" t="str">
        <f t="shared" si="95"/>
        <v>ok</v>
      </c>
      <c r="AB873" s="4" t="str">
        <f t="shared" si="96"/>
        <v>ok</v>
      </c>
      <c r="AC873" s="6">
        <f t="shared" si="97"/>
        <v>16.392972500121687</v>
      </c>
    </row>
    <row r="874" spans="1:29" x14ac:dyDescent="0.3">
      <c r="A874" t="s">
        <v>22</v>
      </c>
      <c r="B874">
        <v>2113</v>
      </c>
      <c r="C874" t="s">
        <v>23</v>
      </c>
      <c r="D874" t="s">
        <v>43</v>
      </c>
      <c r="E874" t="s">
        <v>35</v>
      </c>
      <c r="F874" t="s">
        <v>26</v>
      </c>
      <c r="G874" t="s">
        <v>52</v>
      </c>
      <c r="H874" s="1">
        <v>45062.826701388891</v>
      </c>
      <c r="I874" s="1">
        <v>45063.826701388891</v>
      </c>
      <c r="J874" s="1">
        <v>45062.828090277777</v>
      </c>
      <c r="K874" s="2">
        <v>45062.827926412036</v>
      </c>
      <c r="L874" t="s">
        <v>28</v>
      </c>
      <c r="M874" s="2">
        <v>45063.278987824073</v>
      </c>
      <c r="N874" t="s">
        <v>28</v>
      </c>
      <c r="O874" s="2">
        <v>45067.963941331021</v>
      </c>
      <c r="P874">
        <v>6</v>
      </c>
      <c r="Q874">
        <v>4</v>
      </c>
      <c r="R874" t="s">
        <v>39</v>
      </c>
      <c r="S874" t="s">
        <v>30</v>
      </c>
      <c r="T874" t="s">
        <v>41</v>
      </c>
      <c r="U874">
        <v>43.036776000000003</v>
      </c>
      <c r="V874">
        <v>12.678565000000001</v>
      </c>
      <c r="W874" t="str">
        <f t="shared" si="92"/>
        <v>ok</v>
      </c>
      <c r="X874" t="str">
        <f t="shared" si="98"/>
        <v>ok</v>
      </c>
      <c r="Y874" t="str">
        <f t="shared" si="93"/>
        <v>ok</v>
      </c>
      <c r="Z874" t="str">
        <f t="shared" si="94"/>
        <v>ok</v>
      </c>
      <c r="AA874" s="4" t="str">
        <f t="shared" si="95"/>
        <v>ok</v>
      </c>
      <c r="AB874" s="4" t="str">
        <f t="shared" si="96"/>
        <v>ok</v>
      </c>
      <c r="AC874" s="6">
        <f t="shared" si="97"/>
        <v>10.854874444368761</v>
      </c>
    </row>
    <row r="875" spans="1:29" x14ac:dyDescent="0.3">
      <c r="A875" t="s">
        <v>22</v>
      </c>
      <c r="B875">
        <v>2114</v>
      </c>
      <c r="C875" t="s">
        <v>23</v>
      </c>
      <c r="D875" t="s">
        <v>43</v>
      </c>
      <c r="E875" t="s">
        <v>48</v>
      </c>
      <c r="F875" t="s">
        <v>36</v>
      </c>
      <c r="G875" t="s">
        <v>37</v>
      </c>
      <c r="H875" s="1">
        <v>45062.232511574075</v>
      </c>
      <c r="I875" s="1">
        <v>45063.232511574075</v>
      </c>
      <c r="J875" s="1">
        <v>45062.233900462961</v>
      </c>
      <c r="K875" s="2">
        <v>45062.233141319448</v>
      </c>
      <c r="L875" t="s">
        <v>28</v>
      </c>
      <c r="M875" s="2">
        <v>45067.855887731479</v>
      </c>
      <c r="N875" t="s">
        <v>38</v>
      </c>
      <c r="O875" s="2">
        <v>45069.832663229165</v>
      </c>
      <c r="P875">
        <v>4</v>
      </c>
      <c r="Q875">
        <v>3</v>
      </c>
      <c r="R875" t="s">
        <v>29</v>
      </c>
      <c r="S875" t="s">
        <v>40</v>
      </c>
      <c r="T875" t="s">
        <v>46</v>
      </c>
      <c r="U875">
        <v>47.696471899999999</v>
      </c>
      <c r="V875">
        <v>13.3457347</v>
      </c>
      <c r="W875" t="str">
        <f t="shared" si="92"/>
        <v>ok</v>
      </c>
      <c r="X875" t="str">
        <f t="shared" si="98"/>
        <v>ok</v>
      </c>
      <c r="Y875" t="str">
        <f t="shared" si="93"/>
        <v>ok</v>
      </c>
      <c r="Z875" t="str">
        <f t="shared" si="94"/>
        <v>ok</v>
      </c>
      <c r="AA875" s="4" t="str">
        <f t="shared" si="95"/>
        <v>ok</v>
      </c>
      <c r="AB875" s="4" t="str">
        <f t="shared" si="96"/>
        <v>ok</v>
      </c>
      <c r="AC875" s="6">
        <f t="shared" si="97"/>
        <v>134.96102777769556</v>
      </c>
    </row>
    <row r="876" spans="1:29" x14ac:dyDescent="0.3">
      <c r="A876" t="s">
        <v>22</v>
      </c>
      <c r="B876">
        <v>2115</v>
      </c>
      <c r="C876" t="s">
        <v>23</v>
      </c>
      <c r="D876" t="s">
        <v>43</v>
      </c>
      <c r="E876" t="s">
        <v>35</v>
      </c>
      <c r="F876" t="s">
        <v>26</v>
      </c>
      <c r="G876" t="s">
        <v>49</v>
      </c>
      <c r="H876" s="1">
        <v>45062.856921296298</v>
      </c>
      <c r="I876" s="1">
        <v>45063.856921296298</v>
      </c>
      <c r="J876" s="1">
        <v>45062.858310185184</v>
      </c>
      <c r="K876" s="2">
        <v>45062.857387638891</v>
      </c>
      <c r="L876" t="s">
        <v>28</v>
      </c>
      <c r="M876" s="2">
        <v>45063.360427847219</v>
      </c>
      <c r="N876" t="s">
        <v>28</v>
      </c>
      <c r="O876" s="2">
        <v>45066.778179409725</v>
      </c>
      <c r="P876">
        <v>6</v>
      </c>
      <c r="Q876">
        <v>4</v>
      </c>
      <c r="R876" t="s">
        <v>50</v>
      </c>
      <c r="S876" t="s">
        <v>30</v>
      </c>
      <c r="T876" t="s">
        <v>61</v>
      </c>
      <c r="U876">
        <v>42.724992499999999</v>
      </c>
      <c r="V876">
        <v>25.483303899999999</v>
      </c>
      <c r="W876" t="str">
        <f t="shared" si="92"/>
        <v>ok</v>
      </c>
      <c r="X876" t="str">
        <f t="shared" si="98"/>
        <v>ok</v>
      </c>
      <c r="Y876" t="str">
        <f t="shared" si="93"/>
        <v>ok</v>
      </c>
      <c r="Z876" t="str">
        <f t="shared" si="94"/>
        <v>ok</v>
      </c>
      <c r="AA876" s="4" t="str">
        <f t="shared" si="95"/>
        <v>ok</v>
      </c>
      <c r="AB876" s="4" t="str">
        <f t="shared" si="96"/>
        <v>ok</v>
      </c>
      <c r="AC876" s="6">
        <f t="shared" si="97"/>
        <v>12.084157222125214</v>
      </c>
    </row>
    <row r="877" spans="1:29" x14ac:dyDescent="0.3">
      <c r="A877" t="s">
        <v>22</v>
      </c>
      <c r="B877">
        <v>2117</v>
      </c>
      <c r="C877" t="s">
        <v>47</v>
      </c>
      <c r="D877" t="s">
        <v>43</v>
      </c>
      <c r="E877" t="s">
        <v>35</v>
      </c>
      <c r="F877" t="s">
        <v>36</v>
      </c>
      <c r="G877" t="s">
        <v>54</v>
      </c>
      <c r="H877" s="1">
        <v>45062.022812499999</v>
      </c>
      <c r="I877" s="1">
        <v>45063.022812499999</v>
      </c>
      <c r="J877" s="1">
        <v>45062.024201388886</v>
      </c>
      <c r="K877" s="2">
        <v>45062.024417152781</v>
      </c>
      <c r="L877" t="s">
        <v>38</v>
      </c>
      <c r="M877" s="2">
        <v>45062.122737152778</v>
      </c>
      <c r="N877" t="s">
        <v>28</v>
      </c>
      <c r="O877" s="2">
        <v>45065.028871493058</v>
      </c>
      <c r="P877">
        <v>6</v>
      </c>
      <c r="Q877">
        <v>3</v>
      </c>
      <c r="R877" t="s">
        <v>29</v>
      </c>
      <c r="S877" t="s">
        <v>40</v>
      </c>
      <c r="T877" t="s">
        <v>41</v>
      </c>
      <c r="U877">
        <v>43.036776000000003</v>
      </c>
      <c r="V877">
        <v>12.678565000000001</v>
      </c>
      <c r="W877" t="str">
        <f t="shared" si="92"/>
        <v>ok</v>
      </c>
      <c r="X877" t="str">
        <f t="shared" si="98"/>
        <v>ok</v>
      </c>
      <c r="Y877" t="str">
        <f t="shared" si="93"/>
        <v>ok</v>
      </c>
      <c r="Z877" t="str">
        <f t="shared" si="94"/>
        <v>ok</v>
      </c>
      <c r="AA877" s="4" t="str">
        <f t="shared" si="95"/>
        <v>ok</v>
      </c>
      <c r="AB877" s="4" t="str">
        <f t="shared" si="96"/>
        <v>ok</v>
      </c>
      <c r="AC877" s="6">
        <f t="shared" si="97"/>
        <v>2.3981916666962206</v>
      </c>
    </row>
    <row r="878" spans="1:29" x14ac:dyDescent="0.3">
      <c r="A878" t="s">
        <v>22</v>
      </c>
      <c r="B878">
        <v>2118</v>
      </c>
      <c r="C878" t="s">
        <v>47</v>
      </c>
      <c r="D878" t="s">
        <v>43</v>
      </c>
      <c r="E878" t="s">
        <v>25</v>
      </c>
      <c r="F878" t="s">
        <v>26</v>
      </c>
      <c r="G878" t="s">
        <v>60</v>
      </c>
      <c r="H878" s="1">
        <v>45062.874965277777</v>
      </c>
      <c r="I878" s="1">
        <v>45063.874965277777</v>
      </c>
      <c r="J878" s="1">
        <v>45062.876354166663</v>
      </c>
      <c r="K878" s="2">
        <v>45062.875232013888</v>
      </c>
      <c r="L878" t="s">
        <v>28</v>
      </c>
      <c r="M878" s="2">
        <v>45063.32119480324</v>
      </c>
      <c r="N878" t="s">
        <v>28</v>
      </c>
      <c r="O878" s="2">
        <v>45065.540215208333</v>
      </c>
      <c r="P878">
        <v>5</v>
      </c>
      <c r="Q878">
        <v>1</v>
      </c>
      <c r="R878" t="s">
        <v>29</v>
      </c>
      <c r="S878" t="s">
        <v>30</v>
      </c>
      <c r="T878" t="s">
        <v>57</v>
      </c>
      <c r="U878">
        <v>51.165691000000002</v>
      </c>
      <c r="V878">
        <v>10.451525999999999</v>
      </c>
      <c r="W878" t="str">
        <f t="shared" si="92"/>
        <v>ok</v>
      </c>
      <c r="X878" t="str">
        <f t="shared" si="98"/>
        <v>ok</v>
      </c>
      <c r="Y878" t="str">
        <f t="shared" si="93"/>
        <v>ok</v>
      </c>
      <c r="Z878" t="str">
        <f t="shared" si="94"/>
        <v>ok</v>
      </c>
      <c r="AA878" s="4" t="str">
        <f t="shared" si="95"/>
        <v>ok</v>
      </c>
      <c r="AB878" s="4" t="str">
        <f t="shared" si="96"/>
        <v>ok</v>
      </c>
      <c r="AC878" s="6">
        <f t="shared" si="97"/>
        <v>10.709508611122146</v>
      </c>
    </row>
    <row r="879" spans="1:29" x14ac:dyDescent="0.3">
      <c r="A879" t="s">
        <v>22</v>
      </c>
      <c r="B879">
        <v>2120</v>
      </c>
      <c r="C879" t="s">
        <v>23</v>
      </c>
      <c r="D879" t="s">
        <v>43</v>
      </c>
      <c r="E879" t="s">
        <v>59</v>
      </c>
      <c r="F879" t="s">
        <v>26</v>
      </c>
      <c r="G879" t="s">
        <v>45</v>
      </c>
      <c r="H879" s="1">
        <v>45063.173761574071</v>
      </c>
      <c r="I879" s="1">
        <v>45064.173761574071</v>
      </c>
      <c r="J879" s="1">
        <v>45063.175150462965</v>
      </c>
      <c r="K879" s="2">
        <v>45063.177107662035</v>
      </c>
      <c r="L879" t="s">
        <v>38</v>
      </c>
      <c r="M879" s="2">
        <v>45064.12595616898</v>
      </c>
      <c r="N879" t="s">
        <v>28</v>
      </c>
      <c r="O879" s="2">
        <v>45068.937119085647</v>
      </c>
      <c r="P879">
        <v>6</v>
      </c>
      <c r="Q879">
        <v>3</v>
      </c>
      <c r="R879" t="s">
        <v>50</v>
      </c>
      <c r="S879" t="s">
        <v>30</v>
      </c>
      <c r="T879" t="s">
        <v>41</v>
      </c>
      <c r="U879">
        <v>43.036776000000003</v>
      </c>
      <c r="V879">
        <v>12.678565000000001</v>
      </c>
      <c r="W879" t="str">
        <f t="shared" si="92"/>
        <v>ok</v>
      </c>
      <c r="X879" t="str">
        <f t="shared" si="98"/>
        <v>ok</v>
      </c>
      <c r="Y879" t="str">
        <f t="shared" si="93"/>
        <v>ok</v>
      </c>
      <c r="Z879" t="str">
        <f t="shared" si="94"/>
        <v>ok</v>
      </c>
      <c r="AA879" s="4" t="str">
        <f t="shared" si="95"/>
        <v>ok</v>
      </c>
      <c r="AB879" s="4" t="str">
        <f t="shared" si="96"/>
        <v>ok</v>
      </c>
      <c r="AC879" s="6">
        <f t="shared" si="97"/>
        <v>22.852670277818106</v>
      </c>
    </row>
    <row r="880" spans="1:29" x14ac:dyDescent="0.3">
      <c r="A880" t="s">
        <v>32</v>
      </c>
      <c r="B880">
        <v>2121</v>
      </c>
      <c r="C880" t="s">
        <v>23</v>
      </c>
      <c r="D880" t="s">
        <v>34</v>
      </c>
      <c r="E880" t="s">
        <v>44</v>
      </c>
      <c r="F880" t="s">
        <v>36</v>
      </c>
      <c r="G880" t="s">
        <v>64</v>
      </c>
      <c r="H880" s="1">
        <v>45063.845567129632</v>
      </c>
      <c r="I880" s="1">
        <v>45065.845567129632</v>
      </c>
      <c r="J880" s="1">
        <v>45063.846956018519</v>
      </c>
      <c r="K880" s="2">
        <v>45063.846859907404</v>
      </c>
      <c r="L880" t="s">
        <v>28</v>
      </c>
      <c r="N880" t="s">
        <v>38</v>
      </c>
      <c r="P880">
        <v>3</v>
      </c>
      <c r="R880" t="s">
        <v>55</v>
      </c>
      <c r="S880" t="s">
        <v>40</v>
      </c>
      <c r="T880" t="s">
        <v>66</v>
      </c>
      <c r="U880">
        <v>48.864716000000001</v>
      </c>
      <c r="V880">
        <v>2.3490139999999999</v>
      </c>
      <c r="W880" t="str">
        <f t="shared" si="92"/>
        <v>ok</v>
      </c>
      <c r="X880" t="str">
        <f t="shared" si="98"/>
        <v>ok</v>
      </c>
      <c r="Y880" t="str">
        <f t="shared" si="93"/>
        <v>ok</v>
      </c>
      <c r="Z880" t="str">
        <f t="shared" si="94"/>
        <v>ok</v>
      </c>
      <c r="AA880" s="4" t="str">
        <f t="shared" si="95"/>
        <v>ok</v>
      </c>
      <c r="AB880" s="4" t="str">
        <f t="shared" si="96"/>
        <v>no resolution</v>
      </c>
      <c r="AC880" s="6" t="str">
        <f t="shared" si="97"/>
        <v/>
      </c>
    </row>
    <row r="881" spans="1:29" x14ac:dyDescent="0.3">
      <c r="A881" t="s">
        <v>32</v>
      </c>
      <c r="B881">
        <v>2122</v>
      </c>
      <c r="C881" t="s">
        <v>47</v>
      </c>
      <c r="D881" t="s">
        <v>24</v>
      </c>
      <c r="E881" t="s">
        <v>35</v>
      </c>
      <c r="F881" t="s">
        <v>26</v>
      </c>
      <c r="G881" t="s">
        <v>60</v>
      </c>
      <c r="H881" s="1">
        <v>45063.068437499998</v>
      </c>
      <c r="I881" s="1">
        <v>45065.068437499998</v>
      </c>
      <c r="J881" s="1">
        <v>45063.11010416667</v>
      </c>
      <c r="K881" s="2">
        <v>45063.106696122682</v>
      </c>
      <c r="L881" t="s">
        <v>28</v>
      </c>
      <c r="N881" t="s">
        <v>38</v>
      </c>
      <c r="P881">
        <v>1</v>
      </c>
      <c r="R881" t="s">
        <v>55</v>
      </c>
      <c r="S881" t="s">
        <v>30</v>
      </c>
      <c r="T881" t="s">
        <v>57</v>
      </c>
      <c r="U881">
        <v>51.165691000000002</v>
      </c>
      <c r="V881">
        <v>10.451525999999999</v>
      </c>
      <c r="W881" t="str">
        <f t="shared" si="92"/>
        <v>ok</v>
      </c>
      <c r="X881" t="str">
        <f t="shared" si="98"/>
        <v>ok</v>
      </c>
      <c r="Y881" t="str">
        <f t="shared" si="93"/>
        <v>ok</v>
      </c>
      <c r="Z881" t="str">
        <f t="shared" si="94"/>
        <v>ok</v>
      </c>
      <c r="AA881" s="4" t="str">
        <f t="shared" si="95"/>
        <v>ok</v>
      </c>
      <c r="AB881" s="4" t="str">
        <f t="shared" si="96"/>
        <v>no resolution</v>
      </c>
      <c r="AC881" s="6" t="str">
        <f t="shared" si="97"/>
        <v/>
      </c>
    </row>
    <row r="882" spans="1:29" x14ac:dyDescent="0.3">
      <c r="A882" t="s">
        <v>42</v>
      </c>
      <c r="B882">
        <v>2123</v>
      </c>
      <c r="C882" t="s">
        <v>33</v>
      </c>
      <c r="D882" t="s">
        <v>43</v>
      </c>
      <c r="E882" t="s">
        <v>59</v>
      </c>
      <c r="F882" t="s">
        <v>36</v>
      </c>
      <c r="G882" t="s">
        <v>37</v>
      </c>
      <c r="H882" s="1">
        <v>45063.279641203706</v>
      </c>
      <c r="I882" s="1">
        <v>45064.279641203706</v>
      </c>
      <c r="J882" s="1">
        <v>45063.281030092592</v>
      </c>
      <c r="K882" s="2">
        <v>45063.280085289349</v>
      </c>
      <c r="L882" t="s">
        <v>28</v>
      </c>
      <c r="M882" s="2">
        <v>45063.440920347224</v>
      </c>
      <c r="N882" t="s">
        <v>28</v>
      </c>
      <c r="P882">
        <v>8</v>
      </c>
      <c r="R882" t="s">
        <v>50</v>
      </c>
      <c r="S882" t="s">
        <v>40</v>
      </c>
      <c r="T882" t="s">
        <v>46</v>
      </c>
      <c r="U882">
        <v>47.696471899999999</v>
      </c>
      <c r="V882">
        <v>13.3457347</v>
      </c>
      <c r="W882" t="str">
        <f t="shared" si="92"/>
        <v>ok</v>
      </c>
      <c r="X882" t="str">
        <f t="shared" si="98"/>
        <v>ok</v>
      </c>
      <c r="Y882" t="str">
        <f t="shared" si="93"/>
        <v>ok</v>
      </c>
      <c r="Z882" t="str">
        <f t="shared" si="94"/>
        <v>ok</v>
      </c>
      <c r="AA882" s="4" t="str">
        <f t="shared" si="95"/>
        <v>ok</v>
      </c>
      <c r="AB882" s="4" t="str">
        <f t="shared" si="96"/>
        <v>ok</v>
      </c>
      <c r="AC882" s="6">
        <f t="shared" si="97"/>
        <v>3.8706994444364682</v>
      </c>
    </row>
    <row r="883" spans="1:29" x14ac:dyDescent="0.3">
      <c r="A883" t="s">
        <v>22</v>
      </c>
      <c r="B883">
        <v>2124</v>
      </c>
      <c r="C883" t="s">
        <v>33</v>
      </c>
      <c r="D883" t="s">
        <v>43</v>
      </c>
      <c r="E883" t="s">
        <v>59</v>
      </c>
      <c r="F883" t="s">
        <v>26</v>
      </c>
      <c r="G883" t="s">
        <v>60</v>
      </c>
      <c r="H883" s="1">
        <v>45063.490567129629</v>
      </c>
      <c r="I883" s="1">
        <v>45064.490567129629</v>
      </c>
      <c r="J883" s="1">
        <v>45063.491956018515</v>
      </c>
      <c r="K883" s="2">
        <v>45063.490977488429</v>
      </c>
      <c r="L883" t="s">
        <v>28</v>
      </c>
      <c r="M883" s="2">
        <v>45064.144458344905</v>
      </c>
      <c r="N883" t="s">
        <v>28</v>
      </c>
      <c r="O883" s="2">
        <v>45067.4874675463</v>
      </c>
      <c r="P883">
        <v>4</v>
      </c>
      <c r="Q883">
        <v>3</v>
      </c>
      <c r="R883" t="s">
        <v>50</v>
      </c>
      <c r="S883" t="s">
        <v>30</v>
      </c>
      <c r="T883" t="s">
        <v>57</v>
      </c>
      <c r="U883">
        <v>51.165691000000002</v>
      </c>
      <c r="V883">
        <v>10.451525999999999</v>
      </c>
      <c r="W883" t="str">
        <f t="shared" si="92"/>
        <v>ok</v>
      </c>
      <c r="X883" t="str">
        <f t="shared" si="98"/>
        <v>ok</v>
      </c>
      <c r="Y883" t="str">
        <f t="shared" si="93"/>
        <v>ok</v>
      </c>
      <c r="Z883" t="str">
        <f t="shared" si="94"/>
        <v>ok</v>
      </c>
      <c r="AA883" s="4" t="str">
        <f t="shared" si="95"/>
        <v>ok</v>
      </c>
      <c r="AB883" s="4" t="str">
        <f t="shared" si="96"/>
        <v>ok</v>
      </c>
      <c r="AC883" s="6">
        <f t="shared" si="97"/>
        <v>15.693389166612178</v>
      </c>
    </row>
    <row r="884" spans="1:29" x14ac:dyDescent="0.3">
      <c r="A884" t="s">
        <v>22</v>
      </c>
      <c r="B884">
        <v>2125</v>
      </c>
      <c r="C884" t="s">
        <v>23</v>
      </c>
      <c r="D884" t="s">
        <v>24</v>
      </c>
      <c r="E884" t="s">
        <v>35</v>
      </c>
      <c r="F884" t="s">
        <v>26</v>
      </c>
      <c r="G884" t="s">
        <v>45</v>
      </c>
      <c r="H884" s="1">
        <v>45063.129143518519</v>
      </c>
      <c r="I884" s="1">
        <v>45065.129143518519</v>
      </c>
      <c r="J884" s="1">
        <v>45063.170810185184</v>
      </c>
      <c r="K884" s="2">
        <v>45063.338835601855</v>
      </c>
      <c r="L884" t="s">
        <v>38</v>
      </c>
      <c r="M884" s="2">
        <v>45064.040867847223</v>
      </c>
      <c r="N884" t="s">
        <v>28</v>
      </c>
      <c r="O884" s="2">
        <v>45065.963516354168</v>
      </c>
      <c r="P884">
        <v>7</v>
      </c>
      <c r="Q884">
        <v>3</v>
      </c>
      <c r="R884" t="s">
        <v>29</v>
      </c>
      <c r="S884" t="s">
        <v>30</v>
      </c>
      <c r="T884" t="s">
        <v>63</v>
      </c>
      <c r="U884">
        <v>55.378051999999997</v>
      </c>
      <c r="V884">
        <v>-3.4359730000000002</v>
      </c>
      <c r="W884" t="str">
        <f t="shared" si="92"/>
        <v>ok</v>
      </c>
      <c r="X884" t="str">
        <f t="shared" si="98"/>
        <v>ok</v>
      </c>
      <c r="Y884" t="str">
        <f t="shared" si="93"/>
        <v>ok</v>
      </c>
      <c r="Z884" t="str">
        <f t="shared" si="94"/>
        <v>ok</v>
      </c>
      <c r="AA884" s="4" t="str">
        <f t="shared" si="95"/>
        <v>ok</v>
      </c>
      <c r="AB884" s="4" t="str">
        <f t="shared" si="96"/>
        <v>ok</v>
      </c>
      <c r="AC884" s="6">
        <f t="shared" si="97"/>
        <v>21.881383888889104</v>
      </c>
    </row>
    <row r="885" spans="1:29" x14ac:dyDescent="0.3">
      <c r="A885" t="s">
        <v>32</v>
      </c>
      <c r="B885">
        <v>2126</v>
      </c>
      <c r="C885" t="s">
        <v>47</v>
      </c>
      <c r="D885" t="s">
        <v>24</v>
      </c>
      <c r="E885" t="s">
        <v>59</v>
      </c>
      <c r="F885" t="s">
        <v>36</v>
      </c>
      <c r="G885" t="s">
        <v>54</v>
      </c>
      <c r="H885" s="1">
        <v>45063.121412037035</v>
      </c>
      <c r="I885" s="1">
        <v>45065.121412037035</v>
      </c>
      <c r="J885" s="1">
        <v>45063.163078703707</v>
      </c>
      <c r="K885" s="2">
        <v>45063.153225162037</v>
      </c>
      <c r="L885" t="s">
        <v>28</v>
      </c>
      <c r="N885" t="s">
        <v>38</v>
      </c>
      <c r="P885">
        <v>7</v>
      </c>
      <c r="R885" t="s">
        <v>55</v>
      </c>
      <c r="S885" t="s">
        <v>40</v>
      </c>
      <c r="T885" t="s">
        <v>56</v>
      </c>
      <c r="U885">
        <v>52.536273000000001</v>
      </c>
      <c r="V885">
        <v>19.050639</v>
      </c>
      <c r="W885" t="str">
        <f t="shared" si="92"/>
        <v>ok</v>
      </c>
      <c r="X885" t="str">
        <f t="shared" si="98"/>
        <v>ok</v>
      </c>
      <c r="Y885" t="str">
        <f t="shared" si="93"/>
        <v>ok</v>
      </c>
      <c r="Z885" t="str">
        <f t="shared" si="94"/>
        <v>ok</v>
      </c>
      <c r="AA885" s="4" t="str">
        <f t="shared" si="95"/>
        <v>ok</v>
      </c>
      <c r="AB885" s="4" t="str">
        <f t="shared" si="96"/>
        <v>no resolution</v>
      </c>
      <c r="AC885" s="6" t="str">
        <f t="shared" si="97"/>
        <v/>
      </c>
    </row>
    <row r="886" spans="1:29" x14ac:dyDescent="0.3">
      <c r="A886" t="s">
        <v>32</v>
      </c>
      <c r="B886">
        <v>2127</v>
      </c>
      <c r="C886" t="s">
        <v>47</v>
      </c>
      <c r="D886" t="s">
        <v>43</v>
      </c>
      <c r="E886" t="s">
        <v>44</v>
      </c>
      <c r="F886" t="s">
        <v>26</v>
      </c>
      <c r="G886" t="s">
        <v>60</v>
      </c>
      <c r="H886" s="1">
        <v>45063.929907407408</v>
      </c>
      <c r="I886" s="1">
        <v>45064.929907407408</v>
      </c>
      <c r="J886" s="1">
        <v>45063.931296296294</v>
      </c>
      <c r="K886" s="2">
        <v>45063.930656296296</v>
      </c>
      <c r="L886" t="s">
        <v>28</v>
      </c>
      <c r="N886" t="s">
        <v>38</v>
      </c>
      <c r="P886">
        <v>4</v>
      </c>
      <c r="R886" t="s">
        <v>50</v>
      </c>
      <c r="S886" t="s">
        <v>30</v>
      </c>
      <c r="T886" t="s">
        <v>66</v>
      </c>
      <c r="U886">
        <v>48.864716000000001</v>
      </c>
      <c r="V886">
        <v>2.3490139999999999</v>
      </c>
      <c r="W886" t="str">
        <f t="shared" si="92"/>
        <v>ok</v>
      </c>
      <c r="X886" t="str">
        <f t="shared" si="98"/>
        <v>ok</v>
      </c>
      <c r="Y886" t="str">
        <f t="shared" si="93"/>
        <v>ok</v>
      </c>
      <c r="Z886" t="str">
        <f t="shared" si="94"/>
        <v>ok</v>
      </c>
      <c r="AA886" s="4" t="str">
        <f t="shared" si="95"/>
        <v>ok</v>
      </c>
      <c r="AB886" s="4" t="str">
        <f t="shared" si="96"/>
        <v>no resolution</v>
      </c>
      <c r="AC886" s="6" t="str">
        <f t="shared" si="97"/>
        <v/>
      </c>
    </row>
    <row r="887" spans="1:29" x14ac:dyDescent="0.3">
      <c r="A887" t="s">
        <v>22</v>
      </c>
      <c r="B887">
        <v>2128</v>
      </c>
      <c r="C887" t="s">
        <v>23</v>
      </c>
      <c r="D887" t="s">
        <v>24</v>
      </c>
      <c r="E887" t="s">
        <v>39</v>
      </c>
      <c r="F887" t="s">
        <v>26</v>
      </c>
      <c r="G887" t="s">
        <v>27</v>
      </c>
      <c r="H887" s="1">
        <v>45063.068935185183</v>
      </c>
      <c r="I887" s="1">
        <v>45065.068935185183</v>
      </c>
      <c r="J887" s="1">
        <v>45063.110601851855</v>
      </c>
      <c r="K887" s="2">
        <v>45063.093761689815</v>
      </c>
      <c r="L887" t="s">
        <v>28</v>
      </c>
      <c r="M887" s="2">
        <v>45064.499945057869</v>
      </c>
      <c r="N887" t="s">
        <v>28</v>
      </c>
      <c r="O887" s="2">
        <v>45069.624237881944</v>
      </c>
      <c r="P887">
        <v>7</v>
      </c>
      <c r="Q887">
        <v>5</v>
      </c>
      <c r="R887" t="s">
        <v>50</v>
      </c>
      <c r="S887" t="s">
        <v>30</v>
      </c>
      <c r="T887" t="s">
        <v>61</v>
      </c>
      <c r="U887">
        <v>42.724992499999999</v>
      </c>
      <c r="V887">
        <v>25.483303899999999</v>
      </c>
      <c r="W887" t="str">
        <f t="shared" si="92"/>
        <v>ok</v>
      </c>
      <c r="X887" t="str">
        <f t="shared" si="98"/>
        <v>ok</v>
      </c>
      <c r="Y887" t="str">
        <f t="shared" si="93"/>
        <v>ok</v>
      </c>
      <c r="Z887" t="str">
        <f t="shared" si="94"/>
        <v>ok</v>
      </c>
      <c r="AA887" s="4" t="str">
        <f t="shared" si="95"/>
        <v>ok</v>
      </c>
      <c r="AB887" s="4" t="str">
        <f t="shared" si="96"/>
        <v>ok</v>
      </c>
      <c r="AC887" s="6">
        <f t="shared" si="97"/>
        <v>34.344236944452859</v>
      </c>
    </row>
    <row r="888" spans="1:29" x14ac:dyDescent="0.3">
      <c r="A888" t="s">
        <v>22</v>
      </c>
      <c r="B888">
        <v>2129</v>
      </c>
      <c r="C888" t="s">
        <v>47</v>
      </c>
      <c r="D888" t="s">
        <v>24</v>
      </c>
      <c r="E888" t="s">
        <v>48</v>
      </c>
      <c r="F888" t="s">
        <v>26</v>
      </c>
      <c r="G888" t="s">
        <v>52</v>
      </c>
      <c r="H888" s="1">
        <v>45063.566608796296</v>
      </c>
      <c r="I888" s="1">
        <v>45065.566608796296</v>
      </c>
      <c r="J888" s="1">
        <v>45063.608275462961</v>
      </c>
      <c r="K888" s="2">
        <v>45063.606537858795</v>
      </c>
      <c r="L888" t="s">
        <v>28</v>
      </c>
      <c r="M888" s="2">
        <v>45064.42429101852</v>
      </c>
      <c r="N888" t="s">
        <v>28</v>
      </c>
      <c r="O888" s="2">
        <v>45069.940157500001</v>
      </c>
      <c r="P888">
        <v>9</v>
      </c>
      <c r="Q888">
        <v>5</v>
      </c>
      <c r="R888" t="s">
        <v>50</v>
      </c>
      <c r="S888" t="s">
        <v>30</v>
      </c>
      <c r="T888" t="s">
        <v>51</v>
      </c>
      <c r="U888">
        <v>39.673369999999998</v>
      </c>
      <c r="V888">
        <v>-4.7677259999999997</v>
      </c>
      <c r="W888" t="str">
        <f t="shared" si="92"/>
        <v>ok</v>
      </c>
      <c r="X888" t="str">
        <f t="shared" si="98"/>
        <v>ok</v>
      </c>
      <c r="Y888" t="str">
        <f t="shared" si="93"/>
        <v>ok</v>
      </c>
      <c r="Z888" t="str">
        <f t="shared" si="94"/>
        <v>ok</v>
      </c>
      <c r="AA888" s="4" t="str">
        <f t="shared" si="95"/>
        <v>ok</v>
      </c>
      <c r="AB888" s="4" t="str">
        <f t="shared" si="96"/>
        <v>ok</v>
      </c>
      <c r="AC888" s="6">
        <f t="shared" si="97"/>
        <v>20.58437333337497</v>
      </c>
    </row>
    <row r="889" spans="1:29" x14ac:dyDescent="0.3">
      <c r="A889" t="s">
        <v>42</v>
      </c>
      <c r="B889">
        <v>2130</v>
      </c>
      <c r="C889" t="s">
        <v>23</v>
      </c>
      <c r="D889" t="s">
        <v>24</v>
      </c>
      <c r="E889" t="s">
        <v>35</v>
      </c>
      <c r="F889" t="s">
        <v>36</v>
      </c>
      <c r="G889" t="s">
        <v>54</v>
      </c>
      <c r="H889" s="1">
        <v>45063.372789351852</v>
      </c>
      <c r="I889" s="1">
        <v>45065.372789351852</v>
      </c>
      <c r="J889" s="1">
        <v>45063.414456018516</v>
      </c>
      <c r="K889" s="2">
        <v>45063.38844545139</v>
      </c>
      <c r="L889" t="s">
        <v>28</v>
      </c>
      <c r="M889" s="2">
        <v>45064.610834733794</v>
      </c>
      <c r="N889" t="s">
        <v>28</v>
      </c>
      <c r="P889">
        <v>2</v>
      </c>
      <c r="R889" t="s">
        <v>39</v>
      </c>
      <c r="S889" t="s">
        <v>40</v>
      </c>
      <c r="T889" t="s">
        <v>53</v>
      </c>
      <c r="U889">
        <v>39.368279000000001</v>
      </c>
      <c r="V889">
        <v>21.863140999999999</v>
      </c>
      <c r="W889" t="str">
        <f t="shared" si="92"/>
        <v>ok</v>
      </c>
      <c r="X889" t="str">
        <f t="shared" si="98"/>
        <v>ok</v>
      </c>
      <c r="Y889" t="str">
        <f t="shared" si="93"/>
        <v>ok</v>
      </c>
      <c r="Z889" t="str">
        <f t="shared" si="94"/>
        <v>ok</v>
      </c>
      <c r="AA889" s="4" t="str">
        <f t="shared" si="95"/>
        <v>ok</v>
      </c>
      <c r="AB889" s="4" t="str">
        <f t="shared" si="96"/>
        <v>ok</v>
      </c>
      <c r="AC889" s="6">
        <f t="shared" si="97"/>
        <v>29.713089166616555</v>
      </c>
    </row>
    <row r="890" spans="1:29" x14ac:dyDescent="0.3">
      <c r="A890" t="s">
        <v>22</v>
      </c>
      <c r="B890">
        <v>2131</v>
      </c>
      <c r="C890" t="s">
        <v>23</v>
      </c>
      <c r="D890" t="s">
        <v>24</v>
      </c>
      <c r="E890" t="s">
        <v>25</v>
      </c>
      <c r="F890" t="s">
        <v>36</v>
      </c>
      <c r="G890" t="s">
        <v>54</v>
      </c>
      <c r="H890" s="1">
        <v>45063.756782407407</v>
      </c>
      <c r="I890" s="1">
        <v>45065.756782407407</v>
      </c>
      <c r="J890" s="1">
        <v>45063.798449074071</v>
      </c>
      <c r="K890" s="2">
        <v>45063.765028020833</v>
      </c>
      <c r="L890" t="s">
        <v>28</v>
      </c>
      <c r="M890" s="2">
        <v>45065.452660868053</v>
      </c>
      <c r="N890" t="s">
        <v>28</v>
      </c>
      <c r="O890" s="2">
        <v>45069.357330474537</v>
      </c>
      <c r="P890">
        <v>1</v>
      </c>
      <c r="Q890">
        <v>4</v>
      </c>
      <c r="R890" t="s">
        <v>50</v>
      </c>
      <c r="S890" t="s">
        <v>40</v>
      </c>
      <c r="T890" t="s">
        <v>41</v>
      </c>
      <c r="U890">
        <v>43.036776000000003</v>
      </c>
      <c r="V890">
        <v>12.678565000000001</v>
      </c>
      <c r="W890" t="str">
        <f t="shared" si="92"/>
        <v>ok</v>
      </c>
      <c r="X890" t="str">
        <f t="shared" si="98"/>
        <v>ok</v>
      </c>
      <c r="Y890" t="str">
        <f t="shared" si="93"/>
        <v>ok</v>
      </c>
      <c r="Z890" t="str">
        <f t="shared" si="94"/>
        <v>ok</v>
      </c>
      <c r="AA890" s="4" t="str">
        <f t="shared" si="95"/>
        <v>ok</v>
      </c>
      <c r="AB890" s="4" t="str">
        <f t="shared" si="96"/>
        <v>ok</v>
      </c>
      <c r="AC890" s="6">
        <f t="shared" si="97"/>
        <v>40.701083055522759</v>
      </c>
    </row>
    <row r="891" spans="1:29" x14ac:dyDescent="0.3">
      <c r="A891" t="s">
        <v>22</v>
      </c>
      <c r="B891">
        <v>2132</v>
      </c>
      <c r="C891" t="s">
        <v>23</v>
      </c>
      <c r="D891" t="s">
        <v>43</v>
      </c>
      <c r="E891" t="s">
        <v>35</v>
      </c>
      <c r="F891" t="s">
        <v>26</v>
      </c>
      <c r="G891" t="s">
        <v>49</v>
      </c>
      <c r="H891" s="1">
        <v>45063.866111111114</v>
      </c>
      <c r="I891" s="1">
        <v>45064.866111111114</v>
      </c>
      <c r="J891" s="1">
        <v>45063.8675</v>
      </c>
      <c r="K891" s="2">
        <v>45063.866757222226</v>
      </c>
      <c r="L891" t="s">
        <v>28</v>
      </c>
      <c r="M891" s="2">
        <v>45064.31694877315</v>
      </c>
      <c r="N891" t="s">
        <v>28</v>
      </c>
      <c r="O891" s="2">
        <v>45066.967418807872</v>
      </c>
      <c r="P891">
        <v>4</v>
      </c>
      <c r="Q891">
        <v>3</v>
      </c>
      <c r="R891" t="s">
        <v>39</v>
      </c>
      <c r="S891" t="s">
        <v>30</v>
      </c>
      <c r="T891" t="s">
        <v>61</v>
      </c>
      <c r="U891">
        <v>42.724992499999999</v>
      </c>
      <c r="V891">
        <v>25.483303899999999</v>
      </c>
      <c r="W891" t="str">
        <f t="shared" si="92"/>
        <v>ok</v>
      </c>
      <c r="X891" t="str">
        <f t="shared" si="98"/>
        <v>ok</v>
      </c>
      <c r="Y891" t="str">
        <f t="shared" si="93"/>
        <v>ok</v>
      </c>
      <c r="Z891" t="str">
        <f t="shared" si="94"/>
        <v>ok</v>
      </c>
      <c r="AA891" s="4" t="str">
        <f t="shared" si="95"/>
        <v>ok</v>
      </c>
      <c r="AB891" s="4" t="str">
        <f t="shared" si="96"/>
        <v>ok</v>
      </c>
      <c r="AC891" s="6">
        <f t="shared" si="97"/>
        <v>10.82010388886556</v>
      </c>
    </row>
    <row r="892" spans="1:29" x14ac:dyDescent="0.3">
      <c r="A892" t="s">
        <v>22</v>
      </c>
      <c r="B892">
        <v>2133</v>
      </c>
      <c r="C892" t="s">
        <v>23</v>
      </c>
      <c r="D892" t="s">
        <v>24</v>
      </c>
      <c r="E892" t="s">
        <v>48</v>
      </c>
      <c r="F892" t="s">
        <v>36</v>
      </c>
      <c r="G892" t="s">
        <v>37</v>
      </c>
      <c r="H892" s="1">
        <v>45064.191342592596</v>
      </c>
      <c r="I892" s="1">
        <v>45066.191342592596</v>
      </c>
      <c r="J892" s="1">
        <v>45064.23300925926</v>
      </c>
      <c r="K892" s="2">
        <v>45064.196606122685</v>
      </c>
      <c r="L892" t="s">
        <v>28</v>
      </c>
      <c r="M892" s="2">
        <v>45065.606625069442</v>
      </c>
      <c r="N892" t="s">
        <v>28</v>
      </c>
      <c r="O892" s="2">
        <v>45067.12014634259</v>
      </c>
      <c r="P892">
        <v>5</v>
      </c>
      <c r="Q892">
        <v>5</v>
      </c>
      <c r="R892" t="s">
        <v>55</v>
      </c>
      <c r="S892" t="s">
        <v>40</v>
      </c>
      <c r="T892" t="s">
        <v>66</v>
      </c>
      <c r="U892">
        <v>48.864716000000001</v>
      </c>
      <c r="V892">
        <v>2.3490139999999999</v>
      </c>
      <c r="W892" t="str">
        <f t="shared" si="92"/>
        <v>ok</v>
      </c>
      <c r="X892" t="str">
        <f t="shared" si="98"/>
        <v>ok</v>
      </c>
      <c r="Y892" t="str">
        <f t="shared" si="93"/>
        <v>ok</v>
      </c>
      <c r="Z892" t="str">
        <f t="shared" si="94"/>
        <v>ok</v>
      </c>
      <c r="AA892" s="4" t="str">
        <f t="shared" si="95"/>
        <v>ok</v>
      </c>
      <c r="AB892" s="4" t="str">
        <f t="shared" si="96"/>
        <v>ok</v>
      </c>
      <c r="AC892" s="6">
        <f t="shared" si="97"/>
        <v>33.966779444308486</v>
      </c>
    </row>
    <row r="893" spans="1:29" x14ac:dyDescent="0.3">
      <c r="A893" t="s">
        <v>32</v>
      </c>
      <c r="B893">
        <v>2134</v>
      </c>
      <c r="C893" t="s">
        <v>23</v>
      </c>
      <c r="D893" t="s">
        <v>43</v>
      </c>
      <c r="E893" t="s">
        <v>59</v>
      </c>
      <c r="F893" t="s">
        <v>26</v>
      </c>
      <c r="G893" t="s">
        <v>49</v>
      </c>
      <c r="H893" s="1">
        <v>45064.124861111108</v>
      </c>
      <c r="I893" s="1">
        <v>45065.124861111108</v>
      </c>
      <c r="J893" s="1">
        <v>45064.126250000001</v>
      </c>
      <c r="K893" s="2">
        <v>45064.125064143518</v>
      </c>
      <c r="L893" t="s">
        <v>28</v>
      </c>
      <c r="N893" t="s">
        <v>38</v>
      </c>
      <c r="P893">
        <v>4</v>
      </c>
      <c r="R893" t="s">
        <v>50</v>
      </c>
      <c r="S893" t="s">
        <v>30</v>
      </c>
      <c r="T893" t="s">
        <v>56</v>
      </c>
      <c r="U893">
        <v>52.536273000000001</v>
      </c>
      <c r="V893">
        <v>19.050639</v>
      </c>
      <c r="W893" t="str">
        <f t="shared" si="92"/>
        <v>ok</v>
      </c>
      <c r="X893" t="str">
        <f t="shared" si="98"/>
        <v>ok</v>
      </c>
      <c r="Y893" t="str">
        <f t="shared" si="93"/>
        <v>ok</v>
      </c>
      <c r="Z893" t="str">
        <f t="shared" si="94"/>
        <v>ok</v>
      </c>
      <c r="AA893" s="4" t="str">
        <f t="shared" si="95"/>
        <v>ok</v>
      </c>
      <c r="AB893" s="4" t="str">
        <f t="shared" si="96"/>
        <v>no resolution</v>
      </c>
      <c r="AC893" s="6" t="str">
        <f t="shared" si="97"/>
        <v/>
      </c>
    </row>
    <row r="894" spans="1:29" x14ac:dyDescent="0.3">
      <c r="A894" t="s">
        <v>42</v>
      </c>
      <c r="B894">
        <v>2135</v>
      </c>
      <c r="C894" t="s">
        <v>23</v>
      </c>
      <c r="D894" t="s">
        <v>34</v>
      </c>
      <c r="E894" t="s">
        <v>25</v>
      </c>
      <c r="F894" t="s">
        <v>26</v>
      </c>
      <c r="G894" t="s">
        <v>27</v>
      </c>
      <c r="H894" s="1">
        <v>45064.245833333334</v>
      </c>
      <c r="I894" s="1">
        <v>45066.245833333334</v>
      </c>
      <c r="J894" s="1">
        <v>45064.24722222222</v>
      </c>
      <c r="K894" s="2">
        <v>45063.847099918981</v>
      </c>
      <c r="L894" t="s">
        <v>28</v>
      </c>
      <c r="M894" s="2">
        <v>45069.705267395831</v>
      </c>
      <c r="N894" t="s">
        <v>38</v>
      </c>
      <c r="P894">
        <v>1</v>
      </c>
      <c r="R894" t="s">
        <v>50</v>
      </c>
      <c r="S894" t="s">
        <v>30</v>
      </c>
      <c r="T894" t="s">
        <v>46</v>
      </c>
      <c r="U894">
        <v>47.696471899999999</v>
      </c>
      <c r="V894">
        <v>13.3457347</v>
      </c>
      <c r="W894" t="str">
        <f t="shared" si="92"/>
        <v>check</v>
      </c>
      <c r="X894" t="str">
        <f t="shared" si="98"/>
        <v>ok</v>
      </c>
      <c r="Y894" t="str">
        <f t="shared" si="93"/>
        <v>ok</v>
      </c>
      <c r="Z894" t="str">
        <f t="shared" si="94"/>
        <v>ok</v>
      </c>
      <c r="AA894" s="4" t="str">
        <f t="shared" si="95"/>
        <v>ok</v>
      </c>
      <c r="AB894" s="4" t="str">
        <f t="shared" si="96"/>
        <v>ok</v>
      </c>
      <c r="AC894" s="6">
        <f t="shared" si="97"/>
        <v>131.02641749993199</v>
      </c>
    </row>
    <row r="895" spans="1:29" x14ac:dyDescent="0.3">
      <c r="A895" t="s">
        <v>22</v>
      </c>
      <c r="B895">
        <v>2136</v>
      </c>
      <c r="C895" t="s">
        <v>23</v>
      </c>
      <c r="D895" t="s">
        <v>43</v>
      </c>
      <c r="E895" t="s">
        <v>35</v>
      </c>
      <c r="F895" t="s">
        <v>36</v>
      </c>
      <c r="G895" t="s">
        <v>64</v>
      </c>
      <c r="H895" s="1">
        <v>45064.586736111109</v>
      </c>
      <c r="I895" s="1">
        <v>45065.586736111109</v>
      </c>
      <c r="J895" s="1">
        <v>45064.588125000002</v>
      </c>
      <c r="K895" s="2">
        <v>45064.58711443287</v>
      </c>
      <c r="L895" t="s">
        <v>28</v>
      </c>
      <c r="M895" s="2">
        <v>45065.500711006942</v>
      </c>
      <c r="N895" t="s">
        <v>28</v>
      </c>
      <c r="O895" s="2">
        <v>45068.639709456016</v>
      </c>
      <c r="P895">
        <v>4</v>
      </c>
      <c r="Q895">
        <v>2</v>
      </c>
      <c r="R895" t="s">
        <v>50</v>
      </c>
      <c r="S895" t="s">
        <v>40</v>
      </c>
      <c r="T895" t="s">
        <v>66</v>
      </c>
      <c r="U895">
        <v>48.864716000000001</v>
      </c>
      <c r="V895">
        <v>2.3490139999999999</v>
      </c>
      <c r="W895" t="str">
        <f t="shared" si="92"/>
        <v>ok</v>
      </c>
      <c r="X895" t="str">
        <f t="shared" si="98"/>
        <v>ok</v>
      </c>
      <c r="Y895" t="str">
        <f t="shared" si="93"/>
        <v>ok</v>
      </c>
      <c r="Z895" t="str">
        <f t="shared" si="94"/>
        <v>ok</v>
      </c>
      <c r="AA895" s="4" t="str">
        <f t="shared" si="95"/>
        <v>ok</v>
      </c>
      <c r="AB895" s="4" t="str">
        <f t="shared" si="96"/>
        <v>ok</v>
      </c>
      <c r="AC895" s="6">
        <f t="shared" si="97"/>
        <v>21.935397499997634</v>
      </c>
    </row>
    <row r="896" spans="1:29" x14ac:dyDescent="0.3">
      <c r="A896" t="s">
        <v>42</v>
      </c>
      <c r="B896">
        <v>2137</v>
      </c>
      <c r="C896" t="s">
        <v>33</v>
      </c>
      <c r="D896" t="s">
        <v>24</v>
      </c>
      <c r="E896" t="s">
        <v>35</v>
      </c>
      <c r="F896" t="s">
        <v>26</v>
      </c>
      <c r="G896" t="s">
        <v>49</v>
      </c>
      <c r="H896" s="1">
        <v>45064.256284722222</v>
      </c>
      <c r="I896" s="1">
        <v>45066.256284722222</v>
      </c>
      <c r="J896" s="1">
        <v>45064.297951388886</v>
      </c>
      <c r="K896" s="2">
        <v>45064.276264629632</v>
      </c>
      <c r="L896" t="s">
        <v>28</v>
      </c>
      <c r="M896" s="2">
        <v>45065.018400185189</v>
      </c>
      <c r="N896" t="s">
        <v>28</v>
      </c>
      <c r="P896">
        <v>2</v>
      </c>
      <c r="R896" t="s">
        <v>39</v>
      </c>
      <c r="S896" t="s">
        <v>30</v>
      </c>
      <c r="T896" t="s">
        <v>61</v>
      </c>
      <c r="U896">
        <v>42.724992499999999</v>
      </c>
      <c r="V896">
        <v>25.483303899999999</v>
      </c>
      <c r="W896" t="str">
        <f t="shared" si="92"/>
        <v>ok</v>
      </c>
      <c r="X896" t="str">
        <f t="shared" si="98"/>
        <v>ok</v>
      </c>
      <c r="Y896" t="str">
        <f t="shared" si="93"/>
        <v>ok</v>
      </c>
      <c r="Z896" t="str">
        <f t="shared" si="94"/>
        <v>ok</v>
      </c>
      <c r="AA896" s="4" t="str">
        <f t="shared" si="95"/>
        <v>ok</v>
      </c>
      <c r="AB896" s="4" t="str">
        <f t="shared" si="96"/>
        <v>ok</v>
      </c>
      <c r="AC896" s="6">
        <f t="shared" si="97"/>
        <v>18.290771111205686</v>
      </c>
    </row>
    <row r="897" spans="1:29" x14ac:dyDescent="0.3">
      <c r="A897" t="s">
        <v>42</v>
      </c>
      <c r="B897">
        <v>2138</v>
      </c>
      <c r="C897" t="s">
        <v>23</v>
      </c>
      <c r="D897" t="s">
        <v>43</v>
      </c>
      <c r="E897" t="s">
        <v>39</v>
      </c>
      <c r="F897" t="s">
        <v>26</v>
      </c>
      <c r="G897" t="s">
        <v>52</v>
      </c>
      <c r="H897" s="1">
        <v>45064.043657407405</v>
      </c>
      <c r="I897" s="1">
        <v>45065.043657407405</v>
      </c>
      <c r="J897" s="1">
        <v>45064.045046296298</v>
      </c>
      <c r="K897" s="2">
        <v>45064.045698344904</v>
      </c>
      <c r="L897" t="s">
        <v>38</v>
      </c>
      <c r="M897" s="2">
        <v>45064.389677233798</v>
      </c>
      <c r="N897" t="s">
        <v>28</v>
      </c>
      <c r="P897">
        <v>6</v>
      </c>
      <c r="R897" t="s">
        <v>55</v>
      </c>
      <c r="S897" t="s">
        <v>30</v>
      </c>
      <c r="T897" t="s">
        <v>31</v>
      </c>
      <c r="U897">
        <v>53.094023999999997</v>
      </c>
      <c r="V897">
        <v>-8.0196749999999994</v>
      </c>
      <c r="W897" t="str">
        <f t="shared" si="92"/>
        <v>ok</v>
      </c>
      <c r="X897" t="str">
        <f t="shared" si="98"/>
        <v>ok</v>
      </c>
      <c r="Y897" t="str">
        <f t="shared" si="93"/>
        <v>ok</v>
      </c>
      <c r="Z897" t="str">
        <f t="shared" si="94"/>
        <v>ok</v>
      </c>
      <c r="AA897" s="4" t="str">
        <f t="shared" si="95"/>
        <v>ok</v>
      </c>
      <c r="AB897" s="4" t="str">
        <f t="shared" si="96"/>
        <v>ok</v>
      </c>
      <c r="AC897" s="6">
        <f t="shared" si="97"/>
        <v>8.3044758334290236</v>
      </c>
    </row>
    <row r="898" spans="1:29" x14ac:dyDescent="0.3">
      <c r="A898" t="s">
        <v>42</v>
      </c>
      <c r="B898">
        <v>2139</v>
      </c>
      <c r="C898" t="s">
        <v>47</v>
      </c>
      <c r="D898" t="s">
        <v>24</v>
      </c>
      <c r="E898" t="s">
        <v>44</v>
      </c>
      <c r="F898" t="s">
        <v>26</v>
      </c>
      <c r="G898" t="s">
        <v>45</v>
      </c>
      <c r="H898" s="1">
        <v>45064.039340277777</v>
      </c>
      <c r="I898" s="1">
        <v>45066.039340277777</v>
      </c>
      <c r="J898" s="1">
        <v>45064.081006944441</v>
      </c>
      <c r="K898" s="2">
        <v>45064.039792083335</v>
      </c>
      <c r="L898" t="s">
        <v>28</v>
      </c>
      <c r="M898" s="2">
        <v>45064.498756944442</v>
      </c>
      <c r="N898" t="s">
        <v>28</v>
      </c>
      <c r="P898">
        <v>1</v>
      </c>
      <c r="R898" t="s">
        <v>50</v>
      </c>
      <c r="S898" t="s">
        <v>30</v>
      </c>
      <c r="T898" t="s">
        <v>66</v>
      </c>
      <c r="U898">
        <v>48.864716000000001</v>
      </c>
      <c r="V898">
        <v>2.3490139999999999</v>
      </c>
      <c r="W898" t="str">
        <f t="shared" ref="W898:W961" si="99">IF(K898&lt;H898,"check","ok")</f>
        <v>ok</v>
      </c>
      <c r="X898" t="str">
        <f t="shared" si="98"/>
        <v>ok</v>
      </c>
      <c r="Y898" t="str">
        <f t="shared" ref="Y898:Y961" si="100">IF(AND(M898&lt;&gt;"",O898&lt;&gt;"",O898&lt;M898),"check","ok")</f>
        <v>ok</v>
      </c>
      <c r="Z898" t="str">
        <f t="shared" ref="Z898:Z961" si="101">IF(AND(OR(CA898="Closed",A898="Resolved"),M898=""),"check","ok")</f>
        <v>ok</v>
      </c>
      <c r="AA898" s="4" t="str">
        <f t="shared" ref="AA898:AA961" si="102">IF(K898="","no response",IF(OR(AND(K898&lt;=J898,L898="Within SLA"),AND(K898&gt;J898,L898="SLA Violated")),"ok","check"))</f>
        <v>ok</v>
      </c>
      <c r="AB898" s="4" t="str">
        <f t="shared" ref="AB898:AB961" si="103">IF(M898="","no resolution",IF(OR(AND(M898&lt;=I898,N898="Within SLA"),AND(M898&gt;I898,N898="SLA Violated")),"ok","check"))</f>
        <v>ok</v>
      </c>
      <c r="AC898" s="6">
        <f t="shared" ref="AC898:AC961" si="104">IF(M898="","",(M898-H898)*24)</f>
        <v>11.025999999954365</v>
      </c>
    </row>
    <row r="899" spans="1:29" x14ac:dyDescent="0.3">
      <c r="A899" t="s">
        <v>22</v>
      </c>
      <c r="B899">
        <v>2140</v>
      </c>
      <c r="C899" t="s">
        <v>33</v>
      </c>
      <c r="D899" t="s">
        <v>43</v>
      </c>
      <c r="E899" t="s">
        <v>25</v>
      </c>
      <c r="F899" t="s">
        <v>36</v>
      </c>
      <c r="G899" t="s">
        <v>54</v>
      </c>
      <c r="H899" s="1">
        <v>45065.387638888889</v>
      </c>
      <c r="I899" s="1">
        <v>45066.387638888889</v>
      </c>
      <c r="J899" s="1">
        <v>45065.389027777775</v>
      </c>
      <c r="K899" s="2">
        <v>45065.388518229163</v>
      </c>
      <c r="L899" t="s">
        <v>28</v>
      </c>
      <c r="M899" s="2">
        <v>45065.515905624998</v>
      </c>
      <c r="N899" t="s">
        <v>28</v>
      </c>
      <c r="O899" s="2">
        <v>45067.124971064812</v>
      </c>
      <c r="P899">
        <v>4</v>
      </c>
      <c r="Q899">
        <v>2</v>
      </c>
      <c r="R899" t="s">
        <v>50</v>
      </c>
      <c r="S899" t="s">
        <v>40</v>
      </c>
      <c r="T899" t="s">
        <v>41</v>
      </c>
      <c r="U899">
        <v>43.036776000000003</v>
      </c>
      <c r="V899">
        <v>12.678565000000001</v>
      </c>
      <c r="W899" t="str">
        <f t="shared" si="99"/>
        <v>ok</v>
      </c>
      <c r="X899" t="str">
        <f t="shared" ref="X899:X962" si="105">IF(AND(M899&lt;&gt;"",M899&lt;H899),"check","ok")</f>
        <v>ok</v>
      </c>
      <c r="Y899" t="str">
        <f t="shared" si="100"/>
        <v>ok</v>
      </c>
      <c r="Z899" t="str">
        <f t="shared" si="101"/>
        <v>ok</v>
      </c>
      <c r="AA899" s="4" t="str">
        <f t="shared" si="102"/>
        <v>ok</v>
      </c>
      <c r="AB899" s="4" t="str">
        <f t="shared" si="103"/>
        <v>ok</v>
      </c>
      <c r="AC899" s="6">
        <f t="shared" si="104"/>
        <v>3.0784016666002572</v>
      </c>
    </row>
    <row r="900" spans="1:29" x14ac:dyDescent="0.3">
      <c r="A900" t="s">
        <v>22</v>
      </c>
      <c r="B900">
        <v>2141</v>
      </c>
      <c r="C900" t="s">
        <v>23</v>
      </c>
      <c r="D900" t="s">
        <v>43</v>
      </c>
      <c r="E900" t="s">
        <v>25</v>
      </c>
      <c r="F900" t="s">
        <v>36</v>
      </c>
      <c r="G900" t="s">
        <v>37</v>
      </c>
      <c r="H900" s="1">
        <v>45065.390104166669</v>
      </c>
      <c r="I900" s="1">
        <v>45066.390104166669</v>
      </c>
      <c r="J900" s="1">
        <v>45065.391493055555</v>
      </c>
      <c r="K900" s="2">
        <v>45065.390144236109</v>
      </c>
      <c r="L900" t="s">
        <v>28</v>
      </c>
      <c r="M900" s="2">
        <v>45065.921433668984</v>
      </c>
      <c r="N900" t="s">
        <v>28</v>
      </c>
      <c r="O900" s="2">
        <v>45071.682990428242</v>
      </c>
      <c r="P900">
        <v>6</v>
      </c>
      <c r="Q900">
        <v>2</v>
      </c>
      <c r="R900" t="s">
        <v>50</v>
      </c>
      <c r="S900" t="s">
        <v>40</v>
      </c>
      <c r="T900" t="s">
        <v>66</v>
      </c>
      <c r="U900">
        <v>48.864716000000001</v>
      </c>
      <c r="V900">
        <v>2.3490139999999999</v>
      </c>
      <c r="W900" t="str">
        <f t="shared" si="99"/>
        <v>ok</v>
      </c>
      <c r="X900" t="str">
        <f t="shared" si="105"/>
        <v>ok</v>
      </c>
      <c r="Y900" t="str">
        <f t="shared" si="100"/>
        <v>ok</v>
      </c>
      <c r="Z900" t="str">
        <f t="shared" si="101"/>
        <v>ok</v>
      </c>
      <c r="AA900" s="4" t="str">
        <f t="shared" si="102"/>
        <v>ok</v>
      </c>
      <c r="AB900" s="4" t="str">
        <f t="shared" si="103"/>
        <v>ok</v>
      </c>
      <c r="AC900" s="6">
        <f t="shared" si="104"/>
        <v>12.751908055564854</v>
      </c>
    </row>
    <row r="901" spans="1:29" x14ac:dyDescent="0.3">
      <c r="A901" t="s">
        <v>42</v>
      </c>
      <c r="B901">
        <v>2142</v>
      </c>
      <c r="C901" t="s">
        <v>47</v>
      </c>
      <c r="D901" t="s">
        <v>24</v>
      </c>
      <c r="E901" t="s">
        <v>48</v>
      </c>
      <c r="F901" t="s">
        <v>26</v>
      </c>
      <c r="G901" t="s">
        <v>49</v>
      </c>
      <c r="H901" s="1">
        <v>45065.841516203705</v>
      </c>
      <c r="I901" s="1">
        <v>45067.841516203705</v>
      </c>
      <c r="J901" s="1">
        <v>45065.88318287037</v>
      </c>
      <c r="K901" s="2">
        <v>45065.85562746528</v>
      </c>
      <c r="L901" t="s">
        <v>28</v>
      </c>
      <c r="M901" s="2">
        <v>45066.047495474537</v>
      </c>
      <c r="N901" t="s">
        <v>28</v>
      </c>
      <c r="P901">
        <v>3</v>
      </c>
      <c r="R901" t="s">
        <v>29</v>
      </c>
      <c r="S901" t="s">
        <v>30</v>
      </c>
      <c r="T901" t="s">
        <v>51</v>
      </c>
      <c r="U901">
        <v>39.673369999999998</v>
      </c>
      <c r="V901">
        <v>-4.7677259999999997</v>
      </c>
      <c r="W901" t="str">
        <f t="shared" si="99"/>
        <v>ok</v>
      </c>
      <c r="X901" t="str">
        <f t="shared" si="105"/>
        <v>ok</v>
      </c>
      <c r="Y901" t="str">
        <f t="shared" si="100"/>
        <v>ok</v>
      </c>
      <c r="Z901" t="str">
        <f t="shared" si="101"/>
        <v>ok</v>
      </c>
      <c r="AA901" s="4" t="str">
        <f t="shared" si="102"/>
        <v>ok</v>
      </c>
      <c r="AB901" s="4" t="str">
        <f t="shared" si="103"/>
        <v>ok</v>
      </c>
      <c r="AC901" s="6">
        <f t="shared" si="104"/>
        <v>4.943502499954775</v>
      </c>
    </row>
    <row r="902" spans="1:29" x14ac:dyDescent="0.3">
      <c r="A902" t="s">
        <v>22</v>
      </c>
      <c r="B902">
        <v>2143</v>
      </c>
      <c r="C902" t="s">
        <v>47</v>
      </c>
      <c r="D902" t="s">
        <v>24</v>
      </c>
      <c r="E902" t="s">
        <v>59</v>
      </c>
      <c r="F902" t="s">
        <v>26</v>
      </c>
      <c r="G902" t="s">
        <v>52</v>
      </c>
      <c r="H902" s="1">
        <v>45065.759282407409</v>
      </c>
      <c r="I902" s="1">
        <v>45067.759282407409</v>
      </c>
      <c r="J902" s="1">
        <v>45065.800949074073</v>
      </c>
      <c r="K902" s="2">
        <v>45065.795123055555</v>
      </c>
      <c r="L902" t="s">
        <v>28</v>
      </c>
      <c r="M902" s="2">
        <v>45066.015882164349</v>
      </c>
      <c r="N902" t="s">
        <v>28</v>
      </c>
      <c r="O902" s="2">
        <v>45070.051513321756</v>
      </c>
      <c r="P902">
        <v>5</v>
      </c>
      <c r="Q902">
        <v>2</v>
      </c>
      <c r="R902" t="s">
        <v>50</v>
      </c>
      <c r="S902" t="s">
        <v>30</v>
      </c>
      <c r="T902" t="s">
        <v>63</v>
      </c>
      <c r="U902">
        <v>55.378051999999997</v>
      </c>
      <c r="V902">
        <v>-3.4359730000000002</v>
      </c>
      <c r="W902" t="str">
        <f t="shared" si="99"/>
        <v>ok</v>
      </c>
      <c r="X902" t="str">
        <f t="shared" si="105"/>
        <v>ok</v>
      </c>
      <c r="Y902" t="str">
        <f t="shared" si="100"/>
        <v>ok</v>
      </c>
      <c r="Z902" t="str">
        <f t="shared" si="101"/>
        <v>ok</v>
      </c>
      <c r="AA902" s="4" t="str">
        <f t="shared" si="102"/>
        <v>ok</v>
      </c>
      <c r="AB902" s="4" t="str">
        <f t="shared" si="103"/>
        <v>ok</v>
      </c>
      <c r="AC902" s="6">
        <f t="shared" si="104"/>
        <v>6.1583941665594466</v>
      </c>
    </row>
    <row r="903" spans="1:29" x14ac:dyDescent="0.3">
      <c r="A903" t="s">
        <v>22</v>
      </c>
      <c r="B903">
        <v>2144</v>
      </c>
      <c r="C903" t="s">
        <v>23</v>
      </c>
      <c r="D903" t="s">
        <v>24</v>
      </c>
      <c r="E903" t="s">
        <v>25</v>
      </c>
      <c r="F903" t="s">
        <v>26</v>
      </c>
      <c r="G903" t="s">
        <v>49</v>
      </c>
      <c r="H903" s="1">
        <v>45065.934513888889</v>
      </c>
      <c r="I903" s="1">
        <v>45067.934513888889</v>
      </c>
      <c r="J903" s="1">
        <v>45065.976180555554</v>
      </c>
      <c r="K903" s="2">
        <v>45066.043501377317</v>
      </c>
      <c r="L903" t="s">
        <v>38</v>
      </c>
      <c r="M903" s="2">
        <v>45066.107729884257</v>
      </c>
      <c r="N903" t="s">
        <v>28</v>
      </c>
      <c r="O903" s="2">
        <v>45070.229352650465</v>
      </c>
      <c r="P903">
        <v>1</v>
      </c>
      <c r="Q903">
        <v>5</v>
      </c>
      <c r="R903" t="s">
        <v>50</v>
      </c>
      <c r="S903" t="s">
        <v>30</v>
      </c>
      <c r="T903" t="s">
        <v>57</v>
      </c>
      <c r="U903">
        <v>51.165691000000002</v>
      </c>
      <c r="V903">
        <v>10.451525999999999</v>
      </c>
      <c r="W903" t="str">
        <f t="shared" si="99"/>
        <v>ok</v>
      </c>
      <c r="X903" t="str">
        <f t="shared" si="105"/>
        <v>ok</v>
      </c>
      <c r="Y903" t="str">
        <f t="shared" si="100"/>
        <v>ok</v>
      </c>
      <c r="Z903" t="str">
        <f t="shared" si="101"/>
        <v>ok</v>
      </c>
      <c r="AA903" s="4" t="str">
        <f t="shared" si="102"/>
        <v>ok</v>
      </c>
      <c r="AB903" s="4" t="str">
        <f t="shared" si="103"/>
        <v>ok</v>
      </c>
      <c r="AC903" s="6">
        <f t="shared" si="104"/>
        <v>4.1571838888339698</v>
      </c>
    </row>
    <row r="904" spans="1:29" x14ac:dyDescent="0.3">
      <c r="A904" t="s">
        <v>42</v>
      </c>
      <c r="B904">
        <v>2145</v>
      </c>
      <c r="C904" t="s">
        <v>47</v>
      </c>
      <c r="D904" t="s">
        <v>43</v>
      </c>
      <c r="E904" t="s">
        <v>35</v>
      </c>
      <c r="F904" t="s">
        <v>36</v>
      </c>
      <c r="G904" t="s">
        <v>54</v>
      </c>
      <c r="H904" s="1">
        <v>45065.9528587963</v>
      </c>
      <c r="I904" s="1">
        <v>45066.9528587963</v>
      </c>
      <c r="J904" s="1">
        <v>45065.954247685186</v>
      </c>
      <c r="K904" s="2">
        <v>45065.953227129627</v>
      </c>
      <c r="L904" t="s">
        <v>28</v>
      </c>
      <c r="M904" s="2">
        <v>45066.102232951387</v>
      </c>
      <c r="N904" t="s">
        <v>28</v>
      </c>
      <c r="P904">
        <v>3</v>
      </c>
      <c r="R904" t="s">
        <v>50</v>
      </c>
      <c r="S904" t="s">
        <v>40</v>
      </c>
      <c r="T904" t="s">
        <v>41</v>
      </c>
      <c r="U904">
        <v>43.036776000000003</v>
      </c>
      <c r="V904">
        <v>12.678565000000001</v>
      </c>
      <c r="W904" t="str">
        <f t="shared" si="99"/>
        <v>ok</v>
      </c>
      <c r="X904" t="str">
        <f t="shared" si="105"/>
        <v>ok</v>
      </c>
      <c r="Y904" t="str">
        <f t="shared" si="100"/>
        <v>ok</v>
      </c>
      <c r="Z904" t="str">
        <f t="shared" si="101"/>
        <v>ok</v>
      </c>
      <c r="AA904" s="4" t="str">
        <f t="shared" si="102"/>
        <v>ok</v>
      </c>
      <c r="AB904" s="4" t="str">
        <f t="shared" si="103"/>
        <v>ok</v>
      </c>
      <c r="AC904" s="6">
        <f t="shared" si="104"/>
        <v>3.584979722101707</v>
      </c>
    </row>
    <row r="905" spans="1:29" x14ac:dyDescent="0.3">
      <c r="A905" t="s">
        <v>32</v>
      </c>
      <c r="B905">
        <v>2146</v>
      </c>
      <c r="C905" t="s">
        <v>23</v>
      </c>
      <c r="D905" t="s">
        <v>24</v>
      </c>
      <c r="E905" t="s">
        <v>25</v>
      </c>
      <c r="F905" t="s">
        <v>26</v>
      </c>
      <c r="G905" t="s">
        <v>52</v>
      </c>
      <c r="H905" s="1">
        <v>45065.452245370368</v>
      </c>
      <c r="I905" s="1">
        <v>45067.452245370368</v>
      </c>
      <c r="J905" s="1">
        <v>45065.49391203704</v>
      </c>
      <c r="K905" s="2">
        <v>45065.463252187503</v>
      </c>
      <c r="L905" t="s">
        <v>28</v>
      </c>
      <c r="N905" t="s">
        <v>38</v>
      </c>
      <c r="P905">
        <v>1</v>
      </c>
      <c r="R905" t="s">
        <v>29</v>
      </c>
      <c r="S905" t="s">
        <v>30</v>
      </c>
      <c r="T905" t="s">
        <v>63</v>
      </c>
      <c r="U905">
        <v>55.378051999999997</v>
      </c>
      <c r="V905">
        <v>-3.4359730000000002</v>
      </c>
      <c r="W905" t="str">
        <f t="shared" si="99"/>
        <v>ok</v>
      </c>
      <c r="X905" t="str">
        <f t="shared" si="105"/>
        <v>ok</v>
      </c>
      <c r="Y905" t="str">
        <f t="shared" si="100"/>
        <v>ok</v>
      </c>
      <c r="Z905" t="str">
        <f t="shared" si="101"/>
        <v>ok</v>
      </c>
      <c r="AA905" s="4" t="str">
        <f t="shared" si="102"/>
        <v>ok</v>
      </c>
      <c r="AB905" s="4" t="str">
        <f t="shared" si="103"/>
        <v>no resolution</v>
      </c>
      <c r="AC905" s="6" t="str">
        <f t="shared" si="104"/>
        <v/>
      </c>
    </row>
    <row r="906" spans="1:29" x14ac:dyDescent="0.3">
      <c r="A906" t="s">
        <v>42</v>
      </c>
      <c r="B906">
        <v>2147</v>
      </c>
      <c r="C906" t="s">
        <v>33</v>
      </c>
      <c r="D906" t="s">
        <v>24</v>
      </c>
      <c r="E906" t="s">
        <v>25</v>
      </c>
      <c r="F906" t="s">
        <v>26</v>
      </c>
      <c r="G906" t="s">
        <v>52</v>
      </c>
      <c r="H906" s="1">
        <v>45066.026493055557</v>
      </c>
      <c r="I906" s="1">
        <v>45068.026493055557</v>
      </c>
      <c r="J906" s="1">
        <v>45066.068159722221</v>
      </c>
      <c r="K906" s="2">
        <v>45066.027239710646</v>
      </c>
      <c r="L906" t="s">
        <v>28</v>
      </c>
      <c r="M906" s="2">
        <v>45067.708010648152</v>
      </c>
      <c r="N906" t="s">
        <v>28</v>
      </c>
      <c r="P906">
        <v>6</v>
      </c>
      <c r="R906" t="s">
        <v>39</v>
      </c>
      <c r="S906" t="s">
        <v>30</v>
      </c>
      <c r="T906" t="s">
        <v>57</v>
      </c>
      <c r="U906">
        <v>51.165691000000002</v>
      </c>
      <c r="V906">
        <v>10.451525999999999</v>
      </c>
      <c r="W906" t="str">
        <f t="shared" si="99"/>
        <v>ok</v>
      </c>
      <c r="X906" t="str">
        <f t="shared" si="105"/>
        <v>ok</v>
      </c>
      <c r="Y906" t="str">
        <f t="shared" si="100"/>
        <v>ok</v>
      </c>
      <c r="Z906" t="str">
        <f t="shared" si="101"/>
        <v>ok</v>
      </c>
      <c r="AA906" s="4" t="str">
        <f t="shared" si="102"/>
        <v>ok</v>
      </c>
      <c r="AB906" s="4" t="str">
        <f t="shared" si="103"/>
        <v>ok</v>
      </c>
      <c r="AC906" s="6">
        <f t="shared" si="104"/>
        <v>40.356422222277615</v>
      </c>
    </row>
    <row r="907" spans="1:29" x14ac:dyDescent="0.3">
      <c r="A907" t="s">
        <v>42</v>
      </c>
      <c r="B907">
        <v>2151</v>
      </c>
      <c r="C907" t="s">
        <v>23</v>
      </c>
      <c r="D907" t="s">
        <v>24</v>
      </c>
      <c r="E907" t="s">
        <v>25</v>
      </c>
      <c r="F907" t="s">
        <v>26</v>
      </c>
      <c r="G907" t="s">
        <v>60</v>
      </c>
      <c r="H907" s="1">
        <v>45066.620532407411</v>
      </c>
      <c r="I907" s="1">
        <v>45068.620532407411</v>
      </c>
      <c r="J907" s="1">
        <v>45066.662199074075</v>
      </c>
      <c r="K907" s="2">
        <v>45066.656404259258</v>
      </c>
      <c r="L907" t="s">
        <v>28</v>
      </c>
      <c r="M907" s="2">
        <v>45068.251675474537</v>
      </c>
      <c r="N907" t="s">
        <v>28</v>
      </c>
      <c r="P907">
        <v>6</v>
      </c>
      <c r="R907" t="s">
        <v>50</v>
      </c>
      <c r="S907" t="s">
        <v>30</v>
      </c>
      <c r="T907" t="s">
        <v>53</v>
      </c>
      <c r="U907">
        <v>39.368279000000001</v>
      </c>
      <c r="V907">
        <v>21.863140999999999</v>
      </c>
      <c r="W907" t="str">
        <f t="shared" si="99"/>
        <v>ok</v>
      </c>
      <c r="X907" t="str">
        <f t="shared" si="105"/>
        <v>ok</v>
      </c>
      <c r="Y907" t="str">
        <f t="shared" si="100"/>
        <v>ok</v>
      </c>
      <c r="Z907" t="str">
        <f t="shared" si="101"/>
        <v>ok</v>
      </c>
      <c r="AA907" s="4" t="str">
        <f t="shared" si="102"/>
        <v>ok</v>
      </c>
      <c r="AB907" s="4" t="str">
        <f t="shared" si="103"/>
        <v>ok</v>
      </c>
      <c r="AC907" s="6">
        <f t="shared" si="104"/>
        <v>39.147433611040469</v>
      </c>
    </row>
    <row r="908" spans="1:29" x14ac:dyDescent="0.3">
      <c r="A908" t="s">
        <v>32</v>
      </c>
      <c r="B908">
        <v>2152</v>
      </c>
      <c r="C908" t="s">
        <v>23</v>
      </c>
      <c r="D908" t="s">
        <v>43</v>
      </c>
      <c r="E908" t="s">
        <v>35</v>
      </c>
      <c r="F908" t="s">
        <v>26</v>
      </c>
      <c r="G908" t="s">
        <v>49</v>
      </c>
      <c r="H908" s="1">
        <v>45066.169120370374</v>
      </c>
      <c r="I908" s="1">
        <v>45067.169120370374</v>
      </c>
      <c r="J908" s="1">
        <v>45066.17050925926</v>
      </c>
      <c r="K908" s="2">
        <v>45066.170523460649</v>
      </c>
      <c r="L908" t="s">
        <v>38</v>
      </c>
      <c r="N908" t="s">
        <v>38</v>
      </c>
      <c r="P908">
        <v>3</v>
      </c>
      <c r="R908" t="s">
        <v>50</v>
      </c>
      <c r="S908" t="s">
        <v>30</v>
      </c>
      <c r="T908" t="s">
        <v>51</v>
      </c>
      <c r="U908">
        <v>39.673369999999998</v>
      </c>
      <c r="V908">
        <v>-4.7677259999999997</v>
      </c>
      <c r="W908" t="str">
        <f t="shared" si="99"/>
        <v>ok</v>
      </c>
      <c r="X908" t="str">
        <f t="shared" si="105"/>
        <v>ok</v>
      </c>
      <c r="Y908" t="str">
        <f t="shared" si="100"/>
        <v>ok</v>
      </c>
      <c r="Z908" t="str">
        <f t="shared" si="101"/>
        <v>ok</v>
      </c>
      <c r="AA908" s="4" t="str">
        <f t="shared" si="102"/>
        <v>ok</v>
      </c>
      <c r="AB908" s="4" t="str">
        <f t="shared" si="103"/>
        <v>no resolution</v>
      </c>
      <c r="AC908" s="6" t="str">
        <f t="shared" si="104"/>
        <v/>
      </c>
    </row>
    <row r="909" spans="1:29" x14ac:dyDescent="0.3">
      <c r="A909" t="s">
        <v>42</v>
      </c>
      <c r="B909">
        <v>2153</v>
      </c>
      <c r="C909" t="s">
        <v>23</v>
      </c>
      <c r="D909" t="s">
        <v>34</v>
      </c>
      <c r="E909" t="s">
        <v>44</v>
      </c>
      <c r="F909" t="s">
        <v>26</v>
      </c>
      <c r="G909" t="s">
        <v>49</v>
      </c>
      <c r="H909" s="1">
        <v>45066.656041666669</v>
      </c>
      <c r="I909" s="1">
        <v>45068.656041666669</v>
      </c>
      <c r="J909" s="1">
        <v>45066.657430555555</v>
      </c>
      <c r="K909" s="2">
        <v>45066.656371539349</v>
      </c>
      <c r="L909" t="s">
        <v>28</v>
      </c>
      <c r="M909" s="2">
        <v>45067.374504259256</v>
      </c>
      <c r="N909" t="s">
        <v>28</v>
      </c>
      <c r="P909">
        <v>6</v>
      </c>
      <c r="R909" t="s">
        <v>50</v>
      </c>
      <c r="S909" t="s">
        <v>30</v>
      </c>
      <c r="T909" t="s">
        <v>53</v>
      </c>
      <c r="U909">
        <v>39.368279000000001</v>
      </c>
      <c r="V909">
        <v>21.863140999999999</v>
      </c>
      <c r="W909" t="str">
        <f t="shared" si="99"/>
        <v>ok</v>
      </c>
      <c r="X909" t="str">
        <f t="shared" si="105"/>
        <v>ok</v>
      </c>
      <c r="Y909" t="str">
        <f t="shared" si="100"/>
        <v>ok</v>
      </c>
      <c r="Z909" t="str">
        <f t="shared" si="101"/>
        <v>ok</v>
      </c>
      <c r="AA909" s="4" t="str">
        <f t="shared" si="102"/>
        <v>ok</v>
      </c>
      <c r="AB909" s="4" t="str">
        <f t="shared" si="103"/>
        <v>ok</v>
      </c>
      <c r="AC909" s="6">
        <f t="shared" si="104"/>
        <v>17.243102222098969</v>
      </c>
    </row>
    <row r="910" spans="1:29" x14ac:dyDescent="0.3">
      <c r="A910" t="s">
        <v>32</v>
      </c>
      <c r="B910">
        <v>2154</v>
      </c>
      <c r="C910" t="s">
        <v>47</v>
      </c>
      <c r="D910" t="s">
        <v>24</v>
      </c>
      <c r="E910" t="s">
        <v>35</v>
      </c>
      <c r="F910" t="s">
        <v>26</v>
      </c>
      <c r="G910" t="s">
        <v>52</v>
      </c>
      <c r="H910" s="1">
        <v>45067.442025462966</v>
      </c>
      <c r="I910" s="1">
        <v>45069.442025462966</v>
      </c>
      <c r="J910" s="1">
        <v>45067.48369212963</v>
      </c>
      <c r="K910" s="2">
        <v>45067.468797650465</v>
      </c>
      <c r="L910" t="s">
        <v>28</v>
      </c>
      <c r="N910" t="s">
        <v>38</v>
      </c>
      <c r="P910">
        <v>1</v>
      </c>
      <c r="R910" t="s">
        <v>29</v>
      </c>
      <c r="S910" t="s">
        <v>30</v>
      </c>
      <c r="T910" t="s">
        <v>46</v>
      </c>
      <c r="U910">
        <v>47.696471899999999</v>
      </c>
      <c r="V910">
        <v>13.3457347</v>
      </c>
      <c r="W910" t="str">
        <f t="shared" si="99"/>
        <v>ok</v>
      </c>
      <c r="X910" t="str">
        <f t="shared" si="105"/>
        <v>ok</v>
      </c>
      <c r="Y910" t="str">
        <f t="shared" si="100"/>
        <v>ok</v>
      </c>
      <c r="Z910" t="str">
        <f t="shared" si="101"/>
        <v>ok</v>
      </c>
      <c r="AA910" s="4" t="str">
        <f t="shared" si="102"/>
        <v>ok</v>
      </c>
      <c r="AB910" s="4" t="str">
        <f t="shared" si="103"/>
        <v>no resolution</v>
      </c>
      <c r="AC910" s="6" t="str">
        <f t="shared" si="104"/>
        <v/>
      </c>
    </row>
    <row r="911" spans="1:29" x14ac:dyDescent="0.3">
      <c r="A911" t="s">
        <v>22</v>
      </c>
      <c r="B911">
        <v>2155</v>
      </c>
      <c r="C911" t="s">
        <v>33</v>
      </c>
      <c r="D911" t="s">
        <v>24</v>
      </c>
      <c r="E911" t="s">
        <v>39</v>
      </c>
      <c r="F911" t="s">
        <v>26</v>
      </c>
      <c r="G911" t="s">
        <v>45</v>
      </c>
      <c r="H911" s="1">
        <v>45067.31077546296</v>
      </c>
      <c r="I911" s="1">
        <v>45069.31077546296</v>
      </c>
      <c r="J911" s="1">
        <v>45067.352442129632</v>
      </c>
      <c r="K911" s="2">
        <v>45067.342961481481</v>
      </c>
      <c r="L911" t="s">
        <v>28</v>
      </c>
      <c r="M911" s="2">
        <v>45069.006842060182</v>
      </c>
      <c r="N911" t="s">
        <v>28</v>
      </c>
      <c r="O911" s="2">
        <v>45069.614497488423</v>
      </c>
      <c r="P911">
        <v>6</v>
      </c>
      <c r="Q911">
        <v>2</v>
      </c>
      <c r="R911" t="s">
        <v>55</v>
      </c>
      <c r="S911" t="s">
        <v>30</v>
      </c>
      <c r="T911" t="s">
        <v>31</v>
      </c>
      <c r="U911">
        <v>53.094023999999997</v>
      </c>
      <c r="V911">
        <v>-8.0196749999999994</v>
      </c>
      <c r="W911" t="str">
        <f t="shared" si="99"/>
        <v>ok</v>
      </c>
      <c r="X911" t="str">
        <f t="shared" si="105"/>
        <v>ok</v>
      </c>
      <c r="Y911" t="str">
        <f t="shared" si="100"/>
        <v>ok</v>
      </c>
      <c r="Z911" t="str">
        <f t="shared" si="101"/>
        <v>ok</v>
      </c>
      <c r="AA911" s="4" t="str">
        <f t="shared" si="102"/>
        <v>ok</v>
      </c>
      <c r="AB911" s="4" t="str">
        <f t="shared" si="103"/>
        <v>ok</v>
      </c>
      <c r="AC911" s="6">
        <f t="shared" si="104"/>
        <v>40.705598333326634</v>
      </c>
    </row>
    <row r="912" spans="1:29" x14ac:dyDescent="0.3">
      <c r="A912" t="s">
        <v>42</v>
      </c>
      <c r="B912">
        <v>2156</v>
      </c>
      <c r="C912" t="s">
        <v>47</v>
      </c>
      <c r="D912" t="s">
        <v>34</v>
      </c>
      <c r="E912" t="s">
        <v>35</v>
      </c>
      <c r="F912" t="s">
        <v>26</v>
      </c>
      <c r="G912" t="s">
        <v>45</v>
      </c>
      <c r="H912" s="1">
        <v>45067.862349537034</v>
      </c>
      <c r="I912" s="1">
        <v>45069.862349537034</v>
      </c>
      <c r="J912" s="1">
        <v>45067.863738425927</v>
      </c>
      <c r="K912" s="2">
        <v>45067.862486122685</v>
      </c>
      <c r="L912" t="s">
        <v>28</v>
      </c>
      <c r="M912" s="2">
        <v>45069.190716793979</v>
      </c>
      <c r="N912" t="s">
        <v>28</v>
      </c>
      <c r="P912">
        <v>2</v>
      </c>
      <c r="R912" t="s">
        <v>29</v>
      </c>
      <c r="S912" t="s">
        <v>30</v>
      </c>
      <c r="T912" t="s">
        <v>66</v>
      </c>
      <c r="U912">
        <v>48.864716000000001</v>
      </c>
      <c r="V912">
        <v>2.3490139999999999</v>
      </c>
      <c r="W912" t="str">
        <f t="shared" si="99"/>
        <v>ok</v>
      </c>
      <c r="X912" t="str">
        <f t="shared" si="105"/>
        <v>ok</v>
      </c>
      <c r="Y912" t="str">
        <f t="shared" si="100"/>
        <v>ok</v>
      </c>
      <c r="Z912" t="str">
        <f t="shared" si="101"/>
        <v>ok</v>
      </c>
      <c r="AA912" s="4" t="str">
        <f t="shared" si="102"/>
        <v>ok</v>
      </c>
      <c r="AB912" s="4" t="str">
        <f t="shared" si="103"/>
        <v>ok</v>
      </c>
      <c r="AC912" s="6">
        <f t="shared" si="104"/>
        <v>31.880814166681375</v>
      </c>
    </row>
    <row r="913" spans="1:29" x14ac:dyDescent="0.3">
      <c r="A913" t="s">
        <v>22</v>
      </c>
      <c r="B913">
        <v>2161</v>
      </c>
      <c r="C913" t="s">
        <v>47</v>
      </c>
      <c r="D913" t="s">
        <v>34</v>
      </c>
      <c r="E913" t="s">
        <v>35</v>
      </c>
      <c r="F913" t="s">
        <v>36</v>
      </c>
      <c r="G913" t="s">
        <v>64</v>
      </c>
      <c r="H913" s="1">
        <v>45068.700289351851</v>
      </c>
      <c r="I913" s="1">
        <v>45070.700289351851</v>
      </c>
      <c r="J913" s="1">
        <v>45068.701678240737</v>
      </c>
      <c r="K913" s="2">
        <v>45068.703298900466</v>
      </c>
      <c r="L913" t="s">
        <v>38</v>
      </c>
      <c r="M913" s="2">
        <v>45069.241460266203</v>
      </c>
      <c r="N913" t="s">
        <v>28</v>
      </c>
      <c r="O913" s="2">
        <v>45071.732068460646</v>
      </c>
      <c r="P913">
        <v>6</v>
      </c>
      <c r="Q913">
        <v>3</v>
      </c>
      <c r="R913" t="s">
        <v>39</v>
      </c>
      <c r="S913" t="s">
        <v>40</v>
      </c>
      <c r="T913" t="s">
        <v>31</v>
      </c>
      <c r="U913">
        <v>53.094023999999997</v>
      </c>
      <c r="V913">
        <v>-8.0196749999999994</v>
      </c>
      <c r="W913" t="str">
        <f t="shared" si="99"/>
        <v>ok</v>
      </c>
      <c r="X913" t="str">
        <f t="shared" si="105"/>
        <v>ok</v>
      </c>
      <c r="Y913" t="str">
        <f t="shared" si="100"/>
        <v>ok</v>
      </c>
      <c r="Z913" t="str">
        <f t="shared" si="101"/>
        <v>ok</v>
      </c>
      <c r="AA913" s="4" t="str">
        <f t="shared" si="102"/>
        <v>ok</v>
      </c>
      <c r="AB913" s="4" t="str">
        <f t="shared" si="103"/>
        <v>ok</v>
      </c>
      <c r="AC913" s="6">
        <f t="shared" si="104"/>
        <v>12.98810194444377</v>
      </c>
    </row>
    <row r="914" spans="1:29" x14ac:dyDescent="0.3">
      <c r="A914" t="s">
        <v>42</v>
      </c>
      <c r="B914">
        <v>2162</v>
      </c>
      <c r="C914" t="s">
        <v>47</v>
      </c>
      <c r="D914" t="s">
        <v>24</v>
      </c>
      <c r="E914" t="s">
        <v>59</v>
      </c>
      <c r="F914" t="s">
        <v>26</v>
      </c>
      <c r="G914" t="s">
        <v>60</v>
      </c>
      <c r="H914" s="1">
        <v>45068.224444444444</v>
      </c>
      <c r="I914" s="1">
        <v>45070.224444444444</v>
      </c>
      <c r="J914" s="1">
        <v>45068.266111111108</v>
      </c>
      <c r="K914" s="2">
        <v>45068.240534780096</v>
      </c>
      <c r="L914" t="s">
        <v>28</v>
      </c>
      <c r="M914" s="2">
        <v>45069.144245578704</v>
      </c>
      <c r="N914" t="s">
        <v>28</v>
      </c>
      <c r="P914">
        <v>1</v>
      </c>
      <c r="R914" t="s">
        <v>50</v>
      </c>
      <c r="S914" t="s">
        <v>30</v>
      </c>
      <c r="T914" t="s">
        <v>56</v>
      </c>
      <c r="U914">
        <v>52.536273000000001</v>
      </c>
      <c r="V914">
        <v>19.050639</v>
      </c>
      <c r="W914" t="str">
        <f t="shared" si="99"/>
        <v>ok</v>
      </c>
      <c r="X914" t="str">
        <f t="shared" si="105"/>
        <v>ok</v>
      </c>
      <c r="Y914" t="str">
        <f t="shared" si="100"/>
        <v>ok</v>
      </c>
      <c r="Z914" t="str">
        <f t="shared" si="101"/>
        <v>ok</v>
      </c>
      <c r="AA914" s="4" t="str">
        <f t="shared" si="102"/>
        <v>ok</v>
      </c>
      <c r="AB914" s="4" t="str">
        <f t="shared" si="103"/>
        <v>ok</v>
      </c>
      <c r="AC914" s="6">
        <f t="shared" si="104"/>
        <v>22.075227222230751</v>
      </c>
    </row>
    <row r="915" spans="1:29" x14ac:dyDescent="0.3">
      <c r="A915" t="s">
        <v>42</v>
      </c>
      <c r="B915">
        <v>2163</v>
      </c>
      <c r="C915" t="s">
        <v>47</v>
      </c>
      <c r="D915" t="s">
        <v>24</v>
      </c>
      <c r="E915" t="s">
        <v>35</v>
      </c>
      <c r="F915" t="s">
        <v>26</v>
      </c>
      <c r="G915" t="s">
        <v>52</v>
      </c>
      <c r="H915" s="1">
        <v>45068.777106481481</v>
      </c>
      <c r="I915" s="1">
        <v>45070.777106481481</v>
      </c>
      <c r="J915" s="1">
        <v>45068.818773148145</v>
      </c>
      <c r="K915" s="2">
        <v>45068.803222974537</v>
      </c>
      <c r="L915" t="s">
        <v>28</v>
      </c>
      <c r="M915" s="2">
        <v>45068.997500925929</v>
      </c>
      <c r="N915" t="s">
        <v>28</v>
      </c>
      <c r="P915">
        <v>9</v>
      </c>
      <c r="R915" t="s">
        <v>55</v>
      </c>
      <c r="S915" t="s">
        <v>30</v>
      </c>
      <c r="T915" t="s">
        <v>63</v>
      </c>
      <c r="U915">
        <v>55.378051999999997</v>
      </c>
      <c r="V915">
        <v>-3.4359730000000002</v>
      </c>
      <c r="W915" t="str">
        <f t="shared" si="99"/>
        <v>ok</v>
      </c>
      <c r="X915" t="str">
        <f t="shared" si="105"/>
        <v>ok</v>
      </c>
      <c r="Y915" t="str">
        <f t="shared" si="100"/>
        <v>ok</v>
      </c>
      <c r="Z915" t="str">
        <f t="shared" si="101"/>
        <v>ok</v>
      </c>
      <c r="AA915" s="4" t="str">
        <f t="shared" si="102"/>
        <v>ok</v>
      </c>
      <c r="AB915" s="4" t="str">
        <f t="shared" si="103"/>
        <v>ok</v>
      </c>
      <c r="AC915" s="6">
        <f t="shared" si="104"/>
        <v>5.2894666667561978</v>
      </c>
    </row>
    <row r="916" spans="1:29" x14ac:dyDescent="0.3">
      <c r="A916" t="s">
        <v>42</v>
      </c>
      <c r="B916">
        <v>2164</v>
      </c>
      <c r="C916" t="s">
        <v>33</v>
      </c>
      <c r="D916" t="s">
        <v>24</v>
      </c>
      <c r="E916" t="s">
        <v>59</v>
      </c>
      <c r="F916" t="s">
        <v>26</v>
      </c>
      <c r="G916" t="s">
        <v>27</v>
      </c>
      <c r="H916" s="1">
        <v>45068.887233796297</v>
      </c>
      <c r="I916" s="1">
        <v>45070.887233796297</v>
      </c>
      <c r="J916" s="1">
        <v>45068.928900462961</v>
      </c>
      <c r="K916" s="2">
        <v>45068.890338958336</v>
      </c>
      <c r="L916" t="s">
        <v>28</v>
      </c>
      <c r="M916" s="2">
        <v>45069.345281226852</v>
      </c>
      <c r="N916" t="s">
        <v>28</v>
      </c>
      <c r="P916">
        <v>1</v>
      </c>
      <c r="R916" t="s">
        <v>29</v>
      </c>
      <c r="S916" t="s">
        <v>30</v>
      </c>
      <c r="T916" t="s">
        <v>56</v>
      </c>
      <c r="U916">
        <v>52.536273000000001</v>
      </c>
      <c r="V916">
        <v>19.050639</v>
      </c>
      <c r="W916" t="str">
        <f t="shared" si="99"/>
        <v>ok</v>
      </c>
      <c r="X916" t="str">
        <f t="shared" si="105"/>
        <v>ok</v>
      </c>
      <c r="Y916" t="str">
        <f t="shared" si="100"/>
        <v>ok</v>
      </c>
      <c r="Z916" t="str">
        <f t="shared" si="101"/>
        <v>ok</v>
      </c>
      <c r="AA916" s="4" t="str">
        <f t="shared" si="102"/>
        <v>ok</v>
      </c>
      <c r="AB916" s="4" t="str">
        <f t="shared" si="103"/>
        <v>ok</v>
      </c>
      <c r="AC916" s="6">
        <f t="shared" si="104"/>
        <v>10.993138333316892</v>
      </c>
    </row>
    <row r="917" spans="1:29" x14ac:dyDescent="0.3">
      <c r="A917" t="s">
        <v>22</v>
      </c>
      <c r="B917">
        <v>2165</v>
      </c>
      <c r="C917" t="s">
        <v>23</v>
      </c>
      <c r="D917" t="s">
        <v>34</v>
      </c>
      <c r="E917" t="s">
        <v>48</v>
      </c>
      <c r="F917" t="s">
        <v>36</v>
      </c>
      <c r="G917" t="s">
        <v>64</v>
      </c>
      <c r="H917" s="1">
        <v>45068.4925</v>
      </c>
      <c r="I917" s="1">
        <v>45070.4925</v>
      </c>
      <c r="J917" s="1">
        <v>45068.493888888886</v>
      </c>
      <c r="K917" s="2">
        <v>45068.493094814818</v>
      </c>
      <c r="L917" t="s">
        <v>28</v>
      </c>
      <c r="M917" s="2">
        <v>45068.870904884257</v>
      </c>
      <c r="N917" t="s">
        <v>28</v>
      </c>
      <c r="O917" s="2">
        <v>45075.887218460652</v>
      </c>
      <c r="P917">
        <v>1</v>
      </c>
      <c r="Q917">
        <v>3</v>
      </c>
      <c r="R917" t="s">
        <v>50</v>
      </c>
      <c r="S917" t="s">
        <v>40</v>
      </c>
      <c r="T917" t="s">
        <v>53</v>
      </c>
      <c r="U917">
        <v>39.368279000000001</v>
      </c>
      <c r="V917">
        <v>21.863140999999999</v>
      </c>
      <c r="W917" t="str">
        <f t="shared" si="99"/>
        <v>ok</v>
      </c>
      <c r="X917" t="str">
        <f t="shared" si="105"/>
        <v>ok</v>
      </c>
      <c r="Y917" t="str">
        <f t="shared" si="100"/>
        <v>ok</v>
      </c>
      <c r="Z917" t="str">
        <f t="shared" si="101"/>
        <v>ok</v>
      </c>
      <c r="AA917" s="4" t="str">
        <f t="shared" si="102"/>
        <v>ok</v>
      </c>
      <c r="AB917" s="4" t="str">
        <f t="shared" si="103"/>
        <v>ok</v>
      </c>
      <c r="AC917" s="6">
        <f t="shared" si="104"/>
        <v>9.0817172221723013</v>
      </c>
    </row>
    <row r="918" spans="1:29" x14ac:dyDescent="0.3">
      <c r="A918" t="s">
        <v>42</v>
      </c>
      <c r="B918">
        <v>2166</v>
      </c>
      <c r="C918" t="s">
        <v>47</v>
      </c>
      <c r="D918" t="s">
        <v>34</v>
      </c>
      <c r="E918" t="s">
        <v>59</v>
      </c>
      <c r="F918" t="s">
        <v>36</v>
      </c>
      <c r="G918" t="s">
        <v>64</v>
      </c>
      <c r="H918" s="1">
        <v>45068.764849537038</v>
      </c>
      <c r="I918" s="1">
        <v>45070.764849537038</v>
      </c>
      <c r="J918" s="1">
        <v>45068.766238425924</v>
      </c>
      <c r="K918" s="2">
        <v>45068.7652796412</v>
      </c>
      <c r="L918" t="s">
        <v>28</v>
      </c>
      <c r="M918" s="2">
        <v>45070.114446342595</v>
      </c>
      <c r="N918" t="s">
        <v>28</v>
      </c>
      <c r="P918">
        <v>3</v>
      </c>
      <c r="R918" t="s">
        <v>55</v>
      </c>
      <c r="S918" t="s">
        <v>40</v>
      </c>
      <c r="T918" t="s">
        <v>46</v>
      </c>
      <c r="U918">
        <v>47.696471899999999</v>
      </c>
      <c r="V918">
        <v>13.3457347</v>
      </c>
      <c r="W918" t="str">
        <f t="shared" si="99"/>
        <v>ok</v>
      </c>
      <c r="X918" t="str">
        <f t="shared" si="105"/>
        <v>ok</v>
      </c>
      <c r="Y918" t="str">
        <f t="shared" si="100"/>
        <v>ok</v>
      </c>
      <c r="Z918" t="str">
        <f t="shared" si="101"/>
        <v>ok</v>
      </c>
      <c r="AA918" s="4" t="str">
        <f t="shared" si="102"/>
        <v>ok</v>
      </c>
      <c r="AB918" s="4" t="str">
        <f t="shared" si="103"/>
        <v>ok</v>
      </c>
      <c r="AC918" s="6">
        <f t="shared" si="104"/>
        <v>32.390323333384003</v>
      </c>
    </row>
    <row r="919" spans="1:29" x14ac:dyDescent="0.3">
      <c r="A919" t="s">
        <v>32</v>
      </c>
      <c r="B919">
        <v>2167</v>
      </c>
      <c r="C919" t="s">
        <v>23</v>
      </c>
      <c r="D919" t="s">
        <v>43</v>
      </c>
      <c r="E919" t="s">
        <v>48</v>
      </c>
      <c r="F919" t="s">
        <v>26</v>
      </c>
      <c r="G919" t="s">
        <v>52</v>
      </c>
      <c r="H919" s="1">
        <v>45068.157187500001</v>
      </c>
      <c r="I919" s="1">
        <v>45069.157187500001</v>
      </c>
      <c r="J919" s="1">
        <v>45068.158576388887</v>
      </c>
      <c r="K919" s="2">
        <v>45068.158126134258</v>
      </c>
      <c r="L919" t="s">
        <v>28</v>
      </c>
      <c r="N919" t="s">
        <v>38</v>
      </c>
      <c r="P919">
        <v>6</v>
      </c>
      <c r="R919" t="s">
        <v>50</v>
      </c>
      <c r="S919" t="s">
        <v>30</v>
      </c>
      <c r="T919" t="s">
        <v>66</v>
      </c>
      <c r="U919">
        <v>48.864716000000001</v>
      </c>
      <c r="V919">
        <v>2.3490139999999999</v>
      </c>
      <c r="W919" t="str">
        <f t="shared" si="99"/>
        <v>ok</v>
      </c>
      <c r="X919" t="str">
        <f t="shared" si="105"/>
        <v>ok</v>
      </c>
      <c r="Y919" t="str">
        <f t="shared" si="100"/>
        <v>ok</v>
      </c>
      <c r="Z919" t="str">
        <f t="shared" si="101"/>
        <v>ok</v>
      </c>
      <c r="AA919" s="4" t="str">
        <f t="shared" si="102"/>
        <v>ok</v>
      </c>
      <c r="AB919" s="4" t="str">
        <f t="shared" si="103"/>
        <v>no resolution</v>
      </c>
      <c r="AC919" s="6" t="str">
        <f t="shared" si="104"/>
        <v/>
      </c>
    </row>
    <row r="920" spans="1:29" x14ac:dyDescent="0.3">
      <c r="A920" t="s">
        <v>42</v>
      </c>
      <c r="B920">
        <v>2168</v>
      </c>
      <c r="C920" t="s">
        <v>47</v>
      </c>
      <c r="D920" t="s">
        <v>34</v>
      </c>
      <c r="E920" t="s">
        <v>48</v>
      </c>
      <c r="F920" t="s">
        <v>26</v>
      </c>
      <c r="G920" t="s">
        <v>60</v>
      </c>
      <c r="H920" s="1">
        <v>45068.312199074076</v>
      </c>
      <c r="I920" s="1">
        <v>45070.312199074076</v>
      </c>
      <c r="J920" s="1">
        <v>45068.313587962963</v>
      </c>
      <c r="K920" s="2">
        <v>45068.312463819442</v>
      </c>
      <c r="L920" t="s">
        <v>28</v>
      </c>
      <c r="M920" s="2">
        <v>45069.951913645833</v>
      </c>
      <c r="N920" t="s">
        <v>28</v>
      </c>
      <c r="P920">
        <v>4</v>
      </c>
      <c r="R920" t="s">
        <v>50</v>
      </c>
      <c r="S920" t="s">
        <v>30</v>
      </c>
      <c r="T920" t="s">
        <v>53</v>
      </c>
      <c r="U920">
        <v>39.368279000000001</v>
      </c>
      <c r="V920">
        <v>21.863140999999999</v>
      </c>
      <c r="W920" t="str">
        <f t="shared" si="99"/>
        <v>ok</v>
      </c>
      <c r="X920" t="str">
        <f t="shared" si="105"/>
        <v>ok</v>
      </c>
      <c r="Y920" t="str">
        <f t="shared" si="100"/>
        <v>ok</v>
      </c>
      <c r="Z920" t="str">
        <f t="shared" si="101"/>
        <v>ok</v>
      </c>
      <c r="AA920" s="4" t="str">
        <f t="shared" si="102"/>
        <v>ok</v>
      </c>
      <c r="AB920" s="4" t="str">
        <f t="shared" si="103"/>
        <v>ok</v>
      </c>
      <c r="AC920" s="6">
        <f t="shared" si="104"/>
        <v>39.353149722155649</v>
      </c>
    </row>
    <row r="921" spans="1:29" x14ac:dyDescent="0.3">
      <c r="A921" t="s">
        <v>22</v>
      </c>
      <c r="B921">
        <v>2169</v>
      </c>
      <c r="C921" t="s">
        <v>47</v>
      </c>
      <c r="D921" t="s">
        <v>24</v>
      </c>
      <c r="E921" t="s">
        <v>44</v>
      </c>
      <c r="F921" t="s">
        <v>36</v>
      </c>
      <c r="G921" t="s">
        <v>64</v>
      </c>
      <c r="H921" s="1">
        <v>45068.50644675926</v>
      </c>
      <c r="I921" s="1">
        <v>45070.50644675926</v>
      </c>
      <c r="J921" s="1">
        <v>45068.548113425924</v>
      </c>
      <c r="K921" s="2">
        <v>45068.544254907407</v>
      </c>
      <c r="L921" t="s">
        <v>28</v>
      </c>
      <c r="M921" s="2">
        <v>45069.236914733796</v>
      </c>
      <c r="N921" t="s">
        <v>28</v>
      </c>
      <c r="O921" s="2">
        <v>45074.2877553125</v>
      </c>
      <c r="P921">
        <v>3</v>
      </c>
      <c r="Q921">
        <v>4</v>
      </c>
      <c r="R921" t="s">
        <v>55</v>
      </c>
      <c r="S921" t="s">
        <v>40</v>
      </c>
      <c r="T921" t="s">
        <v>31</v>
      </c>
      <c r="U921">
        <v>53.094023999999997</v>
      </c>
      <c r="V921">
        <v>-8.0196749999999994</v>
      </c>
      <c r="W921" t="str">
        <f t="shared" si="99"/>
        <v>ok</v>
      </c>
      <c r="X921" t="str">
        <f t="shared" si="105"/>
        <v>ok</v>
      </c>
      <c r="Y921" t="str">
        <f t="shared" si="100"/>
        <v>ok</v>
      </c>
      <c r="Z921" t="str">
        <f t="shared" si="101"/>
        <v>ok</v>
      </c>
      <c r="AA921" s="4" t="str">
        <f t="shared" si="102"/>
        <v>ok</v>
      </c>
      <c r="AB921" s="4" t="str">
        <f t="shared" si="103"/>
        <v>ok</v>
      </c>
      <c r="AC921" s="6">
        <f t="shared" si="104"/>
        <v>17.531231388857123</v>
      </c>
    </row>
    <row r="922" spans="1:29" x14ac:dyDescent="0.3">
      <c r="A922" t="s">
        <v>42</v>
      </c>
      <c r="B922">
        <v>2170</v>
      </c>
      <c r="C922" t="s">
        <v>23</v>
      </c>
      <c r="D922" t="s">
        <v>24</v>
      </c>
      <c r="E922" t="s">
        <v>25</v>
      </c>
      <c r="F922" t="s">
        <v>26</v>
      </c>
      <c r="G922" t="s">
        <v>52</v>
      </c>
      <c r="H922" s="1">
        <v>45068.435266203705</v>
      </c>
      <c r="I922" s="1">
        <v>45070.435266203705</v>
      </c>
      <c r="J922" s="1">
        <v>45068.47693287037</v>
      </c>
      <c r="K922" s="2">
        <v>45068.458460439811</v>
      </c>
      <c r="L922" t="s">
        <v>28</v>
      </c>
      <c r="M922" s="2">
        <v>45069.951217951391</v>
      </c>
      <c r="N922" t="s">
        <v>28</v>
      </c>
      <c r="P922">
        <v>8</v>
      </c>
      <c r="R922" t="s">
        <v>39</v>
      </c>
      <c r="S922" t="s">
        <v>30</v>
      </c>
      <c r="T922" t="s">
        <v>51</v>
      </c>
      <c r="U922">
        <v>39.673369999999998</v>
      </c>
      <c r="V922">
        <v>-4.7677259999999997</v>
      </c>
      <c r="W922" t="str">
        <f t="shared" si="99"/>
        <v>ok</v>
      </c>
      <c r="X922" t="str">
        <f t="shared" si="105"/>
        <v>ok</v>
      </c>
      <c r="Y922" t="str">
        <f t="shared" si="100"/>
        <v>ok</v>
      </c>
      <c r="Z922" t="str">
        <f t="shared" si="101"/>
        <v>ok</v>
      </c>
      <c r="AA922" s="4" t="str">
        <f t="shared" si="102"/>
        <v>ok</v>
      </c>
      <c r="AB922" s="4" t="str">
        <f t="shared" si="103"/>
        <v>ok</v>
      </c>
      <c r="AC922" s="6">
        <f t="shared" si="104"/>
        <v>36.382841944461688</v>
      </c>
    </row>
    <row r="923" spans="1:29" x14ac:dyDescent="0.3">
      <c r="A923" t="s">
        <v>32</v>
      </c>
      <c r="B923">
        <v>2171</v>
      </c>
      <c r="C923" t="s">
        <v>23</v>
      </c>
      <c r="D923" t="s">
        <v>24</v>
      </c>
      <c r="E923" t="s">
        <v>59</v>
      </c>
      <c r="F923" t="s">
        <v>26</v>
      </c>
      <c r="G923" t="s">
        <v>27</v>
      </c>
      <c r="H923" s="1">
        <v>45068.391597222224</v>
      </c>
      <c r="I923" s="1">
        <v>45070.391597222224</v>
      </c>
      <c r="J923" s="1">
        <v>45068.433263888888</v>
      </c>
      <c r="K923" s="2">
        <v>45068.429198136575</v>
      </c>
      <c r="L923" t="s">
        <v>28</v>
      </c>
      <c r="N923" t="s">
        <v>38</v>
      </c>
      <c r="P923">
        <v>1</v>
      </c>
      <c r="R923" t="s">
        <v>50</v>
      </c>
      <c r="S923" t="s">
        <v>30</v>
      </c>
      <c r="T923" t="s">
        <v>66</v>
      </c>
      <c r="U923">
        <v>48.864716000000001</v>
      </c>
      <c r="V923">
        <v>2.3490139999999999</v>
      </c>
      <c r="W923" t="str">
        <f t="shared" si="99"/>
        <v>ok</v>
      </c>
      <c r="X923" t="str">
        <f t="shared" si="105"/>
        <v>ok</v>
      </c>
      <c r="Y923" t="str">
        <f t="shared" si="100"/>
        <v>ok</v>
      </c>
      <c r="Z923" t="str">
        <f t="shared" si="101"/>
        <v>ok</v>
      </c>
      <c r="AA923" s="4" t="str">
        <f t="shared" si="102"/>
        <v>ok</v>
      </c>
      <c r="AB923" s="4" t="str">
        <f t="shared" si="103"/>
        <v>no resolution</v>
      </c>
      <c r="AC923" s="6" t="str">
        <f t="shared" si="104"/>
        <v/>
      </c>
    </row>
    <row r="924" spans="1:29" x14ac:dyDescent="0.3">
      <c r="A924" t="s">
        <v>22</v>
      </c>
      <c r="B924">
        <v>2172</v>
      </c>
      <c r="C924" t="s">
        <v>23</v>
      </c>
      <c r="D924" t="s">
        <v>43</v>
      </c>
      <c r="E924" t="s">
        <v>39</v>
      </c>
      <c r="F924" t="s">
        <v>26</v>
      </c>
      <c r="G924" t="s">
        <v>60</v>
      </c>
      <c r="H924" s="1">
        <v>45068.634282407409</v>
      </c>
      <c r="I924" s="1">
        <v>45069.634282407409</v>
      </c>
      <c r="J924" s="1">
        <v>45068.635671296295</v>
      </c>
      <c r="K924" s="2">
        <v>45068.63489346065</v>
      </c>
      <c r="L924" t="s">
        <v>28</v>
      </c>
      <c r="M924" s="2">
        <v>45069.187073912035</v>
      </c>
      <c r="N924" t="s">
        <v>28</v>
      </c>
      <c r="O924" s="2">
        <v>45072.084801886573</v>
      </c>
      <c r="P924">
        <v>4</v>
      </c>
      <c r="Q924">
        <v>2</v>
      </c>
      <c r="R924" t="s">
        <v>29</v>
      </c>
      <c r="S924" t="s">
        <v>30</v>
      </c>
      <c r="T924" t="s">
        <v>41</v>
      </c>
      <c r="U924">
        <v>43.036776000000003</v>
      </c>
      <c r="V924">
        <v>12.678565000000001</v>
      </c>
      <c r="W924" t="str">
        <f t="shared" si="99"/>
        <v>ok</v>
      </c>
      <c r="X924" t="str">
        <f t="shared" si="105"/>
        <v>ok</v>
      </c>
      <c r="Y924" t="str">
        <f t="shared" si="100"/>
        <v>ok</v>
      </c>
      <c r="Z924" t="str">
        <f t="shared" si="101"/>
        <v>ok</v>
      </c>
      <c r="AA924" s="4" t="str">
        <f t="shared" si="102"/>
        <v>ok</v>
      </c>
      <c r="AB924" s="4" t="str">
        <f t="shared" si="103"/>
        <v>ok</v>
      </c>
      <c r="AC924" s="6">
        <f t="shared" si="104"/>
        <v>13.266996111022308</v>
      </c>
    </row>
    <row r="925" spans="1:29" x14ac:dyDescent="0.3">
      <c r="A925" t="s">
        <v>22</v>
      </c>
      <c r="B925">
        <v>2173</v>
      </c>
      <c r="C925" t="s">
        <v>47</v>
      </c>
      <c r="D925" t="s">
        <v>24</v>
      </c>
      <c r="E925" t="s">
        <v>48</v>
      </c>
      <c r="F925" t="s">
        <v>26</v>
      </c>
      <c r="G925" t="s">
        <v>27</v>
      </c>
      <c r="H925" s="1">
        <v>45068.859120370369</v>
      </c>
      <c r="I925" s="1">
        <v>45070.859120370369</v>
      </c>
      <c r="J925" s="1">
        <v>45068.900787037041</v>
      </c>
      <c r="K925" s="2">
        <v>45068.890126597224</v>
      </c>
      <c r="L925" t="s">
        <v>28</v>
      </c>
      <c r="M925" s="2">
        <v>45073.942606111108</v>
      </c>
      <c r="N925" t="s">
        <v>38</v>
      </c>
      <c r="O925" s="2">
        <v>45075.25887888889</v>
      </c>
      <c r="P925">
        <v>2</v>
      </c>
      <c r="Q925">
        <v>4</v>
      </c>
      <c r="R925" t="s">
        <v>39</v>
      </c>
      <c r="S925" t="s">
        <v>30</v>
      </c>
      <c r="T925" t="s">
        <v>57</v>
      </c>
      <c r="U925">
        <v>51.165691000000002</v>
      </c>
      <c r="V925">
        <v>10.451525999999999</v>
      </c>
      <c r="W925" t="str">
        <f t="shared" si="99"/>
        <v>ok</v>
      </c>
      <c r="X925" t="str">
        <f t="shared" si="105"/>
        <v>ok</v>
      </c>
      <c r="Y925" t="str">
        <f t="shared" si="100"/>
        <v>ok</v>
      </c>
      <c r="Z925" t="str">
        <f t="shared" si="101"/>
        <v>ok</v>
      </c>
      <c r="AA925" s="4" t="str">
        <f t="shared" si="102"/>
        <v>ok</v>
      </c>
      <c r="AB925" s="4" t="str">
        <f t="shared" si="103"/>
        <v>ok</v>
      </c>
      <c r="AC925" s="6">
        <f t="shared" si="104"/>
        <v>122.0036577777355</v>
      </c>
    </row>
    <row r="926" spans="1:29" x14ac:dyDescent="0.3">
      <c r="A926" t="s">
        <v>32</v>
      </c>
      <c r="B926">
        <v>2174</v>
      </c>
      <c r="C926" t="s">
        <v>47</v>
      </c>
      <c r="D926" t="s">
        <v>24</v>
      </c>
      <c r="E926" t="s">
        <v>48</v>
      </c>
      <c r="F926" t="s">
        <v>36</v>
      </c>
      <c r="G926" t="s">
        <v>37</v>
      </c>
      <c r="H926" s="1">
        <v>45068.066388888888</v>
      </c>
      <c r="I926" s="1">
        <v>45070.066388888888</v>
      </c>
      <c r="J926" s="1">
        <v>45068.108055555553</v>
      </c>
      <c r="K926" s="2">
        <v>45068.086828634259</v>
      </c>
      <c r="L926" t="s">
        <v>28</v>
      </c>
      <c r="N926" t="s">
        <v>38</v>
      </c>
      <c r="P926">
        <v>10</v>
      </c>
      <c r="R926" t="s">
        <v>50</v>
      </c>
      <c r="S926" t="s">
        <v>40</v>
      </c>
      <c r="T926" t="s">
        <v>65</v>
      </c>
      <c r="U926">
        <v>46.149166399999999</v>
      </c>
      <c r="V926">
        <v>14.9860106</v>
      </c>
      <c r="W926" t="str">
        <f t="shared" si="99"/>
        <v>ok</v>
      </c>
      <c r="X926" t="str">
        <f t="shared" si="105"/>
        <v>ok</v>
      </c>
      <c r="Y926" t="str">
        <f t="shared" si="100"/>
        <v>ok</v>
      </c>
      <c r="Z926" t="str">
        <f t="shared" si="101"/>
        <v>ok</v>
      </c>
      <c r="AA926" s="4" t="str">
        <f t="shared" si="102"/>
        <v>ok</v>
      </c>
      <c r="AB926" s="4" t="str">
        <f t="shared" si="103"/>
        <v>no resolution</v>
      </c>
      <c r="AC926" s="6" t="str">
        <f t="shared" si="104"/>
        <v/>
      </c>
    </row>
    <row r="927" spans="1:29" x14ac:dyDescent="0.3">
      <c r="A927" t="s">
        <v>22</v>
      </c>
      <c r="B927">
        <v>2175</v>
      </c>
      <c r="C927" t="s">
        <v>23</v>
      </c>
      <c r="D927" t="s">
        <v>24</v>
      </c>
      <c r="E927" t="s">
        <v>48</v>
      </c>
      <c r="F927" t="s">
        <v>26</v>
      </c>
      <c r="G927" t="s">
        <v>45</v>
      </c>
      <c r="H927" s="1">
        <v>45068.207546296297</v>
      </c>
      <c r="I927" s="1">
        <v>45070.207546296297</v>
      </c>
      <c r="J927" s="1">
        <v>45068.249212962961</v>
      </c>
      <c r="K927" s="2">
        <v>45068.216072650466</v>
      </c>
      <c r="L927" t="s">
        <v>28</v>
      </c>
      <c r="M927" s="2">
        <v>45074.326157187497</v>
      </c>
      <c r="N927" t="s">
        <v>38</v>
      </c>
      <c r="O927" s="2">
        <v>45074.035644722222</v>
      </c>
      <c r="P927">
        <v>2</v>
      </c>
      <c r="Q927">
        <v>3</v>
      </c>
      <c r="R927" t="s">
        <v>55</v>
      </c>
      <c r="S927" t="s">
        <v>30</v>
      </c>
      <c r="T927" t="s">
        <v>63</v>
      </c>
      <c r="U927">
        <v>55.378051999999997</v>
      </c>
      <c r="V927">
        <v>-3.4359730000000002</v>
      </c>
      <c r="W927" t="str">
        <f t="shared" si="99"/>
        <v>ok</v>
      </c>
      <c r="X927" t="str">
        <f t="shared" si="105"/>
        <v>ok</v>
      </c>
      <c r="Y927" t="str">
        <f t="shared" si="100"/>
        <v>check</v>
      </c>
      <c r="Z927" t="str">
        <f t="shared" si="101"/>
        <v>ok</v>
      </c>
      <c r="AA927" s="4" t="str">
        <f t="shared" si="102"/>
        <v>ok</v>
      </c>
      <c r="AB927" s="4" t="str">
        <f t="shared" si="103"/>
        <v>ok</v>
      </c>
      <c r="AC927" s="6">
        <f t="shared" si="104"/>
        <v>146.84666138881585</v>
      </c>
    </row>
    <row r="928" spans="1:29" x14ac:dyDescent="0.3">
      <c r="A928" t="s">
        <v>22</v>
      </c>
      <c r="B928">
        <v>2176</v>
      </c>
      <c r="C928" t="s">
        <v>47</v>
      </c>
      <c r="D928" t="s">
        <v>43</v>
      </c>
      <c r="E928" t="s">
        <v>62</v>
      </c>
      <c r="F928" t="s">
        <v>26</v>
      </c>
      <c r="G928" t="s">
        <v>27</v>
      </c>
      <c r="H928" s="1">
        <v>45069.944548611114</v>
      </c>
      <c r="I928" s="1">
        <v>45070.944548611114</v>
      </c>
      <c r="J928" s="1">
        <v>45069.945937500001</v>
      </c>
      <c r="K928" s="2">
        <v>45069.944623495372</v>
      </c>
      <c r="L928" t="s">
        <v>28</v>
      </c>
      <c r="M928" s="2">
        <v>45070.024857766206</v>
      </c>
      <c r="N928" t="s">
        <v>28</v>
      </c>
      <c r="O928" s="2">
        <v>45076.077079039351</v>
      </c>
      <c r="P928">
        <v>6</v>
      </c>
      <c r="Q928">
        <v>2</v>
      </c>
      <c r="R928" t="s">
        <v>55</v>
      </c>
      <c r="S928" t="s">
        <v>30</v>
      </c>
      <c r="T928" t="s">
        <v>66</v>
      </c>
      <c r="U928">
        <v>48.864716000000001</v>
      </c>
      <c r="V928">
        <v>2.3490139999999999</v>
      </c>
      <c r="W928" t="str">
        <f t="shared" si="99"/>
        <v>ok</v>
      </c>
      <c r="X928" t="str">
        <f t="shared" si="105"/>
        <v>ok</v>
      </c>
      <c r="Y928" t="str">
        <f t="shared" si="100"/>
        <v>ok</v>
      </c>
      <c r="Z928" t="str">
        <f t="shared" si="101"/>
        <v>ok</v>
      </c>
      <c r="AA928" s="4" t="str">
        <f t="shared" si="102"/>
        <v>ok</v>
      </c>
      <c r="AB928" s="4" t="str">
        <f t="shared" si="103"/>
        <v>ok</v>
      </c>
      <c r="AC928" s="6">
        <f t="shared" si="104"/>
        <v>1.927419722196646</v>
      </c>
    </row>
    <row r="929" spans="1:29" x14ac:dyDescent="0.3">
      <c r="A929" t="s">
        <v>22</v>
      </c>
      <c r="B929">
        <v>2177</v>
      </c>
      <c r="C929" t="s">
        <v>47</v>
      </c>
      <c r="D929" t="s">
        <v>43</v>
      </c>
      <c r="E929" t="s">
        <v>48</v>
      </c>
      <c r="F929" t="s">
        <v>26</v>
      </c>
      <c r="G929" t="s">
        <v>52</v>
      </c>
      <c r="H929" s="1">
        <v>45069.245659722219</v>
      </c>
      <c r="I929" s="1">
        <v>45070.245659722219</v>
      </c>
      <c r="J929" s="1">
        <v>45069.247048611112</v>
      </c>
      <c r="K929" s="2">
        <v>45069.246967395833</v>
      </c>
      <c r="L929" t="s">
        <v>28</v>
      </c>
      <c r="M929" s="2">
        <v>45069.404596157408</v>
      </c>
      <c r="N929" t="s">
        <v>28</v>
      </c>
      <c r="O929" s="2">
        <v>45073.319206493055</v>
      </c>
      <c r="P929">
        <v>8</v>
      </c>
      <c r="Q929">
        <v>3</v>
      </c>
      <c r="R929" t="s">
        <v>55</v>
      </c>
      <c r="S929" t="s">
        <v>30</v>
      </c>
      <c r="T929" t="s">
        <v>63</v>
      </c>
      <c r="U929">
        <v>55.378051999999997</v>
      </c>
      <c r="V929">
        <v>-3.4359730000000002</v>
      </c>
      <c r="W929" t="str">
        <f t="shared" si="99"/>
        <v>ok</v>
      </c>
      <c r="X929" t="str">
        <f t="shared" si="105"/>
        <v>ok</v>
      </c>
      <c r="Y929" t="str">
        <f t="shared" si="100"/>
        <v>ok</v>
      </c>
      <c r="Z929" t="str">
        <f t="shared" si="101"/>
        <v>ok</v>
      </c>
      <c r="AA929" s="4" t="str">
        <f t="shared" si="102"/>
        <v>ok</v>
      </c>
      <c r="AB929" s="4" t="str">
        <f t="shared" si="103"/>
        <v>ok</v>
      </c>
      <c r="AC929" s="6">
        <f t="shared" si="104"/>
        <v>3.8144744445453398</v>
      </c>
    </row>
    <row r="930" spans="1:29" x14ac:dyDescent="0.3">
      <c r="A930" t="s">
        <v>22</v>
      </c>
      <c r="B930">
        <v>2178</v>
      </c>
      <c r="C930" t="s">
        <v>23</v>
      </c>
      <c r="D930" t="s">
        <v>24</v>
      </c>
      <c r="E930" t="s">
        <v>35</v>
      </c>
      <c r="F930" t="s">
        <v>26</v>
      </c>
      <c r="G930" t="s">
        <v>49</v>
      </c>
      <c r="H930" s="1">
        <v>45069.034583333334</v>
      </c>
      <c r="I930" s="1">
        <v>45071.034583333334</v>
      </c>
      <c r="J930" s="1">
        <v>45069.076249999998</v>
      </c>
      <c r="K930" s="2">
        <v>45069.263426655096</v>
      </c>
      <c r="L930" t="s">
        <v>38</v>
      </c>
      <c r="M930" s="2">
        <v>45069.109983483795</v>
      </c>
      <c r="N930" t="s">
        <v>28</v>
      </c>
      <c r="O930" s="2">
        <v>45072.887310312501</v>
      </c>
      <c r="P930">
        <v>5</v>
      </c>
      <c r="Q930">
        <v>4</v>
      </c>
      <c r="R930" t="s">
        <v>55</v>
      </c>
      <c r="S930" t="s">
        <v>30</v>
      </c>
      <c r="T930" t="s">
        <v>63</v>
      </c>
      <c r="U930">
        <v>55.378051999999997</v>
      </c>
      <c r="V930">
        <v>-3.4359730000000002</v>
      </c>
      <c r="W930" t="str">
        <f t="shared" si="99"/>
        <v>ok</v>
      </c>
      <c r="X930" t="str">
        <f t="shared" si="105"/>
        <v>ok</v>
      </c>
      <c r="Y930" t="str">
        <f t="shared" si="100"/>
        <v>ok</v>
      </c>
      <c r="Z930" t="str">
        <f t="shared" si="101"/>
        <v>ok</v>
      </c>
      <c r="AA930" s="4" t="str">
        <f t="shared" si="102"/>
        <v>ok</v>
      </c>
      <c r="AB930" s="4" t="str">
        <f t="shared" si="103"/>
        <v>ok</v>
      </c>
      <c r="AC930" s="6">
        <f t="shared" si="104"/>
        <v>1.8096036110655405</v>
      </c>
    </row>
    <row r="931" spans="1:29" x14ac:dyDescent="0.3">
      <c r="A931" t="s">
        <v>22</v>
      </c>
      <c r="B931">
        <v>2179</v>
      </c>
      <c r="C931" t="s">
        <v>47</v>
      </c>
      <c r="D931" t="s">
        <v>24</v>
      </c>
      <c r="E931" t="s">
        <v>35</v>
      </c>
      <c r="F931" t="s">
        <v>26</v>
      </c>
      <c r="G931" t="s">
        <v>49</v>
      </c>
      <c r="H931" s="1">
        <v>45069.48101851852</v>
      </c>
      <c r="I931" s="1">
        <v>45071.48101851852</v>
      </c>
      <c r="J931" s="1">
        <v>45069.522685185184</v>
      </c>
      <c r="K931" s="2">
        <v>45069.521065590277</v>
      </c>
      <c r="L931" t="s">
        <v>28</v>
      </c>
      <c r="M931" s="2">
        <v>45071.082539641204</v>
      </c>
      <c r="N931" t="s">
        <v>28</v>
      </c>
      <c r="O931" s="2">
        <v>45071.812991053244</v>
      </c>
      <c r="P931">
        <v>1</v>
      </c>
      <c r="Q931">
        <v>5</v>
      </c>
      <c r="R931" t="s">
        <v>39</v>
      </c>
      <c r="S931" t="s">
        <v>30</v>
      </c>
      <c r="T931" t="s">
        <v>57</v>
      </c>
      <c r="U931">
        <v>51.165691000000002</v>
      </c>
      <c r="V931">
        <v>10.451525999999999</v>
      </c>
      <c r="W931" t="str">
        <f t="shared" si="99"/>
        <v>ok</v>
      </c>
      <c r="X931" t="str">
        <f t="shared" si="105"/>
        <v>ok</v>
      </c>
      <c r="Y931" t="str">
        <f t="shared" si="100"/>
        <v>ok</v>
      </c>
      <c r="Z931" t="str">
        <f t="shared" si="101"/>
        <v>ok</v>
      </c>
      <c r="AA931" s="4" t="str">
        <f t="shared" si="102"/>
        <v>ok</v>
      </c>
      <c r="AB931" s="4" t="str">
        <f t="shared" si="103"/>
        <v>ok</v>
      </c>
      <c r="AC931" s="6">
        <f t="shared" si="104"/>
        <v>38.436506944417488</v>
      </c>
    </row>
    <row r="932" spans="1:29" x14ac:dyDescent="0.3">
      <c r="A932" t="s">
        <v>22</v>
      </c>
      <c r="B932">
        <v>2180</v>
      </c>
      <c r="C932" t="s">
        <v>33</v>
      </c>
      <c r="D932" t="s">
        <v>24</v>
      </c>
      <c r="E932" t="s">
        <v>35</v>
      </c>
      <c r="F932" t="s">
        <v>26</v>
      </c>
      <c r="G932" t="s">
        <v>52</v>
      </c>
      <c r="H932" s="1">
        <v>45069.266481481478</v>
      </c>
      <c r="I932" s="1">
        <v>45071.266481481478</v>
      </c>
      <c r="J932" s="1">
        <v>45069.308148148149</v>
      </c>
      <c r="K932" s="2">
        <v>45069.303551562502</v>
      </c>
      <c r="L932" t="s">
        <v>28</v>
      </c>
      <c r="M932" s="2">
        <v>45069.331535081015</v>
      </c>
      <c r="N932" t="s">
        <v>28</v>
      </c>
      <c r="O932" s="2">
        <v>45072.831391030093</v>
      </c>
      <c r="P932">
        <v>6</v>
      </c>
      <c r="Q932">
        <v>3</v>
      </c>
      <c r="R932" t="s">
        <v>29</v>
      </c>
      <c r="S932" t="s">
        <v>30</v>
      </c>
      <c r="T932" t="s">
        <v>57</v>
      </c>
      <c r="U932">
        <v>51.165691000000002</v>
      </c>
      <c r="V932">
        <v>10.451525999999999</v>
      </c>
      <c r="W932" t="str">
        <f t="shared" si="99"/>
        <v>ok</v>
      </c>
      <c r="X932" t="str">
        <f t="shared" si="105"/>
        <v>ok</v>
      </c>
      <c r="Y932" t="str">
        <f t="shared" si="100"/>
        <v>ok</v>
      </c>
      <c r="Z932" t="str">
        <f t="shared" si="101"/>
        <v>ok</v>
      </c>
      <c r="AA932" s="4" t="str">
        <f t="shared" si="102"/>
        <v>ok</v>
      </c>
      <c r="AB932" s="4" t="str">
        <f t="shared" si="103"/>
        <v>ok</v>
      </c>
      <c r="AC932" s="6">
        <f t="shared" si="104"/>
        <v>1.5612863888964057</v>
      </c>
    </row>
    <row r="933" spans="1:29" x14ac:dyDescent="0.3">
      <c r="A933" t="s">
        <v>32</v>
      </c>
      <c r="B933">
        <v>2183</v>
      </c>
      <c r="C933" t="s">
        <v>47</v>
      </c>
      <c r="D933" t="s">
        <v>24</v>
      </c>
      <c r="E933" t="s">
        <v>25</v>
      </c>
      <c r="F933" t="s">
        <v>36</v>
      </c>
      <c r="G933" t="s">
        <v>54</v>
      </c>
      <c r="H933" s="1">
        <v>45069.116493055553</v>
      </c>
      <c r="I933" s="1">
        <v>45071.116493055553</v>
      </c>
      <c r="J933" s="1">
        <v>45069.158159722225</v>
      </c>
      <c r="K933" s="2">
        <v>45069.152469907407</v>
      </c>
      <c r="L933" t="s">
        <v>28</v>
      </c>
      <c r="N933" t="s">
        <v>38</v>
      </c>
      <c r="P933">
        <v>1</v>
      </c>
      <c r="R933" t="s">
        <v>29</v>
      </c>
      <c r="S933" t="s">
        <v>40</v>
      </c>
      <c r="T933" t="s">
        <v>31</v>
      </c>
      <c r="U933">
        <v>53.094023999999997</v>
      </c>
      <c r="V933">
        <v>-8.0196749999999994</v>
      </c>
      <c r="W933" t="str">
        <f t="shared" si="99"/>
        <v>ok</v>
      </c>
      <c r="X933" t="str">
        <f t="shared" si="105"/>
        <v>ok</v>
      </c>
      <c r="Y933" t="str">
        <f t="shared" si="100"/>
        <v>ok</v>
      </c>
      <c r="Z933" t="str">
        <f t="shared" si="101"/>
        <v>ok</v>
      </c>
      <c r="AA933" s="4" t="str">
        <f t="shared" si="102"/>
        <v>ok</v>
      </c>
      <c r="AB933" s="4" t="str">
        <f t="shared" si="103"/>
        <v>no resolution</v>
      </c>
      <c r="AC933" s="6" t="str">
        <f t="shared" si="104"/>
        <v/>
      </c>
    </row>
    <row r="934" spans="1:29" x14ac:dyDescent="0.3">
      <c r="A934" t="s">
        <v>42</v>
      </c>
      <c r="B934">
        <v>2184</v>
      </c>
      <c r="C934" t="s">
        <v>33</v>
      </c>
      <c r="D934" t="s">
        <v>24</v>
      </c>
      <c r="E934" t="s">
        <v>35</v>
      </c>
      <c r="F934" t="s">
        <v>26</v>
      </c>
      <c r="G934" t="s">
        <v>45</v>
      </c>
      <c r="H934" s="1">
        <v>45070.146157407406</v>
      </c>
      <c r="I934" s="1">
        <v>45072.146157407406</v>
      </c>
      <c r="J934" s="1">
        <v>45070.187824074077</v>
      </c>
      <c r="K934" s="2">
        <v>45070.159808807868</v>
      </c>
      <c r="L934" t="s">
        <v>28</v>
      </c>
      <c r="M934" s="2">
        <v>45071.329836817131</v>
      </c>
      <c r="N934" t="s">
        <v>28</v>
      </c>
      <c r="P934">
        <v>9</v>
      </c>
      <c r="R934" t="s">
        <v>55</v>
      </c>
      <c r="S934" t="s">
        <v>30</v>
      </c>
      <c r="T934" t="s">
        <v>61</v>
      </c>
      <c r="U934">
        <v>42.724992499999999</v>
      </c>
      <c r="V934">
        <v>25.483303899999999</v>
      </c>
      <c r="W934" t="str">
        <f t="shared" si="99"/>
        <v>ok</v>
      </c>
      <c r="X934" t="str">
        <f t="shared" si="105"/>
        <v>ok</v>
      </c>
      <c r="Y934" t="str">
        <f t="shared" si="100"/>
        <v>ok</v>
      </c>
      <c r="Z934" t="str">
        <f t="shared" si="101"/>
        <v>ok</v>
      </c>
      <c r="AA934" s="4" t="str">
        <f t="shared" si="102"/>
        <v>ok</v>
      </c>
      <c r="AB934" s="4" t="str">
        <f t="shared" si="103"/>
        <v>ok</v>
      </c>
      <c r="AC934" s="6">
        <f t="shared" si="104"/>
        <v>28.408305833407212</v>
      </c>
    </row>
    <row r="935" spans="1:29" x14ac:dyDescent="0.3">
      <c r="A935" t="s">
        <v>42</v>
      </c>
      <c r="B935">
        <v>2185</v>
      </c>
      <c r="C935" t="s">
        <v>23</v>
      </c>
      <c r="D935" t="s">
        <v>43</v>
      </c>
      <c r="E935" t="s">
        <v>35</v>
      </c>
      <c r="F935" t="s">
        <v>26</v>
      </c>
      <c r="G935" t="s">
        <v>49</v>
      </c>
      <c r="H935" s="1">
        <v>45070.319560185184</v>
      </c>
      <c r="I935" s="1">
        <v>45071.319560185184</v>
      </c>
      <c r="J935" s="1">
        <v>45070.320949074077</v>
      </c>
      <c r="K935" s="2">
        <v>45070.320621134262</v>
      </c>
      <c r="L935" t="s">
        <v>28</v>
      </c>
      <c r="M935" s="2">
        <v>45071.618799745367</v>
      </c>
      <c r="N935" t="s">
        <v>38</v>
      </c>
      <c r="P935">
        <v>4</v>
      </c>
      <c r="R935" t="s">
        <v>50</v>
      </c>
      <c r="S935" t="s">
        <v>30</v>
      </c>
      <c r="T935" t="s">
        <v>56</v>
      </c>
      <c r="U935">
        <v>52.536273000000001</v>
      </c>
      <c r="V935">
        <v>19.050639</v>
      </c>
      <c r="W935" t="str">
        <f t="shared" si="99"/>
        <v>ok</v>
      </c>
      <c r="X935" t="str">
        <f t="shared" si="105"/>
        <v>ok</v>
      </c>
      <c r="Y935" t="str">
        <f t="shared" si="100"/>
        <v>ok</v>
      </c>
      <c r="Z935" t="str">
        <f t="shared" si="101"/>
        <v>ok</v>
      </c>
      <c r="AA935" s="4" t="str">
        <f t="shared" si="102"/>
        <v>ok</v>
      </c>
      <c r="AB935" s="4" t="str">
        <f t="shared" si="103"/>
        <v>ok</v>
      </c>
      <c r="AC935" s="6">
        <f t="shared" si="104"/>
        <v>31.181749444396701</v>
      </c>
    </row>
    <row r="936" spans="1:29" x14ac:dyDescent="0.3">
      <c r="A936" t="s">
        <v>32</v>
      </c>
      <c r="B936">
        <v>2186</v>
      </c>
      <c r="C936" t="s">
        <v>23</v>
      </c>
      <c r="D936" t="s">
        <v>43</v>
      </c>
      <c r="E936" t="s">
        <v>25</v>
      </c>
      <c r="F936" t="s">
        <v>36</v>
      </c>
      <c r="G936" t="s">
        <v>54</v>
      </c>
      <c r="H936" s="1">
        <v>45070.916192129633</v>
      </c>
      <c r="I936" s="1">
        <v>45071.916192129633</v>
      </c>
      <c r="J936" s="1">
        <v>45070.917581018519</v>
      </c>
      <c r="K936" s="2">
        <v>45070.916238310187</v>
      </c>
      <c r="L936" t="s">
        <v>28</v>
      </c>
      <c r="N936" t="s">
        <v>38</v>
      </c>
      <c r="P936">
        <v>6</v>
      </c>
      <c r="R936" t="s">
        <v>50</v>
      </c>
      <c r="S936" t="s">
        <v>40</v>
      </c>
      <c r="T936" t="s">
        <v>65</v>
      </c>
      <c r="U936">
        <v>46.149166399999999</v>
      </c>
      <c r="V936">
        <v>14.9860106</v>
      </c>
      <c r="W936" t="str">
        <f t="shared" si="99"/>
        <v>ok</v>
      </c>
      <c r="X936" t="str">
        <f t="shared" si="105"/>
        <v>ok</v>
      </c>
      <c r="Y936" t="str">
        <f t="shared" si="100"/>
        <v>ok</v>
      </c>
      <c r="Z936" t="str">
        <f t="shared" si="101"/>
        <v>ok</v>
      </c>
      <c r="AA936" s="4" t="str">
        <f t="shared" si="102"/>
        <v>ok</v>
      </c>
      <c r="AB936" s="4" t="str">
        <f t="shared" si="103"/>
        <v>no resolution</v>
      </c>
      <c r="AC936" s="6" t="str">
        <f t="shared" si="104"/>
        <v/>
      </c>
    </row>
    <row r="937" spans="1:29" x14ac:dyDescent="0.3">
      <c r="A937" t="s">
        <v>22</v>
      </c>
      <c r="B937">
        <v>2188</v>
      </c>
      <c r="C937" t="s">
        <v>33</v>
      </c>
      <c r="D937" t="s">
        <v>43</v>
      </c>
      <c r="E937" t="s">
        <v>35</v>
      </c>
      <c r="F937" t="s">
        <v>26</v>
      </c>
      <c r="G937" t="s">
        <v>49</v>
      </c>
      <c r="H937" s="1">
        <v>45070.953321759262</v>
      </c>
      <c r="I937" s="1">
        <v>45071.953321759262</v>
      </c>
      <c r="J937" s="1">
        <v>45070.954710648148</v>
      </c>
      <c r="K937" s="2">
        <v>45070.953323055553</v>
      </c>
      <c r="L937" t="s">
        <v>28</v>
      </c>
      <c r="M937" s="2">
        <v>45070.965684050927</v>
      </c>
      <c r="N937" t="s">
        <v>28</v>
      </c>
      <c r="O937" s="2">
        <v>45076.803689398148</v>
      </c>
      <c r="P937">
        <v>3</v>
      </c>
      <c r="Q937">
        <v>3</v>
      </c>
      <c r="R937" t="s">
        <v>39</v>
      </c>
      <c r="S937" t="s">
        <v>30</v>
      </c>
      <c r="T937" t="s">
        <v>57</v>
      </c>
      <c r="U937">
        <v>51.165691000000002</v>
      </c>
      <c r="V937">
        <v>10.451525999999999</v>
      </c>
      <c r="W937" t="str">
        <f t="shared" si="99"/>
        <v>ok</v>
      </c>
      <c r="X937" t="str">
        <f t="shared" si="105"/>
        <v>ok</v>
      </c>
      <c r="Y937" t="str">
        <f t="shared" si="100"/>
        <v>ok</v>
      </c>
      <c r="Z937" t="str">
        <f t="shared" si="101"/>
        <v>ok</v>
      </c>
      <c r="AA937" s="4" t="str">
        <f t="shared" si="102"/>
        <v>ok</v>
      </c>
      <c r="AB937" s="4" t="str">
        <f t="shared" si="103"/>
        <v>ok</v>
      </c>
      <c r="AC937" s="6">
        <f t="shared" si="104"/>
        <v>0.29669499996816739</v>
      </c>
    </row>
    <row r="938" spans="1:29" x14ac:dyDescent="0.3">
      <c r="A938" t="s">
        <v>22</v>
      </c>
      <c r="B938">
        <v>2189</v>
      </c>
      <c r="C938" t="s">
        <v>23</v>
      </c>
      <c r="D938" t="s">
        <v>43</v>
      </c>
      <c r="E938" t="s">
        <v>48</v>
      </c>
      <c r="F938" t="s">
        <v>26</v>
      </c>
      <c r="G938" t="s">
        <v>27</v>
      </c>
      <c r="H938" s="1">
        <v>45070.559293981481</v>
      </c>
      <c r="I938" s="1">
        <v>45071.559293981481</v>
      </c>
      <c r="J938" s="1">
        <v>45070.560682870368</v>
      </c>
      <c r="K938" s="2">
        <v>45070.56038440972</v>
      </c>
      <c r="L938" t="s">
        <v>28</v>
      </c>
      <c r="M938" s="2">
        <v>45070.885830509258</v>
      </c>
      <c r="N938" t="s">
        <v>28</v>
      </c>
      <c r="O938" s="2">
        <v>45076.004455335649</v>
      </c>
      <c r="P938">
        <v>4</v>
      </c>
      <c r="Q938">
        <v>2</v>
      </c>
      <c r="R938" t="s">
        <v>50</v>
      </c>
      <c r="S938" t="s">
        <v>30</v>
      </c>
      <c r="T938" t="s">
        <v>53</v>
      </c>
      <c r="U938">
        <v>39.368279000000001</v>
      </c>
      <c r="V938">
        <v>21.863140999999999</v>
      </c>
      <c r="W938" t="str">
        <f t="shared" si="99"/>
        <v>ok</v>
      </c>
      <c r="X938" t="str">
        <f t="shared" si="105"/>
        <v>ok</v>
      </c>
      <c r="Y938" t="str">
        <f t="shared" si="100"/>
        <v>ok</v>
      </c>
      <c r="Z938" t="str">
        <f t="shared" si="101"/>
        <v>ok</v>
      </c>
      <c r="AA938" s="4" t="str">
        <f t="shared" si="102"/>
        <v>ok</v>
      </c>
      <c r="AB938" s="4" t="str">
        <f t="shared" si="103"/>
        <v>ok</v>
      </c>
      <c r="AC938" s="6">
        <f t="shared" si="104"/>
        <v>7.8368766666390002</v>
      </c>
    </row>
    <row r="939" spans="1:29" x14ac:dyDescent="0.3">
      <c r="A939" t="s">
        <v>22</v>
      </c>
      <c r="B939">
        <v>2190</v>
      </c>
      <c r="C939" t="s">
        <v>23</v>
      </c>
      <c r="D939" t="s">
        <v>24</v>
      </c>
      <c r="E939" t="s">
        <v>48</v>
      </c>
      <c r="F939" t="s">
        <v>26</v>
      </c>
      <c r="G939" t="s">
        <v>45</v>
      </c>
      <c r="H939" s="1">
        <v>45070.059270833335</v>
      </c>
      <c r="I939" s="1">
        <v>45072.059270833335</v>
      </c>
      <c r="J939" s="1">
        <v>45070.100937499999</v>
      </c>
      <c r="K939" s="2">
        <v>45070.090034201392</v>
      </c>
      <c r="L939" t="s">
        <v>28</v>
      </c>
      <c r="M939" s="2">
        <v>45071.904627881944</v>
      </c>
      <c r="N939" t="s">
        <v>28</v>
      </c>
      <c r="O939" s="2">
        <v>45071.665679131947</v>
      </c>
      <c r="P939">
        <v>2</v>
      </c>
      <c r="Q939">
        <v>1</v>
      </c>
      <c r="R939" t="s">
        <v>39</v>
      </c>
      <c r="S939" t="s">
        <v>30</v>
      </c>
      <c r="T939" t="s">
        <v>41</v>
      </c>
      <c r="U939">
        <v>43.036776000000003</v>
      </c>
      <c r="V939">
        <v>12.678565000000001</v>
      </c>
      <c r="W939" t="str">
        <f t="shared" si="99"/>
        <v>ok</v>
      </c>
      <c r="X939" t="str">
        <f t="shared" si="105"/>
        <v>ok</v>
      </c>
      <c r="Y939" t="str">
        <f t="shared" si="100"/>
        <v>check</v>
      </c>
      <c r="Z939" t="str">
        <f t="shared" si="101"/>
        <v>ok</v>
      </c>
      <c r="AA939" s="4" t="str">
        <f t="shared" si="102"/>
        <v>ok</v>
      </c>
      <c r="AB939" s="4" t="str">
        <f t="shared" si="103"/>
        <v>ok</v>
      </c>
      <c r="AC939" s="6">
        <f t="shared" si="104"/>
        <v>44.288569166616071</v>
      </c>
    </row>
    <row r="940" spans="1:29" x14ac:dyDescent="0.3">
      <c r="A940" t="s">
        <v>42</v>
      </c>
      <c r="B940">
        <v>2192</v>
      </c>
      <c r="C940" t="s">
        <v>33</v>
      </c>
      <c r="D940" t="s">
        <v>24</v>
      </c>
      <c r="E940" t="s">
        <v>25</v>
      </c>
      <c r="F940" t="s">
        <v>26</v>
      </c>
      <c r="G940" t="s">
        <v>60</v>
      </c>
      <c r="H940" s="1">
        <v>45070.004791666666</v>
      </c>
      <c r="I940" s="1">
        <v>45072.004791666666</v>
      </c>
      <c r="J940" s="1">
        <v>45070.046458333331</v>
      </c>
      <c r="K940" s="2">
        <v>45070.007260138889</v>
      </c>
      <c r="L940" t="s">
        <v>28</v>
      </c>
      <c r="M940" s="2">
        <v>45071.785281770834</v>
      </c>
      <c r="N940" t="s">
        <v>28</v>
      </c>
      <c r="P940">
        <v>10</v>
      </c>
      <c r="R940" t="s">
        <v>29</v>
      </c>
      <c r="S940" t="s">
        <v>30</v>
      </c>
      <c r="T940" t="s">
        <v>56</v>
      </c>
      <c r="U940">
        <v>52.536273000000001</v>
      </c>
      <c r="V940">
        <v>19.050639</v>
      </c>
      <c r="W940" t="str">
        <f t="shared" si="99"/>
        <v>ok</v>
      </c>
      <c r="X940" t="str">
        <f t="shared" si="105"/>
        <v>ok</v>
      </c>
      <c r="Y940" t="str">
        <f t="shared" si="100"/>
        <v>ok</v>
      </c>
      <c r="Z940" t="str">
        <f t="shared" si="101"/>
        <v>ok</v>
      </c>
      <c r="AA940" s="4" t="str">
        <f t="shared" si="102"/>
        <v>ok</v>
      </c>
      <c r="AB940" s="4" t="str">
        <f t="shared" si="103"/>
        <v>ok</v>
      </c>
      <c r="AC940" s="6">
        <f t="shared" si="104"/>
        <v>42.731762500014156</v>
      </c>
    </row>
    <row r="941" spans="1:29" x14ac:dyDescent="0.3">
      <c r="A941" t="s">
        <v>22</v>
      </c>
      <c r="B941">
        <v>2193</v>
      </c>
      <c r="C941" t="s">
        <v>47</v>
      </c>
      <c r="D941" t="s">
        <v>43</v>
      </c>
      <c r="E941" t="s">
        <v>44</v>
      </c>
      <c r="F941" t="s">
        <v>26</v>
      </c>
      <c r="G941" t="s">
        <v>60</v>
      </c>
      <c r="H941" s="1">
        <v>45070.237951388888</v>
      </c>
      <c r="I941" s="1">
        <v>45071.237951388888</v>
      </c>
      <c r="J941" s="1">
        <v>45070.239340277774</v>
      </c>
      <c r="K941" s="2">
        <v>45070.239389062503</v>
      </c>
      <c r="L941" t="s">
        <v>38</v>
      </c>
      <c r="M941" s="2">
        <v>45070.901160590278</v>
      </c>
      <c r="N941" t="s">
        <v>28</v>
      </c>
      <c r="O941" s="2">
        <v>45075.783486018518</v>
      </c>
      <c r="P941">
        <v>4</v>
      </c>
      <c r="Q941">
        <v>2</v>
      </c>
      <c r="R941" t="s">
        <v>39</v>
      </c>
      <c r="S941" t="s">
        <v>30</v>
      </c>
      <c r="T941" t="s">
        <v>58</v>
      </c>
      <c r="U941">
        <v>49.8037633</v>
      </c>
      <c r="V941">
        <v>15.4749126</v>
      </c>
      <c r="W941" t="str">
        <f t="shared" si="99"/>
        <v>ok</v>
      </c>
      <c r="X941" t="str">
        <f t="shared" si="105"/>
        <v>ok</v>
      </c>
      <c r="Y941" t="str">
        <f t="shared" si="100"/>
        <v>ok</v>
      </c>
      <c r="Z941" t="str">
        <f t="shared" si="101"/>
        <v>ok</v>
      </c>
      <c r="AA941" s="4" t="str">
        <f t="shared" si="102"/>
        <v>ok</v>
      </c>
      <c r="AB941" s="4" t="str">
        <f t="shared" si="103"/>
        <v>ok</v>
      </c>
      <c r="AC941" s="6">
        <f t="shared" si="104"/>
        <v>15.917020833352581</v>
      </c>
    </row>
    <row r="942" spans="1:29" x14ac:dyDescent="0.3">
      <c r="A942" t="s">
        <v>42</v>
      </c>
      <c r="B942">
        <v>2194</v>
      </c>
      <c r="C942" t="s">
        <v>47</v>
      </c>
      <c r="D942" t="s">
        <v>43</v>
      </c>
      <c r="E942" t="s">
        <v>48</v>
      </c>
      <c r="F942" t="s">
        <v>36</v>
      </c>
      <c r="G942" t="s">
        <v>54</v>
      </c>
      <c r="H942" s="1">
        <v>45071.007395833331</v>
      </c>
      <c r="I942" s="1">
        <v>45072.007395833331</v>
      </c>
      <c r="J942" s="1">
        <v>45071.008784722224</v>
      </c>
      <c r="K942" s="2">
        <v>45071.008695405093</v>
      </c>
      <c r="L942" t="s">
        <v>28</v>
      </c>
      <c r="M942" s="2">
        <v>45071.175165196757</v>
      </c>
      <c r="N942" t="s">
        <v>28</v>
      </c>
      <c r="P942">
        <v>60</v>
      </c>
      <c r="R942" t="s">
        <v>29</v>
      </c>
      <c r="S942" t="s">
        <v>40</v>
      </c>
      <c r="T942" t="s">
        <v>51</v>
      </c>
      <c r="U942">
        <v>39.673369999999998</v>
      </c>
      <c r="V942">
        <v>-4.7677259999999997</v>
      </c>
      <c r="W942" t="str">
        <f t="shared" si="99"/>
        <v>ok</v>
      </c>
      <c r="X942" t="str">
        <f t="shared" si="105"/>
        <v>ok</v>
      </c>
      <c r="Y942" t="str">
        <f t="shared" si="100"/>
        <v>ok</v>
      </c>
      <c r="Z942" t="str">
        <f t="shared" si="101"/>
        <v>ok</v>
      </c>
      <c r="AA942" s="4" t="str">
        <f t="shared" si="102"/>
        <v>ok</v>
      </c>
      <c r="AB942" s="4" t="str">
        <f t="shared" si="103"/>
        <v>ok</v>
      </c>
      <c r="AC942" s="6">
        <f t="shared" si="104"/>
        <v>4.0264647222356871</v>
      </c>
    </row>
    <row r="943" spans="1:29" x14ac:dyDescent="0.3">
      <c r="A943" t="s">
        <v>22</v>
      </c>
      <c r="B943">
        <v>2195</v>
      </c>
      <c r="C943" t="s">
        <v>23</v>
      </c>
      <c r="D943" t="s">
        <v>24</v>
      </c>
      <c r="E943" t="s">
        <v>25</v>
      </c>
      <c r="F943" t="s">
        <v>26</v>
      </c>
      <c r="G943" t="s">
        <v>45</v>
      </c>
      <c r="H943" s="1">
        <v>45071.126620370371</v>
      </c>
      <c r="I943" s="1">
        <v>45073.126620370371</v>
      </c>
      <c r="J943" s="1">
        <v>45071.168287037035</v>
      </c>
      <c r="K943" s="2">
        <v>45071.155994699075</v>
      </c>
      <c r="L943" t="s">
        <v>28</v>
      </c>
      <c r="M943" s="2">
        <v>45071.918248807873</v>
      </c>
      <c r="N943" t="s">
        <v>28</v>
      </c>
      <c r="O943" s="2">
        <v>45076.076995972224</v>
      </c>
      <c r="P943">
        <v>2</v>
      </c>
      <c r="Q943">
        <v>5</v>
      </c>
      <c r="R943" t="s">
        <v>50</v>
      </c>
      <c r="S943" t="s">
        <v>30</v>
      </c>
      <c r="T943" t="s">
        <v>65</v>
      </c>
      <c r="U943">
        <v>46.149166399999999</v>
      </c>
      <c r="V943">
        <v>14.9860106</v>
      </c>
      <c r="W943" t="str">
        <f t="shared" si="99"/>
        <v>ok</v>
      </c>
      <c r="X943" t="str">
        <f t="shared" si="105"/>
        <v>ok</v>
      </c>
      <c r="Y943" t="str">
        <f t="shared" si="100"/>
        <v>ok</v>
      </c>
      <c r="Z943" t="str">
        <f t="shared" si="101"/>
        <v>ok</v>
      </c>
      <c r="AA943" s="4" t="str">
        <f t="shared" si="102"/>
        <v>ok</v>
      </c>
      <c r="AB943" s="4" t="str">
        <f t="shared" si="103"/>
        <v>ok</v>
      </c>
      <c r="AC943" s="6">
        <f t="shared" si="104"/>
        <v>18.999082500056829</v>
      </c>
    </row>
    <row r="944" spans="1:29" x14ac:dyDescent="0.3">
      <c r="A944" t="s">
        <v>32</v>
      </c>
      <c r="B944">
        <v>2196</v>
      </c>
      <c r="C944" t="s">
        <v>23</v>
      </c>
      <c r="D944" t="s">
        <v>43</v>
      </c>
      <c r="E944" t="s">
        <v>59</v>
      </c>
      <c r="F944" t="s">
        <v>26</v>
      </c>
      <c r="G944" t="s">
        <v>27</v>
      </c>
      <c r="H944" s="1">
        <v>45071.692662037036</v>
      </c>
      <c r="I944" s="1">
        <v>45072.692662037036</v>
      </c>
      <c r="J944" s="1">
        <v>45071.694050925929</v>
      </c>
      <c r="K944" s="2">
        <v>45071.692961435183</v>
      </c>
      <c r="L944" t="s">
        <v>28</v>
      </c>
      <c r="N944" t="s">
        <v>38</v>
      </c>
      <c r="P944">
        <v>5</v>
      </c>
      <c r="R944" t="s">
        <v>50</v>
      </c>
      <c r="S944" t="s">
        <v>30</v>
      </c>
      <c r="T944" t="s">
        <v>57</v>
      </c>
      <c r="U944">
        <v>51.165691000000002</v>
      </c>
      <c r="V944">
        <v>10.451525999999999</v>
      </c>
      <c r="W944" t="str">
        <f t="shared" si="99"/>
        <v>ok</v>
      </c>
      <c r="X944" t="str">
        <f t="shared" si="105"/>
        <v>ok</v>
      </c>
      <c r="Y944" t="str">
        <f t="shared" si="100"/>
        <v>ok</v>
      </c>
      <c r="Z944" t="str">
        <f t="shared" si="101"/>
        <v>ok</v>
      </c>
      <c r="AA944" s="4" t="str">
        <f t="shared" si="102"/>
        <v>ok</v>
      </c>
      <c r="AB944" s="4" t="str">
        <f t="shared" si="103"/>
        <v>no resolution</v>
      </c>
      <c r="AC944" s="6" t="str">
        <f t="shared" si="104"/>
        <v/>
      </c>
    </row>
    <row r="945" spans="1:29" x14ac:dyDescent="0.3">
      <c r="A945" t="s">
        <v>42</v>
      </c>
      <c r="B945">
        <v>2197</v>
      </c>
      <c r="C945" t="s">
        <v>23</v>
      </c>
      <c r="D945" t="s">
        <v>43</v>
      </c>
      <c r="E945" t="s">
        <v>59</v>
      </c>
      <c r="F945" t="s">
        <v>26</v>
      </c>
      <c r="G945" t="s">
        <v>45</v>
      </c>
      <c r="H945" s="1">
        <v>45071.999016203707</v>
      </c>
      <c r="I945" s="1">
        <v>45072.999016203707</v>
      </c>
      <c r="J945" s="1">
        <v>45072.000405092593</v>
      </c>
      <c r="K945" s="2">
        <v>45072.000141053242</v>
      </c>
      <c r="L945" t="s">
        <v>28</v>
      </c>
      <c r="M945" s="2">
        <v>45072.435659166666</v>
      </c>
      <c r="N945" t="s">
        <v>28</v>
      </c>
      <c r="P945">
        <v>4</v>
      </c>
      <c r="R945" t="s">
        <v>50</v>
      </c>
      <c r="S945" t="s">
        <v>30</v>
      </c>
      <c r="T945" t="s">
        <v>65</v>
      </c>
      <c r="U945">
        <v>46.149166399999999</v>
      </c>
      <c r="V945">
        <v>14.9860106</v>
      </c>
      <c r="W945" t="str">
        <f t="shared" si="99"/>
        <v>ok</v>
      </c>
      <c r="X945" t="str">
        <f t="shared" si="105"/>
        <v>ok</v>
      </c>
      <c r="Y945" t="str">
        <f t="shared" si="100"/>
        <v>ok</v>
      </c>
      <c r="Z945" t="str">
        <f t="shared" si="101"/>
        <v>ok</v>
      </c>
      <c r="AA945" s="4" t="str">
        <f t="shared" si="102"/>
        <v>ok</v>
      </c>
      <c r="AB945" s="4" t="str">
        <f t="shared" si="103"/>
        <v>ok</v>
      </c>
      <c r="AC945" s="6">
        <f t="shared" si="104"/>
        <v>10.479431111016311</v>
      </c>
    </row>
    <row r="946" spans="1:29" x14ac:dyDescent="0.3">
      <c r="A946" t="s">
        <v>32</v>
      </c>
      <c r="B946">
        <v>2198</v>
      </c>
      <c r="C946" t="s">
        <v>23</v>
      </c>
      <c r="D946" t="s">
        <v>24</v>
      </c>
      <c r="E946" t="s">
        <v>44</v>
      </c>
      <c r="F946" t="s">
        <v>26</v>
      </c>
      <c r="G946" t="s">
        <v>60</v>
      </c>
      <c r="H946" s="1">
        <v>45071.226435185185</v>
      </c>
      <c r="I946" s="1">
        <v>45073.226435185185</v>
      </c>
      <c r="J946" s="1">
        <v>45071.268101851849</v>
      </c>
      <c r="K946" s="2">
        <v>45071.350326516207</v>
      </c>
      <c r="L946" t="s">
        <v>38</v>
      </c>
      <c r="N946" t="s">
        <v>38</v>
      </c>
      <c r="P946">
        <v>7</v>
      </c>
      <c r="R946" t="s">
        <v>29</v>
      </c>
      <c r="S946" t="s">
        <v>30</v>
      </c>
      <c r="T946" t="s">
        <v>65</v>
      </c>
      <c r="U946">
        <v>46.149166399999999</v>
      </c>
      <c r="V946">
        <v>14.9860106</v>
      </c>
      <c r="W946" t="str">
        <f t="shared" si="99"/>
        <v>ok</v>
      </c>
      <c r="X946" t="str">
        <f t="shared" si="105"/>
        <v>ok</v>
      </c>
      <c r="Y946" t="str">
        <f t="shared" si="100"/>
        <v>ok</v>
      </c>
      <c r="Z946" t="str">
        <f t="shared" si="101"/>
        <v>ok</v>
      </c>
      <c r="AA946" s="4" t="str">
        <f t="shared" si="102"/>
        <v>ok</v>
      </c>
      <c r="AB946" s="4" t="str">
        <f t="shared" si="103"/>
        <v>no resolution</v>
      </c>
      <c r="AC946" s="6" t="str">
        <f t="shared" si="104"/>
        <v/>
      </c>
    </row>
    <row r="947" spans="1:29" x14ac:dyDescent="0.3">
      <c r="A947" t="s">
        <v>22</v>
      </c>
      <c r="B947">
        <v>2199</v>
      </c>
      <c r="C947" t="s">
        <v>33</v>
      </c>
      <c r="D947" t="s">
        <v>34</v>
      </c>
      <c r="E947" t="s">
        <v>25</v>
      </c>
      <c r="F947" t="s">
        <v>26</v>
      </c>
      <c r="G947" t="s">
        <v>52</v>
      </c>
      <c r="H947" s="1">
        <v>45071.615995370368</v>
      </c>
      <c r="I947" s="1">
        <v>45073.615995370368</v>
      </c>
      <c r="J947" s="1">
        <v>45071.617384259262</v>
      </c>
      <c r="K947" s="2">
        <v>45071.618546180558</v>
      </c>
      <c r="L947" t="s">
        <v>38</v>
      </c>
      <c r="M947" s="2">
        <v>45072.144403981481</v>
      </c>
      <c r="N947" t="s">
        <v>28</v>
      </c>
      <c r="O947" s="2">
        <v>45074.432560775465</v>
      </c>
      <c r="P947">
        <v>6</v>
      </c>
      <c r="Q947">
        <v>4</v>
      </c>
      <c r="R947" t="s">
        <v>50</v>
      </c>
      <c r="S947" t="s">
        <v>30</v>
      </c>
      <c r="T947" t="s">
        <v>56</v>
      </c>
      <c r="U947">
        <v>52.536273000000001</v>
      </c>
      <c r="V947">
        <v>19.050639</v>
      </c>
      <c r="W947" t="str">
        <f t="shared" si="99"/>
        <v>ok</v>
      </c>
      <c r="X947" t="str">
        <f t="shared" si="105"/>
        <v>ok</v>
      </c>
      <c r="Y947" t="str">
        <f t="shared" si="100"/>
        <v>ok</v>
      </c>
      <c r="Z947" t="str">
        <f t="shared" si="101"/>
        <v>ok</v>
      </c>
      <c r="AA947" s="4" t="str">
        <f t="shared" si="102"/>
        <v>ok</v>
      </c>
      <c r="AB947" s="4" t="str">
        <f t="shared" si="103"/>
        <v>ok</v>
      </c>
      <c r="AC947" s="6">
        <f t="shared" si="104"/>
        <v>12.68180666671833</v>
      </c>
    </row>
    <row r="948" spans="1:29" x14ac:dyDescent="0.3">
      <c r="A948" t="s">
        <v>42</v>
      </c>
      <c r="B948">
        <v>2200</v>
      </c>
      <c r="C948" t="s">
        <v>23</v>
      </c>
      <c r="D948" t="s">
        <v>43</v>
      </c>
      <c r="E948" t="s">
        <v>35</v>
      </c>
      <c r="F948" t="s">
        <v>26</v>
      </c>
      <c r="G948" t="s">
        <v>45</v>
      </c>
      <c r="H948" s="1">
        <v>45071.838958333334</v>
      </c>
      <c r="I948" s="1">
        <v>45072.838958333334</v>
      </c>
      <c r="J948" s="1">
        <v>45071.84034722222</v>
      </c>
      <c r="K948" s="2">
        <v>45071.840586192127</v>
      </c>
      <c r="L948" t="s">
        <v>38</v>
      </c>
      <c r="M948" s="2">
        <v>45072.108538900466</v>
      </c>
      <c r="N948" t="s">
        <v>28</v>
      </c>
      <c r="P948">
        <v>4</v>
      </c>
      <c r="R948" t="s">
        <v>29</v>
      </c>
      <c r="S948" t="s">
        <v>30</v>
      </c>
      <c r="T948" t="s">
        <v>46</v>
      </c>
      <c r="U948">
        <v>47.696471899999999</v>
      </c>
      <c r="V948">
        <v>13.3457347</v>
      </c>
      <c r="W948" t="str">
        <f t="shared" si="99"/>
        <v>ok</v>
      </c>
      <c r="X948" t="str">
        <f t="shared" si="105"/>
        <v>ok</v>
      </c>
      <c r="Y948" t="str">
        <f t="shared" si="100"/>
        <v>ok</v>
      </c>
      <c r="Z948" t="str">
        <f t="shared" si="101"/>
        <v>ok</v>
      </c>
      <c r="AA948" s="4" t="str">
        <f t="shared" si="102"/>
        <v>ok</v>
      </c>
      <c r="AB948" s="4" t="str">
        <f t="shared" si="103"/>
        <v>ok</v>
      </c>
      <c r="AC948" s="6">
        <f t="shared" si="104"/>
        <v>6.4699336111661978</v>
      </c>
    </row>
    <row r="949" spans="1:29" x14ac:dyDescent="0.3">
      <c r="A949" t="s">
        <v>22</v>
      </c>
      <c r="B949">
        <v>2201</v>
      </c>
      <c r="C949" t="s">
        <v>33</v>
      </c>
      <c r="D949" t="s">
        <v>43</v>
      </c>
      <c r="E949" t="s">
        <v>48</v>
      </c>
      <c r="F949" t="s">
        <v>36</v>
      </c>
      <c r="G949" t="s">
        <v>64</v>
      </c>
      <c r="H949" s="1">
        <v>45071.579930555556</v>
      </c>
      <c r="I949" s="1">
        <v>45072.579930555556</v>
      </c>
      <c r="J949" s="1">
        <v>45071.581319444442</v>
      </c>
      <c r="K949" s="2">
        <v>45071.58050452546</v>
      </c>
      <c r="L949" t="s">
        <v>28</v>
      </c>
      <c r="M949" s="2">
        <v>45072.218533611114</v>
      </c>
      <c r="N949" t="s">
        <v>28</v>
      </c>
      <c r="O949" s="2">
        <v>45076.821516550925</v>
      </c>
      <c r="P949">
        <v>3</v>
      </c>
      <c r="Q949">
        <v>3</v>
      </c>
      <c r="R949" t="s">
        <v>50</v>
      </c>
      <c r="S949" t="s">
        <v>40</v>
      </c>
      <c r="T949" t="s">
        <v>61</v>
      </c>
      <c r="U949">
        <v>42.724992499999999</v>
      </c>
      <c r="V949">
        <v>25.483303899999999</v>
      </c>
      <c r="W949" t="str">
        <f t="shared" si="99"/>
        <v>ok</v>
      </c>
      <c r="X949" t="str">
        <f t="shared" si="105"/>
        <v>ok</v>
      </c>
      <c r="Y949" t="str">
        <f t="shared" si="100"/>
        <v>ok</v>
      </c>
      <c r="Z949" t="str">
        <f t="shared" si="101"/>
        <v>ok</v>
      </c>
      <c r="AA949" s="4" t="str">
        <f t="shared" si="102"/>
        <v>ok</v>
      </c>
      <c r="AB949" s="4" t="str">
        <f t="shared" si="103"/>
        <v>ok</v>
      </c>
      <c r="AC949" s="6">
        <f t="shared" si="104"/>
        <v>15.326473333407193</v>
      </c>
    </row>
    <row r="950" spans="1:29" x14ac:dyDescent="0.3">
      <c r="A950" t="s">
        <v>22</v>
      </c>
      <c r="B950">
        <v>2202</v>
      </c>
      <c r="C950" t="s">
        <v>23</v>
      </c>
      <c r="D950" t="s">
        <v>24</v>
      </c>
      <c r="E950" t="s">
        <v>35</v>
      </c>
      <c r="F950" t="s">
        <v>26</v>
      </c>
      <c r="G950" t="s">
        <v>27</v>
      </c>
      <c r="H950" s="1">
        <v>45071.731469907405</v>
      </c>
      <c r="I950" s="1">
        <v>45073.731469907405</v>
      </c>
      <c r="J950" s="1">
        <v>45071.773136574076</v>
      </c>
      <c r="K950" s="2">
        <v>45071.750252777776</v>
      </c>
      <c r="L950" t="s">
        <v>28</v>
      </c>
      <c r="M950" s="2">
        <v>45071.765837245373</v>
      </c>
      <c r="N950" t="s">
        <v>28</v>
      </c>
      <c r="O950" s="2">
        <v>45075.594158460648</v>
      </c>
      <c r="P950">
        <v>1</v>
      </c>
      <c r="Q950">
        <v>3</v>
      </c>
      <c r="R950" t="s">
        <v>29</v>
      </c>
      <c r="S950" t="s">
        <v>30</v>
      </c>
      <c r="T950" t="s">
        <v>31</v>
      </c>
      <c r="U950">
        <v>53.094023999999997</v>
      </c>
      <c r="V950">
        <v>-8.0196749999999994</v>
      </c>
      <c r="W950" t="str">
        <f t="shared" si="99"/>
        <v>ok</v>
      </c>
      <c r="X950" t="str">
        <f t="shared" si="105"/>
        <v>ok</v>
      </c>
      <c r="Y950" t="str">
        <f t="shared" si="100"/>
        <v>ok</v>
      </c>
      <c r="Z950" t="str">
        <f t="shared" si="101"/>
        <v>ok</v>
      </c>
      <c r="AA950" s="4" t="str">
        <f t="shared" si="102"/>
        <v>ok</v>
      </c>
      <c r="AB950" s="4" t="str">
        <f t="shared" si="103"/>
        <v>ok</v>
      </c>
      <c r="AC950" s="6">
        <f t="shared" si="104"/>
        <v>0.82481611124239862</v>
      </c>
    </row>
    <row r="951" spans="1:29" x14ac:dyDescent="0.3">
      <c r="A951" t="s">
        <v>42</v>
      </c>
      <c r="B951">
        <v>2203</v>
      </c>
      <c r="C951" t="s">
        <v>47</v>
      </c>
      <c r="D951" t="s">
        <v>24</v>
      </c>
      <c r="E951" t="s">
        <v>48</v>
      </c>
      <c r="F951" t="s">
        <v>26</v>
      </c>
      <c r="G951" t="s">
        <v>52</v>
      </c>
      <c r="H951" s="1">
        <v>45071.5780787037</v>
      </c>
      <c r="I951" s="1">
        <v>45073.5780787037</v>
      </c>
      <c r="J951" s="1">
        <v>45071.619745370372</v>
      </c>
      <c r="K951" s="2">
        <v>45071.591005069444</v>
      </c>
      <c r="L951" t="s">
        <v>28</v>
      </c>
      <c r="M951" s="2">
        <v>45072.062132187501</v>
      </c>
      <c r="N951" t="s">
        <v>28</v>
      </c>
      <c r="P951">
        <v>1</v>
      </c>
      <c r="R951" t="s">
        <v>50</v>
      </c>
      <c r="S951" t="s">
        <v>30</v>
      </c>
      <c r="T951" t="s">
        <v>63</v>
      </c>
      <c r="U951">
        <v>55.378051999999997</v>
      </c>
      <c r="V951">
        <v>-3.4359730000000002</v>
      </c>
      <c r="W951" t="str">
        <f t="shared" si="99"/>
        <v>ok</v>
      </c>
      <c r="X951" t="str">
        <f t="shared" si="105"/>
        <v>ok</v>
      </c>
      <c r="Y951" t="str">
        <f t="shared" si="100"/>
        <v>ok</v>
      </c>
      <c r="Z951" t="str">
        <f t="shared" si="101"/>
        <v>ok</v>
      </c>
      <c r="AA951" s="4" t="str">
        <f t="shared" si="102"/>
        <v>ok</v>
      </c>
      <c r="AB951" s="4" t="str">
        <f t="shared" si="103"/>
        <v>ok</v>
      </c>
      <c r="AC951" s="6">
        <f t="shared" si="104"/>
        <v>11.617283611209132</v>
      </c>
    </row>
    <row r="952" spans="1:29" x14ac:dyDescent="0.3">
      <c r="A952" t="s">
        <v>42</v>
      </c>
      <c r="B952">
        <v>2204</v>
      </c>
      <c r="C952" t="s">
        <v>23</v>
      </c>
      <c r="D952" t="s">
        <v>24</v>
      </c>
      <c r="E952" t="s">
        <v>35</v>
      </c>
      <c r="F952" t="s">
        <v>26</v>
      </c>
      <c r="G952" t="s">
        <v>52</v>
      </c>
      <c r="H952" s="1">
        <v>45072.784282407411</v>
      </c>
      <c r="I952" s="1">
        <v>45074.784282407411</v>
      </c>
      <c r="J952" s="1">
        <v>45072.825949074075</v>
      </c>
      <c r="K952" s="2">
        <v>45072.786080821759</v>
      </c>
      <c r="L952" t="s">
        <v>28</v>
      </c>
      <c r="M952" s="2">
        <v>45073.525480370372</v>
      </c>
      <c r="N952" t="s">
        <v>28</v>
      </c>
      <c r="P952">
        <v>1</v>
      </c>
      <c r="R952" t="s">
        <v>29</v>
      </c>
      <c r="S952" t="s">
        <v>30</v>
      </c>
      <c r="T952" t="s">
        <v>65</v>
      </c>
      <c r="U952">
        <v>46.149166399999999</v>
      </c>
      <c r="V952">
        <v>14.9860106</v>
      </c>
      <c r="W952" t="str">
        <f t="shared" si="99"/>
        <v>ok</v>
      </c>
      <c r="X952" t="str">
        <f t="shared" si="105"/>
        <v>ok</v>
      </c>
      <c r="Y952" t="str">
        <f t="shared" si="100"/>
        <v>ok</v>
      </c>
      <c r="Z952" t="str">
        <f t="shared" si="101"/>
        <v>ok</v>
      </c>
      <c r="AA952" s="4" t="str">
        <f t="shared" si="102"/>
        <v>ok</v>
      </c>
      <c r="AB952" s="4" t="str">
        <f t="shared" si="103"/>
        <v>ok</v>
      </c>
      <c r="AC952" s="6">
        <f t="shared" si="104"/>
        <v>17.788751111074816</v>
      </c>
    </row>
    <row r="953" spans="1:29" x14ac:dyDescent="0.3">
      <c r="A953" t="s">
        <v>22</v>
      </c>
      <c r="B953">
        <v>2205</v>
      </c>
      <c r="C953" t="s">
        <v>47</v>
      </c>
      <c r="D953" t="s">
        <v>24</v>
      </c>
      <c r="E953" t="s">
        <v>25</v>
      </c>
      <c r="F953" t="s">
        <v>36</v>
      </c>
      <c r="G953" t="s">
        <v>54</v>
      </c>
      <c r="H953" s="1">
        <v>45072.886400462965</v>
      </c>
      <c r="I953" s="1">
        <v>45074.886400462965</v>
      </c>
      <c r="J953" s="1">
        <v>45072.928067129629</v>
      </c>
      <c r="K953" s="2">
        <v>45072.909369444445</v>
      </c>
      <c r="L953" t="s">
        <v>28</v>
      </c>
      <c r="M953" s="2">
        <v>45073.428852141202</v>
      </c>
      <c r="N953" t="s">
        <v>28</v>
      </c>
      <c r="O953" s="2">
        <v>45075.402538240742</v>
      </c>
      <c r="P953">
        <v>9</v>
      </c>
      <c r="Q953">
        <v>1</v>
      </c>
      <c r="R953" t="s">
        <v>39</v>
      </c>
      <c r="S953" t="s">
        <v>40</v>
      </c>
      <c r="T953" t="s">
        <v>53</v>
      </c>
      <c r="U953">
        <v>39.368279000000001</v>
      </c>
      <c r="V953">
        <v>21.863140999999999</v>
      </c>
      <c r="W953" t="str">
        <f t="shared" si="99"/>
        <v>ok</v>
      </c>
      <c r="X953" t="str">
        <f t="shared" si="105"/>
        <v>ok</v>
      </c>
      <c r="Y953" t="str">
        <f t="shared" si="100"/>
        <v>ok</v>
      </c>
      <c r="Z953" t="str">
        <f t="shared" si="101"/>
        <v>ok</v>
      </c>
      <c r="AA953" s="4" t="str">
        <f t="shared" si="102"/>
        <v>ok</v>
      </c>
      <c r="AB953" s="4" t="str">
        <f t="shared" si="103"/>
        <v>ok</v>
      </c>
      <c r="AC953" s="6">
        <f t="shared" si="104"/>
        <v>13.018840277683921</v>
      </c>
    </row>
    <row r="954" spans="1:29" x14ac:dyDescent="0.3">
      <c r="A954" t="s">
        <v>42</v>
      </c>
      <c r="B954">
        <v>2206</v>
      </c>
      <c r="C954" t="s">
        <v>23</v>
      </c>
      <c r="D954" t="s">
        <v>24</v>
      </c>
      <c r="E954" t="s">
        <v>48</v>
      </c>
      <c r="F954" t="s">
        <v>26</v>
      </c>
      <c r="G954" t="s">
        <v>27</v>
      </c>
      <c r="H954" s="1">
        <v>45072.465208333335</v>
      </c>
      <c r="I954" s="1">
        <v>45074.465208333335</v>
      </c>
      <c r="J954" s="1">
        <v>45072.506874999999</v>
      </c>
      <c r="K954" s="2">
        <v>45072.50539875</v>
      </c>
      <c r="L954" t="s">
        <v>28</v>
      </c>
      <c r="M954" s="2">
        <v>45074.352066192128</v>
      </c>
      <c r="N954" t="s">
        <v>28</v>
      </c>
      <c r="P954">
        <v>7</v>
      </c>
      <c r="R954" t="s">
        <v>29</v>
      </c>
      <c r="S954" t="s">
        <v>30</v>
      </c>
      <c r="T954" t="s">
        <v>57</v>
      </c>
      <c r="U954">
        <v>51.165691000000002</v>
      </c>
      <c r="V954">
        <v>10.451525999999999</v>
      </c>
      <c r="W954" t="str">
        <f t="shared" si="99"/>
        <v>ok</v>
      </c>
      <c r="X954" t="str">
        <f t="shared" si="105"/>
        <v>ok</v>
      </c>
      <c r="Y954" t="str">
        <f t="shared" si="100"/>
        <v>ok</v>
      </c>
      <c r="Z954" t="str">
        <f t="shared" si="101"/>
        <v>ok</v>
      </c>
      <c r="AA954" s="4" t="str">
        <f t="shared" si="102"/>
        <v>ok</v>
      </c>
      <c r="AB954" s="4" t="str">
        <f t="shared" si="103"/>
        <v>ok</v>
      </c>
      <c r="AC954" s="6">
        <f t="shared" si="104"/>
        <v>45.284588611044455</v>
      </c>
    </row>
    <row r="955" spans="1:29" x14ac:dyDescent="0.3">
      <c r="A955" t="s">
        <v>42</v>
      </c>
      <c r="B955">
        <v>2207</v>
      </c>
      <c r="C955" t="s">
        <v>23</v>
      </c>
      <c r="D955" t="s">
        <v>24</v>
      </c>
      <c r="E955" t="s">
        <v>39</v>
      </c>
      <c r="F955" t="s">
        <v>26</v>
      </c>
      <c r="G955" t="s">
        <v>60</v>
      </c>
      <c r="H955" s="1">
        <v>45072.31927083333</v>
      </c>
      <c r="I955" s="1">
        <v>45074.31927083333</v>
      </c>
      <c r="J955" s="1">
        <v>45072.360937500001</v>
      </c>
      <c r="K955" s="2">
        <v>45072.340840034725</v>
      </c>
      <c r="L955" t="s">
        <v>28</v>
      </c>
      <c r="M955" s="2">
        <v>45073.987913715275</v>
      </c>
      <c r="N955" t="s">
        <v>28</v>
      </c>
      <c r="P955">
        <v>3</v>
      </c>
      <c r="R955" t="s">
        <v>29</v>
      </c>
      <c r="S955" t="s">
        <v>30</v>
      </c>
      <c r="T955" t="s">
        <v>66</v>
      </c>
      <c r="U955">
        <v>48.864716000000001</v>
      </c>
      <c r="V955">
        <v>2.3490139999999999</v>
      </c>
      <c r="W955" t="str">
        <f t="shared" si="99"/>
        <v>ok</v>
      </c>
      <c r="X955" t="str">
        <f t="shared" si="105"/>
        <v>ok</v>
      </c>
      <c r="Y955" t="str">
        <f t="shared" si="100"/>
        <v>ok</v>
      </c>
      <c r="Z955" t="str">
        <f t="shared" si="101"/>
        <v>ok</v>
      </c>
      <c r="AA955" s="4" t="str">
        <f t="shared" si="102"/>
        <v>ok</v>
      </c>
      <c r="AB955" s="4" t="str">
        <f t="shared" si="103"/>
        <v>ok</v>
      </c>
      <c r="AC955" s="6">
        <f t="shared" si="104"/>
        <v>40.047429166676011</v>
      </c>
    </row>
    <row r="956" spans="1:29" x14ac:dyDescent="0.3">
      <c r="A956" t="s">
        <v>42</v>
      </c>
      <c r="B956">
        <v>2208</v>
      </c>
      <c r="C956" t="s">
        <v>47</v>
      </c>
      <c r="D956" t="s">
        <v>24</v>
      </c>
      <c r="E956" t="s">
        <v>48</v>
      </c>
      <c r="F956" t="s">
        <v>26</v>
      </c>
      <c r="G956" t="s">
        <v>49</v>
      </c>
      <c r="H956" s="1">
        <v>45072.949432870373</v>
      </c>
      <c r="I956" s="1">
        <v>45074.949432870373</v>
      </c>
      <c r="J956" s="1">
        <v>45072.991099537037</v>
      </c>
      <c r="K956" s="2">
        <v>45072.981386620369</v>
      </c>
      <c r="L956" t="s">
        <v>28</v>
      </c>
      <c r="M956" s="2">
        <v>45073.956374803238</v>
      </c>
      <c r="N956" t="s">
        <v>28</v>
      </c>
      <c r="P956">
        <v>3</v>
      </c>
      <c r="R956" t="s">
        <v>29</v>
      </c>
      <c r="S956" t="s">
        <v>30</v>
      </c>
      <c r="T956" t="s">
        <v>61</v>
      </c>
      <c r="U956">
        <v>42.724992499999999</v>
      </c>
      <c r="V956">
        <v>25.483303899999999</v>
      </c>
      <c r="W956" t="str">
        <f t="shared" si="99"/>
        <v>ok</v>
      </c>
      <c r="X956" t="str">
        <f t="shared" si="105"/>
        <v>ok</v>
      </c>
      <c r="Y956" t="str">
        <f t="shared" si="100"/>
        <v>ok</v>
      </c>
      <c r="Z956" t="str">
        <f t="shared" si="101"/>
        <v>ok</v>
      </c>
      <c r="AA956" s="4" t="str">
        <f t="shared" si="102"/>
        <v>ok</v>
      </c>
      <c r="AB956" s="4" t="str">
        <f t="shared" si="103"/>
        <v>ok</v>
      </c>
      <c r="AC956" s="6">
        <f t="shared" si="104"/>
        <v>24.16660638875328</v>
      </c>
    </row>
    <row r="957" spans="1:29" x14ac:dyDescent="0.3">
      <c r="A957" t="s">
        <v>32</v>
      </c>
      <c r="B957">
        <v>2209</v>
      </c>
      <c r="C957" t="s">
        <v>23</v>
      </c>
      <c r="D957" t="s">
        <v>43</v>
      </c>
      <c r="E957" t="s">
        <v>35</v>
      </c>
      <c r="F957" t="s">
        <v>26</v>
      </c>
      <c r="G957" t="s">
        <v>52</v>
      </c>
      <c r="H957" s="1">
        <v>45072.694189814814</v>
      </c>
      <c r="I957" s="1">
        <v>45073.694189814814</v>
      </c>
      <c r="J957" s="1">
        <v>45072.6955787037</v>
      </c>
      <c r="K957" s="2">
        <v>45072.695308298615</v>
      </c>
      <c r="L957" t="s">
        <v>28</v>
      </c>
      <c r="N957" t="s">
        <v>38</v>
      </c>
      <c r="P957">
        <v>3</v>
      </c>
      <c r="R957" t="s">
        <v>50</v>
      </c>
      <c r="S957" t="s">
        <v>30</v>
      </c>
      <c r="T957" t="s">
        <v>56</v>
      </c>
      <c r="U957">
        <v>52.536273000000001</v>
      </c>
      <c r="V957">
        <v>19.050639</v>
      </c>
      <c r="W957" t="str">
        <f t="shared" si="99"/>
        <v>ok</v>
      </c>
      <c r="X957" t="str">
        <f t="shared" si="105"/>
        <v>ok</v>
      </c>
      <c r="Y957" t="str">
        <f t="shared" si="100"/>
        <v>ok</v>
      </c>
      <c r="Z957" t="str">
        <f t="shared" si="101"/>
        <v>ok</v>
      </c>
      <c r="AA957" s="4" t="str">
        <f t="shared" si="102"/>
        <v>ok</v>
      </c>
      <c r="AB957" s="4" t="str">
        <f t="shared" si="103"/>
        <v>no resolution</v>
      </c>
      <c r="AC957" s="6" t="str">
        <f t="shared" si="104"/>
        <v/>
      </c>
    </row>
    <row r="958" spans="1:29" x14ac:dyDescent="0.3">
      <c r="A958" t="s">
        <v>22</v>
      </c>
      <c r="B958">
        <v>2219</v>
      </c>
      <c r="C958" t="s">
        <v>23</v>
      </c>
      <c r="D958" t="s">
        <v>24</v>
      </c>
      <c r="E958" t="s">
        <v>59</v>
      </c>
      <c r="F958" t="s">
        <v>26</v>
      </c>
      <c r="G958" t="s">
        <v>27</v>
      </c>
      <c r="H958" s="1">
        <v>45074.750775462962</v>
      </c>
      <c r="I958" s="1">
        <v>45076.750775462962</v>
      </c>
      <c r="J958" s="1">
        <v>45074.792442129627</v>
      </c>
      <c r="K958" s="2">
        <v>45074.760502418983</v>
      </c>
      <c r="L958" t="s">
        <v>28</v>
      </c>
      <c r="M958" s="2">
        <v>45075.890630277776</v>
      </c>
      <c r="N958" t="s">
        <v>28</v>
      </c>
      <c r="O958" s="2">
        <v>45077.939863831016</v>
      </c>
      <c r="P958">
        <v>7</v>
      </c>
      <c r="Q958">
        <v>2</v>
      </c>
      <c r="R958" t="s">
        <v>50</v>
      </c>
      <c r="S958" t="s">
        <v>30</v>
      </c>
      <c r="T958" t="s">
        <v>56</v>
      </c>
      <c r="U958">
        <v>52.536273000000001</v>
      </c>
      <c r="V958">
        <v>19.050639</v>
      </c>
      <c r="W958" t="str">
        <f t="shared" si="99"/>
        <v>ok</v>
      </c>
      <c r="X958" t="str">
        <f t="shared" si="105"/>
        <v>ok</v>
      </c>
      <c r="Y958" t="str">
        <f t="shared" si="100"/>
        <v>ok</v>
      </c>
      <c r="Z958" t="str">
        <f t="shared" si="101"/>
        <v>ok</v>
      </c>
      <c r="AA958" s="4" t="str">
        <f t="shared" si="102"/>
        <v>ok</v>
      </c>
      <c r="AB958" s="4" t="str">
        <f t="shared" si="103"/>
        <v>ok</v>
      </c>
      <c r="AC958" s="6">
        <f t="shared" si="104"/>
        <v>27.35651555552613</v>
      </c>
    </row>
    <row r="959" spans="1:29" x14ac:dyDescent="0.3">
      <c r="A959" t="s">
        <v>42</v>
      </c>
      <c r="B959">
        <v>2220</v>
      </c>
      <c r="C959" t="s">
        <v>23</v>
      </c>
      <c r="D959" t="s">
        <v>24</v>
      </c>
      <c r="E959" t="s">
        <v>25</v>
      </c>
      <c r="F959" t="s">
        <v>26</v>
      </c>
      <c r="G959" t="s">
        <v>52</v>
      </c>
      <c r="H959" s="1">
        <v>45074.732824074075</v>
      </c>
      <c r="I959" s="1">
        <v>45076.732824074075</v>
      </c>
      <c r="J959" s="1">
        <v>45074.77449074074</v>
      </c>
      <c r="K959" s="2">
        <v>45074.739260208335</v>
      </c>
      <c r="L959" t="s">
        <v>28</v>
      </c>
      <c r="M959" s="2">
        <v>45075.314895752315</v>
      </c>
      <c r="N959" t="s">
        <v>28</v>
      </c>
      <c r="P959">
        <v>8</v>
      </c>
      <c r="R959" t="s">
        <v>39</v>
      </c>
      <c r="S959" t="s">
        <v>30</v>
      </c>
      <c r="T959" t="s">
        <v>56</v>
      </c>
      <c r="U959">
        <v>52.536273000000001</v>
      </c>
      <c r="V959">
        <v>19.050639</v>
      </c>
      <c r="W959" t="str">
        <f t="shared" si="99"/>
        <v>ok</v>
      </c>
      <c r="X959" t="str">
        <f t="shared" si="105"/>
        <v>ok</v>
      </c>
      <c r="Y959" t="str">
        <f t="shared" si="100"/>
        <v>ok</v>
      </c>
      <c r="Z959" t="str">
        <f t="shared" si="101"/>
        <v>ok</v>
      </c>
      <c r="AA959" s="4" t="str">
        <f t="shared" si="102"/>
        <v>ok</v>
      </c>
      <c r="AB959" s="4" t="str">
        <f t="shared" si="103"/>
        <v>ok</v>
      </c>
      <c r="AC959" s="6">
        <f t="shared" si="104"/>
        <v>13.969720277760644</v>
      </c>
    </row>
    <row r="960" spans="1:29" x14ac:dyDescent="0.3">
      <c r="A960" t="s">
        <v>22</v>
      </c>
      <c r="B960">
        <v>2221</v>
      </c>
      <c r="C960" t="s">
        <v>47</v>
      </c>
      <c r="D960" t="s">
        <v>43</v>
      </c>
      <c r="E960" t="s">
        <v>25</v>
      </c>
      <c r="F960" t="s">
        <v>26</v>
      </c>
      <c r="G960" t="s">
        <v>49</v>
      </c>
      <c r="H960" s="1">
        <v>45074.961261574077</v>
      </c>
      <c r="I960" s="1">
        <v>45075.961261574077</v>
      </c>
      <c r="J960" s="1">
        <v>45074.962650462963</v>
      </c>
      <c r="K960" s="2">
        <v>45074.964743495373</v>
      </c>
      <c r="L960" t="s">
        <v>38</v>
      </c>
      <c r="M960" s="2">
        <v>45075.755874374998</v>
      </c>
      <c r="N960" t="s">
        <v>28</v>
      </c>
      <c r="O960" s="2">
        <v>45081.630002708334</v>
      </c>
      <c r="P960">
        <v>6</v>
      </c>
      <c r="Q960">
        <v>4</v>
      </c>
      <c r="R960" t="s">
        <v>50</v>
      </c>
      <c r="S960" t="s">
        <v>30</v>
      </c>
      <c r="T960" t="s">
        <v>56</v>
      </c>
      <c r="U960">
        <v>52.536273000000001</v>
      </c>
      <c r="V960">
        <v>19.050639</v>
      </c>
      <c r="W960" t="str">
        <f t="shared" si="99"/>
        <v>ok</v>
      </c>
      <c r="X960" t="str">
        <f t="shared" si="105"/>
        <v>ok</v>
      </c>
      <c r="Y960" t="str">
        <f t="shared" si="100"/>
        <v>ok</v>
      </c>
      <c r="Z960" t="str">
        <f t="shared" si="101"/>
        <v>ok</v>
      </c>
      <c r="AA960" s="4" t="str">
        <f t="shared" si="102"/>
        <v>ok</v>
      </c>
      <c r="AB960" s="4" t="str">
        <f t="shared" si="103"/>
        <v>ok</v>
      </c>
      <c r="AC960" s="6">
        <f t="shared" si="104"/>
        <v>19.070707222097553</v>
      </c>
    </row>
    <row r="961" spans="1:29" x14ac:dyDescent="0.3">
      <c r="A961" t="s">
        <v>42</v>
      </c>
      <c r="B961">
        <v>2222</v>
      </c>
      <c r="C961" t="s">
        <v>23</v>
      </c>
      <c r="D961" t="s">
        <v>24</v>
      </c>
      <c r="E961" t="s">
        <v>59</v>
      </c>
      <c r="F961" t="s">
        <v>26</v>
      </c>
      <c r="G961" t="s">
        <v>45</v>
      </c>
      <c r="H961" s="1">
        <v>45074.140219907407</v>
      </c>
      <c r="I961" s="1">
        <v>45076.140219907407</v>
      </c>
      <c r="J961" s="1">
        <v>45074.181886574072</v>
      </c>
      <c r="K961" s="2">
        <v>45074.177260775461</v>
      </c>
      <c r="L961" t="s">
        <v>28</v>
      </c>
      <c r="M961" s="2">
        <v>45078.29757166667</v>
      </c>
      <c r="N961" t="s">
        <v>38</v>
      </c>
      <c r="P961">
        <v>4</v>
      </c>
      <c r="R961" t="s">
        <v>29</v>
      </c>
      <c r="S961" t="s">
        <v>30</v>
      </c>
      <c r="T961" t="s">
        <v>56</v>
      </c>
      <c r="U961">
        <v>52.536273000000001</v>
      </c>
      <c r="V961">
        <v>19.050639</v>
      </c>
      <c r="W961" t="str">
        <f t="shared" si="99"/>
        <v>ok</v>
      </c>
      <c r="X961" t="str">
        <f t="shared" si="105"/>
        <v>ok</v>
      </c>
      <c r="Y961" t="str">
        <f t="shared" si="100"/>
        <v>ok</v>
      </c>
      <c r="Z961" t="str">
        <f t="shared" si="101"/>
        <v>ok</v>
      </c>
      <c r="AA961" s="4" t="str">
        <f t="shared" si="102"/>
        <v>ok</v>
      </c>
      <c r="AB961" s="4" t="str">
        <f t="shared" si="103"/>
        <v>ok</v>
      </c>
      <c r="AC961" s="6">
        <f t="shared" si="104"/>
        <v>99.776442222297192</v>
      </c>
    </row>
    <row r="962" spans="1:29" x14ac:dyDescent="0.3">
      <c r="A962" t="s">
        <v>22</v>
      </c>
      <c r="B962">
        <v>2223</v>
      </c>
      <c r="C962" t="s">
        <v>33</v>
      </c>
      <c r="D962" t="s">
        <v>24</v>
      </c>
      <c r="E962" t="s">
        <v>44</v>
      </c>
      <c r="F962" t="s">
        <v>26</v>
      </c>
      <c r="G962" t="s">
        <v>60</v>
      </c>
      <c r="H962" s="1">
        <v>45075.65729166667</v>
      </c>
      <c r="I962" s="1">
        <v>45077.65729166667</v>
      </c>
      <c r="J962" s="1">
        <v>45075.698958333334</v>
      </c>
      <c r="K962" s="2">
        <v>45075.862789224535</v>
      </c>
      <c r="L962" t="s">
        <v>38</v>
      </c>
      <c r="M962" s="2">
        <v>45080.618233333335</v>
      </c>
      <c r="N962" t="s">
        <v>38</v>
      </c>
      <c r="O962" s="2">
        <v>45081.307646354166</v>
      </c>
      <c r="P962">
        <v>2</v>
      </c>
      <c r="Q962">
        <v>4</v>
      </c>
      <c r="R962" t="s">
        <v>39</v>
      </c>
      <c r="S962" t="s">
        <v>30</v>
      </c>
      <c r="T962" t="s">
        <v>51</v>
      </c>
      <c r="U962">
        <v>39.673369999999998</v>
      </c>
      <c r="V962">
        <v>-4.7677259999999997</v>
      </c>
      <c r="W962" t="str">
        <f t="shared" ref="W962:W1025" si="106">IF(K962&lt;H962,"check","ok")</f>
        <v>ok</v>
      </c>
      <c r="X962" t="str">
        <f t="shared" si="105"/>
        <v>ok</v>
      </c>
      <c r="Y962" t="str">
        <f t="shared" ref="Y962:Y1025" si="107">IF(AND(M962&lt;&gt;"",O962&lt;&gt;"",O962&lt;M962),"check","ok")</f>
        <v>ok</v>
      </c>
      <c r="Z962" t="str">
        <f t="shared" ref="Z962:Z1025" si="108">IF(AND(OR(CA962="Closed",A962="Resolved"),M962=""),"check","ok")</f>
        <v>ok</v>
      </c>
      <c r="AA962" s="4" t="str">
        <f t="shared" ref="AA962:AA1025" si="109">IF(K962="","no response",IF(OR(AND(K962&lt;=J962,L962="Within SLA"),AND(K962&gt;J962,L962="SLA Violated")),"ok","check"))</f>
        <v>ok</v>
      </c>
      <c r="AB962" s="4" t="str">
        <f t="shared" ref="AB962:AB1025" si="110">IF(M962="","no resolution",IF(OR(AND(M962&lt;=I962,N962="Within SLA"),AND(M962&gt;I962,N962="SLA Violated")),"ok","check"))</f>
        <v>ok</v>
      </c>
      <c r="AC962" s="6">
        <f t="shared" ref="AC962:AC1025" si="111">IF(M962="","",(M962-H962)*24)</f>
        <v>119.06259999994654</v>
      </c>
    </row>
    <row r="963" spans="1:29" x14ac:dyDescent="0.3">
      <c r="A963" t="s">
        <v>42</v>
      </c>
      <c r="B963">
        <v>2224</v>
      </c>
      <c r="C963" t="s">
        <v>47</v>
      </c>
      <c r="D963" t="s">
        <v>43</v>
      </c>
      <c r="E963" t="s">
        <v>35</v>
      </c>
      <c r="F963" t="s">
        <v>26</v>
      </c>
      <c r="G963" t="s">
        <v>45</v>
      </c>
      <c r="H963" s="1">
        <v>45075.030578703707</v>
      </c>
      <c r="I963" s="1">
        <v>45076.030578703707</v>
      </c>
      <c r="J963" s="1">
        <v>45075.031967592593</v>
      </c>
      <c r="K963" s="2">
        <v>45075.031309560189</v>
      </c>
      <c r="L963" t="s">
        <v>28</v>
      </c>
      <c r="M963" s="2">
        <v>45076.129184456018</v>
      </c>
      <c r="N963" t="s">
        <v>38</v>
      </c>
      <c r="P963">
        <v>6</v>
      </c>
      <c r="R963" t="s">
        <v>29</v>
      </c>
      <c r="S963" t="s">
        <v>30</v>
      </c>
      <c r="T963" t="s">
        <v>53</v>
      </c>
      <c r="U963">
        <v>39.368279000000001</v>
      </c>
      <c r="V963">
        <v>21.863140999999999</v>
      </c>
      <c r="W963" t="str">
        <f t="shared" si="106"/>
        <v>ok</v>
      </c>
      <c r="X963" t="str">
        <f t="shared" ref="X963:X1026" si="112">IF(AND(M963&lt;&gt;"",M963&lt;H963),"check","ok")</f>
        <v>ok</v>
      </c>
      <c r="Y963" t="str">
        <f t="shared" si="107"/>
        <v>ok</v>
      </c>
      <c r="Z963" t="str">
        <f t="shared" si="108"/>
        <v>ok</v>
      </c>
      <c r="AA963" s="4" t="str">
        <f t="shared" si="109"/>
        <v>ok</v>
      </c>
      <c r="AB963" s="4" t="str">
        <f t="shared" si="110"/>
        <v>ok</v>
      </c>
      <c r="AC963" s="6">
        <f t="shared" si="111"/>
        <v>26.366538055473939</v>
      </c>
    </row>
    <row r="964" spans="1:29" x14ac:dyDescent="0.3">
      <c r="A964" t="s">
        <v>42</v>
      </c>
      <c r="B964">
        <v>2225</v>
      </c>
      <c r="C964" t="s">
        <v>23</v>
      </c>
      <c r="D964" t="s">
        <v>43</v>
      </c>
      <c r="E964" t="s">
        <v>44</v>
      </c>
      <c r="F964" t="s">
        <v>36</v>
      </c>
      <c r="G964" t="s">
        <v>64</v>
      </c>
      <c r="H964" s="1">
        <v>45076.112743055557</v>
      </c>
      <c r="I964" s="1">
        <v>45077.112743055557</v>
      </c>
      <c r="J964" s="1">
        <v>45076.114131944443</v>
      </c>
      <c r="K964" s="2">
        <v>45076.114022928239</v>
      </c>
      <c r="L964" t="s">
        <v>28</v>
      </c>
      <c r="M964" s="2">
        <v>45076.27188565972</v>
      </c>
      <c r="N964" t="s">
        <v>28</v>
      </c>
      <c r="P964">
        <v>3</v>
      </c>
      <c r="R964" t="s">
        <v>39</v>
      </c>
      <c r="S964" t="s">
        <v>40</v>
      </c>
      <c r="T964" t="s">
        <v>41</v>
      </c>
      <c r="U964">
        <v>43.036776000000003</v>
      </c>
      <c r="V964">
        <v>12.678565000000001</v>
      </c>
      <c r="W964" t="str">
        <f t="shared" si="106"/>
        <v>ok</v>
      </c>
      <c r="X964" t="str">
        <f t="shared" si="112"/>
        <v>ok</v>
      </c>
      <c r="Y964" t="str">
        <f t="shared" si="107"/>
        <v>ok</v>
      </c>
      <c r="Z964" t="str">
        <f t="shared" si="108"/>
        <v>ok</v>
      </c>
      <c r="AA964" s="4" t="str">
        <f t="shared" si="109"/>
        <v>ok</v>
      </c>
      <c r="AB964" s="4" t="str">
        <f t="shared" si="110"/>
        <v>ok</v>
      </c>
      <c r="AC964" s="6">
        <f t="shared" si="111"/>
        <v>3.8194224999169819</v>
      </c>
    </row>
    <row r="965" spans="1:29" x14ac:dyDescent="0.3">
      <c r="A965" t="s">
        <v>42</v>
      </c>
      <c r="B965">
        <v>2226</v>
      </c>
      <c r="C965" t="s">
        <v>23</v>
      </c>
      <c r="D965" t="s">
        <v>43</v>
      </c>
      <c r="E965" t="s">
        <v>25</v>
      </c>
      <c r="F965" t="s">
        <v>26</v>
      </c>
      <c r="G965" t="s">
        <v>52</v>
      </c>
      <c r="H965" s="1">
        <v>45076.66510416667</v>
      </c>
      <c r="I965" s="1">
        <v>45077.66510416667</v>
      </c>
      <c r="J965" s="1">
        <v>45076.666493055556</v>
      </c>
      <c r="K965" s="2">
        <v>45076.665127430555</v>
      </c>
      <c r="L965" t="s">
        <v>28</v>
      </c>
      <c r="M965" s="2">
        <v>45077.315893136576</v>
      </c>
      <c r="N965" t="s">
        <v>28</v>
      </c>
      <c r="P965">
        <v>6</v>
      </c>
      <c r="R965" t="s">
        <v>50</v>
      </c>
      <c r="S965" t="s">
        <v>30</v>
      </c>
      <c r="T965" t="s">
        <v>63</v>
      </c>
      <c r="U965">
        <v>55.378051999999997</v>
      </c>
      <c r="V965">
        <v>-3.4359730000000002</v>
      </c>
      <c r="W965" t="str">
        <f t="shared" si="106"/>
        <v>ok</v>
      </c>
      <c r="X965" t="str">
        <f t="shared" si="112"/>
        <v>ok</v>
      </c>
      <c r="Y965" t="str">
        <f t="shared" si="107"/>
        <v>ok</v>
      </c>
      <c r="Z965" t="str">
        <f t="shared" si="108"/>
        <v>ok</v>
      </c>
      <c r="AA965" s="4" t="str">
        <f t="shared" si="109"/>
        <v>ok</v>
      </c>
      <c r="AB965" s="4" t="str">
        <f t="shared" si="110"/>
        <v>ok</v>
      </c>
      <c r="AC965" s="6">
        <f t="shared" si="111"/>
        <v>15.618935277743731</v>
      </c>
    </row>
    <row r="966" spans="1:29" x14ac:dyDescent="0.3">
      <c r="A966" t="s">
        <v>32</v>
      </c>
      <c r="B966">
        <v>2227</v>
      </c>
      <c r="C966" t="s">
        <v>33</v>
      </c>
      <c r="D966" t="s">
        <v>34</v>
      </c>
      <c r="E966" t="s">
        <v>48</v>
      </c>
      <c r="F966" t="s">
        <v>26</v>
      </c>
      <c r="G966" t="s">
        <v>60</v>
      </c>
      <c r="H966" s="1">
        <v>45076.77306712963</v>
      </c>
      <c r="I966" s="1">
        <v>45078.77306712963</v>
      </c>
      <c r="J966" s="1">
        <v>45076.774456018517</v>
      </c>
      <c r="K966" s="2">
        <v>45076.773164664351</v>
      </c>
      <c r="L966" t="s">
        <v>28</v>
      </c>
      <c r="N966" t="s">
        <v>38</v>
      </c>
      <c r="P966">
        <v>2</v>
      </c>
      <c r="R966" t="s">
        <v>50</v>
      </c>
      <c r="S966" t="s">
        <v>30</v>
      </c>
      <c r="T966" t="s">
        <v>65</v>
      </c>
      <c r="U966">
        <v>46.149166399999999</v>
      </c>
      <c r="V966">
        <v>14.9860106</v>
      </c>
      <c r="W966" t="str">
        <f t="shared" si="106"/>
        <v>ok</v>
      </c>
      <c r="X966" t="str">
        <f t="shared" si="112"/>
        <v>ok</v>
      </c>
      <c r="Y966" t="str">
        <f t="shared" si="107"/>
        <v>ok</v>
      </c>
      <c r="Z966" t="str">
        <f t="shared" si="108"/>
        <v>ok</v>
      </c>
      <c r="AA966" s="4" t="str">
        <f t="shared" si="109"/>
        <v>ok</v>
      </c>
      <c r="AB966" s="4" t="str">
        <f t="shared" si="110"/>
        <v>no resolution</v>
      </c>
      <c r="AC966" s="6" t="str">
        <f t="shared" si="111"/>
        <v/>
      </c>
    </row>
    <row r="967" spans="1:29" x14ac:dyDescent="0.3">
      <c r="A967" t="s">
        <v>32</v>
      </c>
      <c r="B967">
        <v>2228</v>
      </c>
      <c r="C967" t="s">
        <v>47</v>
      </c>
      <c r="D967" t="s">
        <v>43</v>
      </c>
      <c r="E967" t="s">
        <v>48</v>
      </c>
      <c r="F967" t="s">
        <v>36</v>
      </c>
      <c r="G967" t="s">
        <v>37</v>
      </c>
      <c r="H967" s="1">
        <v>45076.358923611115</v>
      </c>
      <c r="I967" s="1">
        <v>45077.358923611115</v>
      </c>
      <c r="J967" s="1">
        <v>45076.360312500001</v>
      </c>
      <c r="K967" s="2">
        <v>45076.359604641206</v>
      </c>
      <c r="L967" t="s">
        <v>28</v>
      </c>
      <c r="N967" t="s">
        <v>38</v>
      </c>
      <c r="P967">
        <v>4</v>
      </c>
      <c r="R967" t="s">
        <v>50</v>
      </c>
      <c r="S967" t="s">
        <v>40</v>
      </c>
      <c r="T967" t="s">
        <v>46</v>
      </c>
      <c r="U967">
        <v>47.696471899999999</v>
      </c>
      <c r="V967">
        <v>13.3457347</v>
      </c>
      <c r="W967" t="str">
        <f t="shared" si="106"/>
        <v>ok</v>
      </c>
      <c r="X967" t="str">
        <f t="shared" si="112"/>
        <v>ok</v>
      </c>
      <c r="Y967" t="str">
        <f t="shared" si="107"/>
        <v>ok</v>
      </c>
      <c r="Z967" t="str">
        <f t="shared" si="108"/>
        <v>ok</v>
      </c>
      <c r="AA967" s="4" t="str">
        <f t="shared" si="109"/>
        <v>ok</v>
      </c>
      <c r="AB967" s="4" t="str">
        <f t="shared" si="110"/>
        <v>no resolution</v>
      </c>
      <c r="AC967" s="6" t="str">
        <f t="shared" si="111"/>
        <v/>
      </c>
    </row>
    <row r="968" spans="1:29" x14ac:dyDescent="0.3">
      <c r="A968" t="s">
        <v>22</v>
      </c>
      <c r="B968">
        <v>2229</v>
      </c>
      <c r="C968" t="s">
        <v>47</v>
      </c>
      <c r="D968" t="s">
        <v>43</v>
      </c>
      <c r="E968" t="s">
        <v>44</v>
      </c>
      <c r="F968" t="s">
        <v>36</v>
      </c>
      <c r="G968" t="s">
        <v>64</v>
      </c>
      <c r="H968" s="1">
        <v>45076.569143518522</v>
      </c>
      <c r="I968" s="1">
        <v>45077.569143518522</v>
      </c>
      <c r="J968" s="1">
        <v>45076.570532407408</v>
      </c>
      <c r="K968" s="2">
        <v>45076.573078703703</v>
      </c>
      <c r="L968" t="s">
        <v>38</v>
      </c>
      <c r="M968" s="2">
        <v>45076.91816454861</v>
      </c>
      <c r="N968" t="s">
        <v>28</v>
      </c>
      <c r="O968" s="2">
        <v>45080.609233703704</v>
      </c>
      <c r="P968">
        <v>6</v>
      </c>
      <c r="Q968">
        <v>5</v>
      </c>
      <c r="R968" t="s">
        <v>50</v>
      </c>
      <c r="S968" t="s">
        <v>40</v>
      </c>
      <c r="T968" t="s">
        <v>58</v>
      </c>
      <c r="U968">
        <v>49.8037633</v>
      </c>
      <c r="V968">
        <v>15.4749126</v>
      </c>
      <c r="W968" t="str">
        <f t="shared" si="106"/>
        <v>ok</v>
      </c>
      <c r="X968" t="str">
        <f t="shared" si="112"/>
        <v>ok</v>
      </c>
      <c r="Y968" t="str">
        <f t="shared" si="107"/>
        <v>ok</v>
      </c>
      <c r="Z968" t="str">
        <f t="shared" si="108"/>
        <v>ok</v>
      </c>
      <c r="AA968" s="4" t="str">
        <f t="shared" si="109"/>
        <v>ok</v>
      </c>
      <c r="AB968" s="4" t="str">
        <f t="shared" si="110"/>
        <v>ok</v>
      </c>
      <c r="AC968" s="6">
        <f t="shared" si="111"/>
        <v>8.3765047221095301</v>
      </c>
    </row>
    <row r="969" spans="1:29" x14ac:dyDescent="0.3">
      <c r="A969" t="s">
        <v>32</v>
      </c>
      <c r="B969">
        <v>2230</v>
      </c>
      <c r="C969" t="s">
        <v>23</v>
      </c>
      <c r="D969" t="s">
        <v>34</v>
      </c>
      <c r="E969" t="s">
        <v>44</v>
      </c>
      <c r="F969" t="s">
        <v>26</v>
      </c>
      <c r="G969" t="s">
        <v>52</v>
      </c>
      <c r="H969" s="1">
        <v>45077.5234375</v>
      </c>
      <c r="I969" s="1">
        <v>45079.5234375</v>
      </c>
      <c r="J969" s="1">
        <v>45077.524826388886</v>
      </c>
      <c r="K969" s="2">
        <v>45077.523856643522</v>
      </c>
      <c r="L969" t="s">
        <v>28</v>
      </c>
      <c r="N969" t="s">
        <v>38</v>
      </c>
      <c r="P969">
        <v>1</v>
      </c>
      <c r="R969" t="s">
        <v>55</v>
      </c>
      <c r="S969" t="s">
        <v>30</v>
      </c>
      <c r="T969" t="s">
        <v>46</v>
      </c>
      <c r="U969">
        <v>47.696471899999999</v>
      </c>
      <c r="V969">
        <v>13.3457347</v>
      </c>
      <c r="W969" t="str">
        <f t="shared" si="106"/>
        <v>ok</v>
      </c>
      <c r="X969" t="str">
        <f t="shared" si="112"/>
        <v>ok</v>
      </c>
      <c r="Y969" t="str">
        <f t="shared" si="107"/>
        <v>ok</v>
      </c>
      <c r="Z969" t="str">
        <f t="shared" si="108"/>
        <v>ok</v>
      </c>
      <c r="AA969" s="4" t="str">
        <f t="shared" si="109"/>
        <v>ok</v>
      </c>
      <c r="AB969" s="4" t="str">
        <f t="shared" si="110"/>
        <v>no resolution</v>
      </c>
      <c r="AC969" s="6" t="str">
        <f t="shared" si="111"/>
        <v/>
      </c>
    </row>
    <row r="970" spans="1:29" x14ac:dyDescent="0.3">
      <c r="A970" t="s">
        <v>42</v>
      </c>
      <c r="B970">
        <v>2231</v>
      </c>
      <c r="C970" t="s">
        <v>33</v>
      </c>
      <c r="D970" t="s">
        <v>24</v>
      </c>
      <c r="E970" t="s">
        <v>39</v>
      </c>
      <c r="F970" t="s">
        <v>26</v>
      </c>
      <c r="G970" t="s">
        <v>52</v>
      </c>
      <c r="H970" s="1">
        <v>45077.714513888888</v>
      </c>
      <c r="I970" s="1">
        <v>45079.714513888888</v>
      </c>
      <c r="J970" s="1">
        <v>45077.756180555552</v>
      </c>
      <c r="K970" s="2">
        <v>45077.739257939815</v>
      </c>
      <c r="L970" t="s">
        <v>28</v>
      </c>
      <c r="M970" s="2">
        <v>45078.4802025463</v>
      </c>
      <c r="N970" t="s">
        <v>28</v>
      </c>
      <c r="P970">
        <v>6</v>
      </c>
      <c r="R970" t="s">
        <v>50</v>
      </c>
      <c r="S970" t="s">
        <v>30</v>
      </c>
      <c r="T970" t="s">
        <v>63</v>
      </c>
      <c r="U970">
        <v>55.378051999999997</v>
      </c>
      <c r="V970">
        <v>-3.4359730000000002</v>
      </c>
      <c r="W970" t="str">
        <f t="shared" si="106"/>
        <v>ok</v>
      </c>
      <c r="X970" t="str">
        <f t="shared" si="112"/>
        <v>ok</v>
      </c>
      <c r="Y970" t="str">
        <f t="shared" si="107"/>
        <v>ok</v>
      </c>
      <c r="Z970" t="str">
        <f t="shared" si="108"/>
        <v>ok</v>
      </c>
      <c r="AA970" s="4" t="str">
        <f t="shared" si="109"/>
        <v>ok</v>
      </c>
      <c r="AB970" s="4" t="str">
        <f t="shared" si="110"/>
        <v>ok</v>
      </c>
      <c r="AC970" s="6">
        <f t="shared" si="111"/>
        <v>18.37652777787298</v>
      </c>
    </row>
    <row r="971" spans="1:29" x14ac:dyDescent="0.3">
      <c r="A971" t="s">
        <v>42</v>
      </c>
      <c r="B971">
        <v>2232</v>
      </c>
      <c r="C971" t="s">
        <v>23</v>
      </c>
      <c r="D971" t="s">
        <v>24</v>
      </c>
      <c r="E971" t="s">
        <v>35</v>
      </c>
      <c r="F971" t="s">
        <v>26</v>
      </c>
      <c r="G971" t="s">
        <v>60</v>
      </c>
      <c r="H971" s="1">
        <v>45077.922881944447</v>
      </c>
      <c r="I971" s="1">
        <v>45079.922881944447</v>
      </c>
      <c r="J971" s="1">
        <v>45077.964548611111</v>
      </c>
      <c r="K971" s="2">
        <v>45077.925615486114</v>
      </c>
      <c r="L971" t="s">
        <v>28</v>
      </c>
      <c r="M971" s="2">
        <v>45078.895355682871</v>
      </c>
      <c r="N971" t="s">
        <v>28</v>
      </c>
      <c r="P971">
        <v>5</v>
      </c>
      <c r="R971" t="s">
        <v>29</v>
      </c>
      <c r="S971" t="s">
        <v>30</v>
      </c>
      <c r="T971" t="s">
        <v>66</v>
      </c>
      <c r="U971">
        <v>48.864716000000001</v>
      </c>
      <c r="V971">
        <v>2.3490139999999999</v>
      </c>
      <c r="W971" t="str">
        <f t="shared" si="106"/>
        <v>ok</v>
      </c>
      <c r="X971" t="str">
        <f t="shared" si="112"/>
        <v>ok</v>
      </c>
      <c r="Y971" t="str">
        <f t="shared" si="107"/>
        <v>ok</v>
      </c>
      <c r="Z971" t="str">
        <f t="shared" si="108"/>
        <v>ok</v>
      </c>
      <c r="AA971" s="4" t="str">
        <f t="shared" si="109"/>
        <v>ok</v>
      </c>
      <c r="AB971" s="4" t="str">
        <f t="shared" si="110"/>
        <v>ok</v>
      </c>
      <c r="AC971" s="6">
        <f t="shared" si="111"/>
        <v>23.339369722176343</v>
      </c>
    </row>
    <row r="972" spans="1:29" x14ac:dyDescent="0.3">
      <c r="A972" t="s">
        <v>42</v>
      </c>
      <c r="B972">
        <v>2233</v>
      </c>
      <c r="C972" t="s">
        <v>23</v>
      </c>
      <c r="D972" t="s">
        <v>43</v>
      </c>
      <c r="E972" t="s">
        <v>35</v>
      </c>
      <c r="F972" t="s">
        <v>36</v>
      </c>
      <c r="G972" t="s">
        <v>64</v>
      </c>
      <c r="H972" s="1">
        <v>45077.404965277776</v>
      </c>
      <c r="I972" s="1">
        <v>45078.404965277776</v>
      </c>
      <c r="J972" s="1">
        <v>45077.406354166669</v>
      </c>
      <c r="K972" s="2">
        <v>45077.405207939817</v>
      </c>
      <c r="L972" t="s">
        <v>28</v>
      </c>
      <c r="M972" s="2">
        <v>45078.198698506945</v>
      </c>
      <c r="N972" t="s">
        <v>28</v>
      </c>
      <c r="P972">
        <v>4</v>
      </c>
      <c r="R972" t="s">
        <v>50</v>
      </c>
      <c r="S972" t="s">
        <v>40</v>
      </c>
      <c r="T972" t="s">
        <v>57</v>
      </c>
      <c r="U972">
        <v>51.165691000000002</v>
      </c>
      <c r="V972">
        <v>10.451525999999999</v>
      </c>
      <c r="W972" t="str">
        <f t="shared" si="106"/>
        <v>ok</v>
      </c>
      <c r="X972" t="str">
        <f t="shared" si="112"/>
        <v>ok</v>
      </c>
      <c r="Y972" t="str">
        <f t="shared" si="107"/>
        <v>ok</v>
      </c>
      <c r="Z972" t="str">
        <f t="shared" si="108"/>
        <v>ok</v>
      </c>
      <c r="AA972" s="4" t="str">
        <f t="shared" si="109"/>
        <v>ok</v>
      </c>
      <c r="AB972" s="4" t="str">
        <f t="shared" si="110"/>
        <v>ok</v>
      </c>
      <c r="AC972" s="6">
        <f t="shared" si="111"/>
        <v>19.049597500066739</v>
      </c>
    </row>
    <row r="973" spans="1:29" x14ac:dyDescent="0.3">
      <c r="A973" t="s">
        <v>42</v>
      </c>
      <c r="B973">
        <v>2234</v>
      </c>
      <c r="C973" t="s">
        <v>23</v>
      </c>
      <c r="D973" t="s">
        <v>43</v>
      </c>
      <c r="E973" t="s">
        <v>35</v>
      </c>
      <c r="F973" t="s">
        <v>36</v>
      </c>
      <c r="G973" t="s">
        <v>54</v>
      </c>
      <c r="H973" s="1">
        <v>45077.071608796294</v>
      </c>
      <c r="I973" s="1">
        <v>45078.071608796294</v>
      </c>
      <c r="J973" s="1">
        <v>45077.072997685187</v>
      </c>
      <c r="K973" s="2">
        <v>45077.071981863424</v>
      </c>
      <c r="L973" t="s">
        <v>28</v>
      </c>
      <c r="M973" s="2">
        <v>45077.853832743058</v>
      </c>
      <c r="N973" t="s">
        <v>28</v>
      </c>
      <c r="P973">
        <v>6</v>
      </c>
      <c r="R973" t="s">
        <v>50</v>
      </c>
      <c r="S973" t="s">
        <v>40</v>
      </c>
      <c r="T973" t="s">
        <v>57</v>
      </c>
      <c r="U973">
        <v>51.165691000000002</v>
      </c>
      <c r="V973">
        <v>10.451525999999999</v>
      </c>
      <c r="W973" t="str">
        <f t="shared" si="106"/>
        <v>ok</v>
      </c>
      <c r="X973" t="str">
        <f t="shared" si="112"/>
        <v>ok</v>
      </c>
      <c r="Y973" t="str">
        <f t="shared" si="107"/>
        <v>ok</v>
      </c>
      <c r="Z973" t="str">
        <f t="shared" si="108"/>
        <v>ok</v>
      </c>
      <c r="AA973" s="4" t="str">
        <f t="shared" si="109"/>
        <v>ok</v>
      </c>
      <c r="AB973" s="4" t="str">
        <f t="shared" si="110"/>
        <v>ok</v>
      </c>
      <c r="AC973" s="6">
        <f t="shared" si="111"/>
        <v>18.773374722339213</v>
      </c>
    </row>
    <row r="974" spans="1:29" x14ac:dyDescent="0.3">
      <c r="A974" t="s">
        <v>22</v>
      </c>
      <c r="B974">
        <v>2235</v>
      </c>
      <c r="C974" t="s">
        <v>23</v>
      </c>
      <c r="D974" t="s">
        <v>43</v>
      </c>
      <c r="E974" t="s">
        <v>39</v>
      </c>
      <c r="F974" t="s">
        <v>36</v>
      </c>
      <c r="G974" t="s">
        <v>37</v>
      </c>
      <c r="H974" s="1">
        <v>45077.651134259257</v>
      </c>
      <c r="I974" s="1">
        <v>45078.651134259257</v>
      </c>
      <c r="J974" s="1">
        <v>45077.65252314815</v>
      </c>
      <c r="K974" s="2">
        <v>45077.651698321759</v>
      </c>
      <c r="L974" t="s">
        <v>28</v>
      </c>
      <c r="M974" s="2">
        <v>45077.665510879633</v>
      </c>
      <c r="N974" t="s">
        <v>28</v>
      </c>
      <c r="O974" s="2">
        <v>45084.854940277779</v>
      </c>
      <c r="P974">
        <v>5</v>
      </c>
      <c r="Q974">
        <v>1</v>
      </c>
      <c r="R974" t="s">
        <v>29</v>
      </c>
      <c r="S974" t="s">
        <v>40</v>
      </c>
      <c r="T974" t="s">
        <v>58</v>
      </c>
      <c r="U974">
        <v>49.8037633</v>
      </c>
      <c r="V974">
        <v>15.4749126</v>
      </c>
      <c r="W974" t="str">
        <f t="shared" si="106"/>
        <v>ok</v>
      </c>
      <c r="X974" t="str">
        <f t="shared" si="112"/>
        <v>ok</v>
      </c>
      <c r="Y974" t="str">
        <f t="shared" si="107"/>
        <v>ok</v>
      </c>
      <c r="Z974" t="str">
        <f t="shared" si="108"/>
        <v>ok</v>
      </c>
      <c r="AA974" s="4" t="str">
        <f t="shared" si="109"/>
        <v>ok</v>
      </c>
      <c r="AB974" s="4" t="str">
        <f t="shared" si="110"/>
        <v>ok</v>
      </c>
      <c r="AC974" s="6">
        <f t="shared" si="111"/>
        <v>0.34503888903418556</v>
      </c>
    </row>
    <row r="975" spans="1:29" x14ac:dyDescent="0.3">
      <c r="A975" t="s">
        <v>42</v>
      </c>
      <c r="B975">
        <v>2236</v>
      </c>
      <c r="C975" t="s">
        <v>47</v>
      </c>
      <c r="D975" t="s">
        <v>34</v>
      </c>
      <c r="E975" t="s">
        <v>48</v>
      </c>
      <c r="F975" t="s">
        <v>26</v>
      </c>
      <c r="G975" t="s">
        <v>45</v>
      </c>
      <c r="H975" s="1">
        <v>45077.029849537037</v>
      </c>
      <c r="I975" s="1">
        <v>45079.029849537037</v>
      </c>
      <c r="J975" s="1">
        <v>45077.031238425923</v>
      </c>
      <c r="K975" s="2">
        <v>45077.031071921294</v>
      </c>
      <c r="L975" t="s">
        <v>28</v>
      </c>
      <c r="M975" s="2">
        <v>45077.648102754632</v>
      </c>
      <c r="N975" t="s">
        <v>28</v>
      </c>
      <c r="P975">
        <v>1</v>
      </c>
      <c r="R975" t="s">
        <v>50</v>
      </c>
      <c r="S975" t="s">
        <v>30</v>
      </c>
      <c r="T975" t="s">
        <v>57</v>
      </c>
      <c r="U975">
        <v>51.165691000000002</v>
      </c>
      <c r="V975">
        <v>10.451525999999999</v>
      </c>
      <c r="W975" t="str">
        <f t="shared" si="106"/>
        <v>ok</v>
      </c>
      <c r="X975" t="str">
        <f t="shared" si="112"/>
        <v>ok</v>
      </c>
      <c r="Y975" t="str">
        <f t="shared" si="107"/>
        <v>ok</v>
      </c>
      <c r="Z975" t="str">
        <f t="shared" si="108"/>
        <v>ok</v>
      </c>
      <c r="AA975" s="4" t="str">
        <f t="shared" si="109"/>
        <v>ok</v>
      </c>
      <c r="AB975" s="4" t="str">
        <f t="shared" si="110"/>
        <v>ok</v>
      </c>
      <c r="AC975" s="6">
        <f t="shared" si="111"/>
        <v>14.838077222288121</v>
      </c>
    </row>
    <row r="976" spans="1:29" x14ac:dyDescent="0.3">
      <c r="A976" t="s">
        <v>42</v>
      </c>
      <c r="B976">
        <v>2237</v>
      </c>
      <c r="C976" t="s">
        <v>23</v>
      </c>
      <c r="D976" t="s">
        <v>24</v>
      </c>
      <c r="E976" t="s">
        <v>25</v>
      </c>
      <c r="F976" t="s">
        <v>26</v>
      </c>
      <c r="G976" t="s">
        <v>49</v>
      </c>
      <c r="H976" s="1">
        <v>45077.23269675926</v>
      </c>
      <c r="I976" s="1">
        <v>45079.23269675926</v>
      </c>
      <c r="J976" s="1">
        <v>45077.274363425924</v>
      </c>
      <c r="K976" s="2">
        <v>45077.27324652778</v>
      </c>
      <c r="L976" t="s">
        <v>28</v>
      </c>
      <c r="M976" s="2">
        <v>45078.564038414355</v>
      </c>
      <c r="N976" t="s">
        <v>28</v>
      </c>
      <c r="P976">
        <v>2</v>
      </c>
      <c r="R976" t="s">
        <v>50</v>
      </c>
      <c r="S976" t="s">
        <v>30</v>
      </c>
      <c r="T976" t="s">
        <v>53</v>
      </c>
      <c r="U976">
        <v>39.368279000000001</v>
      </c>
      <c r="V976">
        <v>21.863140999999999</v>
      </c>
      <c r="W976" t="str">
        <f t="shared" si="106"/>
        <v>ok</v>
      </c>
      <c r="X976" t="str">
        <f t="shared" si="112"/>
        <v>ok</v>
      </c>
      <c r="Y976" t="str">
        <f t="shared" si="107"/>
        <v>ok</v>
      </c>
      <c r="Z976" t="str">
        <f t="shared" si="108"/>
        <v>ok</v>
      </c>
      <c r="AA976" s="4" t="str">
        <f t="shared" si="109"/>
        <v>ok</v>
      </c>
      <c r="AB976" s="4" t="str">
        <f t="shared" si="110"/>
        <v>ok</v>
      </c>
      <c r="AC976" s="6">
        <f t="shared" si="111"/>
        <v>31.95219972229097</v>
      </c>
    </row>
    <row r="977" spans="1:29" x14ac:dyDescent="0.3">
      <c r="A977" t="s">
        <v>32</v>
      </c>
      <c r="B977">
        <v>2238</v>
      </c>
      <c r="C977" t="s">
        <v>33</v>
      </c>
      <c r="D977" t="s">
        <v>24</v>
      </c>
      <c r="E977" t="s">
        <v>25</v>
      </c>
      <c r="F977" t="s">
        <v>26</v>
      </c>
      <c r="G977" t="s">
        <v>52</v>
      </c>
      <c r="H977" s="1">
        <v>45077.645914351851</v>
      </c>
      <c r="I977" s="1">
        <v>45079.645914351851</v>
      </c>
      <c r="J977" s="1">
        <v>45077.687581018516</v>
      </c>
      <c r="K977" s="2">
        <v>45077.673217164353</v>
      </c>
      <c r="L977" t="s">
        <v>28</v>
      </c>
      <c r="N977" t="s">
        <v>38</v>
      </c>
      <c r="P977">
        <v>5</v>
      </c>
      <c r="R977" t="s">
        <v>39</v>
      </c>
      <c r="S977" t="s">
        <v>30</v>
      </c>
      <c r="T977" t="s">
        <v>66</v>
      </c>
      <c r="U977">
        <v>48.864716000000001</v>
      </c>
      <c r="V977">
        <v>2.3490139999999999</v>
      </c>
      <c r="W977" t="str">
        <f t="shared" si="106"/>
        <v>ok</v>
      </c>
      <c r="X977" t="str">
        <f t="shared" si="112"/>
        <v>ok</v>
      </c>
      <c r="Y977" t="str">
        <f t="shared" si="107"/>
        <v>ok</v>
      </c>
      <c r="Z977" t="str">
        <f t="shared" si="108"/>
        <v>ok</v>
      </c>
      <c r="AA977" s="4" t="str">
        <f t="shared" si="109"/>
        <v>ok</v>
      </c>
      <c r="AB977" s="4" t="str">
        <f t="shared" si="110"/>
        <v>no resolution</v>
      </c>
      <c r="AC977" s="6" t="str">
        <f t="shared" si="111"/>
        <v/>
      </c>
    </row>
    <row r="978" spans="1:29" x14ac:dyDescent="0.3">
      <c r="A978" t="s">
        <v>22</v>
      </c>
      <c r="B978">
        <v>2239</v>
      </c>
      <c r="C978" t="s">
        <v>23</v>
      </c>
      <c r="D978" t="s">
        <v>43</v>
      </c>
      <c r="E978" t="s">
        <v>25</v>
      </c>
      <c r="F978" t="s">
        <v>26</v>
      </c>
      <c r="G978" t="s">
        <v>60</v>
      </c>
      <c r="H978" s="1">
        <v>45077.327731481484</v>
      </c>
      <c r="I978" s="1">
        <v>45078.327731481484</v>
      </c>
      <c r="J978" s="1">
        <v>45077.32912037037</v>
      </c>
      <c r="K978" s="2">
        <v>45077.330782777775</v>
      </c>
      <c r="L978" t="s">
        <v>38</v>
      </c>
      <c r="M978" s="2">
        <v>45077.975289189817</v>
      </c>
      <c r="N978" t="s">
        <v>28</v>
      </c>
      <c r="O978" s="2">
        <v>45084.991687708331</v>
      </c>
      <c r="P978">
        <v>9</v>
      </c>
      <c r="Q978">
        <v>4</v>
      </c>
      <c r="R978" t="s">
        <v>50</v>
      </c>
      <c r="S978" t="s">
        <v>30</v>
      </c>
      <c r="T978" t="s">
        <v>57</v>
      </c>
      <c r="U978">
        <v>51.165691000000002</v>
      </c>
      <c r="V978">
        <v>10.451525999999999</v>
      </c>
      <c r="W978" t="str">
        <f t="shared" si="106"/>
        <v>ok</v>
      </c>
      <c r="X978" t="str">
        <f t="shared" si="112"/>
        <v>ok</v>
      </c>
      <c r="Y978" t="str">
        <f t="shared" si="107"/>
        <v>ok</v>
      </c>
      <c r="Z978" t="str">
        <f t="shared" si="108"/>
        <v>ok</v>
      </c>
      <c r="AA978" s="4" t="str">
        <f t="shared" si="109"/>
        <v>ok</v>
      </c>
      <c r="AB978" s="4" t="str">
        <f t="shared" si="110"/>
        <v>ok</v>
      </c>
      <c r="AC978" s="6">
        <f t="shared" si="111"/>
        <v>15.541384999989532</v>
      </c>
    </row>
    <row r="979" spans="1:29" x14ac:dyDescent="0.3">
      <c r="A979" t="s">
        <v>42</v>
      </c>
      <c r="B979">
        <v>2240</v>
      </c>
      <c r="C979" t="s">
        <v>23</v>
      </c>
      <c r="D979" t="s">
        <v>24</v>
      </c>
      <c r="E979" t="s">
        <v>35</v>
      </c>
      <c r="F979" t="s">
        <v>26</v>
      </c>
      <c r="G979" t="s">
        <v>45</v>
      </c>
      <c r="H979" s="1">
        <v>45077.751134259262</v>
      </c>
      <c r="I979" s="1">
        <v>45079.751134259262</v>
      </c>
      <c r="J979" s="1">
        <v>45077.792800925927</v>
      </c>
      <c r="K979" s="2">
        <v>45077.778182546295</v>
      </c>
      <c r="L979" t="s">
        <v>28</v>
      </c>
      <c r="M979" s="2">
        <v>45078.436725740743</v>
      </c>
      <c r="N979" t="s">
        <v>28</v>
      </c>
      <c r="P979">
        <v>1</v>
      </c>
      <c r="R979" t="s">
        <v>55</v>
      </c>
      <c r="S979" t="s">
        <v>30</v>
      </c>
      <c r="T979" t="s">
        <v>63</v>
      </c>
      <c r="U979">
        <v>55.378051999999997</v>
      </c>
      <c r="V979">
        <v>-3.4359730000000002</v>
      </c>
      <c r="W979" t="str">
        <f t="shared" si="106"/>
        <v>ok</v>
      </c>
      <c r="X979" t="str">
        <f t="shared" si="112"/>
        <v>ok</v>
      </c>
      <c r="Y979" t="str">
        <f t="shared" si="107"/>
        <v>ok</v>
      </c>
      <c r="Z979" t="str">
        <f t="shared" si="108"/>
        <v>ok</v>
      </c>
      <c r="AA979" s="4" t="str">
        <f t="shared" si="109"/>
        <v>ok</v>
      </c>
      <c r="AB979" s="4" t="str">
        <f t="shared" si="110"/>
        <v>ok</v>
      </c>
      <c r="AC979" s="6">
        <f t="shared" si="111"/>
        <v>16.454195555532351</v>
      </c>
    </row>
    <row r="980" spans="1:29" x14ac:dyDescent="0.3">
      <c r="A980" t="s">
        <v>22</v>
      </c>
      <c r="B980">
        <v>2241</v>
      </c>
      <c r="C980" t="s">
        <v>47</v>
      </c>
      <c r="D980" t="s">
        <v>43</v>
      </c>
      <c r="E980" t="s">
        <v>25</v>
      </c>
      <c r="F980" t="s">
        <v>26</v>
      </c>
      <c r="G980" t="s">
        <v>49</v>
      </c>
      <c r="H980" s="1">
        <v>45078.415532407409</v>
      </c>
      <c r="I980" s="1">
        <v>45079.415532407409</v>
      </c>
      <c r="J980" s="1">
        <v>45078.416921296295</v>
      </c>
      <c r="K980" s="2">
        <v>45078.415627523151</v>
      </c>
      <c r="L980" t="s">
        <v>28</v>
      </c>
      <c r="M980" s="2">
        <v>45078.426658495373</v>
      </c>
      <c r="N980" t="s">
        <v>28</v>
      </c>
      <c r="O980" s="2">
        <v>45085.125274907405</v>
      </c>
      <c r="P980">
        <v>6</v>
      </c>
      <c r="Q980">
        <v>5</v>
      </c>
      <c r="R980" t="s">
        <v>29</v>
      </c>
      <c r="S980" t="s">
        <v>30</v>
      </c>
      <c r="T980" t="s">
        <v>46</v>
      </c>
      <c r="U980">
        <v>47.696471899999999</v>
      </c>
      <c r="V980">
        <v>13.3457347</v>
      </c>
      <c r="W980" t="str">
        <f t="shared" si="106"/>
        <v>ok</v>
      </c>
      <c r="X980" t="str">
        <f t="shared" si="112"/>
        <v>ok</v>
      </c>
      <c r="Y980" t="str">
        <f t="shared" si="107"/>
        <v>ok</v>
      </c>
      <c r="Z980" t="str">
        <f t="shared" si="108"/>
        <v>ok</v>
      </c>
      <c r="AA980" s="4" t="str">
        <f t="shared" si="109"/>
        <v>ok</v>
      </c>
      <c r="AB980" s="4" t="str">
        <f t="shared" si="110"/>
        <v>ok</v>
      </c>
      <c r="AC980" s="6">
        <f t="shared" si="111"/>
        <v>0.26702611113432795</v>
      </c>
    </row>
    <row r="981" spans="1:29" x14ac:dyDescent="0.3">
      <c r="A981" t="s">
        <v>32</v>
      </c>
      <c r="B981">
        <v>2242</v>
      </c>
      <c r="C981" t="s">
        <v>23</v>
      </c>
      <c r="D981" t="s">
        <v>24</v>
      </c>
      <c r="E981" t="s">
        <v>59</v>
      </c>
      <c r="F981" t="s">
        <v>26</v>
      </c>
      <c r="G981" t="s">
        <v>49</v>
      </c>
      <c r="H981" s="1">
        <v>45078.25209490741</v>
      </c>
      <c r="I981" s="1">
        <v>45080.25209490741</v>
      </c>
      <c r="J981" s="1">
        <v>45078.293761574074</v>
      </c>
      <c r="K981" s="2">
        <v>45078.263853703706</v>
      </c>
      <c r="L981" t="s">
        <v>28</v>
      </c>
      <c r="N981" t="s">
        <v>38</v>
      </c>
      <c r="P981">
        <v>3</v>
      </c>
      <c r="R981" t="s">
        <v>50</v>
      </c>
      <c r="S981" t="s">
        <v>30</v>
      </c>
      <c r="T981" t="s">
        <v>56</v>
      </c>
      <c r="U981">
        <v>52.536273000000001</v>
      </c>
      <c r="V981">
        <v>19.050639</v>
      </c>
      <c r="W981" t="str">
        <f t="shared" si="106"/>
        <v>ok</v>
      </c>
      <c r="X981" t="str">
        <f t="shared" si="112"/>
        <v>ok</v>
      </c>
      <c r="Y981" t="str">
        <f t="shared" si="107"/>
        <v>ok</v>
      </c>
      <c r="Z981" t="str">
        <f t="shared" si="108"/>
        <v>ok</v>
      </c>
      <c r="AA981" s="4" t="str">
        <f t="shared" si="109"/>
        <v>ok</v>
      </c>
      <c r="AB981" s="4" t="str">
        <f t="shared" si="110"/>
        <v>no resolution</v>
      </c>
      <c r="AC981" s="6" t="str">
        <f t="shared" si="111"/>
        <v/>
      </c>
    </row>
    <row r="982" spans="1:29" x14ac:dyDescent="0.3">
      <c r="A982" t="s">
        <v>42</v>
      </c>
      <c r="B982">
        <v>2243</v>
      </c>
      <c r="C982" t="s">
        <v>33</v>
      </c>
      <c r="D982" t="s">
        <v>43</v>
      </c>
      <c r="E982" t="s">
        <v>25</v>
      </c>
      <c r="F982" t="s">
        <v>36</v>
      </c>
      <c r="G982" t="s">
        <v>37</v>
      </c>
      <c r="H982" s="1">
        <v>45078.307129629633</v>
      </c>
      <c r="I982" s="1">
        <v>45079.307129629633</v>
      </c>
      <c r="J982" s="1">
        <v>45078.308518518519</v>
      </c>
      <c r="K982" s="2">
        <v>45078.308496550926</v>
      </c>
      <c r="L982" t="s">
        <v>28</v>
      </c>
      <c r="M982" s="2">
        <v>45078.62553597222</v>
      </c>
      <c r="N982" t="s">
        <v>28</v>
      </c>
      <c r="P982">
        <v>4</v>
      </c>
      <c r="R982" t="s">
        <v>50</v>
      </c>
      <c r="S982" t="s">
        <v>40</v>
      </c>
      <c r="T982" t="s">
        <v>58</v>
      </c>
      <c r="U982">
        <v>49.8037633</v>
      </c>
      <c r="V982">
        <v>15.4749126</v>
      </c>
      <c r="W982" t="str">
        <f t="shared" si="106"/>
        <v>ok</v>
      </c>
      <c r="X982" t="str">
        <f t="shared" si="112"/>
        <v>ok</v>
      </c>
      <c r="Y982" t="str">
        <f t="shared" si="107"/>
        <v>ok</v>
      </c>
      <c r="Z982" t="str">
        <f t="shared" si="108"/>
        <v>ok</v>
      </c>
      <c r="AA982" s="4" t="str">
        <f t="shared" si="109"/>
        <v>ok</v>
      </c>
      <c r="AB982" s="4" t="str">
        <f t="shared" si="110"/>
        <v>ok</v>
      </c>
      <c r="AC982" s="6">
        <f t="shared" si="111"/>
        <v>7.6417522220872343</v>
      </c>
    </row>
    <row r="983" spans="1:29" x14ac:dyDescent="0.3">
      <c r="A983" t="s">
        <v>22</v>
      </c>
      <c r="B983">
        <v>2244</v>
      </c>
      <c r="C983" t="s">
        <v>33</v>
      </c>
      <c r="D983" t="s">
        <v>43</v>
      </c>
      <c r="E983" t="s">
        <v>25</v>
      </c>
      <c r="F983" t="s">
        <v>36</v>
      </c>
      <c r="G983" t="s">
        <v>64</v>
      </c>
      <c r="H983" s="1">
        <v>45078.991724537038</v>
      </c>
      <c r="I983" s="1">
        <v>45079.991724537038</v>
      </c>
      <c r="J983" s="1">
        <v>45078.993113425924</v>
      </c>
      <c r="K983" s="2">
        <v>45078.99245189815</v>
      </c>
      <c r="L983" t="s">
        <v>28</v>
      </c>
      <c r="M983" s="2">
        <v>45079.762546226855</v>
      </c>
      <c r="N983" t="s">
        <v>28</v>
      </c>
      <c r="O983" s="2">
        <v>45083.308445104165</v>
      </c>
      <c r="P983">
        <v>3</v>
      </c>
      <c r="Q983">
        <v>3</v>
      </c>
      <c r="R983" t="s">
        <v>50</v>
      </c>
      <c r="S983" t="s">
        <v>40</v>
      </c>
      <c r="T983" t="s">
        <v>56</v>
      </c>
      <c r="U983">
        <v>52.536273000000001</v>
      </c>
      <c r="V983">
        <v>19.050639</v>
      </c>
      <c r="W983" t="str">
        <f t="shared" si="106"/>
        <v>ok</v>
      </c>
      <c r="X983" t="str">
        <f t="shared" si="112"/>
        <v>ok</v>
      </c>
      <c r="Y983" t="str">
        <f t="shared" si="107"/>
        <v>ok</v>
      </c>
      <c r="Z983" t="str">
        <f t="shared" si="108"/>
        <v>ok</v>
      </c>
      <c r="AA983" s="4" t="str">
        <f t="shared" si="109"/>
        <v>ok</v>
      </c>
      <c r="AB983" s="4" t="str">
        <f t="shared" si="110"/>
        <v>ok</v>
      </c>
      <c r="AC983" s="6">
        <f t="shared" si="111"/>
        <v>18.499720555613749</v>
      </c>
    </row>
    <row r="984" spans="1:29" x14ac:dyDescent="0.3">
      <c r="A984" t="s">
        <v>32</v>
      </c>
      <c r="B984">
        <v>2245</v>
      </c>
      <c r="C984" t="s">
        <v>33</v>
      </c>
      <c r="D984" t="s">
        <v>43</v>
      </c>
      <c r="E984" t="s">
        <v>35</v>
      </c>
      <c r="F984" t="s">
        <v>26</v>
      </c>
      <c r="G984" t="s">
        <v>45</v>
      </c>
      <c r="H984" s="1">
        <v>45078.733668981484</v>
      </c>
      <c r="I984" s="1">
        <v>45079.733668981484</v>
      </c>
      <c r="J984" s="1">
        <v>45078.73505787037</v>
      </c>
      <c r="K984" s="2">
        <v>45078.734027141203</v>
      </c>
      <c r="L984" t="s">
        <v>28</v>
      </c>
      <c r="N984" t="s">
        <v>38</v>
      </c>
      <c r="P984">
        <v>6</v>
      </c>
      <c r="R984" t="s">
        <v>39</v>
      </c>
      <c r="S984" t="s">
        <v>30</v>
      </c>
      <c r="T984" t="s">
        <v>61</v>
      </c>
      <c r="U984">
        <v>42.724992499999999</v>
      </c>
      <c r="V984">
        <v>25.483303899999999</v>
      </c>
      <c r="W984" t="str">
        <f t="shared" si="106"/>
        <v>ok</v>
      </c>
      <c r="X984" t="str">
        <f t="shared" si="112"/>
        <v>ok</v>
      </c>
      <c r="Y984" t="str">
        <f t="shared" si="107"/>
        <v>ok</v>
      </c>
      <c r="Z984" t="str">
        <f t="shared" si="108"/>
        <v>ok</v>
      </c>
      <c r="AA984" s="4" t="str">
        <f t="shared" si="109"/>
        <v>ok</v>
      </c>
      <c r="AB984" s="4" t="str">
        <f t="shared" si="110"/>
        <v>no resolution</v>
      </c>
      <c r="AC984" s="6" t="str">
        <f t="shared" si="111"/>
        <v/>
      </c>
    </row>
    <row r="985" spans="1:29" x14ac:dyDescent="0.3">
      <c r="A985" t="s">
        <v>32</v>
      </c>
      <c r="B985">
        <v>2246</v>
      </c>
      <c r="C985" t="s">
        <v>23</v>
      </c>
      <c r="D985" t="s">
        <v>43</v>
      </c>
      <c r="E985" t="s">
        <v>25</v>
      </c>
      <c r="F985" t="s">
        <v>26</v>
      </c>
      <c r="G985" t="s">
        <v>49</v>
      </c>
      <c r="H985" s="1">
        <v>45079.656550925924</v>
      </c>
      <c r="I985" s="1">
        <v>45080.656550925924</v>
      </c>
      <c r="J985" s="1">
        <v>45079.657939814817</v>
      </c>
      <c r="K985" s="2">
        <v>45079.657788912038</v>
      </c>
      <c r="L985" t="s">
        <v>28</v>
      </c>
      <c r="N985" t="s">
        <v>38</v>
      </c>
      <c r="P985">
        <v>4</v>
      </c>
      <c r="R985" t="s">
        <v>39</v>
      </c>
      <c r="S985" t="s">
        <v>30</v>
      </c>
      <c r="T985" t="s">
        <v>65</v>
      </c>
      <c r="U985">
        <v>46.149166399999999</v>
      </c>
      <c r="V985">
        <v>14.9860106</v>
      </c>
      <c r="W985" t="str">
        <f t="shared" si="106"/>
        <v>ok</v>
      </c>
      <c r="X985" t="str">
        <f t="shared" si="112"/>
        <v>ok</v>
      </c>
      <c r="Y985" t="str">
        <f t="shared" si="107"/>
        <v>ok</v>
      </c>
      <c r="Z985" t="str">
        <f t="shared" si="108"/>
        <v>ok</v>
      </c>
      <c r="AA985" s="4" t="str">
        <f t="shared" si="109"/>
        <v>ok</v>
      </c>
      <c r="AB985" s="4" t="str">
        <f t="shared" si="110"/>
        <v>no resolution</v>
      </c>
      <c r="AC985" s="6" t="str">
        <f t="shared" si="111"/>
        <v/>
      </c>
    </row>
    <row r="986" spans="1:29" x14ac:dyDescent="0.3">
      <c r="A986" t="s">
        <v>42</v>
      </c>
      <c r="B986">
        <v>2247</v>
      </c>
      <c r="C986" t="s">
        <v>23</v>
      </c>
      <c r="D986" t="s">
        <v>34</v>
      </c>
      <c r="E986" t="s">
        <v>44</v>
      </c>
      <c r="F986" t="s">
        <v>26</v>
      </c>
      <c r="G986" t="s">
        <v>60</v>
      </c>
      <c r="H986" s="1">
        <v>45079.033506944441</v>
      </c>
      <c r="I986" s="1">
        <v>45081.033506944441</v>
      </c>
      <c r="J986" s="1">
        <v>45079.034895833334</v>
      </c>
      <c r="K986" s="2">
        <v>45079.034681145837</v>
      </c>
      <c r="L986" t="s">
        <v>28</v>
      </c>
      <c r="M986" s="2">
        <v>45080.587431631946</v>
      </c>
      <c r="N986" t="s">
        <v>28</v>
      </c>
      <c r="P986">
        <v>1</v>
      </c>
      <c r="R986" t="s">
        <v>50</v>
      </c>
      <c r="S986" t="s">
        <v>30</v>
      </c>
      <c r="T986" t="s">
        <v>63</v>
      </c>
      <c r="U986">
        <v>55.378051999999997</v>
      </c>
      <c r="V986">
        <v>-3.4359730000000002</v>
      </c>
      <c r="W986" t="str">
        <f t="shared" si="106"/>
        <v>ok</v>
      </c>
      <c r="X986" t="str">
        <f t="shared" si="112"/>
        <v>ok</v>
      </c>
      <c r="Y986" t="str">
        <f t="shared" si="107"/>
        <v>ok</v>
      </c>
      <c r="Z986" t="str">
        <f t="shared" si="108"/>
        <v>ok</v>
      </c>
      <c r="AA986" s="4" t="str">
        <f t="shared" si="109"/>
        <v>ok</v>
      </c>
      <c r="AB986" s="4" t="str">
        <f t="shared" si="110"/>
        <v>ok</v>
      </c>
      <c r="AC986" s="6">
        <f t="shared" si="111"/>
        <v>37.294192500121426</v>
      </c>
    </row>
    <row r="987" spans="1:29" x14ac:dyDescent="0.3">
      <c r="A987" t="s">
        <v>32</v>
      </c>
      <c r="B987">
        <v>2248</v>
      </c>
      <c r="C987" t="s">
        <v>23</v>
      </c>
      <c r="D987" t="s">
        <v>34</v>
      </c>
      <c r="E987" t="s">
        <v>35</v>
      </c>
      <c r="F987" t="s">
        <v>36</v>
      </c>
      <c r="G987" t="s">
        <v>37</v>
      </c>
      <c r="H987" s="1">
        <v>45079.696620370371</v>
      </c>
      <c r="I987" s="1">
        <v>45081.696620370371</v>
      </c>
      <c r="J987" s="1">
        <v>45079.698009259257</v>
      </c>
      <c r="K987" s="2">
        <v>45079.699146354164</v>
      </c>
      <c r="L987" t="s">
        <v>38</v>
      </c>
      <c r="N987" t="s">
        <v>38</v>
      </c>
      <c r="P987">
        <v>3</v>
      </c>
      <c r="R987" t="s">
        <v>50</v>
      </c>
      <c r="S987" t="s">
        <v>40</v>
      </c>
      <c r="T987" t="s">
        <v>31</v>
      </c>
      <c r="U987">
        <v>53.094023999999997</v>
      </c>
      <c r="V987">
        <v>-8.0196749999999994</v>
      </c>
      <c r="W987" t="str">
        <f t="shared" si="106"/>
        <v>ok</v>
      </c>
      <c r="X987" t="str">
        <f t="shared" si="112"/>
        <v>ok</v>
      </c>
      <c r="Y987" t="str">
        <f t="shared" si="107"/>
        <v>ok</v>
      </c>
      <c r="Z987" t="str">
        <f t="shared" si="108"/>
        <v>ok</v>
      </c>
      <c r="AA987" s="4" t="str">
        <f t="shared" si="109"/>
        <v>ok</v>
      </c>
      <c r="AB987" s="4" t="str">
        <f t="shared" si="110"/>
        <v>no resolution</v>
      </c>
      <c r="AC987" s="6" t="str">
        <f t="shared" si="111"/>
        <v/>
      </c>
    </row>
    <row r="988" spans="1:29" x14ac:dyDescent="0.3">
      <c r="A988" t="s">
        <v>22</v>
      </c>
      <c r="B988">
        <v>2249</v>
      </c>
      <c r="C988" t="s">
        <v>23</v>
      </c>
      <c r="D988" t="s">
        <v>43</v>
      </c>
      <c r="E988" t="s">
        <v>48</v>
      </c>
      <c r="F988" t="s">
        <v>26</v>
      </c>
      <c r="G988" t="s">
        <v>49</v>
      </c>
      <c r="H988" s="1">
        <v>45079.748495370368</v>
      </c>
      <c r="I988" s="1">
        <v>45080.748495370368</v>
      </c>
      <c r="J988" s="1">
        <v>45079.749884259261</v>
      </c>
      <c r="K988" s="2">
        <v>45079.748517418979</v>
      </c>
      <c r="L988" t="s">
        <v>28</v>
      </c>
      <c r="M988" s="2">
        <v>45082.912005115744</v>
      </c>
      <c r="N988" t="s">
        <v>38</v>
      </c>
      <c r="O988" s="2">
        <v>45083.154373993057</v>
      </c>
      <c r="P988">
        <v>3</v>
      </c>
      <c r="Q988">
        <v>5</v>
      </c>
      <c r="R988" t="s">
        <v>39</v>
      </c>
      <c r="S988" t="s">
        <v>30</v>
      </c>
      <c r="T988" t="s">
        <v>57</v>
      </c>
      <c r="U988">
        <v>51.165691000000002</v>
      </c>
      <c r="V988">
        <v>10.451525999999999</v>
      </c>
      <c r="W988" t="str">
        <f t="shared" si="106"/>
        <v>ok</v>
      </c>
      <c r="X988" t="str">
        <f t="shared" si="112"/>
        <v>ok</v>
      </c>
      <c r="Y988" t="str">
        <f t="shared" si="107"/>
        <v>ok</v>
      </c>
      <c r="Z988" t="str">
        <f t="shared" si="108"/>
        <v>ok</v>
      </c>
      <c r="AA988" s="4" t="str">
        <f t="shared" si="109"/>
        <v>ok</v>
      </c>
      <c r="AB988" s="4" t="str">
        <f t="shared" si="110"/>
        <v>ok</v>
      </c>
      <c r="AC988" s="6">
        <f t="shared" si="111"/>
        <v>75.924233889032621</v>
      </c>
    </row>
    <row r="989" spans="1:29" x14ac:dyDescent="0.3">
      <c r="A989" t="s">
        <v>22</v>
      </c>
      <c r="B989">
        <v>2250</v>
      </c>
      <c r="C989" t="s">
        <v>23</v>
      </c>
      <c r="D989" t="s">
        <v>43</v>
      </c>
      <c r="E989" t="s">
        <v>44</v>
      </c>
      <c r="F989" t="s">
        <v>26</v>
      </c>
      <c r="G989" t="s">
        <v>27</v>
      </c>
      <c r="H989" s="1">
        <v>45079.148530092592</v>
      </c>
      <c r="I989" s="1">
        <v>45080.148530092592</v>
      </c>
      <c r="J989" s="1">
        <v>45079.149918981479</v>
      </c>
      <c r="K989" s="2">
        <v>45079.148630439813</v>
      </c>
      <c r="L989" t="s">
        <v>28</v>
      </c>
      <c r="M989" s="2">
        <v>45083.412892060187</v>
      </c>
      <c r="N989" t="s">
        <v>38</v>
      </c>
      <c r="O989" s="2">
        <v>45084.206405775461</v>
      </c>
      <c r="P989">
        <v>3</v>
      </c>
      <c r="Q989">
        <v>5</v>
      </c>
      <c r="R989" t="s">
        <v>29</v>
      </c>
      <c r="S989" t="s">
        <v>30</v>
      </c>
      <c r="T989" t="s">
        <v>41</v>
      </c>
      <c r="U989">
        <v>43.036776000000003</v>
      </c>
      <c r="V989">
        <v>12.678565000000001</v>
      </c>
      <c r="W989" t="str">
        <f t="shared" si="106"/>
        <v>ok</v>
      </c>
      <c r="X989" t="str">
        <f t="shared" si="112"/>
        <v>ok</v>
      </c>
      <c r="Y989" t="str">
        <f t="shared" si="107"/>
        <v>ok</v>
      </c>
      <c r="Z989" t="str">
        <f t="shared" si="108"/>
        <v>ok</v>
      </c>
      <c r="AA989" s="4" t="str">
        <f t="shared" si="109"/>
        <v>ok</v>
      </c>
      <c r="AB989" s="4" t="str">
        <f t="shared" si="110"/>
        <v>ok</v>
      </c>
      <c r="AC989" s="6">
        <f t="shared" si="111"/>
        <v>102.3446872222703</v>
      </c>
    </row>
    <row r="990" spans="1:29" x14ac:dyDescent="0.3">
      <c r="A990" t="s">
        <v>22</v>
      </c>
      <c r="B990">
        <v>2251</v>
      </c>
      <c r="C990" t="s">
        <v>23</v>
      </c>
      <c r="D990" t="s">
        <v>24</v>
      </c>
      <c r="E990" t="s">
        <v>44</v>
      </c>
      <c r="F990" t="s">
        <v>36</v>
      </c>
      <c r="G990" t="s">
        <v>54</v>
      </c>
      <c r="H990" s="1">
        <v>45079.475069444445</v>
      </c>
      <c r="I990" s="1">
        <v>45081.475069444445</v>
      </c>
      <c r="J990" s="1">
        <v>45079.516736111109</v>
      </c>
      <c r="K990" s="2">
        <v>45079.48131815972</v>
      </c>
      <c r="L990" t="s">
        <v>28</v>
      </c>
      <c r="M990" s="2">
        <v>45081.001507048612</v>
      </c>
      <c r="N990" t="s">
        <v>28</v>
      </c>
      <c r="O990" s="2">
        <v>45084.729038622689</v>
      </c>
      <c r="P990">
        <v>1</v>
      </c>
      <c r="Q990">
        <v>2</v>
      </c>
      <c r="R990" t="s">
        <v>29</v>
      </c>
      <c r="S990" t="s">
        <v>40</v>
      </c>
      <c r="T990" t="s">
        <v>58</v>
      </c>
      <c r="U990">
        <v>49.8037633</v>
      </c>
      <c r="V990">
        <v>15.4749126</v>
      </c>
      <c r="W990" t="str">
        <f t="shared" si="106"/>
        <v>ok</v>
      </c>
      <c r="X990" t="str">
        <f t="shared" si="112"/>
        <v>ok</v>
      </c>
      <c r="Y990" t="str">
        <f t="shared" si="107"/>
        <v>ok</v>
      </c>
      <c r="Z990" t="str">
        <f t="shared" si="108"/>
        <v>ok</v>
      </c>
      <c r="AA990" s="4" t="str">
        <f t="shared" si="109"/>
        <v>ok</v>
      </c>
      <c r="AB990" s="4" t="str">
        <f t="shared" si="110"/>
        <v>ok</v>
      </c>
      <c r="AC990" s="6">
        <f t="shared" si="111"/>
        <v>36.634502500004601</v>
      </c>
    </row>
    <row r="991" spans="1:29" x14ac:dyDescent="0.3">
      <c r="A991" t="s">
        <v>42</v>
      </c>
      <c r="B991">
        <v>2252</v>
      </c>
      <c r="C991" t="s">
        <v>23</v>
      </c>
      <c r="D991" t="s">
        <v>24</v>
      </c>
      <c r="E991" t="s">
        <v>35</v>
      </c>
      <c r="F991" t="s">
        <v>26</v>
      </c>
      <c r="G991" t="s">
        <v>45</v>
      </c>
      <c r="H991" s="1">
        <v>45080.414074074077</v>
      </c>
      <c r="I991" s="1">
        <v>45082.414074074077</v>
      </c>
      <c r="J991" s="1">
        <v>45080.455740740741</v>
      </c>
      <c r="K991" s="2">
        <v>45080.454428310186</v>
      </c>
      <c r="L991" t="s">
        <v>28</v>
      </c>
      <c r="M991" s="2">
        <v>45082.248694872687</v>
      </c>
      <c r="N991" t="s">
        <v>28</v>
      </c>
      <c r="P991">
        <v>10</v>
      </c>
      <c r="R991" t="s">
        <v>50</v>
      </c>
      <c r="S991" t="s">
        <v>30</v>
      </c>
      <c r="T991" t="s">
        <v>31</v>
      </c>
      <c r="U991">
        <v>53.094023999999997</v>
      </c>
      <c r="V991">
        <v>-8.0196749999999994</v>
      </c>
      <c r="W991" t="str">
        <f t="shared" si="106"/>
        <v>ok</v>
      </c>
      <c r="X991" t="str">
        <f t="shared" si="112"/>
        <v>ok</v>
      </c>
      <c r="Y991" t="str">
        <f t="shared" si="107"/>
        <v>ok</v>
      </c>
      <c r="Z991" t="str">
        <f t="shared" si="108"/>
        <v>ok</v>
      </c>
      <c r="AA991" s="4" t="str">
        <f t="shared" si="109"/>
        <v>ok</v>
      </c>
      <c r="AB991" s="4" t="str">
        <f t="shared" si="110"/>
        <v>ok</v>
      </c>
      <c r="AC991" s="6">
        <f t="shared" si="111"/>
        <v>44.030899166653398</v>
      </c>
    </row>
    <row r="992" spans="1:29" x14ac:dyDescent="0.3">
      <c r="A992" t="s">
        <v>22</v>
      </c>
      <c r="B992">
        <v>2253</v>
      </c>
      <c r="C992" t="s">
        <v>47</v>
      </c>
      <c r="D992" t="s">
        <v>43</v>
      </c>
      <c r="E992" t="s">
        <v>67</v>
      </c>
      <c r="F992" t="s">
        <v>26</v>
      </c>
      <c r="G992" t="s">
        <v>45</v>
      </c>
      <c r="H992" s="1">
        <v>45080.453356481485</v>
      </c>
      <c r="I992" s="1">
        <v>45081.453356481485</v>
      </c>
      <c r="J992" s="1">
        <v>45080.454745370371</v>
      </c>
      <c r="K992" s="2">
        <v>45080.453463541664</v>
      </c>
      <c r="L992" t="s">
        <v>28</v>
      </c>
      <c r="M992" s="2">
        <v>45080.508402523148</v>
      </c>
      <c r="N992" t="s">
        <v>28</v>
      </c>
      <c r="O992" s="2">
        <v>45084.97046542824</v>
      </c>
      <c r="P992">
        <v>8</v>
      </c>
      <c r="Q992">
        <v>4</v>
      </c>
      <c r="R992" t="s">
        <v>29</v>
      </c>
      <c r="S992" t="s">
        <v>30</v>
      </c>
      <c r="T992" t="s">
        <v>41</v>
      </c>
      <c r="U992">
        <v>43.036776000000003</v>
      </c>
      <c r="V992">
        <v>12.678565000000001</v>
      </c>
      <c r="W992" t="str">
        <f t="shared" si="106"/>
        <v>ok</v>
      </c>
      <c r="X992" t="str">
        <f t="shared" si="112"/>
        <v>ok</v>
      </c>
      <c r="Y992" t="str">
        <f t="shared" si="107"/>
        <v>ok</v>
      </c>
      <c r="Z992" t="str">
        <f t="shared" si="108"/>
        <v>ok</v>
      </c>
      <c r="AA992" s="4" t="str">
        <f t="shared" si="109"/>
        <v>ok</v>
      </c>
      <c r="AB992" s="4" t="str">
        <f t="shared" si="110"/>
        <v>ok</v>
      </c>
      <c r="AC992" s="6">
        <f t="shared" si="111"/>
        <v>1.3211049999226816</v>
      </c>
    </row>
    <row r="993" spans="1:29" x14ac:dyDescent="0.3">
      <c r="A993" t="s">
        <v>42</v>
      </c>
      <c r="B993">
        <v>2254</v>
      </c>
      <c r="C993" t="s">
        <v>23</v>
      </c>
      <c r="D993" t="s">
        <v>43</v>
      </c>
      <c r="E993" t="s">
        <v>59</v>
      </c>
      <c r="F993" t="s">
        <v>26</v>
      </c>
      <c r="G993" t="s">
        <v>52</v>
      </c>
      <c r="H993" s="1">
        <v>45080.033784722225</v>
      </c>
      <c r="I993" s="1">
        <v>45081.033784722225</v>
      </c>
      <c r="J993" s="1">
        <v>45080.035173611112</v>
      </c>
      <c r="K993" s="2">
        <v>45080.037049351849</v>
      </c>
      <c r="L993" t="s">
        <v>38</v>
      </c>
      <c r="M993" s="2">
        <v>45080.572352986113</v>
      </c>
      <c r="N993" t="s">
        <v>28</v>
      </c>
      <c r="P993">
        <v>4</v>
      </c>
      <c r="R993" t="s">
        <v>55</v>
      </c>
      <c r="S993" t="s">
        <v>30</v>
      </c>
      <c r="T993" t="s">
        <v>56</v>
      </c>
      <c r="U993">
        <v>52.536273000000001</v>
      </c>
      <c r="V993">
        <v>19.050639</v>
      </c>
      <c r="W993" t="str">
        <f t="shared" si="106"/>
        <v>ok</v>
      </c>
      <c r="X993" t="str">
        <f t="shared" si="112"/>
        <v>ok</v>
      </c>
      <c r="Y993" t="str">
        <f t="shared" si="107"/>
        <v>ok</v>
      </c>
      <c r="Z993" t="str">
        <f t="shared" si="108"/>
        <v>ok</v>
      </c>
      <c r="AA993" s="4" t="str">
        <f t="shared" si="109"/>
        <v>ok</v>
      </c>
      <c r="AB993" s="4" t="str">
        <f t="shared" si="110"/>
        <v>ok</v>
      </c>
      <c r="AC993" s="6">
        <f t="shared" si="111"/>
        <v>12.925638333312236</v>
      </c>
    </row>
    <row r="994" spans="1:29" x14ac:dyDescent="0.3">
      <c r="A994" t="s">
        <v>42</v>
      </c>
      <c r="B994">
        <v>2255</v>
      </c>
      <c r="C994" t="s">
        <v>23</v>
      </c>
      <c r="D994" t="s">
        <v>43</v>
      </c>
      <c r="E994" t="s">
        <v>25</v>
      </c>
      <c r="F994" t="s">
        <v>26</v>
      </c>
      <c r="G994" t="s">
        <v>45</v>
      </c>
      <c r="H994" s="1">
        <v>45080.209583333337</v>
      </c>
      <c r="I994" s="1">
        <v>45081.209583333337</v>
      </c>
      <c r="J994" s="1">
        <v>45080.210972222223</v>
      </c>
      <c r="K994" s="2">
        <v>45080.20961568287</v>
      </c>
      <c r="L994" t="s">
        <v>28</v>
      </c>
      <c r="M994" s="2">
        <v>45081.065467546294</v>
      </c>
      <c r="N994" t="s">
        <v>28</v>
      </c>
      <c r="P994">
        <v>5</v>
      </c>
      <c r="R994" t="s">
        <v>50</v>
      </c>
      <c r="S994" t="s">
        <v>30</v>
      </c>
      <c r="T994" t="s">
        <v>66</v>
      </c>
      <c r="U994">
        <v>48.864716000000001</v>
      </c>
      <c r="V994">
        <v>2.3490139999999999</v>
      </c>
      <c r="W994" t="str">
        <f t="shared" si="106"/>
        <v>ok</v>
      </c>
      <c r="X994" t="str">
        <f t="shared" si="112"/>
        <v>ok</v>
      </c>
      <c r="Y994" t="str">
        <f t="shared" si="107"/>
        <v>ok</v>
      </c>
      <c r="Z994" t="str">
        <f t="shared" si="108"/>
        <v>ok</v>
      </c>
      <c r="AA994" s="4" t="str">
        <f t="shared" si="109"/>
        <v>ok</v>
      </c>
      <c r="AB994" s="4" t="str">
        <f t="shared" si="110"/>
        <v>ok</v>
      </c>
      <c r="AC994" s="6">
        <f t="shared" si="111"/>
        <v>20.541221110965125</v>
      </c>
    </row>
    <row r="995" spans="1:29" x14ac:dyDescent="0.3">
      <c r="A995" t="s">
        <v>22</v>
      </c>
      <c r="B995">
        <v>2267</v>
      </c>
      <c r="C995" t="s">
        <v>23</v>
      </c>
      <c r="D995" t="s">
        <v>24</v>
      </c>
      <c r="E995" t="s">
        <v>48</v>
      </c>
      <c r="F995" t="s">
        <v>26</v>
      </c>
      <c r="G995" t="s">
        <v>49</v>
      </c>
      <c r="H995" s="1">
        <v>45081.229953703703</v>
      </c>
      <c r="I995" s="1">
        <v>45083.229953703703</v>
      </c>
      <c r="J995" s="1">
        <v>45081.271620370368</v>
      </c>
      <c r="K995" s="2">
        <v>45081.241993773147</v>
      </c>
      <c r="L995" t="s">
        <v>28</v>
      </c>
      <c r="M995" s="2">
        <v>45081.530697800925</v>
      </c>
      <c r="N995" t="s">
        <v>28</v>
      </c>
      <c r="O995" s="2">
        <v>45084.681068124999</v>
      </c>
      <c r="P995">
        <v>9</v>
      </c>
      <c r="Q995">
        <v>5</v>
      </c>
      <c r="R995" t="s">
        <v>50</v>
      </c>
      <c r="S995" t="s">
        <v>30</v>
      </c>
      <c r="T995" t="s">
        <v>63</v>
      </c>
      <c r="U995">
        <v>55.378051999999997</v>
      </c>
      <c r="V995">
        <v>-3.4359730000000002</v>
      </c>
      <c r="W995" t="str">
        <f t="shared" si="106"/>
        <v>ok</v>
      </c>
      <c r="X995" t="str">
        <f t="shared" si="112"/>
        <v>ok</v>
      </c>
      <c r="Y995" t="str">
        <f t="shared" si="107"/>
        <v>ok</v>
      </c>
      <c r="Z995" t="str">
        <f t="shared" si="108"/>
        <v>ok</v>
      </c>
      <c r="AA995" s="4" t="str">
        <f t="shared" si="109"/>
        <v>ok</v>
      </c>
      <c r="AB995" s="4" t="str">
        <f t="shared" si="110"/>
        <v>ok</v>
      </c>
      <c r="AC995" s="6">
        <f t="shared" si="111"/>
        <v>7.2178583333152346</v>
      </c>
    </row>
    <row r="996" spans="1:29" x14ac:dyDescent="0.3">
      <c r="A996" t="s">
        <v>22</v>
      </c>
      <c r="B996">
        <v>2268</v>
      </c>
      <c r="C996" t="s">
        <v>47</v>
      </c>
      <c r="D996" t="s">
        <v>24</v>
      </c>
      <c r="E996" t="s">
        <v>39</v>
      </c>
      <c r="F996" t="s">
        <v>26</v>
      </c>
      <c r="G996" t="s">
        <v>52</v>
      </c>
      <c r="H996" s="1">
        <v>45081.765185185184</v>
      </c>
      <c r="I996" s="1">
        <v>45083.765185185184</v>
      </c>
      <c r="J996" s="1">
        <v>45081.806851851848</v>
      </c>
      <c r="K996" s="2">
        <v>45081.784497129629</v>
      </c>
      <c r="L996" t="s">
        <v>28</v>
      </c>
      <c r="M996" s="2">
        <v>45083.548124421293</v>
      </c>
      <c r="N996" t="s">
        <v>28</v>
      </c>
      <c r="O996" s="2">
        <v>45085.174415381945</v>
      </c>
      <c r="P996">
        <v>2</v>
      </c>
      <c r="Q996">
        <v>2</v>
      </c>
      <c r="R996" t="s">
        <v>39</v>
      </c>
      <c r="S996" t="s">
        <v>30</v>
      </c>
      <c r="T996" t="s">
        <v>31</v>
      </c>
      <c r="U996">
        <v>53.094023999999997</v>
      </c>
      <c r="V996">
        <v>-8.0196749999999994</v>
      </c>
      <c r="W996" t="str">
        <f t="shared" si="106"/>
        <v>ok</v>
      </c>
      <c r="X996" t="str">
        <f t="shared" si="112"/>
        <v>ok</v>
      </c>
      <c r="Y996" t="str">
        <f t="shared" si="107"/>
        <v>ok</v>
      </c>
      <c r="Z996" t="str">
        <f t="shared" si="108"/>
        <v>ok</v>
      </c>
      <c r="AA996" s="4" t="str">
        <f t="shared" si="109"/>
        <v>ok</v>
      </c>
      <c r="AB996" s="4" t="str">
        <f t="shared" si="110"/>
        <v>ok</v>
      </c>
      <c r="AC996" s="6">
        <f t="shared" si="111"/>
        <v>42.790541666618083</v>
      </c>
    </row>
    <row r="997" spans="1:29" x14ac:dyDescent="0.3">
      <c r="A997" t="s">
        <v>22</v>
      </c>
      <c r="B997">
        <v>2269</v>
      </c>
      <c r="C997" t="s">
        <v>47</v>
      </c>
      <c r="D997" t="s">
        <v>24</v>
      </c>
      <c r="E997" t="s">
        <v>35</v>
      </c>
      <c r="F997" t="s">
        <v>26</v>
      </c>
      <c r="G997" t="s">
        <v>49</v>
      </c>
      <c r="H997" s="1">
        <v>45081.52716435185</v>
      </c>
      <c r="I997" s="1">
        <v>45083.52716435185</v>
      </c>
      <c r="J997" s="1">
        <v>45081.568831018521</v>
      </c>
      <c r="K997" s="2">
        <v>45081.55558403935</v>
      </c>
      <c r="L997" t="s">
        <v>28</v>
      </c>
      <c r="M997" s="2">
        <v>45082.60274101852</v>
      </c>
      <c r="N997" t="s">
        <v>28</v>
      </c>
      <c r="O997" s="2">
        <v>45083.68357898148</v>
      </c>
      <c r="P997">
        <v>2</v>
      </c>
      <c r="Q997">
        <v>4</v>
      </c>
      <c r="R997" t="s">
        <v>50</v>
      </c>
      <c r="S997" t="s">
        <v>30</v>
      </c>
      <c r="T997" t="s">
        <v>56</v>
      </c>
      <c r="U997">
        <v>52.536273000000001</v>
      </c>
      <c r="V997">
        <v>19.050639</v>
      </c>
      <c r="W997" t="str">
        <f t="shared" si="106"/>
        <v>ok</v>
      </c>
      <c r="X997" t="str">
        <f t="shared" si="112"/>
        <v>ok</v>
      </c>
      <c r="Y997" t="str">
        <f t="shared" si="107"/>
        <v>ok</v>
      </c>
      <c r="Z997" t="str">
        <f t="shared" si="108"/>
        <v>ok</v>
      </c>
      <c r="AA997" s="4" t="str">
        <f t="shared" si="109"/>
        <v>ok</v>
      </c>
      <c r="AB997" s="4" t="str">
        <f t="shared" si="110"/>
        <v>ok</v>
      </c>
      <c r="AC997" s="6">
        <f t="shared" si="111"/>
        <v>25.813840000075288</v>
      </c>
    </row>
    <row r="998" spans="1:29" x14ac:dyDescent="0.3">
      <c r="A998" t="s">
        <v>22</v>
      </c>
      <c r="B998">
        <v>2270</v>
      </c>
      <c r="C998" t="s">
        <v>23</v>
      </c>
      <c r="D998" t="s">
        <v>24</v>
      </c>
      <c r="E998" t="s">
        <v>48</v>
      </c>
      <c r="F998" t="s">
        <v>26</v>
      </c>
      <c r="G998" t="s">
        <v>60</v>
      </c>
      <c r="H998" s="1">
        <v>45082.675729166665</v>
      </c>
      <c r="I998" s="1">
        <v>45084.675729166665</v>
      </c>
      <c r="J998" s="1">
        <v>45082.717395833337</v>
      </c>
      <c r="K998" s="2">
        <v>45082.70224515046</v>
      </c>
      <c r="L998" t="s">
        <v>28</v>
      </c>
      <c r="M998" s="2">
        <v>45083.009379988427</v>
      </c>
      <c r="N998" t="s">
        <v>28</v>
      </c>
      <c r="O998" s="2">
        <v>45085.157822361114</v>
      </c>
      <c r="P998">
        <v>10</v>
      </c>
      <c r="Q998">
        <v>1</v>
      </c>
      <c r="R998" t="s">
        <v>50</v>
      </c>
      <c r="S998" t="s">
        <v>30</v>
      </c>
      <c r="T998" t="s">
        <v>56</v>
      </c>
      <c r="U998">
        <v>52.536273000000001</v>
      </c>
      <c r="V998">
        <v>19.050639</v>
      </c>
      <c r="W998" t="str">
        <f t="shared" si="106"/>
        <v>ok</v>
      </c>
      <c r="X998" t="str">
        <f t="shared" si="112"/>
        <v>ok</v>
      </c>
      <c r="Y998" t="str">
        <f t="shared" si="107"/>
        <v>ok</v>
      </c>
      <c r="Z998" t="str">
        <f t="shared" si="108"/>
        <v>ok</v>
      </c>
      <c r="AA998" s="4" t="str">
        <f t="shared" si="109"/>
        <v>ok</v>
      </c>
      <c r="AB998" s="4" t="str">
        <f t="shared" si="110"/>
        <v>ok</v>
      </c>
      <c r="AC998" s="6">
        <f t="shared" si="111"/>
        <v>8.0076197222806513</v>
      </c>
    </row>
    <row r="999" spans="1:29" x14ac:dyDescent="0.3">
      <c r="A999" t="s">
        <v>42</v>
      </c>
      <c r="B999">
        <v>2271</v>
      </c>
      <c r="C999" t="s">
        <v>23</v>
      </c>
      <c r="D999" t="s">
        <v>43</v>
      </c>
      <c r="E999" t="s">
        <v>44</v>
      </c>
      <c r="F999" t="s">
        <v>26</v>
      </c>
      <c r="G999" t="s">
        <v>27</v>
      </c>
      <c r="H999" s="1">
        <v>45082.306423611109</v>
      </c>
      <c r="I999" s="1">
        <v>45083.306423611109</v>
      </c>
      <c r="J999" s="1">
        <v>45082.307812500003</v>
      </c>
      <c r="K999" s="2">
        <v>45082.309940300926</v>
      </c>
      <c r="L999" t="s">
        <v>38</v>
      </c>
      <c r="M999" s="2">
        <v>45087.225651620371</v>
      </c>
      <c r="N999" t="s">
        <v>38</v>
      </c>
      <c r="P999">
        <v>4</v>
      </c>
      <c r="R999" t="s">
        <v>50</v>
      </c>
      <c r="S999" t="s">
        <v>30</v>
      </c>
      <c r="T999" t="s">
        <v>53</v>
      </c>
      <c r="U999">
        <v>39.368279000000001</v>
      </c>
      <c r="V999">
        <v>21.863140999999999</v>
      </c>
      <c r="W999" t="str">
        <f t="shared" si="106"/>
        <v>ok</v>
      </c>
      <c r="X999" t="str">
        <f t="shared" si="112"/>
        <v>ok</v>
      </c>
      <c r="Y999" t="str">
        <f t="shared" si="107"/>
        <v>ok</v>
      </c>
      <c r="Z999" t="str">
        <f t="shared" si="108"/>
        <v>ok</v>
      </c>
      <c r="AA999" s="4" t="str">
        <f t="shared" si="109"/>
        <v>ok</v>
      </c>
      <c r="AB999" s="4" t="str">
        <f t="shared" si="110"/>
        <v>ok</v>
      </c>
      <c r="AC999" s="6">
        <f t="shared" si="111"/>
        <v>118.06147222226718</v>
      </c>
    </row>
    <row r="1000" spans="1:29" x14ac:dyDescent="0.3">
      <c r="A1000" t="s">
        <v>22</v>
      </c>
      <c r="B1000">
        <v>2272</v>
      </c>
      <c r="C1000" t="s">
        <v>23</v>
      </c>
      <c r="D1000" t="s">
        <v>24</v>
      </c>
      <c r="E1000" t="s">
        <v>35</v>
      </c>
      <c r="F1000" t="s">
        <v>26</v>
      </c>
      <c r="G1000" t="s">
        <v>49</v>
      </c>
      <c r="H1000" s="1">
        <v>45082.447106481479</v>
      </c>
      <c r="I1000" s="1">
        <v>45084.447106481479</v>
      </c>
      <c r="J1000" s="1">
        <v>45082.48877314815</v>
      </c>
      <c r="K1000" s="2">
        <v>45082.475225162038</v>
      </c>
      <c r="L1000" t="s">
        <v>28</v>
      </c>
      <c r="M1000" s="2">
        <v>45084.500474340275</v>
      </c>
      <c r="N1000" t="s">
        <v>38</v>
      </c>
      <c r="O1000" s="2">
        <v>45085.373127893516</v>
      </c>
      <c r="P1000">
        <v>3</v>
      </c>
      <c r="Q1000">
        <v>5</v>
      </c>
      <c r="R1000" t="s">
        <v>39</v>
      </c>
      <c r="S1000" t="s">
        <v>30</v>
      </c>
      <c r="T1000" t="s">
        <v>31</v>
      </c>
      <c r="U1000">
        <v>53.094023999999997</v>
      </c>
      <c r="V1000">
        <v>-8.0196749999999994</v>
      </c>
      <c r="W1000" t="str">
        <f t="shared" si="106"/>
        <v>ok</v>
      </c>
      <c r="X1000" t="str">
        <f t="shared" si="112"/>
        <v>ok</v>
      </c>
      <c r="Y1000" t="str">
        <f t="shared" si="107"/>
        <v>ok</v>
      </c>
      <c r="Z1000" t="str">
        <f t="shared" si="108"/>
        <v>ok</v>
      </c>
      <c r="AA1000" s="4" t="str">
        <f t="shared" si="109"/>
        <v>ok</v>
      </c>
      <c r="AB1000" s="4" t="str">
        <f t="shared" si="110"/>
        <v>ok</v>
      </c>
      <c r="AC1000" s="6">
        <f t="shared" si="111"/>
        <v>49.280828611110337</v>
      </c>
    </row>
    <row r="1001" spans="1:29" x14ac:dyDescent="0.3">
      <c r="A1001" t="s">
        <v>22</v>
      </c>
      <c r="B1001">
        <v>2273</v>
      </c>
      <c r="C1001" t="s">
        <v>47</v>
      </c>
      <c r="D1001" t="s">
        <v>43</v>
      </c>
      <c r="E1001" t="s">
        <v>48</v>
      </c>
      <c r="F1001" t="s">
        <v>26</v>
      </c>
      <c r="G1001" t="s">
        <v>49</v>
      </c>
      <c r="H1001" s="1">
        <v>45082.138460648152</v>
      </c>
      <c r="I1001" s="1">
        <v>45083.138460648152</v>
      </c>
      <c r="J1001" s="1">
        <v>45082.139849537038</v>
      </c>
      <c r="K1001" s="2">
        <v>45082.139054513886</v>
      </c>
      <c r="L1001" t="s">
        <v>28</v>
      </c>
      <c r="M1001" s="2">
        <v>45082.434142442129</v>
      </c>
      <c r="N1001" t="s">
        <v>28</v>
      </c>
      <c r="O1001" s="2">
        <v>45085.219044756945</v>
      </c>
      <c r="P1001">
        <v>5</v>
      </c>
      <c r="Q1001">
        <v>3</v>
      </c>
      <c r="R1001" t="s">
        <v>55</v>
      </c>
      <c r="S1001" t="s">
        <v>30</v>
      </c>
      <c r="T1001" t="s">
        <v>63</v>
      </c>
      <c r="U1001">
        <v>55.378051999999997</v>
      </c>
      <c r="V1001">
        <v>-3.4359730000000002</v>
      </c>
      <c r="W1001" t="str">
        <f t="shared" si="106"/>
        <v>ok</v>
      </c>
      <c r="X1001" t="str">
        <f t="shared" si="112"/>
        <v>ok</v>
      </c>
      <c r="Y1001" t="str">
        <f t="shared" si="107"/>
        <v>ok</v>
      </c>
      <c r="Z1001" t="str">
        <f t="shared" si="108"/>
        <v>ok</v>
      </c>
      <c r="AA1001" s="4" t="str">
        <f t="shared" si="109"/>
        <v>ok</v>
      </c>
      <c r="AB1001" s="4" t="str">
        <f t="shared" si="110"/>
        <v>ok</v>
      </c>
      <c r="AC1001" s="6">
        <f t="shared" si="111"/>
        <v>7.096363055461552</v>
      </c>
    </row>
    <row r="1002" spans="1:29" x14ac:dyDescent="0.3">
      <c r="A1002" t="s">
        <v>22</v>
      </c>
      <c r="B1002">
        <v>2274</v>
      </c>
      <c r="C1002" t="s">
        <v>23</v>
      </c>
      <c r="D1002" t="s">
        <v>24</v>
      </c>
      <c r="E1002" t="s">
        <v>44</v>
      </c>
      <c r="F1002" t="s">
        <v>36</v>
      </c>
      <c r="G1002" t="s">
        <v>37</v>
      </c>
      <c r="H1002" s="1">
        <v>45082.195300925923</v>
      </c>
      <c r="I1002" s="1">
        <v>45084.195300925923</v>
      </c>
      <c r="J1002" s="1">
        <v>45082.236967592595</v>
      </c>
      <c r="K1002" s="2">
        <v>45082.203819340277</v>
      </c>
      <c r="L1002" t="s">
        <v>28</v>
      </c>
      <c r="M1002" s="2">
        <v>45083.958290706018</v>
      </c>
      <c r="N1002" t="s">
        <v>28</v>
      </c>
      <c r="O1002" s="2">
        <v>45086.652282916664</v>
      </c>
      <c r="P1002">
        <v>1</v>
      </c>
      <c r="Q1002">
        <v>1</v>
      </c>
      <c r="R1002" t="s">
        <v>39</v>
      </c>
      <c r="S1002" t="s">
        <v>40</v>
      </c>
      <c r="T1002" t="s">
        <v>65</v>
      </c>
      <c r="U1002">
        <v>46.149166399999999</v>
      </c>
      <c r="V1002">
        <v>14.9860106</v>
      </c>
      <c r="W1002" t="str">
        <f t="shared" si="106"/>
        <v>ok</v>
      </c>
      <c r="X1002" t="str">
        <f t="shared" si="112"/>
        <v>ok</v>
      </c>
      <c r="Y1002" t="str">
        <f t="shared" si="107"/>
        <v>ok</v>
      </c>
      <c r="Z1002" t="str">
        <f t="shared" si="108"/>
        <v>ok</v>
      </c>
      <c r="AA1002" s="4" t="str">
        <f t="shared" si="109"/>
        <v>ok</v>
      </c>
      <c r="AB1002" s="4" t="str">
        <f t="shared" si="110"/>
        <v>ok</v>
      </c>
      <c r="AC1002" s="6">
        <f t="shared" si="111"/>
        <v>42.311754722264595</v>
      </c>
    </row>
    <row r="1003" spans="1:29" x14ac:dyDescent="0.3">
      <c r="A1003" t="s">
        <v>42</v>
      </c>
      <c r="B1003">
        <v>2275</v>
      </c>
      <c r="C1003" t="s">
        <v>23</v>
      </c>
      <c r="D1003" t="s">
        <v>43</v>
      </c>
      <c r="E1003" t="s">
        <v>59</v>
      </c>
      <c r="F1003" t="s">
        <v>26</v>
      </c>
      <c r="G1003" t="s">
        <v>27</v>
      </c>
      <c r="H1003" s="1">
        <v>45082.210775462961</v>
      </c>
      <c r="I1003" s="1">
        <v>45083.210775462961</v>
      </c>
      <c r="J1003" s="1">
        <v>45082.212164351855</v>
      </c>
      <c r="K1003" s="2">
        <v>45082.211648576391</v>
      </c>
      <c r="L1003" t="s">
        <v>28</v>
      </c>
      <c r="M1003" s="2">
        <v>45082.98935802083</v>
      </c>
      <c r="N1003" t="s">
        <v>28</v>
      </c>
      <c r="P1003">
        <v>6</v>
      </c>
      <c r="R1003" t="s">
        <v>29</v>
      </c>
      <c r="S1003" t="s">
        <v>30</v>
      </c>
      <c r="T1003" t="s">
        <v>65</v>
      </c>
      <c r="U1003">
        <v>46.149166399999999</v>
      </c>
      <c r="V1003">
        <v>14.9860106</v>
      </c>
      <c r="W1003" t="str">
        <f t="shared" si="106"/>
        <v>ok</v>
      </c>
      <c r="X1003" t="str">
        <f t="shared" si="112"/>
        <v>ok</v>
      </c>
      <c r="Y1003" t="str">
        <f t="shared" si="107"/>
        <v>ok</v>
      </c>
      <c r="Z1003" t="str">
        <f t="shared" si="108"/>
        <v>ok</v>
      </c>
      <c r="AA1003" s="4" t="str">
        <f t="shared" si="109"/>
        <v>ok</v>
      </c>
      <c r="AB1003" s="4" t="str">
        <f t="shared" si="110"/>
        <v>ok</v>
      </c>
      <c r="AC1003" s="6">
        <f t="shared" si="111"/>
        <v>18.685981388844084</v>
      </c>
    </row>
    <row r="1004" spans="1:29" x14ac:dyDescent="0.3">
      <c r="A1004" t="s">
        <v>32</v>
      </c>
      <c r="B1004">
        <v>2276</v>
      </c>
      <c r="C1004" t="s">
        <v>47</v>
      </c>
      <c r="D1004" t="s">
        <v>43</v>
      </c>
      <c r="E1004" t="s">
        <v>44</v>
      </c>
      <c r="F1004" t="s">
        <v>26</v>
      </c>
      <c r="G1004" t="s">
        <v>45</v>
      </c>
      <c r="H1004" s="1">
        <v>45082.383217592593</v>
      </c>
      <c r="I1004" s="1">
        <v>45083.383217592593</v>
      </c>
      <c r="J1004" s="1">
        <v>45082.384606481479</v>
      </c>
      <c r="K1004" s="2">
        <v>45082.384189293982</v>
      </c>
      <c r="L1004" t="s">
        <v>28</v>
      </c>
      <c r="N1004" t="s">
        <v>38</v>
      </c>
      <c r="P1004">
        <v>6</v>
      </c>
      <c r="R1004" t="s">
        <v>50</v>
      </c>
      <c r="S1004" t="s">
        <v>30</v>
      </c>
      <c r="T1004" t="s">
        <v>31</v>
      </c>
      <c r="U1004">
        <v>53.094023999999997</v>
      </c>
      <c r="V1004">
        <v>-8.0196749999999994</v>
      </c>
      <c r="W1004" t="str">
        <f t="shared" si="106"/>
        <v>ok</v>
      </c>
      <c r="X1004" t="str">
        <f t="shared" si="112"/>
        <v>ok</v>
      </c>
      <c r="Y1004" t="str">
        <f t="shared" si="107"/>
        <v>ok</v>
      </c>
      <c r="Z1004" t="str">
        <f t="shared" si="108"/>
        <v>ok</v>
      </c>
      <c r="AA1004" s="4" t="str">
        <f t="shared" si="109"/>
        <v>ok</v>
      </c>
      <c r="AB1004" s="4" t="str">
        <f t="shared" si="110"/>
        <v>no resolution</v>
      </c>
      <c r="AC1004" s="6" t="str">
        <f t="shared" si="111"/>
        <v/>
      </c>
    </row>
    <row r="1005" spans="1:29" x14ac:dyDescent="0.3">
      <c r="A1005" t="s">
        <v>22</v>
      </c>
      <c r="B1005">
        <v>2277</v>
      </c>
      <c r="C1005" t="s">
        <v>47</v>
      </c>
      <c r="D1005" t="s">
        <v>43</v>
      </c>
      <c r="E1005" t="s">
        <v>35</v>
      </c>
      <c r="F1005" t="s">
        <v>26</v>
      </c>
      <c r="G1005" t="s">
        <v>60</v>
      </c>
      <c r="H1005" s="1">
        <v>45082.077893518515</v>
      </c>
      <c r="I1005" s="1">
        <v>45083.077893518515</v>
      </c>
      <c r="J1005" s="1">
        <v>45082.079282407409</v>
      </c>
      <c r="K1005" s="2">
        <v>45082.079253148149</v>
      </c>
      <c r="L1005" t="s">
        <v>28</v>
      </c>
      <c r="M1005" s="2">
        <v>45085.66762291667</v>
      </c>
      <c r="N1005" t="s">
        <v>38</v>
      </c>
      <c r="O1005" s="2">
        <v>45086.281093888887</v>
      </c>
      <c r="P1005">
        <v>6</v>
      </c>
      <c r="Q1005">
        <v>3</v>
      </c>
      <c r="R1005" t="s">
        <v>50</v>
      </c>
      <c r="S1005" t="s">
        <v>30</v>
      </c>
      <c r="T1005" t="s">
        <v>46</v>
      </c>
      <c r="U1005">
        <v>47.696471899999999</v>
      </c>
      <c r="V1005">
        <v>13.3457347</v>
      </c>
      <c r="W1005" t="str">
        <f t="shared" si="106"/>
        <v>ok</v>
      </c>
      <c r="X1005" t="str">
        <f t="shared" si="112"/>
        <v>ok</v>
      </c>
      <c r="Y1005" t="str">
        <f t="shared" si="107"/>
        <v>ok</v>
      </c>
      <c r="Z1005" t="str">
        <f t="shared" si="108"/>
        <v>ok</v>
      </c>
      <c r="AA1005" s="4" t="str">
        <f t="shared" si="109"/>
        <v>ok</v>
      </c>
      <c r="AB1005" s="4" t="str">
        <f t="shared" si="110"/>
        <v>ok</v>
      </c>
      <c r="AC1005" s="6">
        <f t="shared" si="111"/>
        <v>86.153505555703305</v>
      </c>
    </row>
    <row r="1006" spans="1:29" x14ac:dyDescent="0.3">
      <c r="A1006" t="s">
        <v>22</v>
      </c>
      <c r="B1006">
        <v>2278</v>
      </c>
      <c r="C1006" t="s">
        <v>47</v>
      </c>
      <c r="D1006" t="s">
        <v>24</v>
      </c>
      <c r="E1006" t="s">
        <v>44</v>
      </c>
      <c r="F1006" t="s">
        <v>26</v>
      </c>
      <c r="G1006" t="s">
        <v>52</v>
      </c>
      <c r="H1006" s="1">
        <v>45083.608715277776</v>
      </c>
      <c r="I1006" s="1">
        <v>45085.608715277776</v>
      </c>
      <c r="J1006" s="1">
        <v>45083.650381944448</v>
      </c>
      <c r="K1006" s="2">
        <v>45083.628634398148</v>
      </c>
      <c r="L1006" t="s">
        <v>28</v>
      </c>
      <c r="M1006" s="2">
        <v>45083.64958582176</v>
      </c>
      <c r="N1006" t="s">
        <v>28</v>
      </c>
      <c r="O1006" s="2">
        <v>45086.343822835646</v>
      </c>
      <c r="P1006">
        <v>2</v>
      </c>
      <c r="Q1006">
        <v>5</v>
      </c>
      <c r="R1006" t="s">
        <v>50</v>
      </c>
      <c r="S1006" t="s">
        <v>30</v>
      </c>
      <c r="T1006" t="s">
        <v>51</v>
      </c>
      <c r="U1006">
        <v>39.673369999999998</v>
      </c>
      <c r="V1006">
        <v>-4.7677259999999997</v>
      </c>
      <c r="W1006" t="str">
        <f t="shared" si="106"/>
        <v>ok</v>
      </c>
      <c r="X1006" t="str">
        <f t="shared" si="112"/>
        <v>ok</v>
      </c>
      <c r="Y1006" t="str">
        <f t="shared" si="107"/>
        <v>ok</v>
      </c>
      <c r="Z1006" t="str">
        <f t="shared" si="108"/>
        <v>ok</v>
      </c>
      <c r="AA1006" s="4" t="str">
        <f t="shared" si="109"/>
        <v>ok</v>
      </c>
      <c r="AB1006" s="4" t="str">
        <f t="shared" si="110"/>
        <v>ok</v>
      </c>
      <c r="AC1006" s="6">
        <f t="shared" si="111"/>
        <v>0.98089305561734363</v>
      </c>
    </row>
    <row r="1007" spans="1:29" x14ac:dyDescent="0.3">
      <c r="A1007" t="s">
        <v>22</v>
      </c>
      <c r="B1007">
        <v>2279</v>
      </c>
      <c r="C1007" t="s">
        <v>23</v>
      </c>
      <c r="D1007" t="s">
        <v>24</v>
      </c>
      <c r="E1007" t="s">
        <v>39</v>
      </c>
      <c r="F1007" t="s">
        <v>26</v>
      </c>
      <c r="G1007" t="s">
        <v>52</v>
      </c>
      <c r="H1007" s="1">
        <v>45083.075983796298</v>
      </c>
      <c r="I1007" s="1">
        <v>45085.075983796298</v>
      </c>
      <c r="J1007" s="1">
        <v>45083.117650462962</v>
      </c>
      <c r="K1007" s="2">
        <v>45083.105069652775</v>
      </c>
      <c r="L1007" t="s">
        <v>28</v>
      </c>
      <c r="M1007" s="2">
        <v>45083.558117534725</v>
      </c>
      <c r="N1007" t="s">
        <v>28</v>
      </c>
      <c r="O1007" s="2">
        <v>45087.824754548608</v>
      </c>
      <c r="P1007">
        <v>7</v>
      </c>
      <c r="Q1007">
        <v>4</v>
      </c>
      <c r="R1007" t="s">
        <v>55</v>
      </c>
      <c r="S1007" t="s">
        <v>30</v>
      </c>
      <c r="T1007" t="s">
        <v>31</v>
      </c>
      <c r="U1007">
        <v>53.094023999999997</v>
      </c>
      <c r="V1007">
        <v>-8.0196749999999994</v>
      </c>
      <c r="W1007" t="str">
        <f t="shared" si="106"/>
        <v>ok</v>
      </c>
      <c r="X1007" t="str">
        <f t="shared" si="112"/>
        <v>ok</v>
      </c>
      <c r="Y1007" t="str">
        <f t="shared" si="107"/>
        <v>ok</v>
      </c>
      <c r="Z1007" t="str">
        <f t="shared" si="108"/>
        <v>ok</v>
      </c>
      <c r="AA1007" s="4" t="str">
        <f t="shared" si="109"/>
        <v>ok</v>
      </c>
      <c r="AB1007" s="4" t="str">
        <f t="shared" si="110"/>
        <v>ok</v>
      </c>
      <c r="AC1007" s="6">
        <f t="shared" si="111"/>
        <v>11.571209722256754</v>
      </c>
    </row>
    <row r="1008" spans="1:29" x14ac:dyDescent="0.3">
      <c r="A1008" t="s">
        <v>22</v>
      </c>
      <c r="B1008">
        <v>2280</v>
      </c>
      <c r="C1008" t="s">
        <v>23</v>
      </c>
      <c r="D1008" t="s">
        <v>24</v>
      </c>
      <c r="E1008" t="s">
        <v>44</v>
      </c>
      <c r="F1008" t="s">
        <v>26</v>
      </c>
      <c r="G1008" t="s">
        <v>27</v>
      </c>
      <c r="H1008" s="1">
        <v>45083.003437500003</v>
      </c>
      <c r="I1008" s="1">
        <v>45085.003437500003</v>
      </c>
      <c r="J1008" s="1">
        <v>45083.045104166667</v>
      </c>
      <c r="K1008" s="2">
        <v>45083.041405428237</v>
      </c>
      <c r="L1008" t="s">
        <v>28</v>
      </c>
      <c r="M1008" s="2">
        <v>45083.399936608796</v>
      </c>
      <c r="N1008" t="s">
        <v>28</v>
      </c>
      <c r="O1008" s="2">
        <v>45086.266022291667</v>
      </c>
      <c r="P1008">
        <v>6</v>
      </c>
      <c r="Q1008">
        <v>5</v>
      </c>
      <c r="R1008" t="s">
        <v>50</v>
      </c>
      <c r="S1008" t="s">
        <v>30</v>
      </c>
      <c r="T1008" t="s">
        <v>51</v>
      </c>
      <c r="U1008">
        <v>39.673369999999998</v>
      </c>
      <c r="V1008">
        <v>-4.7677259999999997</v>
      </c>
      <c r="W1008" t="str">
        <f t="shared" si="106"/>
        <v>ok</v>
      </c>
      <c r="X1008" t="str">
        <f t="shared" si="112"/>
        <v>ok</v>
      </c>
      <c r="Y1008" t="str">
        <f t="shared" si="107"/>
        <v>ok</v>
      </c>
      <c r="Z1008" t="str">
        <f t="shared" si="108"/>
        <v>ok</v>
      </c>
      <c r="AA1008" s="4" t="str">
        <f t="shared" si="109"/>
        <v>ok</v>
      </c>
      <c r="AB1008" s="4" t="str">
        <f t="shared" si="110"/>
        <v>ok</v>
      </c>
      <c r="AC1008" s="6">
        <f t="shared" si="111"/>
        <v>9.5159786110161804</v>
      </c>
    </row>
    <row r="1009" spans="1:29" x14ac:dyDescent="0.3">
      <c r="A1009" t="s">
        <v>22</v>
      </c>
      <c r="B1009">
        <v>2281</v>
      </c>
      <c r="C1009" t="s">
        <v>47</v>
      </c>
      <c r="D1009" t="s">
        <v>24</v>
      </c>
      <c r="E1009" t="s">
        <v>44</v>
      </c>
      <c r="F1009" t="s">
        <v>26</v>
      </c>
      <c r="G1009" t="s">
        <v>60</v>
      </c>
      <c r="H1009" s="1">
        <v>45083.475451388891</v>
      </c>
      <c r="I1009" s="1">
        <v>45085.475451388891</v>
      </c>
      <c r="J1009" s="1">
        <v>45083.517118055555</v>
      </c>
      <c r="K1009" s="2">
        <v>45083.505676793982</v>
      </c>
      <c r="L1009" t="s">
        <v>28</v>
      </c>
      <c r="M1009" s="2">
        <v>45088.169800844909</v>
      </c>
      <c r="N1009" t="s">
        <v>38</v>
      </c>
      <c r="O1009" s="2">
        <v>45088.324427337961</v>
      </c>
      <c r="P1009">
        <v>3</v>
      </c>
      <c r="Q1009">
        <v>5</v>
      </c>
      <c r="R1009" t="s">
        <v>39</v>
      </c>
      <c r="S1009" t="s">
        <v>30</v>
      </c>
      <c r="T1009" t="s">
        <v>41</v>
      </c>
      <c r="U1009">
        <v>43.036776000000003</v>
      </c>
      <c r="V1009">
        <v>12.678565000000001</v>
      </c>
      <c r="W1009" t="str">
        <f t="shared" si="106"/>
        <v>ok</v>
      </c>
      <c r="X1009" t="str">
        <f t="shared" si="112"/>
        <v>ok</v>
      </c>
      <c r="Y1009" t="str">
        <f t="shared" si="107"/>
        <v>ok</v>
      </c>
      <c r="Z1009" t="str">
        <f t="shared" si="108"/>
        <v>ok</v>
      </c>
      <c r="AA1009" s="4" t="str">
        <f t="shared" si="109"/>
        <v>ok</v>
      </c>
      <c r="AB1009" s="4" t="str">
        <f t="shared" si="110"/>
        <v>ok</v>
      </c>
      <c r="AC1009" s="6">
        <f t="shared" si="111"/>
        <v>112.66438694443787</v>
      </c>
    </row>
    <row r="1010" spans="1:29" x14ac:dyDescent="0.3">
      <c r="A1010" t="s">
        <v>42</v>
      </c>
      <c r="B1010">
        <v>2282</v>
      </c>
      <c r="C1010" t="s">
        <v>23</v>
      </c>
      <c r="D1010" t="s">
        <v>34</v>
      </c>
      <c r="E1010" t="s">
        <v>48</v>
      </c>
      <c r="F1010" t="s">
        <v>26</v>
      </c>
      <c r="G1010" t="s">
        <v>45</v>
      </c>
      <c r="H1010" s="1">
        <v>45083.884710648148</v>
      </c>
      <c r="I1010" s="1">
        <v>45085.884710648148</v>
      </c>
      <c r="J1010" s="1">
        <v>45083.886099537034</v>
      </c>
      <c r="K1010" s="2">
        <v>45083.887681261571</v>
      </c>
      <c r="L1010" t="s">
        <v>38</v>
      </c>
      <c r="M1010" s="2">
        <v>45084.644945949076</v>
      </c>
      <c r="N1010" t="s">
        <v>28</v>
      </c>
      <c r="P1010">
        <v>3</v>
      </c>
      <c r="R1010" t="s">
        <v>29</v>
      </c>
      <c r="S1010" t="s">
        <v>30</v>
      </c>
      <c r="T1010" t="s">
        <v>53</v>
      </c>
      <c r="U1010">
        <v>39.368279000000001</v>
      </c>
      <c r="V1010">
        <v>21.863140999999999</v>
      </c>
      <c r="W1010" t="str">
        <f t="shared" si="106"/>
        <v>ok</v>
      </c>
      <c r="X1010" t="str">
        <f t="shared" si="112"/>
        <v>ok</v>
      </c>
      <c r="Y1010" t="str">
        <f t="shared" si="107"/>
        <v>ok</v>
      </c>
      <c r="Z1010" t="str">
        <f t="shared" si="108"/>
        <v>ok</v>
      </c>
      <c r="AA1010" s="4" t="str">
        <f t="shared" si="109"/>
        <v>ok</v>
      </c>
      <c r="AB1010" s="4" t="str">
        <f t="shared" si="110"/>
        <v>ok</v>
      </c>
      <c r="AC1010" s="6">
        <f t="shared" si="111"/>
        <v>18.245647222269326</v>
      </c>
    </row>
    <row r="1011" spans="1:29" x14ac:dyDescent="0.3">
      <c r="A1011" t="s">
        <v>32</v>
      </c>
      <c r="B1011">
        <v>2283</v>
      </c>
      <c r="C1011" t="s">
        <v>23</v>
      </c>
      <c r="D1011" t="s">
        <v>43</v>
      </c>
      <c r="E1011" t="s">
        <v>25</v>
      </c>
      <c r="F1011" t="s">
        <v>26</v>
      </c>
      <c r="G1011" t="s">
        <v>60</v>
      </c>
      <c r="H1011" s="1">
        <v>45083.727546296293</v>
      </c>
      <c r="I1011" s="1">
        <v>45084.727546296293</v>
      </c>
      <c r="J1011" s="1">
        <v>45083.728935185187</v>
      </c>
      <c r="K1011" s="2">
        <v>45083.730653495368</v>
      </c>
      <c r="L1011" t="s">
        <v>38</v>
      </c>
      <c r="N1011" t="s">
        <v>38</v>
      </c>
      <c r="P1011">
        <v>6</v>
      </c>
      <c r="R1011" t="s">
        <v>29</v>
      </c>
      <c r="S1011" t="s">
        <v>30</v>
      </c>
      <c r="T1011" t="s">
        <v>65</v>
      </c>
      <c r="U1011">
        <v>46.149166399999999</v>
      </c>
      <c r="V1011">
        <v>14.9860106</v>
      </c>
      <c r="W1011" t="str">
        <f t="shared" si="106"/>
        <v>ok</v>
      </c>
      <c r="X1011" t="str">
        <f t="shared" si="112"/>
        <v>ok</v>
      </c>
      <c r="Y1011" t="str">
        <f t="shared" si="107"/>
        <v>ok</v>
      </c>
      <c r="Z1011" t="str">
        <f t="shared" si="108"/>
        <v>ok</v>
      </c>
      <c r="AA1011" s="4" t="str">
        <f t="shared" si="109"/>
        <v>ok</v>
      </c>
      <c r="AB1011" s="4" t="str">
        <f t="shared" si="110"/>
        <v>no resolution</v>
      </c>
      <c r="AC1011" s="6" t="str">
        <f t="shared" si="111"/>
        <v/>
      </c>
    </row>
    <row r="1012" spans="1:29" x14ac:dyDescent="0.3">
      <c r="A1012" t="s">
        <v>42</v>
      </c>
      <c r="B1012">
        <v>2284</v>
      </c>
      <c r="C1012" t="s">
        <v>47</v>
      </c>
      <c r="D1012" t="s">
        <v>34</v>
      </c>
      <c r="E1012" t="s">
        <v>48</v>
      </c>
      <c r="F1012" t="s">
        <v>26</v>
      </c>
      <c r="G1012" t="s">
        <v>52</v>
      </c>
      <c r="H1012" s="1">
        <v>45083.910254629627</v>
      </c>
      <c r="I1012" s="1">
        <v>45085.910254629627</v>
      </c>
      <c r="J1012" s="1">
        <v>45083.911643518521</v>
      </c>
      <c r="K1012" s="2">
        <v>45083.911567268522</v>
      </c>
      <c r="L1012" t="s">
        <v>28</v>
      </c>
      <c r="M1012" s="2">
        <v>45084.797618171295</v>
      </c>
      <c r="N1012" t="s">
        <v>28</v>
      </c>
      <c r="P1012">
        <v>4</v>
      </c>
      <c r="R1012" t="s">
        <v>39</v>
      </c>
      <c r="S1012" t="s">
        <v>30</v>
      </c>
      <c r="T1012" t="s">
        <v>41</v>
      </c>
      <c r="U1012">
        <v>43.036776000000003</v>
      </c>
      <c r="V1012">
        <v>12.678565000000001</v>
      </c>
      <c r="W1012" t="str">
        <f t="shared" si="106"/>
        <v>ok</v>
      </c>
      <c r="X1012" t="str">
        <f t="shared" si="112"/>
        <v>ok</v>
      </c>
      <c r="Y1012" t="str">
        <f t="shared" si="107"/>
        <v>ok</v>
      </c>
      <c r="Z1012" t="str">
        <f t="shared" si="108"/>
        <v>ok</v>
      </c>
      <c r="AA1012" s="4" t="str">
        <f t="shared" si="109"/>
        <v>ok</v>
      </c>
      <c r="AB1012" s="4" t="str">
        <f t="shared" si="110"/>
        <v>ok</v>
      </c>
      <c r="AC1012" s="6">
        <f t="shared" si="111"/>
        <v>21.296725000021979</v>
      </c>
    </row>
    <row r="1013" spans="1:29" x14ac:dyDescent="0.3">
      <c r="A1013" t="s">
        <v>22</v>
      </c>
      <c r="B1013">
        <v>2285</v>
      </c>
      <c r="C1013" t="s">
        <v>47</v>
      </c>
      <c r="D1013" t="s">
        <v>34</v>
      </c>
      <c r="E1013" t="s">
        <v>35</v>
      </c>
      <c r="F1013" t="s">
        <v>26</v>
      </c>
      <c r="G1013" t="s">
        <v>27</v>
      </c>
      <c r="H1013" s="1">
        <v>45083.27076388889</v>
      </c>
      <c r="I1013" s="1">
        <v>45085.27076388889</v>
      </c>
      <c r="J1013" s="1">
        <v>45083.272152777776</v>
      </c>
      <c r="K1013" s="2">
        <v>45083.270925798613</v>
      </c>
      <c r="L1013" t="s">
        <v>28</v>
      </c>
      <c r="M1013" s="2">
        <v>45084.830187962965</v>
      </c>
      <c r="N1013" t="s">
        <v>28</v>
      </c>
      <c r="O1013" s="2">
        <v>45085.315530960645</v>
      </c>
      <c r="P1013">
        <v>1</v>
      </c>
      <c r="Q1013">
        <v>2</v>
      </c>
      <c r="R1013" t="s">
        <v>50</v>
      </c>
      <c r="S1013" t="s">
        <v>30</v>
      </c>
      <c r="T1013" t="s">
        <v>63</v>
      </c>
      <c r="U1013">
        <v>55.378051999999997</v>
      </c>
      <c r="V1013">
        <v>-3.4359730000000002</v>
      </c>
      <c r="W1013" t="str">
        <f t="shared" si="106"/>
        <v>ok</v>
      </c>
      <c r="X1013" t="str">
        <f t="shared" si="112"/>
        <v>ok</v>
      </c>
      <c r="Y1013" t="str">
        <f t="shared" si="107"/>
        <v>ok</v>
      </c>
      <c r="Z1013" t="str">
        <f t="shared" si="108"/>
        <v>ok</v>
      </c>
      <c r="AA1013" s="4" t="str">
        <f t="shared" si="109"/>
        <v>ok</v>
      </c>
      <c r="AB1013" s="4" t="str">
        <f t="shared" si="110"/>
        <v>ok</v>
      </c>
      <c r="AC1013" s="6">
        <f t="shared" si="111"/>
        <v>37.42617777781561</v>
      </c>
    </row>
    <row r="1014" spans="1:29" x14ac:dyDescent="0.3">
      <c r="A1014" t="s">
        <v>22</v>
      </c>
      <c r="B1014">
        <v>2287</v>
      </c>
      <c r="C1014" t="s">
        <v>47</v>
      </c>
      <c r="D1014" t="s">
        <v>24</v>
      </c>
      <c r="E1014" t="s">
        <v>25</v>
      </c>
      <c r="F1014" t="s">
        <v>26</v>
      </c>
      <c r="G1014" t="s">
        <v>45</v>
      </c>
      <c r="H1014" s="1">
        <v>45083.557858796295</v>
      </c>
      <c r="I1014" s="1">
        <v>45085.557858796295</v>
      </c>
      <c r="J1014" s="1">
        <v>45083.59952546296</v>
      </c>
      <c r="K1014" s="2">
        <v>45083.565993067132</v>
      </c>
      <c r="L1014" t="s">
        <v>28</v>
      </c>
      <c r="M1014" s="2">
        <v>45084.535369305559</v>
      </c>
      <c r="N1014" t="s">
        <v>28</v>
      </c>
      <c r="O1014" s="2">
        <v>45090.44674255787</v>
      </c>
      <c r="P1014">
        <v>3</v>
      </c>
      <c r="Q1014">
        <v>5</v>
      </c>
      <c r="R1014" t="s">
        <v>50</v>
      </c>
      <c r="S1014" t="s">
        <v>30</v>
      </c>
      <c r="T1014" t="s">
        <v>51</v>
      </c>
      <c r="U1014">
        <v>39.673369999999998</v>
      </c>
      <c r="V1014">
        <v>-4.7677259999999997</v>
      </c>
      <c r="W1014" t="str">
        <f t="shared" si="106"/>
        <v>ok</v>
      </c>
      <c r="X1014" t="str">
        <f t="shared" si="112"/>
        <v>ok</v>
      </c>
      <c r="Y1014" t="str">
        <f t="shared" si="107"/>
        <v>ok</v>
      </c>
      <c r="Z1014" t="str">
        <f t="shared" si="108"/>
        <v>ok</v>
      </c>
      <c r="AA1014" s="4" t="str">
        <f t="shared" si="109"/>
        <v>ok</v>
      </c>
      <c r="AB1014" s="4" t="str">
        <f t="shared" si="110"/>
        <v>ok</v>
      </c>
      <c r="AC1014" s="6">
        <f t="shared" si="111"/>
        <v>23.460252222314011</v>
      </c>
    </row>
    <row r="1015" spans="1:29" x14ac:dyDescent="0.3">
      <c r="A1015" t="s">
        <v>42</v>
      </c>
      <c r="B1015">
        <v>2288</v>
      </c>
      <c r="C1015" t="s">
        <v>23</v>
      </c>
      <c r="D1015" t="s">
        <v>43</v>
      </c>
      <c r="E1015" t="s">
        <v>35</v>
      </c>
      <c r="F1015" t="s">
        <v>36</v>
      </c>
      <c r="G1015" t="s">
        <v>54</v>
      </c>
      <c r="H1015" s="1">
        <v>45083.46297453704</v>
      </c>
      <c r="I1015" s="1">
        <v>45084.46297453704</v>
      </c>
      <c r="J1015" s="1">
        <v>45083.464363425926</v>
      </c>
      <c r="K1015" s="2">
        <v>45083.463108541669</v>
      </c>
      <c r="L1015" t="s">
        <v>28</v>
      </c>
      <c r="M1015" s="2">
        <v>45084.218658275466</v>
      </c>
      <c r="N1015" t="s">
        <v>28</v>
      </c>
      <c r="P1015">
        <v>8</v>
      </c>
      <c r="R1015" t="s">
        <v>39</v>
      </c>
      <c r="S1015" t="s">
        <v>40</v>
      </c>
      <c r="T1015" t="s">
        <v>46</v>
      </c>
      <c r="U1015">
        <v>47.696471899999999</v>
      </c>
      <c r="V1015">
        <v>13.3457347</v>
      </c>
      <c r="W1015" t="str">
        <f t="shared" si="106"/>
        <v>ok</v>
      </c>
      <c r="X1015" t="str">
        <f t="shared" si="112"/>
        <v>ok</v>
      </c>
      <c r="Y1015" t="str">
        <f t="shared" si="107"/>
        <v>ok</v>
      </c>
      <c r="Z1015" t="str">
        <f t="shared" si="108"/>
        <v>ok</v>
      </c>
      <c r="AA1015" s="4" t="str">
        <f t="shared" si="109"/>
        <v>ok</v>
      </c>
      <c r="AB1015" s="4" t="str">
        <f t="shared" si="110"/>
        <v>ok</v>
      </c>
      <c r="AC1015" s="6">
        <f t="shared" si="111"/>
        <v>18.136409722210374</v>
      </c>
    </row>
    <row r="1016" spans="1:29" x14ac:dyDescent="0.3">
      <c r="A1016" t="s">
        <v>22</v>
      </c>
      <c r="B1016">
        <v>2289</v>
      </c>
      <c r="C1016" t="s">
        <v>47</v>
      </c>
      <c r="D1016" t="s">
        <v>43</v>
      </c>
      <c r="E1016" t="s">
        <v>67</v>
      </c>
      <c r="F1016" t="s">
        <v>26</v>
      </c>
      <c r="G1016" t="s">
        <v>45</v>
      </c>
      <c r="H1016" s="1">
        <v>45084.792129629626</v>
      </c>
      <c r="I1016" s="1">
        <v>45085.792129629626</v>
      </c>
      <c r="J1016" s="1">
        <v>45084.79351851852</v>
      </c>
      <c r="K1016" s="2">
        <v>45084.793181967594</v>
      </c>
      <c r="L1016" t="s">
        <v>28</v>
      </c>
      <c r="M1016" s="2">
        <v>45085.641137696759</v>
      </c>
      <c r="N1016" t="s">
        <v>28</v>
      </c>
      <c r="O1016" s="2">
        <v>45089.821054907407</v>
      </c>
      <c r="P1016">
        <v>4</v>
      </c>
      <c r="Q1016">
        <v>4</v>
      </c>
      <c r="R1016" t="s">
        <v>29</v>
      </c>
      <c r="S1016" t="s">
        <v>30</v>
      </c>
      <c r="T1016" t="s">
        <v>56</v>
      </c>
      <c r="U1016">
        <v>52.536273000000001</v>
      </c>
      <c r="V1016">
        <v>19.050639</v>
      </c>
      <c r="W1016" t="str">
        <f t="shared" si="106"/>
        <v>ok</v>
      </c>
      <c r="X1016" t="str">
        <f t="shared" si="112"/>
        <v>ok</v>
      </c>
      <c r="Y1016" t="str">
        <f t="shared" si="107"/>
        <v>ok</v>
      </c>
      <c r="Z1016" t="str">
        <f t="shared" si="108"/>
        <v>ok</v>
      </c>
      <c r="AA1016" s="4" t="str">
        <f t="shared" si="109"/>
        <v>ok</v>
      </c>
      <c r="AB1016" s="4" t="str">
        <f t="shared" si="110"/>
        <v>ok</v>
      </c>
      <c r="AC1016" s="6">
        <f t="shared" si="111"/>
        <v>20.376193611184135</v>
      </c>
    </row>
    <row r="1017" spans="1:29" x14ac:dyDescent="0.3">
      <c r="A1017" t="s">
        <v>42</v>
      </c>
      <c r="B1017">
        <v>2290</v>
      </c>
      <c r="C1017" t="s">
        <v>23</v>
      </c>
      <c r="D1017" t="s">
        <v>24</v>
      </c>
      <c r="E1017" t="s">
        <v>67</v>
      </c>
      <c r="F1017" t="s">
        <v>26</v>
      </c>
      <c r="G1017" t="s">
        <v>49</v>
      </c>
      <c r="H1017" s="1">
        <v>45084.757731481484</v>
      </c>
      <c r="I1017" s="1">
        <v>45086.757731481484</v>
      </c>
      <c r="J1017" s="1">
        <v>45084.799398148149</v>
      </c>
      <c r="K1017" s="2">
        <v>45084.773721979167</v>
      </c>
      <c r="L1017" t="s">
        <v>28</v>
      </c>
      <c r="M1017" s="2">
        <v>45084.800928356482</v>
      </c>
      <c r="N1017" t="s">
        <v>28</v>
      </c>
      <c r="P1017">
        <v>3</v>
      </c>
      <c r="R1017" t="s">
        <v>29</v>
      </c>
      <c r="S1017" t="s">
        <v>30</v>
      </c>
      <c r="T1017" t="s">
        <v>61</v>
      </c>
      <c r="U1017">
        <v>42.724992499999999</v>
      </c>
      <c r="V1017">
        <v>25.483303899999999</v>
      </c>
      <c r="W1017" t="str">
        <f t="shared" si="106"/>
        <v>ok</v>
      </c>
      <c r="X1017" t="str">
        <f t="shared" si="112"/>
        <v>ok</v>
      </c>
      <c r="Y1017" t="str">
        <f t="shared" si="107"/>
        <v>ok</v>
      </c>
      <c r="Z1017" t="str">
        <f t="shared" si="108"/>
        <v>ok</v>
      </c>
      <c r="AA1017" s="4" t="str">
        <f t="shared" si="109"/>
        <v>ok</v>
      </c>
      <c r="AB1017" s="4" t="str">
        <f t="shared" si="110"/>
        <v>ok</v>
      </c>
      <c r="AC1017" s="6">
        <f t="shared" si="111"/>
        <v>1.0367249999544583</v>
      </c>
    </row>
    <row r="1018" spans="1:29" x14ac:dyDescent="0.3">
      <c r="A1018" t="s">
        <v>22</v>
      </c>
      <c r="B1018">
        <v>2291</v>
      </c>
      <c r="C1018" t="s">
        <v>47</v>
      </c>
      <c r="D1018" t="s">
        <v>24</v>
      </c>
      <c r="E1018" t="s">
        <v>48</v>
      </c>
      <c r="F1018" t="s">
        <v>26</v>
      </c>
      <c r="G1018" t="s">
        <v>60</v>
      </c>
      <c r="H1018" s="1">
        <v>45084.844976851855</v>
      </c>
      <c r="I1018" s="1">
        <v>45086.844976851855</v>
      </c>
      <c r="J1018" s="1">
        <v>45084.886643518519</v>
      </c>
      <c r="K1018" s="2">
        <v>45085.165026909723</v>
      </c>
      <c r="L1018" t="s">
        <v>38</v>
      </c>
      <c r="M1018" s="2">
        <v>45085.155267303242</v>
      </c>
      <c r="N1018" t="s">
        <v>28</v>
      </c>
      <c r="O1018" s="2">
        <v>45087.689814004632</v>
      </c>
      <c r="P1018">
        <v>1</v>
      </c>
      <c r="Q1018">
        <v>4</v>
      </c>
      <c r="R1018" t="s">
        <v>50</v>
      </c>
      <c r="S1018" t="s">
        <v>30</v>
      </c>
      <c r="T1018" t="s">
        <v>58</v>
      </c>
      <c r="U1018">
        <v>49.8037633</v>
      </c>
      <c r="V1018">
        <v>15.4749126</v>
      </c>
      <c r="W1018" t="str">
        <f t="shared" si="106"/>
        <v>ok</v>
      </c>
      <c r="X1018" t="str">
        <f t="shared" si="112"/>
        <v>ok</v>
      </c>
      <c r="Y1018" t="str">
        <f t="shared" si="107"/>
        <v>ok</v>
      </c>
      <c r="Z1018" t="str">
        <f t="shared" si="108"/>
        <v>ok</v>
      </c>
      <c r="AA1018" s="4" t="str">
        <f t="shared" si="109"/>
        <v>ok</v>
      </c>
      <c r="AB1018" s="4" t="str">
        <f t="shared" si="110"/>
        <v>ok</v>
      </c>
      <c r="AC1018" s="6">
        <f t="shared" si="111"/>
        <v>7.446970833290834</v>
      </c>
    </row>
    <row r="1019" spans="1:29" x14ac:dyDescent="0.3">
      <c r="A1019" t="s">
        <v>22</v>
      </c>
      <c r="B1019">
        <v>2293</v>
      </c>
      <c r="C1019" t="s">
        <v>23</v>
      </c>
      <c r="D1019" t="s">
        <v>24</v>
      </c>
      <c r="E1019" t="s">
        <v>44</v>
      </c>
      <c r="F1019" t="s">
        <v>36</v>
      </c>
      <c r="G1019" t="s">
        <v>37</v>
      </c>
      <c r="H1019" s="1">
        <v>45084.597048611111</v>
      </c>
      <c r="I1019" s="1">
        <v>45086.597048611111</v>
      </c>
      <c r="J1019" s="1">
        <v>45084.638715277775</v>
      </c>
      <c r="K1019" s="2">
        <v>45084.631745381943</v>
      </c>
      <c r="L1019" t="s">
        <v>28</v>
      </c>
      <c r="M1019" s="2">
        <v>45084.815049756944</v>
      </c>
      <c r="N1019" t="s">
        <v>28</v>
      </c>
      <c r="O1019" s="2">
        <v>45088.204077592593</v>
      </c>
      <c r="P1019">
        <v>3</v>
      </c>
      <c r="Q1019">
        <v>5</v>
      </c>
      <c r="R1019" t="s">
        <v>39</v>
      </c>
      <c r="S1019" t="s">
        <v>40</v>
      </c>
      <c r="T1019" t="s">
        <v>66</v>
      </c>
      <c r="U1019">
        <v>48.864716000000001</v>
      </c>
      <c r="V1019">
        <v>2.3490139999999999</v>
      </c>
      <c r="W1019" t="str">
        <f t="shared" si="106"/>
        <v>ok</v>
      </c>
      <c r="X1019" t="str">
        <f t="shared" si="112"/>
        <v>ok</v>
      </c>
      <c r="Y1019" t="str">
        <f t="shared" si="107"/>
        <v>ok</v>
      </c>
      <c r="Z1019" t="str">
        <f t="shared" si="108"/>
        <v>ok</v>
      </c>
      <c r="AA1019" s="4" t="str">
        <f t="shared" si="109"/>
        <v>ok</v>
      </c>
      <c r="AB1019" s="4" t="str">
        <f t="shared" si="110"/>
        <v>ok</v>
      </c>
      <c r="AC1019" s="6">
        <f t="shared" si="111"/>
        <v>5.2320274999947287</v>
      </c>
    </row>
    <row r="1020" spans="1:29" x14ac:dyDescent="0.3">
      <c r="A1020" t="s">
        <v>32</v>
      </c>
      <c r="B1020">
        <v>2294</v>
      </c>
      <c r="C1020" t="s">
        <v>47</v>
      </c>
      <c r="D1020" t="s">
        <v>43</v>
      </c>
      <c r="E1020" t="s">
        <v>35</v>
      </c>
      <c r="F1020" t="s">
        <v>26</v>
      </c>
      <c r="G1020" t="s">
        <v>49</v>
      </c>
      <c r="H1020" s="1">
        <v>45084.84715277778</v>
      </c>
      <c r="I1020" s="1">
        <v>45085.84715277778</v>
      </c>
      <c r="J1020" s="1">
        <v>45084.848541666666</v>
      </c>
      <c r="K1020" s="2">
        <v>45084.8482678125</v>
      </c>
      <c r="L1020" t="s">
        <v>28</v>
      </c>
      <c r="N1020" t="s">
        <v>38</v>
      </c>
      <c r="P1020">
        <v>9</v>
      </c>
      <c r="R1020" t="s">
        <v>55</v>
      </c>
      <c r="S1020" t="s">
        <v>30</v>
      </c>
      <c r="T1020" t="s">
        <v>63</v>
      </c>
      <c r="U1020">
        <v>55.378051999999997</v>
      </c>
      <c r="V1020">
        <v>-3.4359730000000002</v>
      </c>
      <c r="W1020" t="str">
        <f t="shared" si="106"/>
        <v>ok</v>
      </c>
      <c r="X1020" t="str">
        <f t="shared" si="112"/>
        <v>ok</v>
      </c>
      <c r="Y1020" t="str">
        <f t="shared" si="107"/>
        <v>ok</v>
      </c>
      <c r="Z1020" t="str">
        <f t="shared" si="108"/>
        <v>ok</v>
      </c>
      <c r="AA1020" s="4" t="str">
        <f t="shared" si="109"/>
        <v>ok</v>
      </c>
      <c r="AB1020" s="4" t="str">
        <f t="shared" si="110"/>
        <v>no resolution</v>
      </c>
      <c r="AC1020" s="6" t="str">
        <f t="shared" si="111"/>
        <v/>
      </c>
    </row>
    <row r="1021" spans="1:29" x14ac:dyDescent="0.3">
      <c r="A1021" t="s">
        <v>32</v>
      </c>
      <c r="B1021">
        <v>2295</v>
      </c>
      <c r="C1021" t="s">
        <v>23</v>
      </c>
      <c r="D1021" t="s">
        <v>43</v>
      </c>
      <c r="E1021" t="s">
        <v>35</v>
      </c>
      <c r="F1021" t="s">
        <v>26</v>
      </c>
      <c r="G1021" t="s">
        <v>52</v>
      </c>
      <c r="H1021" s="1">
        <v>45084.454965277779</v>
      </c>
      <c r="I1021" s="1">
        <v>45085.454965277779</v>
      </c>
      <c r="J1021" s="1">
        <v>45084.456354166665</v>
      </c>
      <c r="K1021" s="2">
        <v>45084.455963055552</v>
      </c>
      <c r="L1021" t="s">
        <v>28</v>
      </c>
      <c r="N1021" t="s">
        <v>38</v>
      </c>
      <c r="P1021">
        <v>6</v>
      </c>
      <c r="R1021" t="s">
        <v>39</v>
      </c>
      <c r="S1021" t="s">
        <v>30</v>
      </c>
      <c r="T1021" t="s">
        <v>56</v>
      </c>
      <c r="U1021">
        <v>52.536273000000001</v>
      </c>
      <c r="V1021">
        <v>19.050639</v>
      </c>
      <c r="W1021" t="str">
        <f t="shared" si="106"/>
        <v>ok</v>
      </c>
      <c r="X1021" t="str">
        <f t="shared" si="112"/>
        <v>ok</v>
      </c>
      <c r="Y1021" t="str">
        <f t="shared" si="107"/>
        <v>ok</v>
      </c>
      <c r="Z1021" t="str">
        <f t="shared" si="108"/>
        <v>ok</v>
      </c>
      <c r="AA1021" s="4" t="str">
        <f t="shared" si="109"/>
        <v>ok</v>
      </c>
      <c r="AB1021" s="4" t="str">
        <f t="shared" si="110"/>
        <v>no resolution</v>
      </c>
      <c r="AC1021" s="6" t="str">
        <f t="shared" si="111"/>
        <v/>
      </c>
    </row>
    <row r="1022" spans="1:29" x14ac:dyDescent="0.3">
      <c r="A1022" t="s">
        <v>42</v>
      </c>
      <c r="B1022">
        <v>2296</v>
      </c>
      <c r="C1022" t="s">
        <v>23</v>
      </c>
      <c r="D1022" t="s">
        <v>24</v>
      </c>
      <c r="E1022" t="s">
        <v>48</v>
      </c>
      <c r="F1022" t="s">
        <v>26</v>
      </c>
      <c r="G1022" t="s">
        <v>52</v>
      </c>
      <c r="H1022" s="1">
        <v>45084.488645833335</v>
      </c>
      <c r="I1022" s="1">
        <v>45086.488645833335</v>
      </c>
      <c r="J1022" s="1">
        <v>45084.530312499999</v>
      </c>
      <c r="K1022" s="2">
        <v>45084.52570622685</v>
      </c>
      <c r="L1022" t="s">
        <v>28</v>
      </c>
      <c r="M1022" s="2">
        <v>45084.761340798614</v>
      </c>
      <c r="N1022" t="s">
        <v>28</v>
      </c>
      <c r="P1022">
        <v>7</v>
      </c>
      <c r="R1022" t="s">
        <v>50</v>
      </c>
      <c r="S1022" t="s">
        <v>30</v>
      </c>
      <c r="T1022" t="s">
        <v>56</v>
      </c>
      <c r="U1022">
        <v>52.536273000000001</v>
      </c>
      <c r="V1022">
        <v>19.050639</v>
      </c>
      <c r="W1022" t="str">
        <f t="shared" si="106"/>
        <v>ok</v>
      </c>
      <c r="X1022" t="str">
        <f t="shared" si="112"/>
        <v>ok</v>
      </c>
      <c r="Y1022" t="str">
        <f t="shared" si="107"/>
        <v>ok</v>
      </c>
      <c r="Z1022" t="str">
        <f t="shared" si="108"/>
        <v>ok</v>
      </c>
      <c r="AA1022" s="4" t="str">
        <f t="shared" si="109"/>
        <v>ok</v>
      </c>
      <c r="AB1022" s="4" t="str">
        <f t="shared" si="110"/>
        <v>ok</v>
      </c>
      <c r="AC1022" s="6">
        <f t="shared" si="111"/>
        <v>6.5446791666909121</v>
      </c>
    </row>
    <row r="1023" spans="1:29" x14ac:dyDescent="0.3">
      <c r="A1023" t="s">
        <v>42</v>
      </c>
      <c r="B1023">
        <v>2297</v>
      </c>
      <c r="C1023" t="s">
        <v>33</v>
      </c>
      <c r="D1023" t="s">
        <v>43</v>
      </c>
      <c r="E1023" t="s">
        <v>48</v>
      </c>
      <c r="F1023" t="s">
        <v>26</v>
      </c>
      <c r="G1023" t="s">
        <v>60</v>
      </c>
      <c r="H1023" s="1">
        <v>45084.002847222226</v>
      </c>
      <c r="I1023" s="1">
        <v>45085.002847222226</v>
      </c>
      <c r="J1023" s="1">
        <v>45084.004236111112</v>
      </c>
      <c r="K1023" s="2">
        <v>45084.00290900463</v>
      </c>
      <c r="L1023" t="s">
        <v>28</v>
      </c>
      <c r="M1023" s="2">
        <v>45084.287552592592</v>
      </c>
      <c r="N1023" t="s">
        <v>28</v>
      </c>
      <c r="P1023">
        <v>6</v>
      </c>
      <c r="R1023" t="s">
        <v>39</v>
      </c>
      <c r="S1023" t="s">
        <v>30</v>
      </c>
      <c r="T1023" t="s">
        <v>58</v>
      </c>
      <c r="U1023">
        <v>49.8037633</v>
      </c>
      <c r="V1023">
        <v>15.4749126</v>
      </c>
      <c r="W1023" t="str">
        <f t="shared" si="106"/>
        <v>ok</v>
      </c>
      <c r="X1023" t="str">
        <f t="shared" si="112"/>
        <v>ok</v>
      </c>
      <c r="Y1023" t="str">
        <f t="shared" si="107"/>
        <v>ok</v>
      </c>
      <c r="Z1023" t="str">
        <f t="shared" si="108"/>
        <v>ok</v>
      </c>
      <c r="AA1023" s="4" t="str">
        <f t="shared" si="109"/>
        <v>ok</v>
      </c>
      <c r="AB1023" s="4" t="str">
        <f t="shared" si="110"/>
        <v>ok</v>
      </c>
      <c r="AC1023" s="6">
        <f t="shared" si="111"/>
        <v>6.8329288887907751</v>
      </c>
    </row>
    <row r="1024" spans="1:29" x14ac:dyDescent="0.3">
      <c r="A1024" t="s">
        <v>32</v>
      </c>
      <c r="B1024">
        <v>2298</v>
      </c>
      <c r="C1024" t="s">
        <v>23</v>
      </c>
      <c r="D1024" t="s">
        <v>24</v>
      </c>
      <c r="E1024" t="s">
        <v>44</v>
      </c>
      <c r="F1024" t="s">
        <v>36</v>
      </c>
      <c r="G1024" t="s">
        <v>54</v>
      </c>
      <c r="H1024" s="1">
        <v>45084.094571759262</v>
      </c>
      <c r="I1024" s="1">
        <v>45086.094571759262</v>
      </c>
      <c r="J1024" s="1">
        <v>45084.136238425926</v>
      </c>
      <c r="K1024" s="2">
        <v>45084.127292881945</v>
      </c>
      <c r="L1024" t="s">
        <v>28</v>
      </c>
      <c r="N1024" t="s">
        <v>38</v>
      </c>
      <c r="P1024">
        <v>3</v>
      </c>
      <c r="R1024" t="s">
        <v>29</v>
      </c>
      <c r="S1024" t="s">
        <v>40</v>
      </c>
      <c r="T1024" t="s">
        <v>56</v>
      </c>
      <c r="U1024">
        <v>52.536273000000001</v>
      </c>
      <c r="V1024">
        <v>19.050639</v>
      </c>
      <c r="W1024" t="str">
        <f t="shared" si="106"/>
        <v>ok</v>
      </c>
      <c r="X1024" t="str">
        <f t="shared" si="112"/>
        <v>ok</v>
      </c>
      <c r="Y1024" t="str">
        <f t="shared" si="107"/>
        <v>ok</v>
      </c>
      <c r="Z1024" t="str">
        <f t="shared" si="108"/>
        <v>ok</v>
      </c>
      <c r="AA1024" s="4" t="str">
        <f t="shared" si="109"/>
        <v>ok</v>
      </c>
      <c r="AB1024" s="4" t="str">
        <f t="shared" si="110"/>
        <v>no resolution</v>
      </c>
      <c r="AC1024" s="6" t="str">
        <f t="shared" si="111"/>
        <v/>
      </c>
    </row>
    <row r="1025" spans="1:29" x14ac:dyDescent="0.3">
      <c r="A1025" t="s">
        <v>22</v>
      </c>
      <c r="B1025">
        <v>2299</v>
      </c>
      <c r="C1025" t="s">
        <v>33</v>
      </c>
      <c r="D1025" t="s">
        <v>24</v>
      </c>
      <c r="E1025" t="s">
        <v>35</v>
      </c>
      <c r="F1025" t="s">
        <v>36</v>
      </c>
      <c r="G1025" t="s">
        <v>64</v>
      </c>
      <c r="H1025" s="1">
        <v>45085.66265046296</v>
      </c>
      <c r="I1025" s="1">
        <v>45087.66265046296</v>
      </c>
      <c r="J1025" s="1">
        <v>45085.704317129632</v>
      </c>
      <c r="K1025" s="2">
        <v>45085.681140104163</v>
      </c>
      <c r="L1025" t="s">
        <v>28</v>
      </c>
      <c r="M1025" s="2">
        <v>45087.048625914351</v>
      </c>
      <c r="N1025" t="s">
        <v>28</v>
      </c>
      <c r="O1025" s="2">
        <v>45091.569515115742</v>
      </c>
      <c r="P1025">
        <v>1</v>
      </c>
      <c r="Q1025">
        <v>4</v>
      </c>
      <c r="R1025" t="s">
        <v>29</v>
      </c>
      <c r="S1025" t="s">
        <v>40</v>
      </c>
      <c r="T1025" t="s">
        <v>57</v>
      </c>
      <c r="U1025">
        <v>51.165691000000002</v>
      </c>
      <c r="V1025">
        <v>10.451525999999999</v>
      </c>
      <c r="W1025" t="str">
        <f t="shared" si="106"/>
        <v>ok</v>
      </c>
      <c r="X1025" t="str">
        <f t="shared" si="112"/>
        <v>ok</v>
      </c>
      <c r="Y1025" t="str">
        <f t="shared" si="107"/>
        <v>ok</v>
      </c>
      <c r="Z1025" t="str">
        <f t="shared" si="108"/>
        <v>ok</v>
      </c>
      <c r="AA1025" s="4" t="str">
        <f t="shared" si="109"/>
        <v>ok</v>
      </c>
      <c r="AB1025" s="4" t="str">
        <f t="shared" si="110"/>
        <v>ok</v>
      </c>
      <c r="AC1025" s="6">
        <f t="shared" si="111"/>
        <v>33.2634108333732</v>
      </c>
    </row>
    <row r="1026" spans="1:29" x14ac:dyDescent="0.3">
      <c r="A1026" t="s">
        <v>22</v>
      </c>
      <c r="B1026">
        <v>2300</v>
      </c>
      <c r="C1026" t="s">
        <v>23</v>
      </c>
      <c r="D1026" t="s">
        <v>24</v>
      </c>
      <c r="E1026" t="s">
        <v>25</v>
      </c>
      <c r="F1026" t="s">
        <v>36</v>
      </c>
      <c r="G1026" t="s">
        <v>37</v>
      </c>
      <c r="H1026" s="1">
        <v>45085.14880787037</v>
      </c>
      <c r="I1026" s="1">
        <v>45087.14880787037</v>
      </c>
      <c r="J1026" s="1">
        <v>45085.190474537034</v>
      </c>
      <c r="K1026" s="2">
        <v>45085.155657557872</v>
      </c>
      <c r="L1026" t="s">
        <v>28</v>
      </c>
      <c r="M1026" s="2">
        <v>45086.242727777775</v>
      </c>
      <c r="N1026" t="s">
        <v>28</v>
      </c>
      <c r="O1026" s="2">
        <v>45087.157741875002</v>
      </c>
      <c r="P1026">
        <v>1</v>
      </c>
      <c r="Q1026">
        <v>2</v>
      </c>
      <c r="R1026" t="s">
        <v>29</v>
      </c>
      <c r="S1026" t="s">
        <v>40</v>
      </c>
      <c r="T1026" t="s">
        <v>61</v>
      </c>
      <c r="U1026">
        <v>42.724992499999999</v>
      </c>
      <c r="V1026">
        <v>25.483303899999999</v>
      </c>
      <c r="W1026" t="str">
        <f t="shared" ref="W1026:W1089" si="113">IF(K1026&lt;H1026,"check","ok")</f>
        <v>ok</v>
      </c>
      <c r="X1026" t="str">
        <f t="shared" si="112"/>
        <v>ok</v>
      </c>
      <c r="Y1026" t="str">
        <f t="shared" ref="Y1026:Y1089" si="114">IF(AND(M1026&lt;&gt;"",O1026&lt;&gt;"",O1026&lt;M1026),"check","ok")</f>
        <v>ok</v>
      </c>
      <c r="Z1026" t="str">
        <f t="shared" ref="Z1026:Z1089" si="115">IF(AND(OR(CA1026="Closed",A1026="Resolved"),M1026=""),"check","ok")</f>
        <v>ok</v>
      </c>
      <c r="AA1026" s="4" t="str">
        <f t="shared" ref="AA1026:AA1089" si="116">IF(K1026="","no response",IF(OR(AND(K1026&lt;=J1026,L1026="Within SLA"),AND(K1026&gt;J1026,L1026="SLA Violated")),"ok","check"))</f>
        <v>ok</v>
      </c>
      <c r="AB1026" s="4" t="str">
        <f t="shared" ref="AB1026:AB1089" si="117">IF(M1026="","no resolution",IF(OR(AND(M1026&lt;=I1026,N1026="Within SLA"),AND(M1026&gt;I1026,N1026="SLA Violated")),"ok","check"))</f>
        <v>ok</v>
      </c>
      <c r="AC1026" s="6">
        <f t="shared" ref="AC1026:AC1089" si="118">IF(M1026="","",(M1026-H1026)*24)</f>
        <v>26.254077777732164</v>
      </c>
    </row>
    <row r="1027" spans="1:29" x14ac:dyDescent="0.3">
      <c r="A1027" t="s">
        <v>22</v>
      </c>
      <c r="B1027">
        <v>2301</v>
      </c>
      <c r="C1027" t="s">
        <v>47</v>
      </c>
      <c r="D1027" t="s">
        <v>24</v>
      </c>
      <c r="E1027" t="s">
        <v>25</v>
      </c>
      <c r="F1027" t="s">
        <v>26</v>
      </c>
      <c r="G1027" t="s">
        <v>45</v>
      </c>
      <c r="H1027" s="1">
        <v>45085.703125</v>
      </c>
      <c r="I1027" s="1">
        <v>45087.703125</v>
      </c>
      <c r="J1027" s="1">
        <v>45085.744791666664</v>
      </c>
      <c r="K1027" s="2">
        <v>45085.742113865737</v>
      </c>
      <c r="L1027" t="s">
        <v>28</v>
      </c>
      <c r="M1027" s="2">
        <v>45091.205491539353</v>
      </c>
      <c r="N1027" t="s">
        <v>38</v>
      </c>
      <c r="O1027" s="2">
        <v>45093.002516203705</v>
      </c>
      <c r="P1027">
        <v>3</v>
      </c>
      <c r="Q1027">
        <v>4</v>
      </c>
      <c r="R1027" t="s">
        <v>29</v>
      </c>
      <c r="S1027" t="s">
        <v>30</v>
      </c>
      <c r="T1027" t="s">
        <v>31</v>
      </c>
      <c r="U1027">
        <v>53.094023999999997</v>
      </c>
      <c r="V1027">
        <v>-8.0196749999999994</v>
      </c>
      <c r="W1027" t="str">
        <f t="shared" si="113"/>
        <v>ok</v>
      </c>
      <c r="X1027" t="str">
        <f t="shared" ref="X1027:X1090" si="119">IF(AND(M1027&lt;&gt;"",M1027&lt;H1027),"check","ok")</f>
        <v>ok</v>
      </c>
      <c r="Y1027" t="str">
        <f t="shared" si="114"/>
        <v>ok</v>
      </c>
      <c r="Z1027" t="str">
        <f t="shared" si="115"/>
        <v>ok</v>
      </c>
      <c r="AA1027" s="4" t="str">
        <f t="shared" si="116"/>
        <v>ok</v>
      </c>
      <c r="AB1027" s="4" t="str">
        <f t="shared" si="117"/>
        <v>ok</v>
      </c>
      <c r="AC1027" s="6">
        <f t="shared" si="118"/>
        <v>132.05679694446735</v>
      </c>
    </row>
    <row r="1028" spans="1:29" x14ac:dyDescent="0.3">
      <c r="A1028" t="s">
        <v>32</v>
      </c>
      <c r="B1028">
        <v>2302</v>
      </c>
      <c r="C1028" t="s">
        <v>23</v>
      </c>
      <c r="D1028" t="s">
        <v>43</v>
      </c>
      <c r="E1028" t="s">
        <v>67</v>
      </c>
      <c r="F1028" t="s">
        <v>26</v>
      </c>
      <c r="G1028" t="s">
        <v>49</v>
      </c>
      <c r="H1028" s="1">
        <v>45085.012083333335</v>
      </c>
      <c r="I1028" s="1">
        <v>45086.012083333335</v>
      </c>
      <c r="J1028" s="1">
        <v>45085.013472222221</v>
      </c>
      <c r="K1028" s="2">
        <v>45085.012530208332</v>
      </c>
      <c r="L1028" t="s">
        <v>28</v>
      </c>
      <c r="N1028" t="s">
        <v>38</v>
      </c>
      <c r="P1028">
        <v>8</v>
      </c>
      <c r="R1028" t="s">
        <v>29</v>
      </c>
      <c r="S1028" t="s">
        <v>30</v>
      </c>
      <c r="T1028" t="s">
        <v>66</v>
      </c>
      <c r="U1028">
        <v>48.864716000000001</v>
      </c>
      <c r="V1028">
        <v>2.3490139999999999</v>
      </c>
      <c r="W1028" t="str">
        <f t="shared" si="113"/>
        <v>ok</v>
      </c>
      <c r="X1028" t="str">
        <f t="shared" si="119"/>
        <v>ok</v>
      </c>
      <c r="Y1028" t="str">
        <f t="shared" si="114"/>
        <v>ok</v>
      </c>
      <c r="Z1028" t="str">
        <f t="shared" si="115"/>
        <v>ok</v>
      </c>
      <c r="AA1028" s="4" t="str">
        <f t="shared" si="116"/>
        <v>ok</v>
      </c>
      <c r="AB1028" s="4" t="str">
        <f t="shared" si="117"/>
        <v>no resolution</v>
      </c>
      <c r="AC1028" s="6" t="str">
        <f t="shared" si="118"/>
        <v/>
      </c>
    </row>
    <row r="1029" spans="1:29" x14ac:dyDescent="0.3">
      <c r="A1029" t="s">
        <v>32</v>
      </c>
      <c r="B1029">
        <v>2304</v>
      </c>
      <c r="C1029" t="s">
        <v>23</v>
      </c>
      <c r="D1029" t="s">
        <v>24</v>
      </c>
      <c r="E1029" t="s">
        <v>67</v>
      </c>
      <c r="F1029" t="s">
        <v>26</v>
      </c>
      <c r="G1029" t="s">
        <v>60</v>
      </c>
      <c r="H1029" s="1">
        <v>45086.846296296295</v>
      </c>
      <c r="I1029" s="1">
        <v>45088.846296296295</v>
      </c>
      <c r="J1029" s="1">
        <v>45086.887962962966</v>
      </c>
      <c r="K1029" s="2">
        <v>45086.875348368056</v>
      </c>
      <c r="L1029" t="s">
        <v>28</v>
      </c>
      <c r="N1029" t="s">
        <v>38</v>
      </c>
      <c r="P1029">
        <v>1</v>
      </c>
      <c r="R1029" t="s">
        <v>29</v>
      </c>
      <c r="S1029" t="s">
        <v>30</v>
      </c>
      <c r="T1029" t="s">
        <v>63</v>
      </c>
      <c r="U1029">
        <v>55.378051999999997</v>
      </c>
      <c r="V1029">
        <v>-3.4359730000000002</v>
      </c>
      <c r="W1029" t="str">
        <f t="shared" si="113"/>
        <v>ok</v>
      </c>
      <c r="X1029" t="str">
        <f t="shared" si="119"/>
        <v>ok</v>
      </c>
      <c r="Y1029" t="str">
        <f t="shared" si="114"/>
        <v>ok</v>
      </c>
      <c r="Z1029" t="str">
        <f t="shared" si="115"/>
        <v>ok</v>
      </c>
      <c r="AA1029" s="4" t="str">
        <f t="shared" si="116"/>
        <v>ok</v>
      </c>
      <c r="AB1029" s="4" t="str">
        <f t="shared" si="117"/>
        <v>no resolution</v>
      </c>
      <c r="AC1029" s="6" t="str">
        <f t="shared" si="118"/>
        <v/>
      </c>
    </row>
    <row r="1030" spans="1:29" x14ac:dyDescent="0.3">
      <c r="A1030" t="s">
        <v>22</v>
      </c>
      <c r="B1030">
        <v>2305</v>
      </c>
      <c r="C1030" t="s">
        <v>23</v>
      </c>
      <c r="D1030" t="s">
        <v>24</v>
      </c>
      <c r="E1030" t="s">
        <v>48</v>
      </c>
      <c r="F1030" t="s">
        <v>26</v>
      </c>
      <c r="G1030" t="s">
        <v>52</v>
      </c>
      <c r="H1030" s="1">
        <v>45086.664618055554</v>
      </c>
      <c r="I1030" s="1">
        <v>45088.664618055554</v>
      </c>
      <c r="J1030" s="1">
        <v>45086.706284722219</v>
      </c>
      <c r="K1030" s="2">
        <v>45086.675354155093</v>
      </c>
      <c r="L1030" t="s">
        <v>28</v>
      </c>
      <c r="M1030" s="2">
        <v>45088.484469386574</v>
      </c>
      <c r="N1030" t="s">
        <v>28</v>
      </c>
      <c r="O1030" s="2">
        <v>45088.299596759258</v>
      </c>
      <c r="P1030">
        <v>10</v>
      </c>
      <c r="Q1030">
        <v>5</v>
      </c>
      <c r="R1030" t="s">
        <v>55</v>
      </c>
      <c r="S1030" t="s">
        <v>30</v>
      </c>
      <c r="T1030" t="s">
        <v>56</v>
      </c>
      <c r="U1030">
        <v>52.536273000000001</v>
      </c>
      <c r="V1030">
        <v>19.050639</v>
      </c>
      <c r="W1030" t="str">
        <f t="shared" si="113"/>
        <v>ok</v>
      </c>
      <c r="X1030" t="str">
        <f t="shared" si="119"/>
        <v>ok</v>
      </c>
      <c r="Y1030" t="str">
        <f t="shared" si="114"/>
        <v>check</v>
      </c>
      <c r="Z1030" t="str">
        <f t="shared" si="115"/>
        <v>ok</v>
      </c>
      <c r="AA1030" s="4" t="str">
        <f t="shared" si="116"/>
        <v>ok</v>
      </c>
      <c r="AB1030" s="4" t="str">
        <f t="shared" si="117"/>
        <v>ok</v>
      </c>
      <c r="AC1030" s="6">
        <f t="shared" si="118"/>
        <v>43.676431944477372</v>
      </c>
    </row>
    <row r="1031" spans="1:29" x14ac:dyDescent="0.3">
      <c r="A1031" t="s">
        <v>22</v>
      </c>
      <c r="B1031">
        <v>2306</v>
      </c>
      <c r="C1031" t="s">
        <v>23</v>
      </c>
      <c r="D1031" t="s">
        <v>43</v>
      </c>
      <c r="E1031" t="s">
        <v>35</v>
      </c>
      <c r="F1031" t="s">
        <v>36</v>
      </c>
      <c r="G1031" t="s">
        <v>64</v>
      </c>
      <c r="H1031" s="1">
        <v>45086.966840277775</v>
      </c>
      <c r="I1031" s="1">
        <v>45087.966840277775</v>
      </c>
      <c r="J1031" s="1">
        <v>45086.968229166669</v>
      </c>
      <c r="K1031" s="2">
        <v>45086.968025671296</v>
      </c>
      <c r="L1031" t="s">
        <v>28</v>
      </c>
      <c r="M1031" s="2">
        <v>45087.09421761574</v>
      </c>
      <c r="N1031" t="s">
        <v>28</v>
      </c>
      <c r="O1031" s="2">
        <v>45091.414995729167</v>
      </c>
      <c r="P1031">
        <v>7</v>
      </c>
      <c r="Q1031">
        <v>3</v>
      </c>
      <c r="R1031" t="s">
        <v>29</v>
      </c>
      <c r="S1031" t="s">
        <v>40</v>
      </c>
      <c r="T1031" t="s">
        <v>41</v>
      </c>
      <c r="U1031">
        <v>43.036776000000003</v>
      </c>
      <c r="V1031">
        <v>12.678565000000001</v>
      </c>
      <c r="W1031" t="str">
        <f t="shared" si="113"/>
        <v>ok</v>
      </c>
      <c r="X1031" t="str">
        <f t="shared" si="119"/>
        <v>ok</v>
      </c>
      <c r="Y1031" t="str">
        <f t="shared" si="114"/>
        <v>ok</v>
      </c>
      <c r="Z1031" t="str">
        <f t="shared" si="115"/>
        <v>ok</v>
      </c>
      <c r="AA1031" s="4" t="str">
        <f t="shared" si="116"/>
        <v>ok</v>
      </c>
      <c r="AB1031" s="4" t="str">
        <f t="shared" si="117"/>
        <v>ok</v>
      </c>
      <c r="AC1031" s="6">
        <f t="shared" si="118"/>
        <v>3.057056111167185</v>
      </c>
    </row>
    <row r="1032" spans="1:29" x14ac:dyDescent="0.3">
      <c r="A1032" t="s">
        <v>32</v>
      </c>
      <c r="B1032">
        <v>2307</v>
      </c>
      <c r="C1032" t="s">
        <v>33</v>
      </c>
      <c r="D1032" t="s">
        <v>24</v>
      </c>
      <c r="E1032" t="s">
        <v>59</v>
      </c>
      <c r="F1032" t="s">
        <v>36</v>
      </c>
      <c r="G1032" t="s">
        <v>37</v>
      </c>
      <c r="H1032" s="1">
        <v>45086.021319444444</v>
      </c>
      <c r="I1032" s="1">
        <v>45088.021319444444</v>
      </c>
      <c r="J1032" s="1">
        <v>45086.062986111108</v>
      </c>
      <c r="K1032" s="2">
        <v>45086.025615682869</v>
      </c>
      <c r="L1032" t="s">
        <v>28</v>
      </c>
      <c r="N1032" t="s">
        <v>38</v>
      </c>
      <c r="P1032">
        <v>2</v>
      </c>
      <c r="R1032" t="s">
        <v>50</v>
      </c>
      <c r="S1032" t="s">
        <v>40</v>
      </c>
      <c r="T1032" t="s">
        <v>46</v>
      </c>
      <c r="U1032">
        <v>47.696471899999999</v>
      </c>
      <c r="V1032">
        <v>13.3457347</v>
      </c>
      <c r="W1032" t="str">
        <f t="shared" si="113"/>
        <v>ok</v>
      </c>
      <c r="X1032" t="str">
        <f t="shared" si="119"/>
        <v>ok</v>
      </c>
      <c r="Y1032" t="str">
        <f t="shared" si="114"/>
        <v>ok</v>
      </c>
      <c r="Z1032" t="str">
        <f t="shared" si="115"/>
        <v>ok</v>
      </c>
      <c r="AA1032" s="4" t="str">
        <f t="shared" si="116"/>
        <v>ok</v>
      </c>
      <c r="AB1032" s="4" t="str">
        <f t="shared" si="117"/>
        <v>no resolution</v>
      </c>
      <c r="AC1032" s="6" t="str">
        <f t="shared" si="118"/>
        <v/>
      </c>
    </row>
    <row r="1033" spans="1:29" x14ac:dyDescent="0.3">
      <c r="A1033" t="s">
        <v>22</v>
      </c>
      <c r="B1033">
        <v>2309</v>
      </c>
      <c r="C1033" t="s">
        <v>23</v>
      </c>
      <c r="D1033" t="s">
        <v>43</v>
      </c>
      <c r="E1033" t="s">
        <v>59</v>
      </c>
      <c r="F1033" t="s">
        <v>36</v>
      </c>
      <c r="G1033" t="s">
        <v>37</v>
      </c>
      <c r="H1033" s="1">
        <v>45086.660960648151</v>
      </c>
      <c r="I1033" s="1">
        <v>45087.660960648151</v>
      </c>
      <c r="J1033" s="1">
        <v>45086.662349537037</v>
      </c>
      <c r="K1033" s="2">
        <v>45086.662757106482</v>
      </c>
      <c r="L1033" t="s">
        <v>38</v>
      </c>
      <c r="M1033" s="2">
        <v>45087.002990092595</v>
      </c>
      <c r="N1033" t="s">
        <v>28</v>
      </c>
      <c r="O1033" s="2">
        <v>45086.926513680555</v>
      </c>
      <c r="P1033">
        <v>3</v>
      </c>
      <c r="Q1033">
        <v>3</v>
      </c>
      <c r="R1033" t="s">
        <v>29</v>
      </c>
      <c r="S1033" t="s">
        <v>40</v>
      </c>
      <c r="T1033" t="s">
        <v>53</v>
      </c>
      <c r="U1033">
        <v>39.368279000000001</v>
      </c>
      <c r="V1033">
        <v>21.863140999999999</v>
      </c>
      <c r="W1033" t="str">
        <f t="shared" si="113"/>
        <v>ok</v>
      </c>
      <c r="X1033" t="str">
        <f t="shared" si="119"/>
        <v>ok</v>
      </c>
      <c r="Y1033" t="str">
        <f t="shared" si="114"/>
        <v>check</v>
      </c>
      <c r="Z1033" t="str">
        <f t="shared" si="115"/>
        <v>ok</v>
      </c>
      <c r="AA1033" s="4" t="str">
        <f t="shared" si="116"/>
        <v>ok</v>
      </c>
      <c r="AB1033" s="4" t="str">
        <f t="shared" si="117"/>
        <v>ok</v>
      </c>
      <c r="AC1033" s="6">
        <f t="shared" si="118"/>
        <v>8.2087066666572355</v>
      </c>
    </row>
    <row r="1034" spans="1:29" x14ac:dyDescent="0.3">
      <c r="A1034" t="s">
        <v>22</v>
      </c>
      <c r="B1034">
        <v>2310</v>
      </c>
      <c r="C1034" t="s">
        <v>23</v>
      </c>
      <c r="D1034" t="s">
        <v>43</v>
      </c>
      <c r="E1034" t="s">
        <v>59</v>
      </c>
      <c r="F1034" t="s">
        <v>26</v>
      </c>
      <c r="G1034" t="s">
        <v>49</v>
      </c>
      <c r="H1034" s="1">
        <v>45086.569236111114</v>
      </c>
      <c r="I1034" s="1">
        <v>45087.569236111114</v>
      </c>
      <c r="J1034" s="1">
        <v>45086.570625</v>
      </c>
      <c r="K1034" s="2">
        <v>45086.570429178239</v>
      </c>
      <c r="L1034" t="s">
        <v>28</v>
      </c>
      <c r="M1034" s="2">
        <v>45086.667459108794</v>
      </c>
      <c r="N1034" t="s">
        <v>28</v>
      </c>
      <c r="O1034" s="2">
        <v>45090.849321354166</v>
      </c>
      <c r="P1034">
        <v>60</v>
      </c>
      <c r="Q1034">
        <v>3</v>
      </c>
      <c r="R1034" t="s">
        <v>55</v>
      </c>
      <c r="S1034" t="s">
        <v>30</v>
      </c>
      <c r="T1034" t="s">
        <v>57</v>
      </c>
      <c r="U1034">
        <v>51.165691000000002</v>
      </c>
      <c r="V1034">
        <v>10.451525999999999</v>
      </c>
      <c r="W1034" t="str">
        <f t="shared" si="113"/>
        <v>ok</v>
      </c>
      <c r="X1034" t="str">
        <f t="shared" si="119"/>
        <v>ok</v>
      </c>
      <c r="Y1034" t="str">
        <f t="shared" si="114"/>
        <v>ok</v>
      </c>
      <c r="Z1034" t="str">
        <f t="shared" si="115"/>
        <v>ok</v>
      </c>
      <c r="AA1034" s="4" t="str">
        <f t="shared" si="116"/>
        <v>ok</v>
      </c>
      <c r="AB1034" s="4" t="str">
        <f t="shared" si="117"/>
        <v>ok</v>
      </c>
      <c r="AC1034" s="6">
        <f t="shared" si="118"/>
        <v>2.3573519443161786</v>
      </c>
    </row>
    <row r="1035" spans="1:29" x14ac:dyDescent="0.3">
      <c r="A1035" t="s">
        <v>22</v>
      </c>
      <c r="B1035">
        <v>2311</v>
      </c>
      <c r="C1035" t="s">
        <v>33</v>
      </c>
      <c r="D1035" t="s">
        <v>24</v>
      </c>
      <c r="E1035" t="s">
        <v>67</v>
      </c>
      <c r="F1035" t="s">
        <v>26</v>
      </c>
      <c r="G1035" t="s">
        <v>27</v>
      </c>
      <c r="H1035" s="1">
        <v>45086.640046296299</v>
      </c>
      <c r="I1035" s="1">
        <v>45088.640046296299</v>
      </c>
      <c r="J1035" s="1">
        <v>45086.681712962964</v>
      </c>
      <c r="K1035" s="2">
        <v>45086.650757962962</v>
      </c>
      <c r="L1035" t="s">
        <v>28</v>
      </c>
      <c r="M1035" s="2">
        <v>45087.080163553241</v>
      </c>
      <c r="N1035" t="s">
        <v>28</v>
      </c>
      <c r="O1035" s="2">
        <v>45088.966122662037</v>
      </c>
      <c r="P1035">
        <v>1</v>
      </c>
      <c r="Q1035">
        <v>5</v>
      </c>
      <c r="R1035" t="s">
        <v>29</v>
      </c>
      <c r="S1035" t="s">
        <v>30</v>
      </c>
      <c r="T1035" t="s">
        <v>31</v>
      </c>
      <c r="U1035">
        <v>53.094023999999997</v>
      </c>
      <c r="V1035">
        <v>-8.0196749999999994</v>
      </c>
      <c r="W1035" t="str">
        <f t="shared" si="113"/>
        <v>ok</v>
      </c>
      <c r="X1035" t="str">
        <f t="shared" si="119"/>
        <v>ok</v>
      </c>
      <c r="Y1035" t="str">
        <f t="shared" si="114"/>
        <v>ok</v>
      </c>
      <c r="Z1035" t="str">
        <f t="shared" si="115"/>
        <v>ok</v>
      </c>
      <c r="AA1035" s="4" t="str">
        <f t="shared" si="116"/>
        <v>ok</v>
      </c>
      <c r="AB1035" s="4" t="str">
        <f t="shared" si="117"/>
        <v>ok</v>
      </c>
      <c r="AC1035" s="6">
        <f t="shared" si="118"/>
        <v>10.562814166594762</v>
      </c>
    </row>
    <row r="1036" spans="1:29" x14ac:dyDescent="0.3">
      <c r="A1036" t="s">
        <v>32</v>
      </c>
      <c r="B1036">
        <v>2313</v>
      </c>
      <c r="C1036" t="s">
        <v>23</v>
      </c>
      <c r="D1036" t="s">
        <v>24</v>
      </c>
      <c r="E1036" t="s">
        <v>67</v>
      </c>
      <c r="F1036" t="s">
        <v>26</v>
      </c>
      <c r="G1036" t="s">
        <v>27</v>
      </c>
      <c r="H1036" s="1">
        <v>45087.144872685189</v>
      </c>
      <c r="I1036" s="1">
        <v>45089.144872685189</v>
      </c>
      <c r="J1036" s="1">
        <v>45087.186539351853</v>
      </c>
      <c r="K1036" s="2">
        <v>45087.150324178241</v>
      </c>
      <c r="L1036" t="s">
        <v>28</v>
      </c>
      <c r="N1036" t="s">
        <v>38</v>
      </c>
      <c r="P1036">
        <v>10</v>
      </c>
      <c r="R1036" t="s">
        <v>29</v>
      </c>
      <c r="S1036" t="s">
        <v>30</v>
      </c>
      <c r="T1036" t="s">
        <v>46</v>
      </c>
      <c r="U1036">
        <v>47.696471899999999</v>
      </c>
      <c r="V1036">
        <v>13.3457347</v>
      </c>
      <c r="W1036" t="str">
        <f t="shared" si="113"/>
        <v>ok</v>
      </c>
      <c r="X1036" t="str">
        <f t="shared" si="119"/>
        <v>ok</v>
      </c>
      <c r="Y1036" t="str">
        <f t="shared" si="114"/>
        <v>ok</v>
      </c>
      <c r="Z1036" t="str">
        <f t="shared" si="115"/>
        <v>ok</v>
      </c>
      <c r="AA1036" s="4" t="str">
        <f t="shared" si="116"/>
        <v>ok</v>
      </c>
      <c r="AB1036" s="4" t="str">
        <f t="shared" si="117"/>
        <v>no resolution</v>
      </c>
      <c r="AC1036" s="6" t="str">
        <f t="shared" si="118"/>
        <v/>
      </c>
    </row>
    <row r="1037" spans="1:29" x14ac:dyDescent="0.3">
      <c r="A1037" t="s">
        <v>42</v>
      </c>
      <c r="B1037">
        <v>2321</v>
      </c>
      <c r="C1037" t="s">
        <v>47</v>
      </c>
      <c r="D1037" t="s">
        <v>43</v>
      </c>
      <c r="E1037" t="s">
        <v>35</v>
      </c>
      <c r="F1037" t="s">
        <v>36</v>
      </c>
      <c r="G1037" t="s">
        <v>64</v>
      </c>
      <c r="H1037" s="1">
        <v>45087.218148148146</v>
      </c>
      <c r="I1037" s="1">
        <v>45088.218148148146</v>
      </c>
      <c r="J1037" s="1">
        <v>45087.219537037039</v>
      </c>
      <c r="K1037" s="2">
        <v>45087.219409456018</v>
      </c>
      <c r="L1037" t="s">
        <v>28</v>
      </c>
      <c r="M1037" s="2">
        <v>45087.672045567131</v>
      </c>
      <c r="N1037" t="s">
        <v>28</v>
      </c>
      <c r="P1037">
        <v>6</v>
      </c>
      <c r="R1037" t="s">
        <v>50</v>
      </c>
      <c r="S1037" t="s">
        <v>40</v>
      </c>
      <c r="T1037" t="s">
        <v>66</v>
      </c>
      <c r="U1037">
        <v>48.864716000000001</v>
      </c>
      <c r="V1037">
        <v>2.3490139999999999</v>
      </c>
      <c r="W1037" t="str">
        <f t="shared" si="113"/>
        <v>ok</v>
      </c>
      <c r="X1037" t="str">
        <f t="shared" si="119"/>
        <v>ok</v>
      </c>
      <c r="Y1037" t="str">
        <f t="shared" si="114"/>
        <v>ok</v>
      </c>
      <c r="Z1037" t="str">
        <f t="shared" si="115"/>
        <v>ok</v>
      </c>
      <c r="AA1037" s="4" t="str">
        <f t="shared" si="116"/>
        <v>ok</v>
      </c>
      <c r="AB1037" s="4" t="str">
        <f t="shared" si="117"/>
        <v>ok</v>
      </c>
      <c r="AC1037" s="6">
        <f t="shared" si="118"/>
        <v>10.893538055650424</v>
      </c>
    </row>
    <row r="1038" spans="1:29" x14ac:dyDescent="0.3">
      <c r="A1038" t="s">
        <v>42</v>
      </c>
      <c r="B1038">
        <v>2322</v>
      </c>
      <c r="C1038" t="s">
        <v>23</v>
      </c>
      <c r="D1038" t="s">
        <v>43</v>
      </c>
      <c r="E1038" t="s">
        <v>25</v>
      </c>
      <c r="F1038" t="s">
        <v>26</v>
      </c>
      <c r="G1038" t="s">
        <v>49</v>
      </c>
      <c r="H1038" s="1">
        <v>45087.665034722224</v>
      </c>
      <c r="I1038" s="1">
        <v>45088.665034722224</v>
      </c>
      <c r="J1038" s="1">
        <v>45087.66642361111</v>
      </c>
      <c r="K1038" s="2">
        <v>45087.666367002312</v>
      </c>
      <c r="L1038" t="s">
        <v>28</v>
      </c>
      <c r="M1038" s="2">
        <v>45088.439369004627</v>
      </c>
      <c r="N1038" t="s">
        <v>28</v>
      </c>
      <c r="P1038">
        <v>5</v>
      </c>
      <c r="R1038" t="s">
        <v>50</v>
      </c>
      <c r="S1038" t="s">
        <v>30</v>
      </c>
      <c r="T1038" t="s">
        <v>66</v>
      </c>
      <c r="U1038">
        <v>48.864716000000001</v>
      </c>
      <c r="V1038">
        <v>2.3490139999999999</v>
      </c>
      <c r="W1038" t="str">
        <f t="shared" si="113"/>
        <v>ok</v>
      </c>
      <c r="X1038" t="str">
        <f t="shared" si="119"/>
        <v>ok</v>
      </c>
      <c r="Y1038" t="str">
        <f t="shared" si="114"/>
        <v>ok</v>
      </c>
      <c r="Z1038" t="str">
        <f t="shared" si="115"/>
        <v>ok</v>
      </c>
      <c r="AA1038" s="4" t="str">
        <f t="shared" si="116"/>
        <v>ok</v>
      </c>
      <c r="AB1038" s="4" t="str">
        <f t="shared" si="117"/>
        <v>ok</v>
      </c>
      <c r="AC1038" s="6">
        <f t="shared" si="118"/>
        <v>18.584022777678911</v>
      </c>
    </row>
    <row r="1039" spans="1:29" x14ac:dyDescent="0.3">
      <c r="A1039" t="s">
        <v>22</v>
      </c>
      <c r="B1039">
        <v>2323</v>
      </c>
      <c r="C1039" t="s">
        <v>23</v>
      </c>
      <c r="D1039" t="s">
        <v>24</v>
      </c>
      <c r="E1039" t="s">
        <v>35</v>
      </c>
      <c r="F1039" t="s">
        <v>36</v>
      </c>
      <c r="G1039" t="s">
        <v>64</v>
      </c>
      <c r="H1039" s="1">
        <v>45087.124131944445</v>
      </c>
      <c r="I1039" s="1">
        <v>45089.124131944445</v>
      </c>
      <c r="J1039" s="1">
        <v>45087.165798611109</v>
      </c>
      <c r="K1039" s="2">
        <v>45087.430887048613</v>
      </c>
      <c r="L1039" t="s">
        <v>38</v>
      </c>
      <c r="M1039" s="2">
        <v>45088.625966296298</v>
      </c>
      <c r="N1039" t="s">
        <v>28</v>
      </c>
      <c r="O1039" s="2">
        <v>45093.646922881948</v>
      </c>
      <c r="P1039">
        <v>2</v>
      </c>
      <c r="Q1039">
        <v>5</v>
      </c>
      <c r="R1039" t="s">
        <v>55</v>
      </c>
      <c r="S1039" t="s">
        <v>40</v>
      </c>
      <c r="T1039" t="s">
        <v>66</v>
      </c>
      <c r="U1039">
        <v>48.864716000000001</v>
      </c>
      <c r="V1039">
        <v>2.3490139999999999</v>
      </c>
      <c r="W1039" t="str">
        <f t="shared" si="113"/>
        <v>ok</v>
      </c>
      <c r="X1039" t="str">
        <f t="shared" si="119"/>
        <v>ok</v>
      </c>
      <c r="Y1039" t="str">
        <f t="shared" si="114"/>
        <v>ok</v>
      </c>
      <c r="Z1039" t="str">
        <f t="shared" si="115"/>
        <v>ok</v>
      </c>
      <c r="AA1039" s="4" t="str">
        <f t="shared" si="116"/>
        <v>ok</v>
      </c>
      <c r="AB1039" s="4" t="str">
        <f t="shared" si="117"/>
        <v>ok</v>
      </c>
      <c r="AC1039" s="6">
        <f t="shared" si="118"/>
        <v>36.044024444476236</v>
      </c>
    </row>
    <row r="1040" spans="1:29" x14ac:dyDescent="0.3">
      <c r="A1040" t="s">
        <v>42</v>
      </c>
      <c r="B1040">
        <v>2324</v>
      </c>
      <c r="C1040" t="s">
        <v>33</v>
      </c>
      <c r="D1040" t="s">
        <v>34</v>
      </c>
      <c r="E1040" t="s">
        <v>35</v>
      </c>
      <c r="F1040" t="s">
        <v>26</v>
      </c>
      <c r="G1040" t="s">
        <v>52</v>
      </c>
      <c r="H1040" s="1">
        <v>45087.150729166664</v>
      </c>
      <c r="I1040" s="1">
        <v>45089.150729166664</v>
      </c>
      <c r="J1040" s="1">
        <v>45087.152118055557</v>
      </c>
      <c r="K1040" s="2">
        <v>45087.152067129631</v>
      </c>
      <c r="L1040" t="s">
        <v>28</v>
      </c>
      <c r="M1040" s="2">
        <v>45087.40087578704</v>
      </c>
      <c r="N1040" t="s">
        <v>28</v>
      </c>
      <c r="P1040">
        <v>1</v>
      </c>
      <c r="R1040" t="s">
        <v>55</v>
      </c>
      <c r="S1040" t="s">
        <v>30</v>
      </c>
      <c r="T1040" t="s">
        <v>58</v>
      </c>
      <c r="U1040">
        <v>49.8037633</v>
      </c>
      <c r="V1040">
        <v>15.4749126</v>
      </c>
      <c r="W1040" t="str">
        <f t="shared" si="113"/>
        <v>ok</v>
      </c>
      <c r="X1040" t="str">
        <f t="shared" si="119"/>
        <v>ok</v>
      </c>
      <c r="Y1040" t="str">
        <f t="shared" si="114"/>
        <v>ok</v>
      </c>
      <c r="Z1040" t="str">
        <f t="shared" si="115"/>
        <v>ok</v>
      </c>
      <c r="AA1040" s="4" t="str">
        <f t="shared" si="116"/>
        <v>ok</v>
      </c>
      <c r="AB1040" s="4" t="str">
        <f t="shared" si="117"/>
        <v>ok</v>
      </c>
      <c r="AC1040" s="6">
        <f t="shared" si="118"/>
        <v>6.0035188890178688</v>
      </c>
    </row>
    <row r="1041" spans="1:29" x14ac:dyDescent="0.3">
      <c r="A1041" t="s">
        <v>42</v>
      </c>
      <c r="B1041">
        <v>2325</v>
      </c>
      <c r="C1041" t="s">
        <v>23</v>
      </c>
      <c r="D1041" t="s">
        <v>24</v>
      </c>
      <c r="E1041" t="s">
        <v>48</v>
      </c>
      <c r="F1041" t="s">
        <v>36</v>
      </c>
      <c r="G1041" t="s">
        <v>64</v>
      </c>
      <c r="H1041" s="1">
        <v>45088.739537037036</v>
      </c>
      <c r="I1041" s="1">
        <v>45090.739537037036</v>
      </c>
      <c r="J1041" s="1">
        <v>45088.7812037037</v>
      </c>
      <c r="K1041" s="2">
        <v>45088.758084699075</v>
      </c>
      <c r="L1041" t="s">
        <v>28</v>
      </c>
      <c r="M1041" s="2">
        <v>45090.184059409723</v>
      </c>
      <c r="N1041" t="s">
        <v>28</v>
      </c>
      <c r="P1041">
        <v>8</v>
      </c>
      <c r="R1041" t="s">
        <v>50</v>
      </c>
      <c r="S1041" t="s">
        <v>40</v>
      </c>
      <c r="T1041" t="s">
        <v>65</v>
      </c>
      <c r="U1041">
        <v>46.149166399999999</v>
      </c>
      <c r="V1041">
        <v>14.9860106</v>
      </c>
      <c r="W1041" t="str">
        <f t="shared" si="113"/>
        <v>ok</v>
      </c>
      <c r="X1041" t="str">
        <f t="shared" si="119"/>
        <v>ok</v>
      </c>
      <c r="Y1041" t="str">
        <f t="shared" si="114"/>
        <v>ok</v>
      </c>
      <c r="Z1041" t="str">
        <f t="shared" si="115"/>
        <v>ok</v>
      </c>
      <c r="AA1041" s="4" t="str">
        <f t="shared" si="116"/>
        <v>ok</v>
      </c>
      <c r="AB1041" s="4" t="str">
        <f t="shared" si="117"/>
        <v>ok</v>
      </c>
      <c r="AC1041" s="6">
        <f t="shared" si="118"/>
        <v>34.66853694448946</v>
      </c>
    </row>
    <row r="1042" spans="1:29" x14ac:dyDescent="0.3">
      <c r="A1042" t="s">
        <v>22</v>
      </c>
      <c r="B1042">
        <v>2332</v>
      </c>
      <c r="C1042" t="s">
        <v>47</v>
      </c>
      <c r="D1042" t="s">
        <v>43</v>
      </c>
      <c r="E1042" t="s">
        <v>48</v>
      </c>
      <c r="F1042" t="s">
        <v>26</v>
      </c>
      <c r="G1042" t="s">
        <v>49</v>
      </c>
      <c r="H1042" s="1">
        <v>45089.755370370367</v>
      </c>
      <c r="I1042" s="1">
        <v>45090.755370370367</v>
      </c>
      <c r="J1042" s="1">
        <v>45089.75675925926</v>
      </c>
      <c r="K1042" s="2">
        <v>45089.756742291669</v>
      </c>
      <c r="L1042" t="s">
        <v>28</v>
      </c>
      <c r="M1042" s="2">
        <v>45089.969885833336</v>
      </c>
      <c r="N1042" t="s">
        <v>28</v>
      </c>
      <c r="O1042" s="2">
        <v>45092.211430289353</v>
      </c>
      <c r="P1042">
        <v>6</v>
      </c>
      <c r="Q1042">
        <v>4</v>
      </c>
      <c r="R1042" t="s">
        <v>39</v>
      </c>
      <c r="S1042" t="s">
        <v>30</v>
      </c>
      <c r="T1042" t="s">
        <v>56</v>
      </c>
      <c r="U1042">
        <v>52.536273000000001</v>
      </c>
      <c r="V1042">
        <v>19.050639</v>
      </c>
      <c r="W1042" t="str">
        <f t="shared" si="113"/>
        <v>ok</v>
      </c>
      <c r="X1042" t="str">
        <f t="shared" si="119"/>
        <v>ok</v>
      </c>
      <c r="Y1042" t="str">
        <f t="shared" si="114"/>
        <v>ok</v>
      </c>
      <c r="Z1042" t="str">
        <f t="shared" si="115"/>
        <v>ok</v>
      </c>
      <c r="AA1042" s="4" t="str">
        <f t="shared" si="116"/>
        <v>ok</v>
      </c>
      <c r="AB1042" s="4" t="str">
        <f t="shared" si="117"/>
        <v>ok</v>
      </c>
      <c r="AC1042" s="6">
        <f t="shared" si="118"/>
        <v>5.1483711112523451</v>
      </c>
    </row>
    <row r="1043" spans="1:29" x14ac:dyDescent="0.3">
      <c r="A1043" t="s">
        <v>22</v>
      </c>
      <c r="B1043">
        <v>2333</v>
      </c>
      <c r="C1043" t="s">
        <v>23</v>
      </c>
      <c r="D1043" t="s">
        <v>43</v>
      </c>
      <c r="E1043" t="s">
        <v>44</v>
      </c>
      <c r="F1043" t="s">
        <v>36</v>
      </c>
      <c r="G1043" t="s">
        <v>37</v>
      </c>
      <c r="H1043" s="1">
        <v>45089.363344907404</v>
      </c>
      <c r="I1043" s="1">
        <v>45090.363344907404</v>
      </c>
      <c r="J1043" s="1">
        <v>45089.364733796298</v>
      </c>
      <c r="K1043" s="2">
        <v>45089.364356076389</v>
      </c>
      <c r="L1043" t="s">
        <v>28</v>
      </c>
      <c r="M1043" s="2">
        <v>45090.257372719905</v>
      </c>
      <c r="N1043" t="s">
        <v>28</v>
      </c>
      <c r="O1043" s="2">
        <v>45092.983402847225</v>
      </c>
      <c r="P1043">
        <v>6</v>
      </c>
      <c r="Q1043">
        <v>1</v>
      </c>
      <c r="R1043" t="s">
        <v>50</v>
      </c>
      <c r="S1043" t="s">
        <v>40</v>
      </c>
      <c r="T1043" t="s">
        <v>53</v>
      </c>
      <c r="U1043">
        <v>39.368279000000001</v>
      </c>
      <c r="V1043">
        <v>21.863140999999999</v>
      </c>
      <c r="W1043" t="str">
        <f t="shared" si="113"/>
        <v>ok</v>
      </c>
      <c r="X1043" t="str">
        <f t="shared" si="119"/>
        <v>ok</v>
      </c>
      <c r="Y1043" t="str">
        <f t="shared" si="114"/>
        <v>ok</v>
      </c>
      <c r="Z1043" t="str">
        <f t="shared" si="115"/>
        <v>ok</v>
      </c>
      <c r="AA1043" s="4" t="str">
        <f t="shared" si="116"/>
        <v>ok</v>
      </c>
      <c r="AB1043" s="4" t="str">
        <f t="shared" si="117"/>
        <v>ok</v>
      </c>
      <c r="AC1043" s="6">
        <f t="shared" si="118"/>
        <v>21.456667500024196</v>
      </c>
    </row>
    <row r="1044" spans="1:29" x14ac:dyDescent="0.3">
      <c r="A1044" t="s">
        <v>42</v>
      </c>
      <c r="B1044">
        <v>2334</v>
      </c>
      <c r="C1044" t="s">
        <v>23</v>
      </c>
      <c r="D1044" t="s">
        <v>43</v>
      </c>
      <c r="E1044" t="s">
        <v>48</v>
      </c>
      <c r="F1044" t="s">
        <v>36</v>
      </c>
      <c r="G1044" t="s">
        <v>54</v>
      </c>
      <c r="H1044" s="1">
        <v>45089.752939814818</v>
      </c>
      <c r="I1044" s="1">
        <v>45090.752939814818</v>
      </c>
      <c r="J1044" s="1">
        <v>45089.754328703704</v>
      </c>
      <c r="K1044" s="2">
        <v>45089.753986331016</v>
      </c>
      <c r="L1044" t="s">
        <v>28</v>
      </c>
      <c r="M1044" s="2">
        <v>45093.268161041669</v>
      </c>
      <c r="N1044" t="s">
        <v>38</v>
      </c>
      <c r="P1044">
        <v>4</v>
      </c>
      <c r="R1044" t="s">
        <v>50</v>
      </c>
      <c r="S1044" t="s">
        <v>40</v>
      </c>
      <c r="T1044" t="s">
        <v>51</v>
      </c>
      <c r="U1044">
        <v>39.673369999999998</v>
      </c>
      <c r="V1044">
        <v>-4.7677259999999997</v>
      </c>
      <c r="W1044" t="str">
        <f t="shared" si="113"/>
        <v>ok</v>
      </c>
      <c r="X1044" t="str">
        <f t="shared" si="119"/>
        <v>ok</v>
      </c>
      <c r="Y1044" t="str">
        <f t="shared" si="114"/>
        <v>ok</v>
      </c>
      <c r="Z1044" t="str">
        <f t="shared" si="115"/>
        <v>ok</v>
      </c>
      <c r="AA1044" s="4" t="str">
        <f t="shared" si="116"/>
        <v>ok</v>
      </c>
      <c r="AB1044" s="4" t="str">
        <f t="shared" si="117"/>
        <v>ok</v>
      </c>
      <c r="AC1044" s="6">
        <f t="shared" si="118"/>
        <v>84.36530944443075</v>
      </c>
    </row>
    <row r="1045" spans="1:29" x14ac:dyDescent="0.3">
      <c r="A1045" t="s">
        <v>22</v>
      </c>
      <c r="B1045">
        <v>2335</v>
      </c>
      <c r="C1045" t="s">
        <v>23</v>
      </c>
      <c r="D1045" t="s">
        <v>24</v>
      </c>
      <c r="E1045" t="s">
        <v>59</v>
      </c>
      <c r="F1045" t="s">
        <v>26</v>
      </c>
      <c r="G1045" t="s">
        <v>45</v>
      </c>
      <c r="H1045" s="1">
        <v>45089.587233796294</v>
      </c>
      <c r="I1045" s="1">
        <v>45091.587233796294</v>
      </c>
      <c r="J1045" s="1">
        <v>45089.628900462965</v>
      </c>
      <c r="K1045" s="2">
        <v>45089.594914166664</v>
      </c>
      <c r="L1045" t="s">
        <v>28</v>
      </c>
      <c r="M1045" s="2">
        <v>45090.831058715281</v>
      </c>
      <c r="N1045" t="s">
        <v>28</v>
      </c>
      <c r="O1045" s="2">
        <v>45095.485374502314</v>
      </c>
      <c r="P1045">
        <v>3</v>
      </c>
      <c r="Q1045">
        <v>5</v>
      </c>
      <c r="R1045" t="s">
        <v>50</v>
      </c>
      <c r="S1045" t="s">
        <v>30</v>
      </c>
      <c r="T1045" t="s">
        <v>31</v>
      </c>
      <c r="U1045">
        <v>53.094023999999997</v>
      </c>
      <c r="V1045">
        <v>-8.0196749999999994</v>
      </c>
      <c r="W1045" t="str">
        <f t="shared" si="113"/>
        <v>ok</v>
      </c>
      <c r="X1045" t="str">
        <f t="shared" si="119"/>
        <v>ok</v>
      </c>
      <c r="Y1045" t="str">
        <f t="shared" si="114"/>
        <v>ok</v>
      </c>
      <c r="Z1045" t="str">
        <f t="shared" si="115"/>
        <v>ok</v>
      </c>
      <c r="AA1045" s="4" t="str">
        <f t="shared" si="116"/>
        <v>ok</v>
      </c>
      <c r="AB1045" s="4" t="str">
        <f t="shared" si="117"/>
        <v>ok</v>
      </c>
      <c r="AC1045" s="6">
        <f t="shared" si="118"/>
        <v>29.851798055693507</v>
      </c>
    </row>
    <row r="1046" spans="1:29" x14ac:dyDescent="0.3">
      <c r="A1046" t="s">
        <v>32</v>
      </c>
      <c r="B1046">
        <v>2336</v>
      </c>
      <c r="C1046" t="s">
        <v>23</v>
      </c>
      <c r="D1046" t="s">
        <v>24</v>
      </c>
      <c r="E1046" t="s">
        <v>44</v>
      </c>
      <c r="F1046" t="s">
        <v>26</v>
      </c>
      <c r="G1046" t="s">
        <v>60</v>
      </c>
      <c r="H1046" s="1">
        <v>45089.195625</v>
      </c>
      <c r="I1046" s="1">
        <v>45091.195625</v>
      </c>
      <c r="J1046" s="1">
        <v>45089.237291666665</v>
      </c>
      <c r="K1046" s="2">
        <v>45089.231163784723</v>
      </c>
      <c r="L1046" t="s">
        <v>28</v>
      </c>
      <c r="N1046" t="s">
        <v>38</v>
      </c>
      <c r="P1046">
        <v>1</v>
      </c>
      <c r="R1046" t="s">
        <v>39</v>
      </c>
      <c r="S1046" t="s">
        <v>30</v>
      </c>
      <c r="T1046" t="s">
        <v>63</v>
      </c>
      <c r="U1046">
        <v>55.378051999999997</v>
      </c>
      <c r="V1046">
        <v>-3.4359730000000002</v>
      </c>
      <c r="W1046" t="str">
        <f t="shared" si="113"/>
        <v>ok</v>
      </c>
      <c r="X1046" t="str">
        <f t="shared" si="119"/>
        <v>ok</v>
      </c>
      <c r="Y1046" t="str">
        <f t="shared" si="114"/>
        <v>ok</v>
      </c>
      <c r="Z1046" t="str">
        <f t="shared" si="115"/>
        <v>ok</v>
      </c>
      <c r="AA1046" s="4" t="str">
        <f t="shared" si="116"/>
        <v>ok</v>
      </c>
      <c r="AB1046" s="4" t="str">
        <f t="shared" si="117"/>
        <v>no resolution</v>
      </c>
      <c r="AC1046" s="6" t="str">
        <f t="shared" si="118"/>
        <v/>
      </c>
    </row>
    <row r="1047" spans="1:29" x14ac:dyDescent="0.3">
      <c r="A1047" t="s">
        <v>32</v>
      </c>
      <c r="B1047">
        <v>2337</v>
      </c>
      <c r="C1047" t="s">
        <v>23</v>
      </c>
      <c r="D1047" t="s">
        <v>43</v>
      </c>
      <c r="E1047" t="s">
        <v>25</v>
      </c>
      <c r="F1047" t="s">
        <v>36</v>
      </c>
      <c r="G1047" t="s">
        <v>37</v>
      </c>
      <c r="H1047" s="1">
        <v>45089.836273148147</v>
      </c>
      <c r="I1047" s="1">
        <v>45090.836273148147</v>
      </c>
      <c r="J1047" s="1">
        <v>45089.83766203704</v>
      </c>
      <c r="K1047" s="2">
        <v>45089.837180902781</v>
      </c>
      <c r="L1047" t="s">
        <v>28</v>
      </c>
      <c r="N1047" t="s">
        <v>38</v>
      </c>
      <c r="P1047">
        <v>3</v>
      </c>
      <c r="R1047" t="s">
        <v>50</v>
      </c>
      <c r="S1047" t="s">
        <v>40</v>
      </c>
      <c r="T1047" t="s">
        <v>58</v>
      </c>
      <c r="U1047">
        <v>49.8037633</v>
      </c>
      <c r="V1047">
        <v>15.4749126</v>
      </c>
      <c r="W1047" t="str">
        <f t="shared" si="113"/>
        <v>ok</v>
      </c>
      <c r="X1047" t="str">
        <f t="shared" si="119"/>
        <v>ok</v>
      </c>
      <c r="Y1047" t="str">
        <f t="shared" si="114"/>
        <v>ok</v>
      </c>
      <c r="Z1047" t="str">
        <f t="shared" si="115"/>
        <v>ok</v>
      </c>
      <c r="AA1047" s="4" t="str">
        <f t="shared" si="116"/>
        <v>ok</v>
      </c>
      <c r="AB1047" s="4" t="str">
        <f t="shared" si="117"/>
        <v>no resolution</v>
      </c>
      <c r="AC1047" s="6" t="str">
        <f t="shared" si="118"/>
        <v/>
      </c>
    </row>
    <row r="1048" spans="1:29" x14ac:dyDescent="0.3">
      <c r="A1048" t="s">
        <v>42</v>
      </c>
      <c r="B1048">
        <v>2338</v>
      </c>
      <c r="C1048" t="s">
        <v>23</v>
      </c>
      <c r="D1048" t="s">
        <v>43</v>
      </c>
      <c r="E1048" t="s">
        <v>44</v>
      </c>
      <c r="F1048" t="s">
        <v>26</v>
      </c>
      <c r="G1048" t="s">
        <v>52</v>
      </c>
      <c r="H1048" s="1">
        <v>45089.735810185186</v>
      </c>
      <c r="I1048" s="1">
        <v>45090.735810185186</v>
      </c>
      <c r="J1048" s="1">
        <v>45089.737199074072</v>
      </c>
      <c r="K1048" s="2">
        <v>45089.736981678237</v>
      </c>
      <c r="L1048" t="s">
        <v>28</v>
      </c>
      <c r="M1048" s="2">
        <v>45090.446322118056</v>
      </c>
      <c r="N1048" t="s">
        <v>28</v>
      </c>
      <c r="P1048">
        <v>5</v>
      </c>
      <c r="R1048" t="s">
        <v>39</v>
      </c>
      <c r="S1048" t="s">
        <v>30</v>
      </c>
      <c r="T1048" t="s">
        <v>63</v>
      </c>
      <c r="U1048">
        <v>55.378051999999997</v>
      </c>
      <c r="V1048">
        <v>-3.4359730000000002</v>
      </c>
      <c r="W1048" t="str">
        <f t="shared" si="113"/>
        <v>ok</v>
      </c>
      <c r="X1048" t="str">
        <f t="shared" si="119"/>
        <v>ok</v>
      </c>
      <c r="Y1048" t="str">
        <f t="shared" si="114"/>
        <v>ok</v>
      </c>
      <c r="Z1048" t="str">
        <f t="shared" si="115"/>
        <v>ok</v>
      </c>
      <c r="AA1048" s="4" t="str">
        <f t="shared" si="116"/>
        <v>ok</v>
      </c>
      <c r="AB1048" s="4" t="str">
        <f t="shared" si="117"/>
        <v>ok</v>
      </c>
      <c r="AC1048" s="6">
        <f t="shared" si="118"/>
        <v>17.052286388876382</v>
      </c>
    </row>
    <row r="1049" spans="1:29" x14ac:dyDescent="0.3">
      <c r="A1049" t="s">
        <v>22</v>
      </c>
      <c r="B1049">
        <v>2339</v>
      </c>
      <c r="C1049" t="s">
        <v>23</v>
      </c>
      <c r="D1049" t="s">
        <v>24</v>
      </c>
      <c r="E1049" t="s">
        <v>48</v>
      </c>
      <c r="F1049" t="s">
        <v>36</v>
      </c>
      <c r="G1049" t="s">
        <v>37</v>
      </c>
      <c r="H1049" s="1">
        <v>45089.124490740738</v>
      </c>
      <c r="I1049" s="1">
        <v>45091.124490740738</v>
      </c>
      <c r="J1049" s="1">
        <v>45089.16615740741</v>
      </c>
      <c r="K1049" s="2">
        <v>45089.162503437503</v>
      </c>
      <c r="L1049" t="s">
        <v>28</v>
      </c>
      <c r="M1049" s="2">
        <v>45090.298219386576</v>
      </c>
      <c r="N1049" t="s">
        <v>28</v>
      </c>
      <c r="O1049" s="2">
        <v>45093.713328958336</v>
      </c>
      <c r="P1049">
        <v>8</v>
      </c>
      <c r="Q1049">
        <v>3</v>
      </c>
      <c r="R1049" t="s">
        <v>29</v>
      </c>
      <c r="S1049" t="s">
        <v>40</v>
      </c>
      <c r="T1049" t="s">
        <v>63</v>
      </c>
      <c r="U1049">
        <v>55.378051999999997</v>
      </c>
      <c r="V1049">
        <v>-3.4359730000000002</v>
      </c>
      <c r="W1049" t="str">
        <f t="shared" si="113"/>
        <v>ok</v>
      </c>
      <c r="X1049" t="str">
        <f t="shared" si="119"/>
        <v>ok</v>
      </c>
      <c r="Y1049" t="str">
        <f t="shared" si="114"/>
        <v>ok</v>
      </c>
      <c r="Z1049" t="str">
        <f t="shared" si="115"/>
        <v>ok</v>
      </c>
      <c r="AA1049" s="4" t="str">
        <f t="shared" si="116"/>
        <v>ok</v>
      </c>
      <c r="AB1049" s="4" t="str">
        <f t="shared" si="117"/>
        <v>ok</v>
      </c>
      <c r="AC1049" s="6">
        <f t="shared" si="118"/>
        <v>28.169487500097603</v>
      </c>
    </row>
    <row r="1050" spans="1:29" x14ac:dyDescent="0.3">
      <c r="A1050" t="s">
        <v>22</v>
      </c>
      <c r="B1050">
        <v>2340</v>
      </c>
      <c r="C1050" t="s">
        <v>47</v>
      </c>
      <c r="D1050" t="s">
        <v>24</v>
      </c>
      <c r="E1050" t="s">
        <v>48</v>
      </c>
      <c r="F1050" t="s">
        <v>36</v>
      </c>
      <c r="G1050" t="s">
        <v>64</v>
      </c>
      <c r="H1050" s="1">
        <v>45090.499039351853</v>
      </c>
      <c r="I1050" s="1">
        <v>45092.499039351853</v>
      </c>
      <c r="J1050" s="1">
        <v>45090.540706018517</v>
      </c>
      <c r="K1050" s="2">
        <v>45090.519891180556</v>
      </c>
      <c r="L1050" t="s">
        <v>28</v>
      </c>
      <c r="M1050" s="2">
        <v>45091.827308587963</v>
      </c>
      <c r="N1050" t="s">
        <v>28</v>
      </c>
      <c r="O1050" s="2">
        <v>45091.089199062502</v>
      </c>
      <c r="P1050">
        <v>9</v>
      </c>
      <c r="Q1050">
        <v>2</v>
      </c>
      <c r="R1050" t="s">
        <v>29</v>
      </c>
      <c r="S1050" t="s">
        <v>40</v>
      </c>
      <c r="T1050" t="s">
        <v>41</v>
      </c>
      <c r="U1050">
        <v>43.036776000000003</v>
      </c>
      <c r="V1050">
        <v>12.678565000000001</v>
      </c>
      <c r="W1050" t="str">
        <f t="shared" si="113"/>
        <v>ok</v>
      </c>
      <c r="X1050" t="str">
        <f t="shared" si="119"/>
        <v>ok</v>
      </c>
      <c r="Y1050" t="str">
        <f t="shared" si="114"/>
        <v>check</v>
      </c>
      <c r="Z1050" t="str">
        <f t="shared" si="115"/>
        <v>ok</v>
      </c>
      <c r="AA1050" s="4" t="str">
        <f t="shared" si="116"/>
        <v>ok</v>
      </c>
      <c r="AB1050" s="4" t="str">
        <f t="shared" si="117"/>
        <v>ok</v>
      </c>
      <c r="AC1050" s="6">
        <f t="shared" si="118"/>
        <v>31.878461666638032</v>
      </c>
    </row>
    <row r="1051" spans="1:29" x14ac:dyDescent="0.3">
      <c r="A1051" t="s">
        <v>42</v>
      </c>
      <c r="B1051">
        <v>2341</v>
      </c>
      <c r="C1051" t="s">
        <v>33</v>
      </c>
      <c r="D1051" t="s">
        <v>43</v>
      </c>
      <c r="E1051" t="s">
        <v>25</v>
      </c>
      <c r="F1051" t="s">
        <v>36</v>
      </c>
      <c r="G1051" t="s">
        <v>37</v>
      </c>
      <c r="H1051" s="1">
        <v>45090.648275462961</v>
      </c>
      <c r="I1051" s="1">
        <v>45091.648275462961</v>
      </c>
      <c r="J1051" s="1">
        <v>45090.649664351855</v>
      </c>
      <c r="K1051" s="2">
        <v>45090.649486678238</v>
      </c>
      <c r="L1051" t="s">
        <v>28</v>
      </c>
      <c r="M1051" s="2">
        <v>45090.812595520831</v>
      </c>
      <c r="N1051" t="s">
        <v>28</v>
      </c>
      <c r="P1051">
        <v>60</v>
      </c>
      <c r="R1051" t="s">
        <v>39</v>
      </c>
      <c r="S1051" t="s">
        <v>40</v>
      </c>
      <c r="T1051" t="s">
        <v>41</v>
      </c>
      <c r="U1051">
        <v>43.036776000000003</v>
      </c>
      <c r="V1051">
        <v>12.678565000000001</v>
      </c>
      <c r="W1051" t="str">
        <f t="shared" si="113"/>
        <v>ok</v>
      </c>
      <c r="X1051" t="str">
        <f t="shared" si="119"/>
        <v>ok</v>
      </c>
      <c r="Y1051" t="str">
        <f t="shared" si="114"/>
        <v>ok</v>
      </c>
      <c r="Z1051" t="str">
        <f t="shared" si="115"/>
        <v>ok</v>
      </c>
      <c r="AA1051" s="4" t="str">
        <f t="shared" si="116"/>
        <v>ok</v>
      </c>
      <c r="AB1051" s="4" t="str">
        <f t="shared" si="117"/>
        <v>ok</v>
      </c>
      <c r="AC1051" s="6">
        <f t="shared" si="118"/>
        <v>3.9436813888605684</v>
      </c>
    </row>
    <row r="1052" spans="1:29" x14ac:dyDescent="0.3">
      <c r="A1052" t="s">
        <v>22</v>
      </c>
      <c r="B1052">
        <v>2342</v>
      </c>
      <c r="C1052" t="s">
        <v>23</v>
      </c>
      <c r="D1052" t="s">
        <v>24</v>
      </c>
      <c r="E1052" t="s">
        <v>25</v>
      </c>
      <c r="F1052" t="s">
        <v>26</v>
      </c>
      <c r="G1052" t="s">
        <v>52</v>
      </c>
      <c r="H1052" s="1">
        <v>45090.303310185183</v>
      </c>
      <c r="I1052" s="1">
        <v>45092.303310185183</v>
      </c>
      <c r="J1052" s="1">
        <v>45090.344976851855</v>
      </c>
      <c r="K1052" s="2">
        <v>45090.447649652779</v>
      </c>
      <c r="L1052" t="s">
        <v>38</v>
      </c>
      <c r="M1052" s="2">
        <v>45091.782141724536</v>
      </c>
      <c r="N1052" t="s">
        <v>28</v>
      </c>
      <c r="O1052" s="2">
        <v>45093.859202569445</v>
      </c>
      <c r="P1052">
        <v>2</v>
      </c>
      <c r="Q1052">
        <v>4</v>
      </c>
      <c r="R1052" t="s">
        <v>50</v>
      </c>
      <c r="S1052" t="s">
        <v>30</v>
      </c>
      <c r="T1052" t="s">
        <v>57</v>
      </c>
      <c r="U1052">
        <v>51.165691000000002</v>
      </c>
      <c r="V1052">
        <v>10.451525999999999</v>
      </c>
      <c r="W1052" t="str">
        <f t="shared" si="113"/>
        <v>ok</v>
      </c>
      <c r="X1052" t="str">
        <f t="shared" si="119"/>
        <v>ok</v>
      </c>
      <c r="Y1052" t="str">
        <f t="shared" si="114"/>
        <v>ok</v>
      </c>
      <c r="Z1052" t="str">
        <f t="shared" si="115"/>
        <v>ok</v>
      </c>
      <c r="AA1052" s="4" t="str">
        <f t="shared" si="116"/>
        <v>ok</v>
      </c>
      <c r="AB1052" s="4" t="str">
        <f t="shared" si="117"/>
        <v>ok</v>
      </c>
      <c r="AC1052" s="6">
        <f t="shared" si="118"/>
        <v>35.491956944460981</v>
      </c>
    </row>
    <row r="1053" spans="1:29" x14ac:dyDescent="0.3">
      <c r="A1053" t="s">
        <v>22</v>
      </c>
      <c r="B1053">
        <v>2343</v>
      </c>
      <c r="C1053" t="s">
        <v>33</v>
      </c>
      <c r="D1053" t="s">
        <v>24</v>
      </c>
      <c r="E1053" t="s">
        <v>44</v>
      </c>
      <c r="F1053" t="s">
        <v>26</v>
      </c>
      <c r="G1053" t="s">
        <v>27</v>
      </c>
      <c r="H1053" s="1">
        <v>45090.361851851849</v>
      </c>
      <c r="I1053" s="1">
        <v>45092.361851851849</v>
      </c>
      <c r="J1053" s="1">
        <v>45090.40351851852</v>
      </c>
      <c r="K1053" s="2">
        <v>45090.395892685185</v>
      </c>
      <c r="L1053" t="s">
        <v>28</v>
      </c>
      <c r="M1053" s="2">
        <v>45092.685615590279</v>
      </c>
      <c r="N1053" t="s">
        <v>38</v>
      </c>
      <c r="O1053" s="2">
        <v>45093.714356388889</v>
      </c>
      <c r="P1053">
        <v>3</v>
      </c>
      <c r="Q1053">
        <v>5</v>
      </c>
      <c r="R1053" t="s">
        <v>29</v>
      </c>
      <c r="S1053" t="s">
        <v>30</v>
      </c>
      <c r="T1053" t="s">
        <v>53</v>
      </c>
      <c r="U1053">
        <v>39.368279000000001</v>
      </c>
      <c r="V1053">
        <v>21.863140999999999</v>
      </c>
      <c r="W1053" t="str">
        <f t="shared" si="113"/>
        <v>ok</v>
      </c>
      <c r="X1053" t="str">
        <f t="shared" si="119"/>
        <v>ok</v>
      </c>
      <c r="Y1053" t="str">
        <f t="shared" si="114"/>
        <v>ok</v>
      </c>
      <c r="Z1053" t="str">
        <f t="shared" si="115"/>
        <v>ok</v>
      </c>
      <c r="AA1053" s="4" t="str">
        <f t="shared" si="116"/>
        <v>ok</v>
      </c>
      <c r="AB1053" s="4" t="str">
        <f t="shared" si="117"/>
        <v>ok</v>
      </c>
      <c r="AC1053" s="6">
        <f t="shared" si="118"/>
        <v>55.77032972231973</v>
      </c>
    </row>
    <row r="1054" spans="1:29" x14ac:dyDescent="0.3">
      <c r="A1054" t="s">
        <v>22</v>
      </c>
      <c r="B1054">
        <v>2344</v>
      </c>
      <c r="C1054" t="s">
        <v>23</v>
      </c>
      <c r="D1054" t="s">
        <v>43</v>
      </c>
      <c r="E1054" t="s">
        <v>25</v>
      </c>
      <c r="F1054" t="s">
        <v>26</v>
      </c>
      <c r="G1054" t="s">
        <v>45</v>
      </c>
      <c r="H1054" s="1">
        <v>45090.717430555553</v>
      </c>
      <c r="I1054" s="1">
        <v>45091.717430555553</v>
      </c>
      <c r="J1054" s="1">
        <v>45090.718819444446</v>
      </c>
      <c r="K1054" s="2">
        <v>45090.718329236108</v>
      </c>
      <c r="L1054" t="s">
        <v>28</v>
      </c>
      <c r="M1054" s="2">
        <v>45091.618834687499</v>
      </c>
      <c r="N1054" t="s">
        <v>28</v>
      </c>
      <c r="O1054" s="2">
        <v>45095.147192372686</v>
      </c>
      <c r="P1054">
        <v>6</v>
      </c>
      <c r="Q1054">
        <v>5</v>
      </c>
      <c r="R1054" t="s">
        <v>50</v>
      </c>
      <c r="S1054" t="s">
        <v>30</v>
      </c>
      <c r="T1054" t="s">
        <v>58</v>
      </c>
      <c r="U1054">
        <v>49.8037633</v>
      </c>
      <c r="V1054">
        <v>15.4749126</v>
      </c>
      <c r="W1054" t="str">
        <f t="shared" si="113"/>
        <v>ok</v>
      </c>
      <c r="X1054" t="str">
        <f t="shared" si="119"/>
        <v>ok</v>
      </c>
      <c r="Y1054" t="str">
        <f t="shared" si="114"/>
        <v>ok</v>
      </c>
      <c r="Z1054" t="str">
        <f t="shared" si="115"/>
        <v>ok</v>
      </c>
      <c r="AA1054" s="4" t="str">
        <f t="shared" si="116"/>
        <v>ok</v>
      </c>
      <c r="AB1054" s="4" t="str">
        <f t="shared" si="117"/>
        <v>ok</v>
      </c>
      <c r="AC1054" s="6">
        <f t="shared" si="118"/>
        <v>21.633699166704901</v>
      </c>
    </row>
    <row r="1055" spans="1:29" x14ac:dyDescent="0.3">
      <c r="A1055" t="s">
        <v>22</v>
      </c>
      <c r="B1055">
        <v>2345</v>
      </c>
      <c r="C1055" t="s">
        <v>23</v>
      </c>
      <c r="D1055" t="s">
        <v>24</v>
      </c>
      <c r="E1055" t="s">
        <v>35</v>
      </c>
      <c r="F1055" t="s">
        <v>26</v>
      </c>
      <c r="G1055" t="s">
        <v>49</v>
      </c>
      <c r="H1055" s="1">
        <v>45090.399618055555</v>
      </c>
      <c r="I1055" s="1">
        <v>45092.399618055555</v>
      </c>
      <c r="J1055" s="1">
        <v>45090.441284722219</v>
      </c>
      <c r="K1055" s="2">
        <v>45090.41321298611</v>
      </c>
      <c r="L1055" t="s">
        <v>28</v>
      </c>
      <c r="M1055" s="2">
        <v>45091.445084548614</v>
      </c>
      <c r="N1055" t="s">
        <v>28</v>
      </c>
      <c r="O1055" s="2">
        <v>45096.324139652781</v>
      </c>
      <c r="P1055">
        <v>3</v>
      </c>
      <c r="Q1055">
        <v>4</v>
      </c>
      <c r="R1055" t="s">
        <v>50</v>
      </c>
      <c r="S1055" t="s">
        <v>30</v>
      </c>
      <c r="T1055" t="s">
        <v>66</v>
      </c>
      <c r="U1055">
        <v>48.864716000000001</v>
      </c>
      <c r="V1055">
        <v>2.3490139999999999</v>
      </c>
      <c r="W1055" t="str">
        <f t="shared" si="113"/>
        <v>ok</v>
      </c>
      <c r="X1055" t="str">
        <f t="shared" si="119"/>
        <v>ok</v>
      </c>
      <c r="Y1055" t="str">
        <f t="shared" si="114"/>
        <v>ok</v>
      </c>
      <c r="Z1055" t="str">
        <f t="shared" si="115"/>
        <v>ok</v>
      </c>
      <c r="AA1055" s="4" t="str">
        <f t="shared" si="116"/>
        <v>ok</v>
      </c>
      <c r="AB1055" s="4" t="str">
        <f t="shared" si="117"/>
        <v>ok</v>
      </c>
      <c r="AC1055" s="6">
        <f t="shared" si="118"/>
        <v>25.091195833403617</v>
      </c>
    </row>
    <row r="1056" spans="1:29" x14ac:dyDescent="0.3">
      <c r="A1056" t="s">
        <v>42</v>
      </c>
      <c r="B1056">
        <v>2346</v>
      </c>
      <c r="C1056" t="s">
        <v>23</v>
      </c>
      <c r="D1056" t="s">
        <v>24</v>
      </c>
      <c r="E1056" t="s">
        <v>35</v>
      </c>
      <c r="F1056" t="s">
        <v>26</v>
      </c>
      <c r="G1056" t="s">
        <v>49</v>
      </c>
      <c r="H1056" s="1">
        <v>45090.582407407404</v>
      </c>
      <c r="I1056" s="1">
        <v>45092.582407407404</v>
      </c>
      <c r="J1056" s="1">
        <v>45090.624074074076</v>
      </c>
      <c r="K1056" s="2">
        <v>45090.597355752318</v>
      </c>
      <c r="L1056" t="s">
        <v>28</v>
      </c>
      <c r="M1056" s="2">
        <v>45091.978130972224</v>
      </c>
      <c r="N1056" t="s">
        <v>28</v>
      </c>
      <c r="P1056">
        <v>9</v>
      </c>
      <c r="R1056" t="s">
        <v>50</v>
      </c>
      <c r="S1056" t="s">
        <v>30</v>
      </c>
      <c r="T1056" t="s">
        <v>57</v>
      </c>
      <c r="U1056">
        <v>51.165691000000002</v>
      </c>
      <c r="V1056">
        <v>10.451525999999999</v>
      </c>
      <c r="W1056" t="str">
        <f t="shared" si="113"/>
        <v>ok</v>
      </c>
      <c r="X1056" t="str">
        <f t="shared" si="119"/>
        <v>ok</v>
      </c>
      <c r="Y1056" t="str">
        <f t="shared" si="114"/>
        <v>ok</v>
      </c>
      <c r="Z1056" t="str">
        <f t="shared" si="115"/>
        <v>ok</v>
      </c>
      <c r="AA1056" s="4" t="str">
        <f t="shared" si="116"/>
        <v>ok</v>
      </c>
      <c r="AB1056" s="4" t="str">
        <f t="shared" si="117"/>
        <v>ok</v>
      </c>
      <c r="AC1056" s="6">
        <f t="shared" si="118"/>
        <v>33.497365555667784</v>
      </c>
    </row>
    <row r="1057" spans="1:29" x14ac:dyDescent="0.3">
      <c r="A1057" t="s">
        <v>22</v>
      </c>
      <c r="B1057">
        <v>2347</v>
      </c>
      <c r="C1057" t="s">
        <v>47</v>
      </c>
      <c r="D1057" t="s">
        <v>24</v>
      </c>
      <c r="E1057" t="s">
        <v>59</v>
      </c>
      <c r="F1057" t="s">
        <v>26</v>
      </c>
      <c r="G1057" t="s">
        <v>27</v>
      </c>
      <c r="H1057" s="1">
        <v>45090.07372685185</v>
      </c>
      <c r="I1057" s="1">
        <v>45092.07372685185</v>
      </c>
      <c r="J1057" s="1">
        <v>45090.115393518521</v>
      </c>
      <c r="K1057" s="2">
        <v>45090.079426018521</v>
      </c>
      <c r="L1057" t="s">
        <v>28</v>
      </c>
      <c r="M1057" s="2">
        <v>45090.862615416663</v>
      </c>
      <c r="N1057" t="s">
        <v>28</v>
      </c>
      <c r="O1057" s="2">
        <v>45095.659404351849</v>
      </c>
      <c r="P1057">
        <v>8</v>
      </c>
      <c r="Q1057">
        <v>4</v>
      </c>
      <c r="R1057" t="s">
        <v>29</v>
      </c>
      <c r="S1057" t="s">
        <v>30</v>
      </c>
      <c r="T1057" t="s">
        <v>56</v>
      </c>
      <c r="U1057">
        <v>52.536273000000001</v>
      </c>
      <c r="V1057">
        <v>19.050639</v>
      </c>
      <c r="W1057" t="str">
        <f t="shared" si="113"/>
        <v>ok</v>
      </c>
      <c r="X1057" t="str">
        <f t="shared" si="119"/>
        <v>ok</v>
      </c>
      <c r="Y1057" t="str">
        <f t="shared" si="114"/>
        <v>ok</v>
      </c>
      <c r="Z1057" t="str">
        <f t="shared" si="115"/>
        <v>ok</v>
      </c>
      <c r="AA1057" s="4" t="str">
        <f t="shared" si="116"/>
        <v>ok</v>
      </c>
      <c r="AB1057" s="4" t="str">
        <f t="shared" si="117"/>
        <v>ok</v>
      </c>
      <c r="AC1057" s="6">
        <f t="shared" si="118"/>
        <v>18.933325555524789</v>
      </c>
    </row>
    <row r="1058" spans="1:29" x14ac:dyDescent="0.3">
      <c r="A1058" t="s">
        <v>22</v>
      </c>
      <c r="B1058">
        <v>2348</v>
      </c>
      <c r="C1058" t="s">
        <v>23</v>
      </c>
      <c r="D1058" t="s">
        <v>43</v>
      </c>
      <c r="E1058" t="s">
        <v>48</v>
      </c>
      <c r="F1058" t="s">
        <v>26</v>
      </c>
      <c r="G1058" t="s">
        <v>52</v>
      </c>
      <c r="H1058" s="1">
        <v>45091.150682870371</v>
      </c>
      <c r="I1058" s="1">
        <v>45092.150682870371</v>
      </c>
      <c r="J1058" s="1">
        <v>45091.152071759258</v>
      </c>
      <c r="K1058" s="2">
        <v>45091.151530868054</v>
      </c>
      <c r="L1058" t="s">
        <v>28</v>
      </c>
      <c r="M1058" s="2">
        <v>45092.147453368052</v>
      </c>
      <c r="N1058" t="s">
        <v>28</v>
      </c>
      <c r="O1058" s="2">
        <v>45095.721139525464</v>
      </c>
      <c r="P1058">
        <v>3</v>
      </c>
      <c r="Q1058">
        <v>4</v>
      </c>
      <c r="R1058" t="s">
        <v>50</v>
      </c>
      <c r="S1058" t="s">
        <v>30</v>
      </c>
      <c r="T1058" t="s">
        <v>31</v>
      </c>
      <c r="U1058">
        <v>53.094023999999997</v>
      </c>
      <c r="V1058">
        <v>-8.0196749999999994</v>
      </c>
      <c r="W1058" t="str">
        <f t="shared" si="113"/>
        <v>ok</v>
      </c>
      <c r="X1058" t="str">
        <f t="shared" si="119"/>
        <v>ok</v>
      </c>
      <c r="Y1058" t="str">
        <f t="shared" si="114"/>
        <v>ok</v>
      </c>
      <c r="Z1058" t="str">
        <f t="shared" si="115"/>
        <v>ok</v>
      </c>
      <c r="AA1058" s="4" t="str">
        <f t="shared" si="116"/>
        <v>ok</v>
      </c>
      <c r="AB1058" s="4" t="str">
        <f t="shared" si="117"/>
        <v>ok</v>
      </c>
      <c r="AC1058" s="6">
        <f t="shared" si="118"/>
        <v>23.922491944336798</v>
      </c>
    </row>
    <row r="1059" spans="1:29" x14ac:dyDescent="0.3">
      <c r="A1059" t="s">
        <v>42</v>
      </c>
      <c r="B1059">
        <v>2349</v>
      </c>
      <c r="C1059" t="s">
        <v>23</v>
      </c>
      <c r="D1059" t="s">
        <v>34</v>
      </c>
      <c r="E1059" t="s">
        <v>44</v>
      </c>
      <c r="F1059" t="s">
        <v>26</v>
      </c>
      <c r="G1059" t="s">
        <v>60</v>
      </c>
      <c r="H1059" s="1">
        <v>45091.212013888886</v>
      </c>
      <c r="I1059" s="1">
        <v>45093.212013888886</v>
      </c>
      <c r="J1059" s="1">
        <v>45091.213402777779</v>
      </c>
      <c r="K1059" s="2">
        <v>45091.215892789354</v>
      </c>
      <c r="L1059" t="s">
        <v>38</v>
      </c>
      <c r="M1059" s="2">
        <v>45092.046321064816</v>
      </c>
      <c r="N1059" t="s">
        <v>28</v>
      </c>
      <c r="P1059">
        <v>6</v>
      </c>
      <c r="R1059" t="s">
        <v>50</v>
      </c>
      <c r="S1059" t="s">
        <v>30</v>
      </c>
      <c r="T1059" t="s">
        <v>57</v>
      </c>
      <c r="U1059">
        <v>51.165691000000002</v>
      </c>
      <c r="V1059">
        <v>10.451525999999999</v>
      </c>
      <c r="W1059" t="str">
        <f t="shared" si="113"/>
        <v>ok</v>
      </c>
      <c r="X1059" t="str">
        <f t="shared" si="119"/>
        <v>ok</v>
      </c>
      <c r="Y1059" t="str">
        <f t="shared" si="114"/>
        <v>ok</v>
      </c>
      <c r="Z1059" t="str">
        <f t="shared" si="115"/>
        <v>ok</v>
      </c>
      <c r="AA1059" s="4" t="str">
        <f t="shared" si="116"/>
        <v>ok</v>
      </c>
      <c r="AB1059" s="4" t="str">
        <f t="shared" si="117"/>
        <v>ok</v>
      </c>
      <c r="AC1059" s="6">
        <f t="shared" si="118"/>
        <v>20.023372222320177</v>
      </c>
    </row>
    <row r="1060" spans="1:29" x14ac:dyDescent="0.3">
      <c r="A1060" t="s">
        <v>42</v>
      </c>
      <c r="B1060">
        <v>2350</v>
      </c>
      <c r="C1060" t="s">
        <v>47</v>
      </c>
      <c r="D1060" t="s">
        <v>24</v>
      </c>
      <c r="E1060" t="s">
        <v>25</v>
      </c>
      <c r="F1060" t="s">
        <v>26</v>
      </c>
      <c r="G1060" t="s">
        <v>52</v>
      </c>
      <c r="H1060" s="1">
        <v>45091.592731481483</v>
      </c>
      <c r="I1060" s="1">
        <v>45093.592731481483</v>
      </c>
      <c r="J1060" s="1">
        <v>45091.634398148148</v>
      </c>
      <c r="K1060" s="2">
        <v>45091.625838784719</v>
      </c>
      <c r="L1060" t="s">
        <v>28</v>
      </c>
      <c r="M1060" s="2">
        <v>45092.204591655092</v>
      </c>
      <c r="N1060" t="s">
        <v>28</v>
      </c>
      <c r="P1060">
        <v>6</v>
      </c>
      <c r="R1060" t="s">
        <v>50</v>
      </c>
      <c r="S1060" t="s">
        <v>30</v>
      </c>
      <c r="T1060" t="s">
        <v>57</v>
      </c>
      <c r="U1060">
        <v>51.165691000000002</v>
      </c>
      <c r="V1060">
        <v>10.451525999999999</v>
      </c>
      <c r="W1060" t="str">
        <f t="shared" si="113"/>
        <v>ok</v>
      </c>
      <c r="X1060" t="str">
        <f t="shared" si="119"/>
        <v>ok</v>
      </c>
      <c r="Y1060" t="str">
        <f t="shared" si="114"/>
        <v>ok</v>
      </c>
      <c r="Z1060" t="str">
        <f t="shared" si="115"/>
        <v>ok</v>
      </c>
      <c r="AA1060" s="4" t="str">
        <f t="shared" si="116"/>
        <v>ok</v>
      </c>
      <c r="AB1060" s="4" t="str">
        <f t="shared" si="117"/>
        <v>ok</v>
      </c>
      <c r="AC1060" s="6">
        <f t="shared" si="118"/>
        <v>14.684644166612998</v>
      </c>
    </row>
    <row r="1061" spans="1:29" x14ac:dyDescent="0.3">
      <c r="A1061" t="s">
        <v>22</v>
      </c>
      <c r="B1061">
        <v>2351</v>
      </c>
      <c r="C1061" t="s">
        <v>23</v>
      </c>
      <c r="D1061" t="s">
        <v>34</v>
      </c>
      <c r="E1061" t="s">
        <v>35</v>
      </c>
      <c r="F1061" t="s">
        <v>36</v>
      </c>
      <c r="G1061" t="s">
        <v>37</v>
      </c>
      <c r="H1061" s="1">
        <v>45091.317997685182</v>
      </c>
      <c r="I1061" s="1">
        <v>45093.317997685182</v>
      </c>
      <c r="J1061" s="1">
        <v>45091.319386574076</v>
      </c>
      <c r="K1061" s="2">
        <v>45091.318953564813</v>
      </c>
      <c r="L1061" t="s">
        <v>28</v>
      </c>
      <c r="M1061" s="2">
        <v>45092.467173680554</v>
      </c>
      <c r="N1061" t="s">
        <v>28</v>
      </c>
      <c r="O1061" s="2">
        <v>45097.750970092595</v>
      </c>
      <c r="P1061">
        <v>7</v>
      </c>
      <c r="Q1061">
        <v>1</v>
      </c>
      <c r="R1061" t="s">
        <v>50</v>
      </c>
      <c r="S1061" t="s">
        <v>40</v>
      </c>
      <c r="T1061" t="s">
        <v>31</v>
      </c>
      <c r="U1061">
        <v>53.094023999999997</v>
      </c>
      <c r="V1061">
        <v>-8.0196749999999994</v>
      </c>
      <c r="W1061" t="str">
        <f t="shared" si="113"/>
        <v>ok</v>
      </c>
      <c r="X1061" t="str">
        <f t="shared" si="119"/>
        <v>ok</v>
      </c>
      <c r="Y1061" t="str">
        <f t="shared" si="114"/>
        <v>ok</v>
      </c>
      <c r="Z1061" t="str">
        <f t="shared" si="115"/>
        <v>ok</v>
      </c>
      <c r="AA1061" s="4" t="str">
        <f t="shared" si="116"/>
        <v>ok</v>
      </c>
      <c r="AB1061" s="4" t="str">
        <f t="shared" si="117"/>
        <v>ok</v>
      </c>
      <c r="AC1061" s="6">
        <f t="shared" si="118"/>
        <v>27.580223888915498</v>
      </c>
    </row>
    <row r="1062" spans="1:29" x14ac:dyDescent="0.3">
      <c r="A1062" t="s">
        <v>42</v>
      </c>
      <c r="B1062">
        <v>2352</v>
      </c>
      <c r="C1062" t="s">
        <v>33</v>
      </c>
      <c r="D1062" t="s">
        <v>24</v>
      </c>
      <c r="E1062" t="s">
        <v>62</v>
      </c>
      <c r="F1062" t="s">
        <v>36</v>
      </c>
      <c r="G1062" t="s">
        <v>54</v>
      </c>
      <c r="H1062" s="1">
        <v>45091.809444444443</v>
      </c>
      <c r="I1062" s="1">
        <v>45093.809444444443</v>
      </c>
      <c r="J1062" s="1">
        <v>45091.851111111115</v>
      </c>
      <c r="K1062" s="2">
        <v>45091.81087883102</v>
      </c>
      <c r="L1062" t="s">
        <v>28</v>
      </c>
      <c r="M1062" s="2">
        <v>45096.641078599539</v>
      </c>
      <c r="N1062" t="s">
        <v>38</v>
      </c>
      <c r="P1062">
        <v>10</v>
      </c>
      <c r="R1062" t="s">
        <v>55</v>
      </c>
      <c r="S1062" t="s">
        <v>40</v>
      </c>
      <c r="T1062" t="s">
        <v>61</v>
      </c>
      <c r="U1062">
        <v>42.724992499999999</v>
      </c>
      <c r="V1062">
        <v>25.483303899999999</v>
      </c>
      <c r="W1062" t="str">
        <f t="shared" si="113"/>
        <v>ok</v>
      </c>
      <c r="X1062" t="str">
        <f t="shared" si="119"/>
        <v>ok</v>
      </c>
      <c r="Y1062" t="str">
        <f t="shared" si="114"/>
        <v>ok</v>
      </c>
      <c r="Z1062" t="str">
        <f t="shared" si="115"/>
        <v>ok</v>
      </c>
      <c r="AA1062" s="4" t="str">
        <f t="shared" si="116"/>
        <v>ok</v>
      </c>
      <c r="AB1062" s="4" t="str">
        <f t="shared" si="117"/>
        <v>ok</v>
      </c>
      <c r="AC1062" s="6">
        <f t="shared" si="118"/>
        <v>115.95921972231008</v>
      </c>
    </row>
    <row r="1063" spans="1:29" x14ac:dyDescent="0.3">
      <c r="A1063" t="s">
        <v>22</v>
      </c>
      <c r="B1063">
        <v>2353</v>
      </c>
      <c r="C1063" t="s">
        <v>47</v>
      </c>
      <c r="D1063" t="s">
        <v>24</v>
      </c>
      <c r="E1063" t="s">
        <v>35</v>
      </c>
      <c r="F1063" t="s">
        <v>26</v>
      </c>
      <c r="G1063" t="s">
        <v>60</v>
      </c>
      <c r="H1063" s="1">
        <v>45091.364016203705</v>
      </c>
      <c r="I1063" s="1">
        <v>45093.364016203705</v>
      </c>
      <c r="J1063" s="1">
        <v>45091.405682870369</v>
      </c>
      <c r="K1063" s="2">
        <v>45091.462094525465</v>
      </c>
      <c r="L1063" t="s">
        <v>38</v>
      </c>
      <c r="M1063" s="2">
        <v>45093.469622800927</v>
      </c>
      <c r="N1063" t="s">
        <v>38</v>
      </c>
      <c r="O1063" s="2">
        <v>45094.096639745374</v>
      </c>
      <c r="P1063">
        <v>3</v>
      </c>
      <c r="Q1063">
        <v>3</v>
      </c>
      <c r="R1063" t="s">
        <v>55</v>
      </c>
      <c r="S1063" t="s">
        <v>30</v>
      </c>
      <c r="T1063" t="s">
        <v>63</v>
      </c>
      <c r="U1063">
        <v>55.378051999999997</v>
      </c>
      <c r="V1063">
        <v>-3.4359730000000002</v>
      </c>
      <c r="W1063" t="str">
        <f t="shared" si="113"/>
        <v>ok</v>
      </c>
      <c r="X1063" t="str">
        <f t="shared" si="119"/>
        <v>ok</v>
      </c>
      <c r="Y1063" t="str">
        <f t="shared" si="114"/>
        <v>ok</v>
      </c>
      <c r="Z1063" t="str">
        <f t="shared" si="115"/>
        <v>ok</v>
      </c>
      <c r="AA1063" s="4" t="str">
        <f t="shared" si="116"/>
        <v>ok</v>
      </c>
      <c r="AB1063" s="4" t="str">
        <f t="shared" si="117"/>
        <v>ok</v>
      </c>
      <c r="AC1063" s="6">
        <f t="shared" si="118"/>
        <v>50.534558333340101</v>
      </c>
    </row>
    <row r="1064" spans="1:29" x14ac:dyDescent="0.3">
      <c r="A1064" t="s">
        <v>22</v>
      </c>
      <c r="B1064">
        <v>2354</v>
      </c>
      <c r="C1064" t="s">
        <v>47</v>
      </c>
      <c r="D1064" t="s">
        <v>24</v>
      </c>
      <c r="E1064" t="s">
        <v>59</v>
      </c>
      <c r="F1064" t="s">
        <v>26</v>
      </c>
      <c r="G1064" t="s">
        <v>52</v>
      </c>
      <c r="H1064" s="1">
        <v>45091.144247685188</v>
      </c>
      <c r="I1064" s="1">
        <v>45093.144247685188</v>
      </c>
      <c r="J1064" s="1">
        <v>45091.185914351852</v>
      </c>
      <c r="K1064" s="2">
        <v>45091.152048229167</v>
      </c>
      <c r="L1064" t="s">
        <v>28</v>
      </c>
      <c r="M1064" s="2">
        <v>45092.8122175463</v>
      </c>
      <c r="N1064" t="s">
        <v>28</v>
      </c>
      <c r="O1064" s="2">
        <v>45096.909830034725</v>
      </c>
      <c r="P1064">
        <v>9</v>
      </c>
      <c r="Q1064">
        <v>4</v>
      </c>
      <c r="R1064" t="s">
        <v>50</v>
      </c>
      <c r="S1064" t="s">
        <v>30</v>
      </c>
      <c r="T1064" t="s">
        <v>58</v>
      </c>
      <c r="U1064">
        <v>49.8037633</v>
      </c>
      <c r="V1064">
        <v>15.4749126</v>
      </c>
      <c r="W1064" t="str">
        <f t="shared" si="113"/>
        <v>ok</v>
      </c>
      <c r="X1064" t="str">
        <f t="shared" si="119"/>
        <v>ok</v>
      </c>
      <c r="Y1064" t="str">
        <f t="shared" si="114"/>
        <v>ok</v>
      </c>
      <c r="Z1064" t="str">
        <f t="shared" si="115"/>
        <v>ok</v>
      </c>
      <c r="AA1064" s="4" t="str">
        <f t="shared" si="116"/>
        <v>ok</v>
      </c>
      <c r="AB1064" s="4" t="str">
        <f t="shared" si="117"/>
        <v>ok</v>
      </c>
      <c r="AC1064" s="6">
        <f t="shared" si="118"/>
        <v>40.031276666675694</v>
      </c>
    </row>
    <row r="1065" spans="1:29" x14ac:dyDescent="0.3">
      <c r="A1065" t="s">
        <v>32</v>
      </c>
      <c r="B1065">
        <v>2355</v>
      </c>
      <c r="C1065" t="s">
        <v>47</v>
      </c>
      <c r="D1065" t="s">
        <v>43</v>
      </c>
      <c r="E1065" t="s">
        <v>48</v>
      </c>
      <c r="F1065" t="s">
        <v>36</v>
      </c>
      <c r="G1065" t="s">
        <v>64</v>
      </c>
      <c r="H1065" s="1">
        <v>45092.322476851848</v>
      </c>
      <c r="I1065" s="1">
        <v>45093.322476851848</v>
      </c>
      <c r="J1065" s="1">
        <v>45092.323865740742</v>
      </c>
      <c r="K1065" s="2">
        <v>45092.323533287039</v>
      </c>
      <c r="L1065" t="s">
        <v>28</v>
      </c>
      <c r="N1065" t="s">
        <v>38</v>
      </c>
      <c r="P1065">
        <v>7</v>
      </c>
      <c r="R1065" t="s">
        <v>50</v>
      </c>
      <c r="S1065" t="s">
        <v>40</v>
      </c>
      <c r="T1065" t="s">
        <v>46</v>
      </c>
      <c r="U1065">
        <v>47.696471899999999</v>
      </c>
      <c r="V1065">
        <v>13.3457347</v>
      </c>
      <c r="W1065" t="str">
        <f t="shared" si="113"/>
        <v>ok</v>
      </c>
      <c r="X1065" t="str">
        <f t="shared" si="119"/>
        <v>ok</v>
      </c>
      <c r="Y1065" t="str">
        <f t="shared" si="114"/>
        <v>ok</v>
      </c>
      <c r="Z1065" t="str">
        <f t="shared" si="115"/>
        <v>ok</v>
      </c>
      <c r="AA1065" s="4" t="str">
        <f t="shared" si="116"/>
        <v>ok</v>
      </c>
      <c r="AB1065" s="4" t="str">
        <f t="shared" si="117"/>
        <v>no resolution</v>
      </c>
      <c r="AC1065" s="6" t="str">
        <f t="shared" si="118"/>
        <v/>
      </c>
    </row>
    <row r="1066" spans="1:29" x14ac:dyDescent="0.3">
      <c r="A1066" t="s">
        <v>22</v>
      </c>
      <c r="B1066">
        <v>2356</v>
      </c>
      <c r="C1066" t="s">
        <v>47</v>
      </c>
      <c r="D1066" t="s">
        <v>43</v>
      </c>
      <c r="E1066" t="s">
        <v>25</v>
      </c>
      <c r="F1066" t="s">
        <v>36</v>
      </c>
      <c r="G1066" t="s">
        <v>54</v>
      </c>
      <c r="H1066" s="1">
        <v>45092.398125</v>
      </c>
      <c r="I1066" s="1">
        <v>45093.398125</v>
      </c>
      <c r="J1066" s="1">
        <v>45092.399513888886</v>
      </c>
      <c r="K1066" s="2">
        <v>45092.401771724537</v>
      </c>
      <c r="L1066" t="s">
        <v>38</v>
      </c>
      <c r="M1066" s="2">
        <v>45093.085975856484</v>
      </c>
      <c r="N1066" t="s">
        <v>28</v>
      </c>
      <c r="O1066" s="2">
        <v>45094.962972071757</v>
      </c>
      <c r="P1066">
        <v>6</v>
      </c>
      <c r="Q1066">
        <v>3</v>
      </c>
      <c r="R1066" t="s">
        <v>39</v>
      </c>
      <c r="S1066" t="s">
        <v>40</v>
      </c>
      <c r="T1066" t="s">
        <v>65</v>
      </c>
      <c r="U1066">
        <v>46.149166399999999</v>
      </c>
      <c r="V1066">
        <v>14.9860106</v>
      </c>
      <c r="W1066" t="str">
        <f t="shared" si="113"/>
        <v>ok</v>
      </c>
      <c r="X1066" t="str">
        <f t="shared" si="119"/>
        <v>ok</v>
      </c>
      <c r="Y1066" t="str">
        <f t="shared" si="114"/>
        <v>ok</v>
      </c>
      <c r="Z1066" t="str">
        <f t="shared" si="115"/>
        <v>ok</v>
      </c>
      <c r="AA1066" s="4" t="str">
        <f t="shared" si="116"/>
        <v>ok</v>
      </c>
      <c r="AB1066" s="4" t="str">
        <f t="shared" si="117"/>
        <v>ok</v>
      </c>
      <c r="AC1066" s="6">
        <f t="shared" si="118"/>
        <v>16.508420555619523</v>
      </c>
    </row>
    <row r="1067" spans="1:29" x14ac:dyDescent="0.3">
      <c r="A1067" t="s">
        <v>32</v>
      </c>
      <c r="B1067">
        <v>2357</v>
      </c>
      <c r="C1067" t="s">
        <v>33</v>
      </c>
      <c r="D1067" t="s">
        <v>24</v>
      </c>
      <c r="E1067" t="s">
        <v>25</v>
      </c>
      <c r="F1067" t="s">
        <v>36</v>
      </c>
      <c r="G1067" t="s">
        <v>54</v>
      </c>
      <c r="H1067" s="1">
        <v>45092.133125</v>
      </c>
      <c r="I1067" s="1">
        <v>45094.133125</v>
      </c>
      <c r="J1067" s="1">
        <v>45092.174791666665</v>
      </c>
      <c r="K1067" s="2">
        <v>45092.150365300928</v>
      </c>
      <c r="L1067" t="s">
        <v>28</v>
      </c>
      <c r="N1067" t="s">
        <v>38</v>
      </c>
      <c r="P1067">
        <v>5</v>
      </c>
      <c r="R1067" t="s">
        <v>29</v>
      </c>
      <c r="S1067" t="s">
        <v>40</v>
      </c>
      <c r="T1067" t="s">
        <v>63</v>
      </c>
      <c r="U1067">
        <v>55.378051999999997</v>
      </c>
      <c r="V1067">
        <v>-3.4359730000000002</v>
      </c>
      <c r="W1067" t="str">
        <f t="shared" si="113"/>
        <v>ok</v>
      </c>
      <c r="X1067" t="str">
        <f t="shared" si="119"/>
        <v>ok</v>
      </c>
      <c r="Y1067" t="str">
        <f t="shared" si="114"/>
        <v>ok</v>
      </c>
      <c r="Z1067" t="str">
        <f t="shared" si="115"/>
        <v>ok</v>
      </c>
      <c r="AA1067" s="4" t="str">
        <f t="shared" si="116"/>
        <v>ok</v>
      </c>
      <c r="AB1067" s="4" t="str">
        <f t="shared" si="117"/>
        <v>no resolution</v>
      </c>
      <c r="AC1067" s="6" t="str">
        <f t="shared" si="118"/>
        <v/>
      </c>
    </row>
    <row r="1068" spans="1:29" x14ac:dyDescent="0.3">
      <c r="A1068" t="s">
        <v>22</v>
      </c>
      <c r="B1068">
        <v>2358</v>
      </c>
      <c r="C1068" t="s">
        <v>47</v>
      </c>
      <c r="D1068" t="s">
        <v>24</v>
      </c>
      <c r="E1068" t="s">
        <v>35</v>
      </c>
      <c r="F1068" t="s">
        <v>36</v>
      </c>
      <c r="G1068" t="s">
        <v>64</v>
      </c>
      <c r="H1068" s="1">
        <v>45092.799340277779</v>
      </c>
      <c r="I1068" s="1">
        <v>45094.799340277779</v>
      </c>
      <c r="J1068" s="1">
        <v>45092.841006944444</v>
      </c>
      <c r="K1068" s="2">
        <v>45092.837285277776</v>
      </c>
      <c r="L1068" t="s">
        <v>28</v>
      </c>
      <c r="M1068" s="2">
        <v>45093.707363275462</v>
      </c>
      <c r="N1068" t="s">
        <v>28</v>
      </c>
      <c r="O1068" s="2">
        <v>45095.369744594907</v>
      </c>
      <c r="P1068">
        <v>8</v>
      </c>
      <c r="Q1068">
        <v>1</v>
      </c>
      <c r="R1068" t="s">
        <v>55</v>
      </c>
      <c r="S1068" t="s">
        <v>40</v>
      </c>
      <c r="T1068" t="s">
        <v>31</v>
      </c>
      <c r="U1068">
        <v>53.094023999999997</v>
      </c>
      <c r="V1068">
        <v>-8.0196749999999994</v>
      </c>
      <c r="W1068" t="str">
        <f t="shared" si="113"/>
        <v>ok</v>
      </c>
      <c r="X1068" t="str">
        <f t="shared" si="119"/>
        <v>ok</v>
      </c>
      <c r="Y1068" t="str">
        <f t="shared" si="114"/>
        <v>ok</v>
      </c>
      <c r="Z1068" t="str">
        <f t="shared" si="115"/>
        <v>ok</v>
      </c>
      <c r="AA1068" s="4" t="str">
        <f t="shared" si="116"/>
        <v>ok</v>
      </c>
      <c r="AB1068" s="4" t="str">
        <f t="shared" si="117"/>
        <v>ok</v>
      </c>
      <c r="AC1068" s="6">
        <f t="shared" si="118"/>
        <v>21.792551944381557</v>
      </c>
    </row>
    <row r="1069" spans="1:29" x14ac:dyDescent="0.3">
      <c r="A1069" t="s">
        <v>22</v>
      </c>
      <c r="B1069">
        <v>2359</v>
      </c>
      <c r="C1069" t="s">
        <v>23</v>
      </c>
      <c r="D1069" t="s">
        <v>43</v>
      </c>
      <c r="E1069" t="s">
        <v>35</v>
      </c>
      <c r="F1069" t="s">
        <v>36</v>
      </c>
      <c r="G1069" t="s">
        <v>37</v>
      </c>
      <c r="H1069" s="1">
        <v>45092.1405787037</v>
      </c>
      <c r="I1069" s="1">
        <v>45093.1405787037</v>
      </c>
      <c r="J1069" s="1">
        <v>45092.141967592594</v>
      </c>
      <c r="K1069" s="2">
        <v>45092.141828761574</v>
      </c>
      <c r="L1069" t="s">
        <v>28</v>
      </c>
      <c r="M1069" s="2">
        <v>45092.449809583333</v>
      </c>
      <c r="N1069" t="s">
        <v>28</v>
      </c>
      <c r="O1069" s="2">
        <v>45093.40768261574</v>
      </c>
      <c r="P1069">
        <v>4</v>
      </c>
      <c r="Q1069">
        <v>3</v>
      </c>
      <c r="R1069" t="s">
        <v>29</v>
      </c>
      <c r="S1069" t="s">
        <v>40</v>
      </c>
      <c r="T1069" t="s">
        <v>66</v>
      </c>
      <c r="U1069">
        <v>48.864716000000001</v>
      </c>
      <c r="V1069">
        <v>2.3490139999999999</v>
      </c>
      <c r="W1069" t="str">
        <f t="shared" si="113"/>
        <v>ok</v>
      </c>
      <c r="X1069" t="str">
        <f t="shared" si="119"/>
        <v>ok</v>
      </c>
      <c r="Y1069" t="str">
        <f t="shared" si="114"/>
        <v>ok</v>
      </c>
      <c r="Z1069" t="str">
        <f t="shared" si="115"/>
        <v>ok</v>
      </c>
      <c r="AA1069" s="4" t="str">
        <f t="shared" si="116"/>
        <v>ok</v>
      </c>
      <c r="AB1069" s="4" t="str">
        <f t="shared" si="117"/>
        <v>ok</v>
      </c>
      <c r="AC1069" s="6">
        <f t="shared" si="118"/>
        <v>7.4215411111945286</v>
      </c>
    </row>
    <row r="1070" spans="1:29" x14ac:dyDescent="0.3">
      <c r="A1070" t="s">
        <v>22</v>
      </c>
      <c r="B1070">
        <v>2360</v>
      </c>
      <c r="C1070" t="s">
        <v>23</v>
      </c>
      <c r="D1070" t="s">
        <v>43</v>
      </c>
      <c r="E1070" t="s">
        <v>62</v>
      </c>
      <c r="F1070" t="s">
        <v>26</v>
      </c>
      <c r="G1070" t="s">
        <v>60</v>
      </c>
      <c r="H1070" s="1">
        <v>45092.532789351855</v>
      </c>
      <c r="I1070" s="1">
        <v>45093.532789351855</v>
      </c>
      <c r="J1070" s="1">
        <v>45092.534178240741</v>
      </c>
      <c r="K1070" s="2">
        <v>45092.53359673611</v>
      </c>
      <c r="L1070" t="s">
        <v>28</v>
      </c>
      <c r="M1070" s="2">
        <v>45093.374588356484</v>
      </c>
      <c r="N1070" t="s">
        <v>28</v>
      </c>
      <c r="O1070" s="2">
        <v>45095.976896921296</v>
      </c>
      <c r="P1070">
        <v>6</v>
      </c>
      <c r="Q1070">
        <v>4</v>
      </c>
      <c r="R1070" t="s">
        <v>55</v>
      </c>
      <c r="S1070" t="s">
        <v>30</v>
      </c>
      <c r="T1070" t="s">
        <v>57</v>
      </c>
      <c r="U1070">
        <v>51.165691000000002</v>
      </c>
      <c r="V1070">
        <v>10.451525999999999</v>
      </c>
      <c r="W1070" t="str">
        <f t="shared" si="113"/>
        <v>ok</v>
      </c>
      <c r="X1070" t="str">
        <f t="shared" si="119"/>
        <v>ok</v>
      </c>
      <c r="Y1070" t="str">
        <f t="shared" si="114"/>
        <v>ok</v>
      </c>
      <c r="Z1070" t="str">
        <f t="shared" si="115"/>
        <v>ok</v>
      </c>
      <c r="AA1070" s="4" t="str">
        <f t="shared" si="116"/>
        <v>ok</v>
      </c>
      <c r="AB1070" s="4" t="str">
        <f t="shared" si="117"/>
        <v>ok</v>
      </c>
      <c r="AC1070" s="6">
        <f t="shared" si="118"/>
        <v>20.20317611109931</v>
      </c>
    </row>
    <row r="1071" spans="1:29" x14ac:dyDescent="0.3">
      <c r="A1071" t="s">
        <v>42</v>
      </c>
      <c r="B1071">
        <v>2361</v>
      </c>
      <c r="C1071" t="s">
        <v>23</v>
      </c>
      <c r="D1071" t="s">
        <v>24</v>
      </c>
      <c r="E1071" t="s">
        <v>25</v>
      </c>
      <c r="F1071" t="s">
        <v>36</v>
      </c>
      <c r="G1071" t="s">
        <v>64</v>
      </c>
      <c r="H1071" s="1">
        <v>45092.075520833336</v>
      </c>
      <c r="I1071" s="1">
        <v>45094.075520833336</v>
      </c>
      <c r="J1071" s="1">
        <v>45092.1171875</v>
      </c>
      <c r="K1071" s="2">
        <v>45092.095234340275</v>
      </c>
      <c r="L1071" t="s">
        <v>28</v>
      </c>
      <c r="M1071" s="2">
        <v>45092.244397638889</v>
      </c>
      <c r="N1071" t="s">
        <v>28</v>
      </c>
      <c r="P1071">
        <v>2</v>
      </c>
      <c r="R1071" t="s">
        <v>50</v>
      </c>
      <c r="S1071" t="s">
        <v>40</v>
      </c>
      <c r="T1071" t="s">
        <v>53</v>
      </c>
      <c r="U1071">
        <v>39.368279000000001</v>
      </c>
      <c r="V1071">
        <v>21.863140999999999</v>
      </c>
      <c r="W1071" t="str">
        <f t="shared" si="113"/>
        <v>ok</v>
      </c>
      <c r="X1071" t="str">
        <f t="shared" si="119"/>
        <v>ok</v>
      </c>
      <c r="Y1071" t="str">
        <f t="shared" si="114"/>
        <v>ok</v>
      </c>
      <c r="Z1071" t="str">
        <f t="shared" si="115"/>
        <v>ok</v>
      </c>
      <c r="AA1071" s="4" t="str">
        <f t="shared" si="116"/>
        <v>ok</v>
      </c>
      <c r="AB1071" s="4" t="str">
        <f t="shared" si="117"/>
        <v>ok</v>
      </c>
      <c r="AC1071" s="6">
        <f t="shared" si="118"/>
        <v>4.0530433332896791</v>
      </c>
    </row>
    <row r="1072" spans="1:29" x14ac:dyDescent="0.3">
      <c r="A1072" t="s">
        <v>22</v>
      </c>
      <c r="B1072">
        <v>2362</v>
      </c>
      <c r="C1072" t="s">
        <v>47</v>
      </c>
      <c r="D1072" t="s">
        <v>24</v>
      </c>
      <c r="E1072" t="s">
        <v>62</v>
      </c>
      <c r="F1072" t="s">
        <v>36</v>
      </c>
      <c r="G1072" t="s">
        <v>64</v>
      </c>
      <c r="H1072" s="1">
        <v>45092.907141203701</v>
      </c>
      <c r="I1072" s="1">
        <v>45094.907141203701</v>
      </c>
      <c r="J1072" s="1">
        <v>45092.948807870373</v>
      </c>
      <c r="K1072" s="2">
        <v>45092.938777928241</v>
      </c>
      <c r="L1072" t="s">
        <v>28</v>
      </c>
      <c r="M1072" s="2">
        <v>45094.345256678243</v>
      </c>
      <c r="N1072" t="s">
        <v>28</v>
      </c>
      <c r="O1072" s="2">
        <v>45093.714537743057</v>
      </c>
      <c r="P1072">
        <v>10</v>
      </c>
      <c r="Q1072">
        <v>2</v>
      </c>
      <c r="R1072" t="s">
        <v>55</v>
      </c>
      <c r="S1072" t="s">
        <v>40</v>
      </c>
      <c r="T1072" t="s">
        <v>56</v>
      </c>
      <c r="U1072">
        <v>52.536273000000001</v>
      </c>
      <c r="V1072">
        <v>19.050639</v>
      </c>
      <c r="W1072" t="str">
        <f t="shared" si="113"/>
        <v>ok</v>
      </c>
      <c r="X1072" t="str">
        <f t="shared" si="119"/>
        <v>ok</v>
      </c>
      <c r="Y1072" t="str">
        <f t="shared" si="114"/>
        <v>check</v>
      </c>
      <c r="Z1072" t="str">
        <f t="shared" si="115"/>
        <v>ok</v>
      </c>
      <c r="AA1072" s="4" t="str">
        <f t="shared" si="116"/>
        <v>ok</v>
      </c>
      <c r="AB1072" s="4" t="str">
        <f t="shared" si="117"/>
        <v>ok</v>
      </c>
      <c r="AC1072" s="6">
        <f t="shared" si="118"/>
        <v>34.514771389018279</v>
      </c>
    </row>
    <row r="1073" spans="1:29" x14ac:dyDescent="0.3">
      <c r="A1073" t="s">
        <v>42</v>
      </c>
      <c r="B1073">
        <v>2363</v>
      </c>
      <c r="C1073" t="s">
        <v>47</v>
      </c>
      <c r="D1073" t="s">
        <v>24</v>
      </c>
      <c r="E1073" t="s">
        <v>25</v>
      </c>
      <c r="F1073" t="s">
        <v>36</v>
      </c>
      <c r="G1073" t="s">
        <v>37</v>
      </c>
      <c r="H1073" s="1">
        <v>45092.037962962961</v>
      </c>
      <c r="I1073" s="1">
        <v>45094.037962962961</v>
      </c>
      <c r="J1073" s="1">
        <v>45092.079629629632</v>
      </c>
      <c r="K1073" s="2">
        <v>45092.071572997687</v>
      </c>
      <c r="L1073" t="s">
        <v>28</v>
      </c>
      <c r="M1073" s="2">
        <v>45093.852241250002</v>
      </c>
      <c r="N1073" t="s">
        <v>28</v>
      </c>
      <c r="P1073">
        <v>7</v>
      </c>
      <c r="R1073" t="s">
        <v>29</v>
      </c>
      <c r="S1073" t="s">
        <v>40</v>
      </c>
      <c r="T1073" t="s">
        <v>63</v>
      </c>
      <c r="U1073">
        <v>55.378051999999997</v>
      </c>
      <c r="V1073">
        <v>-3.4359730000000002</v>
      </c>
      <c r="W1073" t="str">
        <f t="shared" si="113"/>
        <v>ok</v>
      </c>
      <c r="X1073" t="str">
        <f t="shared" si="119"/>
        <v>ok</v>
      </c>
      <c r="Y1073" t="str">
        <f t="shared" si="114"/>
        <v>ok</v>
      </c>
      <c r="Z1073" t="str">
        <f t="shared" si="115"/>
        <v>ok</v>
      </c>
      <c r="AA1073" s="4" t="str">
        <f t="shared" si="116"/>
        <v>ok</v>
      </c>
      <c r="AB1073" s="4" t="str">
        <f t="shared" si="117"/>
        <v>ok</v>
      </c>
      <c r="AC1073" s="6">
        <f t="shared" si="118"/>
        <v>43.542678889003582</v>
      </c>
    </row>
    <row r="1074" spans="1:29" x14ac:dyDescent="0.3">
      <c r="A1074" t="s">
        <v>42</v>
      </c>
      <c r="B1074">
        <v>2364</v>
      </c>
      <c r="C1074" t="s">
        <v>23</v>
      </c>
      <c r="D1074" t="s">
        <v>24</v>
      </c>
      <c r="E1074" t="s">
        <v>25</v>
      </c>
      <c r="F1074" t="s">
        <v>26</v>
      </c>
      <c r="G1074" t="s">
        <v>49</v>
      </c>
      <c r="H1074" s="1">
        <v>45093.911458333336</v>
      </c>
      <c r="I1074" s="1">
        <v>45095.911458333336</v>
      </c>
      <c r="J1074" s="1">
        <v>45093.953125</v>
      </c>
      <c r="K1074" s="2">
        <v>45093.948179907406</v>
      </c>
      <c r="L1074" t="s">
        <v>28</v>
      </c>
      <c r="M1074" s="2">
        <v>45098.544048888885</v>
      </c>
      <c r="N1074" t="s">
        <v>38</v>
      </c>
      <c r="P1074">
        <v>1</v>
      </c>
      <c r="R1074" t="s">
        <v>29</v>
      </c>
      <c r="S1074" t="s">
        <v>30</v>
      </c>
      <c r="T1074" t="s">
        <v>58</v>
      </c>
      <c r="U1074">
        <v>49.8037633</v>
      </c>
      <c r="V1074">
        <v>15.4749126</v>
      </c>
      <c r="W1074" t="str">
        <f t="shared" si="113"/>
        <v>ok</v>
      </c>
      <c r="X1074" t="str">
        <f t="shared" si="119"/>
        <v>ok</v>
      </c>
      <c r="Y1074" t="str">
        <f t="shared" si="114"/>
        <v>ok</v>
      </c>
      <c r="Z1074" t="str">
        <f t="shared" si="115"/>
        <v>ok</v>
      </c>
      <c r="AA1074" s="4" t="str">
        <f t="shared" si="116"/>
        <v>ok</v>
      </c>
      <c r="AB1074" s="4" t="str">
        <f t="shared" si="117"/>
        <v>ok</v>
      </c>
      <c r="AC1074" s="6">
        <f t="shared" si="118"/>
        <v>111.18217333318898</v>
      </c>
    </row>
    <row r="1075" spans="1:29" x14ac:dyDescent="0.3">
      <c r="A1075" t="s">
        <v>22</v>
      </c>
      <c r="B1075">
        <v>2365</v>
      </c>
      <c r="C1075" t="s">
        <v>47</v>
      </c>
      <c r="D1075" t="s">
        <v>24</v>
      </c>
      <c r="E1075" t="s">
        <v>44</v>
      </c>
      <c r="F1075" t="s">
        <v>26</v>
      </c>
      <c r="G1075" t="s">
        <v>52</v>
      </c>
      <c r="H1075" s="1">
        <v>45093.495787037034</v>
      </c>
      <c r="I1075" s="1">
        <v>45095.495787037034</v>
      </c>
      <c r="J1075" s="1">
        <v>45093.537453703706</v>
      </c>
      <c r="K1075" s="2">
        <v>45093.516360243055</v>
      </c>
      <c r="L1075" t="s">
        <v>28</v>
      </c>
      <c r="M1075" s="2">
        <v>45095.067576030095</v>
      </c>
      <c r="N1075" t="s">
        <v>28</v>
      </c>
      <c r="O1075" s="2">
        <v>45097.407188333331</v>
      </c>
      <c r="P1075">
        <v>1</v>
      </c>
      <c r="Q1075">
        <v>4</v>
      </c>
      <c r="R1075" t="s">
        <v>50</v>
      </c>
      <c r="S1075" t="s">
        <v>30</v>
      </c>
      <c r="T1075" t="s">
        <v>31</v>
      </c>
      <c r="U1075">
        <v>53.094023999999997</v>
      </c>
      <c r="V1075">
        <v>-8.0196749999999994</v>
      </c>
      <c r="W1075" t="str">
        <f t="shared" si="113"/>
        <v>ok</v>
      </c>
      <c r="X1075" t="str">
        <f t="shared" si="119"/>
        <v>ok</v>
      </c>
      <c r="Y1075" t="str">
        <f t="shared" si="114"/>
        <v>ok</v>
      </c>
      <c r="Z1075" t="str">
        <f t="shared" si="115"/>
        <v>ok</v>
      </c>
      <c r="AA1075" s="4" t="str">
        <f t="shared" si="116"/>
        <v>ok</v>
      </c>
      <c r="AB1075" s="4" t="str">
        <f t="shared" si="117"/>
        <v>ok</v>
      </c>
      <c r="AC1075" s="6">
        <f t="shared" si="118"/>
        <v>37.722935833444353</v>
      </c>
    </row>
    <row r="1076" spans="1:29" x14ac:dyDescent="0.3">
      <c r="A1076" t="s">
        <v>22</v>
      </c>
      <c r="B1076">
        <v>2366</v>
      </c>
      <c r="C1076" t="s">
        <v>33</v>
      </c>
      <c r="D1076" t="s">
        <v>24</v>
      </c>
      <c r="E1076" t="s">
        <v>39</v>
      </c>
      <c r="F1076" t="s">
        <v>26</v>
      </c>
      <c r="G1076" t="s">
        <v>27</v>
      </c>
      <c r="H1076" s="1">
        <v>45093.661493055559</v>
      </c>
      <c r="I1076" s="1">
        <v>45095.661493055559</v>
      </c>
      <c r="J1076" s="1">
        <v>45093.703159722223</v>
      </c>
      <c r="K1076" s="2">
        <v>45093.686600914349</v>
      </c>
      <c r="L1076" t="s">
        <v>28</v>
      </c>
      <c r="M1076" s="2">
        <v>45095.587561018518</v>
      </c>
      <c r="N1076" t="s">
        <v>28</v>
      </c>
      <c r="O1076" s="2">
        <v>45097.024160624998</v>
      </c>
      <c r="P1076">
        <v>5</v>
      </c>
      <c r="Q1076">
        <v>5</v>
      </c>
      <c r="R1076" t="s">
        <v>50</v>
      </c>
      <c r="S1076" t="s">
        <v>30</v>
      </c>
      <c r="T1076" t="s">
        <v>53</v>
      </c>
      <c r="U1076">
        <v>39.368279000000001</v>
      </c>
      <c r="V1076">
        <v>21.863140999999999</v>
      </c>
      <c r="W1076" t="str">
        <f t="shared" si="113"/>
        <v>ok</v>
      </c>
      <c r="X1076" t="str">
        <f t="shared" si="119"/>
        <v>ok</v>
      </c>
      <c r="Y1076" t="str">
        <f t="shared" si="114"/>
        <v>ok</v>
      </c>
      <c r="Z1076" t="str">
        <f t="shared" si="115"/>
        <v>ok</v>
      </c>
      <c r="AA1076" s="4" t="str">
        <f t="shared" si="116"/>
        <v>ok</v>
      </c>
      <c r="AB1076" s="4" t="str">
        <f t="shared" si="117"/>
        <v>ok</v>
      </c>
      <c r="AC1076" s="6">
        <f t="shared" si="118"/>
        <v>46.225631111010443</v>
      </c>
    </row>
    <row r="1077" spans="1:29" x14ac:dyDescent="0.3">
      <c r="A1077" t="s">
        <v>22</v>
      </c>
      <c r="B1077">
        <v>2367</v>
      </c>
      <c r="C1077" t="s">
        <v>23</v>
      </c>
      <c r="D1077" t="s">
        <v>43</v>
      </c>
      <c r="E1077" t="s">
        <v>35</v>
      </c>
      <c r="F1077" t="s">
        <v>26</v>
      </c>
      <c r="G1077" t="s">
        <v>27</v>
      </c>
      <c r="H1077" s="1">
        <v>45093.416585648149</v>
      </c>
      <c r="I1077" s="1">
        <v>45094.416585648149</v>
      </c>
      <c r="J1077" s="1">
        <v>45093.417974537035</v>
      </c>
      <c r="K1077" s="2">
        <v>45093.417692800926</v>
      </c>
      <c r="L1077" t="s">
        <v>28</v>
      </c>
      <c r="M1077" s="2">
        <v>45093.604420995369</v>
      </c>
      <c r="N1077" t="s">
        <v>28</v>
      </c>
      <c r="O1077" s="2">
        <v>45101.120744398148</v>
      </c>
      <c r="P1077">
        <v>3</v>
      </c>
      <c r="Q1077">
        <v>4</v>
      </c>
      <c r="R1077" t="s">
        <v>50</v>
      </c>
      <c r="S1077" t="s">
        <v>30</v>
      </c>
      <c r="T1077" t="s">
        <v>53</v>
      </c>
      <c r="U1077">
        <v>39.368279000000001</v>
      </c>
      <c r="V1077">
        <v>21.863140999999999</v>
      </c>
      <c r="W1077" t="str">
        <f t="shared" si="113"/>
        <v>ok</v>
      </c>
      <c r="X1077" t="str">
        <f t="shared" si="119"/>
        <v>ok</v>
      </c>
      <c r="Y1077" t="str">
        <f t="shared" si="114"/>
        <v>ok</v>
      </c>
      <c r="Z1077" t="str">
        <f t="shared" si="115"/>
        <v>ok</v>
      </c>
      <c r="AA1077" s="4" t="str">
        <f t="shared" si="116"/>
        <v>ok</v>
      </c>
      <c r="AB1077" s="4" t="str">
        <f t="shared" si="117"/>
        <v>ok</v>
      </c>
      <c r="AC1077" s="6">
        <f t="shared" si="118"/>
        <v>4.5080483332858421</v>
      </c>
    </row>
    <row r="1078" spans="1:29" x14ac:dyDescent="0.3">
      <c r="A1078" t="s">
        <v>42</v>
      </c>
      <c r="B1078">
        <v>2368</v>
      </c>
      <c r="C1078" t="s">
        <v>23</v>
      </c>
      <c r="D1078" t="s">
        <v>24</v>
      </c>
      <c r="E1078" t="s">
        <v>48</v>
      </c>
      <c r="F1078" t="s">
        <v>26</v>
      </c>
      <c r="G1078" t="s">
        <v>49</v>
      </c>
      <c r="H1078" s="1">
        <v>45093.687685185185</v>
      </c>
      <c r="I1078" s="1">
        <v>45095.687685185185</v>
      </c>
      <c r="J1078" s="1">
        <v>45093.729351851849</v>
      </c>
      <c r="K1078" s="2">
        <v>45093.733201967596</v>
      </c>
      <c r="L1078" t="s">
        <v>38</v>
      </c>
      <c r="M1078" s="2">
        <v>45097.182029467593</v>
      </c>
      <c r="N1078" t="s">
        <v>38</v>
      </c>
      <c r="P1078">
        <v>1</v>
      </c>
      <c r="R1078" t="s">
        <v>29</v>
      </c>
      <c r="S1078" t="s">
        <v>30</v>
      </c>
      <c r="T1078" t="s">
        <v>31</v>
      </c>
      <c r="U1078">
        <v>53.094023999999997</v>
      </c>
      <c r="V1078">
        <v>-8.0196749999999994</v>
      </c>
      <c r="W1078" t="str">
        <f t="shared" si="113"/>
        <v>ok</v>
      </c>
      <c r="X1078" t="str">
        <f t="shared" si="119"/>
        <v>ok</v>
      </c>
      <c r="Y1078" t="str">
        <f t="shared" si="114"/>
        <v>ok</v>
      </c>
      <c r="Z1078" t="str">
        <f t="shared" si="115"/>
        <v>ok</v>
      </c>
      <c r="AA1078" s="4" t="str">
        <f t="shared" si="116"/>
        <v>ok</v>
      </c>
      <c r="AB1078" s="4" t="str">
        <f t="shared" si="117"/>
        <v>ok</v>
      </c>
      <c r="AC1078" s="6">
        <f t="shared" si="118"/>
        <v>83.864262777788099</v>
      </c>
    </row>
    <row r="1079" spans="1:29" x14ac:dyDescent="0.3">
      <c r="A1079" t="s">
        <v>32</v>
      </c>
      <c r="B1079">
        <v>2369</v>
      </c>
      <c r="C1079" t="s">
        <v>23</v>
      </c>
      <c r="D1079" t="s">
        <v>43</v>
      </c>
      <c r="E1079" t="s">
        <v>35</v>
      </c>
      <c r="F1079" t="s">
        <v>36</v>
      </c>
      <c r="G1079" t="s">
        <v>54</v>
      </c>
      <c r="H1079" s="1">
        <v>45093.255474537036</v>
      </c>
      <c r="I1079" s="1">
        <v>45094.255474537036</v>
      </c>
      <c r="J1079" s="1">
        <v>45093.256863425922</v>
      </c>
      <c r="K1079" s="2">
        <v>45093.256367986112</v>
      </c>
      <c r="L1079" t="s">
        <v>28</v>
      </c>
      <c r="N1079" t="s">
        <v>38</v>
      </c>
      <c r="P1079">
        <v>4</v>
      </c>
      <c r="R1079" t="s">
        <v>29</v>
      </c>
      <c r="S1079" t="s">
        <v>40</v>
      </c>
      <c r="T1079" t="s">
        <v>66</v>
      </c>
      <c r="U1079">
        <v>48.864716000000001</v>
      </c>
      <c r="V1079">
        <v>2.3490139999999999</v>
      </c>
      <c r="W1079" t="str">
        <f t="shared" si="113"/>
        <v>ok</v>
      </c>
      <c r="X1079" t="str">
        <f t="shared" si="119"/>
        <v>ok</v>
      </c>
      <c r="Y1079" t="str">
        <f t="shared" si="114"/>
        <v>ok</v>
      </c>
      <c r="Z1079" t="str">
        <f t="shared" si="115"/>
        <v>ok</v>
      </c>
      <c r="AA1079" s="4" t="str">
        <f t="shared" si="116"/>
        <v>ok</v>
      </c>
      <c r="AB1079" s="4" t="str">
        <f t="shared" si="117"/>
        <v>no resolution</v>
      </c>
      <c r="AC1079" s="6" t="str">
        <f t="shared" si="118"/>
        <v/>
      </c>
    </row>
    <row r="1080" spans="1:29" x14ac:dyDescent="0.3">
      <c r="A1080" t="s">
        <v>22</v>
      </c>
      <c r="B1080">
        <v>2370</v>
      </c>
      <c r="C1080" t="s">
        <v>23</v>
      </c>
      <c r="D1080" t="s">
        <v>24</v>
      </c>
      <c r="E1080" t="s">
        <v>67</v>
      </c>
      <c r="F1080" t="s">
        <v>26</v>
      </c>
      <c r="G1080" t="s">
        <v>45</v>
      </c>
      <c r="H1080" s="1">
        <v>45093.619791666664</v>
      </c>
      <c r="I1080" s="1">
        <v>45095.619791666664</v>
      </c>
      <c r="J1080" s="1">
        <v>45093.661458333336</v>
      </c>
      <c r="K1080" s="2">
        <v>45093.654585648146</v>
      </c>
      <c r="L1080" t="s">
        <v>28</v>
      </c>
      <c r="M1080" s="2">
        <v>45094.473668240738</v>
      </c>
      <c r="N1080" t="s">
        <v>28</v>
      </c>
      <c r="O1080" s="2">
        <v>45094.17875875</v>
      </c>
      <c r="P1080">
        <v>10</v>
      </c>
      <c r="Q1080">
        <v>4</v>
      </c>
      <c r="R1080" t="s">
        <v>29</v>
      </c>
      <c r="S1080" t="s">
        <v>30</v>
      </c>
      <c r="T1080" t="s">
        <v>53</v>
      </c>
      <c r="U1080">
        <v>39.368279000000001</v>
      </c>
      <c r="V1080">
        <v>21.863140999999999</v>
      </c>
      <c r="W1080" t="str">
        <f t="shared" si="113"/>
        <v>ok</v>
      </c>
      <c r="X1080" t="str">
        <f t="shared" si="119"/>
        <v>ok</v>
      </c>
      <c r="Y1080" t="str">
        <f t="shared" si="114"/>
        <v>check</v>
      </c>
      <c r="Z1080" t="str">
        <f t="shared" si="115"/>
        <v>ok</v>
      </c>
      <c r="AA1080" s="4" t="str">
        <f t="shared" si="116"/>
        <v>ok</v>
      </c>
      <c r="AB1080" s="4" t="str">
        <f t="shared" si="117"/>
        <v>ok</v>
      </c>
      <c r="AC1080" s="6">
        <f t="shared" si="118"/>
        <v>20.493037777778227</v>
      </c>
    </row>
    <row r="1081" spans="1:29" x14ac:dyDescent="0.3">
      <c r="A1081" t="s">
        <v>32</v>
      </c>
      <c r="B1081">
        <v>2371</v>
      </c>
      <c r="C1081" t="s">
        <v>47</v>
      </c>
      <c r="D1081" t="s">
        <v>24</v>
      </c>
      <c r="E1081" t="s">
        <v>44</v>
      </c>
      <c r="F1081" t="s">
        <v>36</v>
      </c>
      <c r="G1081" t="s">
        <v>37</v>
      </c>
      <c r="H1081" s="1">
        <v>45093.775208333333</v>
      </c>
      <c r="I1081" s="1">
        <v>45095.775208333333</v>
      </c>
      <c r="J1081" s="1">
        <v>45093.816874999997</v>
      </c>
      <c r="K1081" s="2">
        <v>45093.782229212964</v>
      </c>
      <c r="L1081" t="s">
        <v>28</v>
      </c>
      <c r="N1081" t="s">
        <v>38</v>
      </c>
      <c r="P1081">
        <v>1</v>
      </c>
      <c r="R1081" t="s">
        <v>50</v>
      </c>
      <c r="S1081" t="s">
        <v>40</v>
      </c>
      <c r="T1081" t="s">
        <v>31</v>
      </c>
      <c r="U1081">
        <v>53.094023999999997</v>
      </c>
      <c r="V1081">
        <v>-8.0196749999999994</v>
      </c>
      <c r="W1081" t="str">
        <f t="shared" si="113"/>
        <v>ok</v>
      </c>
      <c r="X1081" t="str">
        <f t="shared" si="119"/>
        <v>ok</v>
      </c>
      <c r="Y1081" t="str">
        <f t="shared" si="114"/>
        <v>ok</v>
      </c>
      <c r="Z1081" t="str">
        <f t="shared" si="115"/>
        <v>ok</v>
      </c>
      <c r="AA1081" s="4" t="str">
        <f t="shared" si="116"/>
        <v>ok</v>
      </c>
      <c r="AB1081" s="4" t="str">
        <f t="shared" si="117"/>
        <v>no resolution</v>
      </c>
      <c r="AC1081" s="6" t="str">
        <f t="shared" si="118"/>
        <v/>
      </c>
    </row>
    <row r="1082" spans="1:29" x14ac:dyDescent="0.3">
      <c r="A1082" t="s">
        <v>42</v>
      </c>
      <c r="B1082">
        <v>2372</v>
      </c>
      <c r="C1082" t="s">
        <v>23</v>
      </c>
      <c r="D1082" t="s">
        <v>43</v>
      </c>
      <c r="E1082" t="s">
        <v>48</v>
      </c>
      <c r="F1082" t="s">
        <v>26</v>
      </c>
      <c r="G1082" t="s">
        <v>45</v>
      </c>
      <c r="H1082" s="1">
        <v>45093.759895833333</v>
      </c>
      <c r="I1082" s="1">
        <v>45094.759895833333</v>
      </c>
      <c r="J1082" s="1">
        <v>45093.761284722219</v>
      </c>
      <c r="K1082" s="2">
        <v>45093.760361168985</v>
      </c>
      <c r="L1082" t="s">
        <v>28</v>
      </c>
      <c r="M1082" s="2">
        <v>45094.200450648146</v>
      </c>
      <c r="N1082" t="s">
        <v>28</v>
      </c>
      <c r="P1082">
        <v>3</v>
      </c>
      <c r="R1082" t="s">
        <v>50</v>
      </c>
      <c r="S1082" t="s">
        <v>30</v>
      </c>
      <c r="T1082" t="s">
        <v>51</v>
      </c>
      <c r="U1082">
        <v>39.673369999999998</v>
      </c>
      <c r="V1082">
        <v>-4.7677259999999997</v>
      </c>
      <c r="W1082" t="str">
        <f t="shared" si="113"/>
        <v>ok</v>
      </c>
      <c r="X1082" t="str">
        <f t="shared" si="119"/>
        <v>ok</v>
      </c>
      <c r="Y1082" t="str">
        <f t="shared" si="114"/>
        <v>ok</v>
      </c>
      <c r="Z1082" t="str">
        <f t="shared" si="115"/>
        <v>ok</v>
      </c>
      <c r="AA1082" s="4" t="str">
        <f t="shared" si="116"/>
        <v>ok</v>
      </c>
      <c r="AB1082" s="4" t="str">
        <f t="shared" si="117"/>
        <v>ok</v>
      </c>
      <c r="AC1082" s="6">
        <f t="shared" si="118"/>
        <v>10.573315555520821</v>
      </c>
    </row>
    <row r="1083" spans="1:29" x14ac:dyDescent="0.3">
      <c r="A1083" t="s">
        <v>22</v>
      </c>
      <c r="B1083">
        <v>2373</v>
      </c>
      <c r="C1083" t="s">
        <v>33</v>
      </c>
      <c r="D1083" t="s">
        <v>24</v>
      </c>
      <c r="E1083" t="s">
        <v>59</v>
      </c>
      <c r="F1083" t="s">
        <v>26</v>
      </c>
      <c r="G1083" t="s">
        <v>52</v>
      </c>
      <c r="H1083" s="1">
        <v>45093.12740740741</v>
      </c>
      <c r="I1083" s="1">
        <v>45095.12740740741</v>
      </c>
      <c r="J1083" s="1">
        <v>45093.169074074074</v>
      </c>
      <c r="K1083" s="2">
        <v>45093.167431886577</v>
      </c>
      <c r="L1083" t="s">
        <v>28</v>
      </c>
      <c r="M1083" s="2">
        <v>45094.183973263891</v>
      </c>
      <c r="N1083" t="s">
        <v>28</v>
      </c>
      <c r="O1083" s="2">
        <v>45095.568612893519</v>
      </c>
      <c r="P1083">
        <v>3</v>
      </c>
      <c r="Q1083">
        <v>4</v>
      </c>
      <c r="R1083" t="s">
        <v>50</v>
      </c>
      <c r="S1083" t="s">
        <v>30</v>
      </c>
      <c r="T1083" t="s">
        <v>66</v>
      </c>
      <c r="U1083">
        <v>48.864716000000001</v>
      </c>
      <c r="V1083">
        <v>2.3490139999999999</v>
      </c>
      <c r="W1083" t="str">
        <f t="shared" si="113"/>
        <v>ok</v>
      </c>
      <c r="X1083" t="str">
        <f t="shared" si="119"/>
        <v>ok</v>
      </c>
      <c r="Y1083" t="str">
        <f t="shared" si="114"/>
        <v>ok</v>
      </c>
      <c r="Z1083" t="str">
        <f t="shared" si="115"/>
        <v>ok</v>
      </c>
      <c r="AA1083" s="4" t="str">
        <f t="shared" si="116"/>
        <v>ok</v>
      </c>
      <c r="AB1083" s="4" t="str">
        <f t="shared" si="117"/>
        <v>ok</v>
      </c>
      <c r="AC1083" s="6">
        <f t="shared" si="118"/>
        <v>25.3575805555447</v>
      </c>
    </row>
    <row r="1084" spans="1:29" x14ac:dyDescent="0.3">
      <c r="A1084" t="s">
        <v>22</v>
      </c>
      <c r="B1084">
        <v>2374</v>
      </c>
      <c r="C1084" t="s">
        <v>23</v>
      </c>
      <c r="D1084" t="s">
        <v>24</v>
      </c>
      <c r="E1084" t="s">
        <v>59</v>
      </c>
      <c r="F1084" t="s">
        <v>26</v>
      </c>
      <c r="G1084" t="s">
        <v>45</v>
      </c>
      <c r="H1084" s="1">
        <v>45094.546018518522</v>
      </c>
      <c r="I1084" s="1">
        <v>45096.546018518522</v>
      </c>
      <c r="J1084" s="1">
        <v>45094.587685185186</v>
      </c>
      <c r="K1084" s="2">
        <v>45094.56685239583</v>
      </c>
      <c r="L1084" t="s">
        <v>28</v>
      </c>
      <c r="M1084" s="2">
        <v>45095.299061747683</v>
      </c>
      <c r="N1084" t="s">
        <v>28</v>
      </c>
      <c r="O1084" s="2">
        <v>45100.300406273149</v>
      </c>
      <c r="P1084">
        <v>1</v>
      </c>
      <c r="Q1084">
        <v>2</v>
      </c>
      <c r="R1084" t="s">
        <v>50</v>
      </c>
      <c r="S1084" t="s">
        <v>30</v>
      </c>
      <c r="T1084" t="s">
        <v>56</v>
      </c>
      <c r="U1084">
        <v>52.536273000000001</v>
      </c>
      <c r="V1084">
        <v>19.050639</v>
      </c>
      <c r="W1084" t="str">
        <f t="shared" si="113"/>
        <v>ok</v>
      </c>
      <c r="X1084" t="str">
        <f t="shared" si="119"/>
        <v>ok</v>
      </c>
      <c r="Y1084" t="str">
        <f t="shared" si="114"/>
        <v>ok</v>
      </c>
      <c r="Z1084" t="str">
        <f t="shared" si="115"/>
        <v>ok</v>
      </c>
      <c r="AA1084" s="4" t="str">
        <f t="shared" si="116"/>
        <v>ok</v>
      </c>
      <c r="AB1084" s="4" t="str">
        <f t="shared" si="117"/>
        <v>ok</v>
      </c>
      <c r="AC1084" s="6">
        <f t="shared" si="118"/>
        <v>18.073037499852944</v>
      </c>
    </row>
    <row r="1085" spans="1:29" x14ac:dyDescent="0.3">
      <c r="A1085" t="s">
        <v>22</v>
      </c>
      <c r="B1085">
        <v>2375</v>
      </c>
      <c r="C1085" t="s">
        <v>23</v>
      </c>
      <c r="D1085" t="s">
        <v>24</v>
      </c>
      <c r="E1085" t="s">
        <v>48</v>
      </c>
      <c r="F1085" t="s">
        <v>26</v>
      </c>
      <c r="G1085" t="s">
        <v>52</v>
      </c>
      <c r="H1085" s="1">
        <v>45094.270543981482</v>
      </c>
      <c r="I1085" s="1">
        <v>45096.270543981482</v>
      </c>
      <c r="J1085" s="1">
        <v>45094.312210648146</v>
      </c>
      <c r="K1085" s="2">
        <v>45094.309900856482</v>
      </c>
      <c r="L1085" t="s">
        <v>28</v>
      </c>
      <c r="M1085" s="2">
        <v>45095.006651435186</v>
      </c>
      <c r="N1085" t="s">
        <v>28</v>
      </c>
      <c r="O1085" s="2">
        <v>45099.735189467596</v>
      </c>
      <c r="P1085">
        <v>6</v>
      </c>
      <c r="Q1085">
        <v>4</v>
      </c>
      <c r="R1085" t="s">
        <v>55</v>
      </c>
      <c r="S1085" t="s">
        <v>30</v>
      </c>
      <c r="T1085" t="s">
        <v>63</v>
      </c>
      <c r="U1085">
        <v>55.378051999999997</v>
      </c>
      <c r="V1085">
        <v>-3.4359730000000002</v>
      </c>
      <c r="W1085" t="str">
        <f t="shared" si="113"/>
        <v>ok</v>
      </c>
      <c r="X1085" t="str">
        <f t="shared" si="119"/>
        <v>ok</v>
      </c>
      <c r="Y1085" t="str">
        <f t="shared" si="114"/>
        <v>ok</v>
      </c>
      <c r="Z1085" t="str">
        <f t="shared" si="115"/>
        <v>ok</v>
      </c>
      <c r="AA1085" s="4" t="str">
        <f t="shared" si="116"/>
        <v>ok</v>
      </c>
      <c r="AB1085" s="4" t="str">
        <f t="shared" si="117"/>
        <v>ok</v>
      </c>
      <c r="AC1085" s="6">
        <f t="shared" si="118"/>
        <v>17.666578888893127</v>
      </c>
    </row>
    <row r="1086" spans="1:29" x14ac:dyDescent="0.3">
      <c r="A1086" t="s">
        <v>32</v>
      </c>
      <c r="B1086">
        <v>2376</v>
      </c>
      <c r="C1086" t="s">
        <v>23</v>
      </c>
      <c r="D1086" t="s">
        <v>43</v>
      </c>
      <c r="E1086" t="s">
        <v>48</v>
      </c>
      <c r="F1086" t="s">
        <v>26</v>
      </c>
      <c r="G1086" t="s">
        <v>27</v>
      </c>
      <c r="H1086" s="1">
        <v>45094.271898148145</v>
      </c>
      <c r="I1086" s="1">
        <v>45095.271898148145</v>
      </c>
      <c r="J1086" s="1">
        <v>45094.273287037038</v>
      </c>
      <c r="K1086" s="2">
        <v>45094.27591222222</v>
      </c>
      <c r="L1086" t="s">
        <v>38</v>
      </c>
      <c r="N1086" t="s">
        <v>38</v>
      </c>
      <c r="P1086">
        <v>9</v>
      </c>
      <c r="R1086" t="s">
        <v>50</v>
      </c>
      <c r="S1086" t="s">
        <v>30</v>
      </c>
      <c r="T1086" t="s">
        <v>63</v>
      </c>
      <c r="U1086">
        <v>55.378051999999997</v>
      </c>
      <c r="V1086">
        <v>-3.4359730000000002</v>
      </c>
      <c r="W1086" t="str">
        <f t="shared" si="113"/>
        <v>ok</v>
      </c>
      <c r="X1086" t="str">
        <f t="shared" si="119"/>
        <v>ok</v>
      </c>
      <c r="Y1086" t="str">
        <f t="shared" si="114"/>
        <v>ok</v>
      </c>
      <c r="Z1086" t="str">
        <f t="shared" si="115"/>
        <v>ok</v>
      </c>
      <c r="AA1086" s="4" t="str">
        <f t="shared" si="116"/>
        <v>ok</v>
      </c>
      <c r="AB1086" s="4" t="str">
        <f t="shared" si="117"/>
        <v>no resolution</v>
      </c>
      <c r="AC1086" s="6" t="str">
        <f t="shared" si="118"/>
        <v/>
      </c>
    </row>
    <row r="1087" spans="1:29" x14ac:dyDescent="0.3">
      <c r="A1087" t="s">
        <v>42</v>
      </c>
      <c r="B1087">
        <v>2381</v>
      </c>
      <c r="C1087" t="s">
        <v>23</v>
      </c>
      <c r="D1087" t="s">
        <v>43</v>
      </c>
      <c r="E1087" t="s">
        <v>25</v>
      </c>
      <c r="F1087" t="s">
        <v>36</v>
      </c>
      <c r="G1087" t="s">
        <v>37</v>
      </c>
      <c r="H1087" s="1">
        <v>45095.759583333333</v>
      </c>
      <c r="I1087" s="1">
        <v>45096.759583333333</v>
      </c>
      <c r="J1087" s="1">
        <v>45095.760972222219</v>
      </c>
      <c r="K1087" s="2">
        <v>45095.759919039352</v>
      </c>
      <c r="L1087" t="s">
        <v>28</v>
      </c>
      <c r="M1087" s="2">
        <v>45097.323435451392</v>
      </c>
      <c r="N1087" t="s">
        <v>38</v>
      </c>
      <c r="P1087">
        <v>7</v>
      </c>
      <c r="R1087" t="s">
        <v>29</v>
      </c>
      <c r="S1087" t="s">
        <v>40</v>
      </c>
      <c r="T1087" t="s">
        <v>63</v>
      </c>
      <c r="U1087">
        <v>55.378051999999997</v>
      </c>
      <c r="V1087">
        <v>-3.4359730000000002</v>
      </c>
      <c r="W1087" t="str">
        <f t="shared" si="113"/>
        <v>ok</v>
      </c>
      <c r="X1087" t="str">
        <f t="shared" si="119"/>
        <v>ok</v>
      </c>
      <c r="Y1087" t="str">
        <f t="shared" si="114"/>
        <v>ok</v>
      </c>
      <c r="Z1087" t="str">
        <f t="shared" si="115"/>
        <v>ok</v>
      </c>
      <c r="AA1087" s="4" t="str">
        <f t="shared" si="116"/>
        <v>ok</v>
      </c>
      <c r="AB1087" s="4" t="str">
        <f t="shared" si="117"/>
        <v>ok</v>
      </c>
      <c r="AC1087" s="6">
        <f t="shared" si="118"/>
        <v>37.532450833416078</v>
      </c>
    </row>
    <row r="1088" spans="1:29" x14ac:dyDescent="0.3">
      <c r="A1088" t="s">
        <v>22</v>
      </c>
      <c r="B1088">
        <v>2382</v>
      </c>
      <c r="C1088" t="s">
        <v>23</v>
      </c>
      <c r="D1088" t="s">
        <v>43</v>
      </c>
      <c r="E1088" t="s">
        <v>67</v>
      </c>
      <c r="F1088" t="s">
        <v>26</v>
      </c>
      <c r="G1088" t="s">
        <v>52</v>
      </c>
      <c r="H1088" s="1">
        <v>45095.590532407405</v>
      </c>
      <c r="I1088" s="1">
        <v>45096.590532407405</v>
      </c>
      <c r="J1088" s="1">
        <v>45095.591921296298</v>
      </c>
      <c r="K1088" s="2">
        <v>45095.590821550926</v>
      </c>
      <c r="L1088" t="s">
        <v>28</v>
      </c>
      <c r="M1088" s="2">
        <v>45095.797338182871</v>
      </c>
      <c r="N1088" t="s">
        <v>28</v>
      </c>
      <c r="O1088" s="2">
        <v>45097.078546087963</v>
      </c>
      <c r="P1088">
        <v>3</v>
      </c>
      <c r="Q1088">
        <v>3</v>
      </c>
      <c r="R1088" t="s">
        <v>29</v>
      </c>
      <c r="S1088" t="s">
        <v>30</v>
      </c>
      <c r="T1088" t="s">
        <v>56</v>
      </c>
      <c r="U1088">
        <v>52.536273000000001</v>
      </c>
      <c r="V1088">
        <v>19.050639</v>
      </c>
      <c r="W1088" t="str">
        <f t="shared" si="113"/>
        <v>ok</v>
      </c>
      <c r="X1088" t="str">
        <f t="shared" si="119"/>
        <v>ok</v>
      </c>
      <c r="Y1088" t="str">
        <f t="shared" si="114"/>
        <v>ok</v>
      </c>
      <c r="Z1088" t="str">
        <f t="shared" si="115"/>
        <v>ok</v>
      </c>
      <c r="AA1088" s="4" t="str">
        <f t="shared" si="116"/>
        <v>ok</v>
      </c>
      <c r="AB1088" s="4" t="str">
        <f t="shared" si="117"/>
        <v>ok</v>
      </c>
      <c r="AC1088" s="6">
        <f t="shared" si="118"/>
        <v>4.9633386111818254</v>
      </c>
    </row>
    <row r="1089" spans="1:29" x14ac:dyDescent="0.3">
      <c r="A1089" t="s">
        <v>32</v>
      </c>
      <c r="B1089">
        <v>2383</v>
      </c>
      <c r="C1089" t="s">
        <v>33</v>
      </c>
      <c r="D1089" t="s">
        <v>43</v>
      </c>
      <c r="E1089" t="s">
        <v>35</v>
      </c>
      <c r="F1089" t="s">
        <v>26</v>
      </c>
      <c r="G1089" t="s">
        <v>27</v>
      </c>
      <c r="H1089" s="1">
        <v>45096.29959490741</v>
      </c>
      <c r="I1089" s="1">
        <v>45097.29959490741</v>
      </c>
      <c r="J1089" s="1">
        <v>45096.300983796296</v>
      </c>
      <c r="K1089" s="2">
        <v>45096.301199814814</v>
      </c>
      <c r="L1089" t="s">
        <v>38</v>
      </c>
      <c r="N1089" t="s">
        <v>38</v>
      </c>
      <c r="P1089">
        <v>6</v>
      </c>
      <c r="R1089" t="s">
        <v>50</v>
      </c>
      <c r="S1089" t="s">
        <v>30</v>
      </c>
      <c r="T1089" t="s">
        <v>51</v>
      </c>
      <c r="U1089">
        <v>39.673369999999998</v>
      </c>
      <c r="V1089">
        <v>-4.7677259999999997</v>
      </c>
      <c r="W1089" t="str">
        <f t="shared" si="113"/>
        <v>ok</v>
      </c>
      <c r="X1089" t="str">
        <f t="shared" si="119"/>
        <v>ok</v>
      </c>
      <c r="Y1089" t="str">
        <f t="shared" si="114"/>
        <v>ok</v>
      </c>
      <c r="Z1089" t="str">
        <f t="shared" si="115"/>
        <v>ok</v>
      </c>
      <c r="AA1089" s="4" t="str">
        <f t="shared" si="116"/>
        <v>ok</v>
      </c>
      <c r="AB1089" s="4" t="str">
        <f t="shared" si="117"/>
        <v>no resolution</v>
      </c>
      <c r="AC1089" s="6" t="str">
        <f t="shared" si="118"/>
        <v/>
      </c>
    </row>
    <row r="1090" spans="1:29" x14ac:dyDescent="0.3">
      <c r="A1090" t="s">
        <v>22</v>
      </c>
      <c r="B1090">
        <v>2384</v>
      </c>
      <c r="C1090" t="s">
        <v>23</v>
      </c>
      <c r="D1090" t="s">
        <v>43</v>
      </c>
      <c r="E1090" t="s">
        <v>48</v>
      </c>
      <c r="F1090" t="s">
        <v>26</v>
      </c>
      <c r="G1090" t="s">
        <v>49</v>
      </c>
      <c r="H1090" s="1">
        <v>45096.420844907407</v>
      </c>
      <c r="I1090" s="1">
        <v>45097.420844907407</v>
      </c>
      <c r="J1090" s="1">
        <v>45096.422233796293</v>
      </c>
      <c r="K1090" s="2">
        <v>45096.421595775464</v>
      </c>
      <c r="L1090" t="s">
        <v>28</v>
      </c>
      <c r="M1090" s="2">
        <v>45097.362175381946</v>
      </c>
      <c r="N1090" t="s">
        <v>28</v>
      </c>
      <c r="O1090" s="2">
        <v>45100.824816458335</v>
      </c>
      <c r="P1090">
        <v>6</v>
      </c>
      <c r="Q1090">
        <v>4</v>
      </c>
      <c r="R1090" t="s">
        <v>29</v>
      </c>
      <c r="S1090" t="s">
        <v>30</v>
      </c>
      <c r="T1090" t="s">
        <v>41</v>
      </c>
      <c r="U1090">
        <v>43.036776000000003</v>
      </c>
      <c r="V1090">
        <v>12.678565000000001</v>
      </c>
      <c r="W1090" t="str">
        <f t="shared" ref="W1090:W1153" si="120">IF(K1090&lt;H1090,"check","ok")</f>
        <v>ok</v>
      </c>
      <c r="X1090" t="str">
        <f t="shared" si="119"/>
        <v>ok</v>
      </c>
      <c r="Y1090" t="str">
        <f t="shared" ref="Y1090:Y1153" si="121">IF(AND(M1090&lt;&gt;"",O1090&lt;&gt;"",O1090&lt;M1090),"check","ok")</f>
        <v>ok</v>
      </c>
      <c r="Z1090" t="str">
        <f t="shared" ref="Z1090:Z1153" si="122">IF(AND(OR(CA1090="Closed",A1090="Resolved"),M1090=""),"check","ok")</f>
        <v>ok</v>
      </c>
      <c r="AA1090" s="4" t="str">
        <f t="shared" ref="AA1090:AA1153" si="123">IF(K1090="","no response",IF(OR(AND(K1090&lt;=J1090,L1090="Within SLA"),AND(K1090&gt;J1090,L1090="SLA Violated")),"ok","check"))</f>
        <v>ok</v>
      </c>
      <c r="AB1090" s="4" t="str">
        <f t="shared" ref="AB1090:AB1153" si="124">IF(M1090="","no resolution",IF(OR(AND(M1090&lt;=I1090,N1090="Within SLA"),AND(M1090&gt;I1090,N1090="SLA Violated")),"ok","check"))</f>
        <v>ok</v>
      </c>
      <c r="AC1090" s="6">
        <f t="shared" ref="AC1090:AC1153" si="125">IF(M1090="","",(M1090-H1090)*24)</f>
        <v>22.59193138894625</v>
      </c>
    </row>
    <row r="1091" spans="1:29" x14ac:dyDescent="0.3">
      <c r="A1091" t="s">
        <v>32</v>
      </c>
      <c r="B1091">
        <v>2385</v>
      </c>
      <c r="C1091" t="s">
        <v>23</v>
      </c>
      <c r="D1091" t="s">
        <v>24</v>
      </c>
      <c r="E1091" t="s">
        <v>25</v>
      </c>
      <c r="F1091" t="s">
        <v>36</v>
      </c>
      <c r="G1091" t="s">
        <v>37</v>
      </c>
      <c r="H1091" s="1">
        <v>45096.122766203705</v>
      </c>
      <c r="I1091" s="1">
        <v>45098.122766203705</v>
      </c>
      <c r="J1091" s="1">
        <v>45096.16443287037</v>
      </c>
      <c r="K1091" s="2">
        <v>45096.13873431713</v>
      </c>
      <c r="L1091" t="s">
        <v>28</v>
      </c>
      <c r="N1091" t="s">
        <v>38</v>
      </c>
      <c r="P1091">
        <v>1</v>
      </c>
      <c r="R1091" t="s">
        <v>39</v>
      </c>
      <c r="S1091" t="s">
        <v>40</v>
      </c>
      <c r="T1091" t="s">
        <v>65</v>
      </c>
      <c r="U1091">
        <v>46.149166399999999</v>
      </c>
      <c r="V1091">
        <v>14.9860106</v>
      </c>
      <c r="W1091" t="str">
        <f t="shared" si="120"/>
        <v>ok</v>
      </c>
      <c r="X1091" t="str">
        <f t="shared" ref="X1091:X1154" si="126">IF(AND(M1091&lt;&gt;"",M1091&lt;H1091),"check","ok")</f>
        <v>ok</v>
      </c>
      <c r="Y1091" t="str">
        <f t="shared" si="121"/>
        <v>ok</v>
      </c>
      <c r="Z1091" t="str">
        <f t="shared" si="122"/>
        <v>ok</v>
      </c>
      <c r="AA1091" s="4" t="str">
        <f t="shared" si="123"/>
        <v>ok</v>
      </c>
      <c r="AB1091" s="4" t="str">
        <f t="shared" si="124"/>
        <v>no resolution</v>
      </c>
      <c r="AC1091" s="6" t="str">
        <f t="shared" si="125"/>
        <v/>
      </c>
    </row>
    <row r="1092" spans="1:29" x14ac:dyDescent="0.3">
      <c r="A1092" t="s">
        <v>22</v>
      </c>
      <c r="B1092">
        <v>2386</v>
      </c>
      <c r="C1092" t="s">
        <v>23</v>
      </c>
      <c r="D1092" t="s">
        <v>24</v>
      </c>
      <c r="E1092" t="s">
        <v>35</v>
      </c>
      <c r="F1092" t="s">
        <v>36</v>
      </c>
      <c r="G1092" t="s">
        <v>64</v>
      </c>
      <c r="H1092" s="1">
        <v>45096.408009259256</v>
      </c>
      <c r="I1092" s="1">
        <v>45098.408009259256</v>
      </c>
      <c r="J1092" s="1">
        <v>45096.449675925927</v>
      </c>
      <c r="K1092" s="2">
        <v>45096.434369201386</v>
      </c>
      <c r="L1092" t="s">
        <v>28</v>
      </c>
      <c r="M1092" s="2">
        <v>45097.230985983799</v>
      </c>
      <c r="N1092" t="s">
        <v>28</v>
      </c>
      <c r="O1092" s="2">
        <v>45099.468291122685</v>
      </c>
      <c r="P1092">
        <v>1</v>
      </c>
      <c r="Q1092">
        <v>5</v>
      </c>
      <c r="R1092" t="s">
        <v>50</v>
      </c>
      <c r="S1092" t="s">
        <v>40</v>
      </c>
      <c r="T1092" t="s">
        <v>31</v>
      </c>
      <c r="U1092">
        <v>53.094023999999997</v>
      </c>
      <c r="V1092">
        <v>-8.0196749999999994</v>
      </c>
      <c r="W1092" t="str">
        <f t="shared" si="120"/>
        <v>ok</v>
      </c>
      <c r="X1092" t="str">
        <f t="shared" si="126"/>
        <v>ok</v>
      </c>
      <c r="Y1092" t="str">
        <f t="shared" si="121"/>
        <v>ok</v>
      </c>
      <c r="Z1092" t="str">
        <f t="shared" si="122"/>
        <v>ok</v>
      </c>
      <c r="AA1092" s="4" t="str">
        <f t="shared" si="123"/>
        <v>ok</v>
      </c>
      <c r="AB1092" s="4" t="str">
        <f t="shared" si="124"/>
        <v>ok</v>
      </c>
      <c r="AC1092" s="6">
        <f t="shared" si="125"/>
        <v>19.751441389031243</v>
      </c>
    </row>
    <row r="1093" spans="1:29" x14ac:dyDescent="0.3">
      <c r="A1093" t="s">
        <v>32</v>
      </c>
      <c r="B1093">
        <v>2387</v>
      </c>
      <c r="C1093" t="s">
        <v>47</v>
      </c>
      <c r="D1093" t="s">
        <v>24</v>
      </c>
      <c r="E1093" t="s">
        <v>59</v>
      </c>
      <c r="F1093" t="s">
        <v>26</v>
      </c>
      <c r="G1093" t="s">
        <v>52</v>
      </c>
      <c r="H1093" s="1">
        <v>45096.6250462963</v>
      </c>
      <c r="I1093" s="1">
        <v>45098.6250462963</v>
      </c>
      <c r="J1093" s="1">
        <v>45096.666712962964</v>
      </c>
      <c r="K1093" s="2">
        <v>45096.627936597222</v>
      </c>
      <c r="L1093" t="s">
        <v>28</v>
      </c>
      <c r="N1093" t="s">
        <v>38</v>
      </c>
      <c r="P1093">
        <v>9</v>
      </c>
      <c r="R1093" t="s">
        <v>29</v>
      </c>
      <c r="S1093" t="s">
        <v>30</v>
      </c>
      <c r="T1093" t="s">
        <v>46</v>
      </c>
      <c r="U1093">
        <v>47.696471899999999</v>
      </c>
      <c r="V1093">
        <v>13.3457347</v>
      </c>
      <c r="W1093" t="str">
        <f t="shared" si="120"/>
        <v>ok</v>
      </c>
      <c r="X1093" t="str">
        <f t="shared" si="126"/>
        <v>ok</v>
      </c>
      <c r="Y1093" t="str">
        <f t="shared" si="121"/>
        <v>ok</v>
      </c>
      <c r="Z1093" t="str">
        <f t="shared" si="122"/>
        <v>ok</v>
      </c>
      <c r="AA1093" s="4" t="str">
        <f t="shared" si="123"/>
        <v>ok</v>
      </c>
      <c r="AB1093" s="4" t="str">
        <f t="shared" si="124"/>
        <v>no resolution</v>
      </c>
      <c r="AC1093" s="6" t="str">
        <f t="shared" si="125"/>
        <v/>
      </c>
    </row>
    <row r="1094" spans="1:29" x14ac:dyDescent="0.3">
      <c r="A1094" t="s">
        <v>32</v>
      </c>
      <c r="B1094">
        <v>2388</v>
      </c>
      <c r="C1094" t="s">
        <v>23</v>
      </c>
      <c r="D1094" t="s">
        <v>24</v>
      </c>
      <c r="E1094" t="s">
        <v>48</v>
      </c>
      <c r="F1094" t="s">
        <v>26</v>
      </c>
      <c r="G1094" t="s">
        <v>52</v>
      </c>
      <c r="H1094" s="1">
        <v>45096.7890162037</v>
      </c>
      <c r="I1094" s="1">
        <v>45098.7890162037</v>
      </c>
      <c r="J1094" s="1">
        <v>45096.830682870372</v>
      </c>
      <c r="K1094" s="2">
        <v>45096.830358738429</v>
      </c>
      <c r="L1094" t="s">
        <v>28</v>
      </c>
      <c r="N1094" t="s">
        <v>38</v>
      </c>
      <c r="P1094">
        <v>1</v>
      </c>
      <c r="R1094" t="s">
        <v>39</v>
      </c>
      <c r="S1094" t="s">
        <v>30</v>
      </c>
      <c r="T1094" t="s">
        <v>58</v>
      </c>
      <c r="U1094">
        <v>49.8037633</v>
      </c>
      <c r="V1094">
        <v>15.4749126</v>
      </c>
      <c r="W1094" t="str">
        <f t="shared" si="120"/>
        <v>ok</v>
      </c>
      <c r="X1094" t="str">
        <f t="shared" si="126"/>
        <v>ok</v>
      </c>
      <c r="Y1094" t="str">
        <f t="shared" si="121"/>
        <v>ok</v>
      </c>
      <c r="Z1094" t="str">
        <f t="shared" si="122"/>
        <v>ok</v>
      </c>
      <c r="AA1094" s="4" t="str">
        <f t="shared" si="123"/>
        <v>ok</v>
      </c>
      <c r="AB1094" s="4" t="str">
        <f t="shared" si="124"/>
        <v>no resolution</v>
      </c>
      <c r="AC1094" s="6" t="str">
        <f t="shared" si="125"/>
        <v/>
      </c>
    </row>
    <row r="1095" spans="1:29" x14ac:dyDescent="0.3">
      <c r="A1095" t="s">
        <v>42</v>
      </c>
      <c r="B1095">
        <v>2389</v>
      </c>
      <c r="C1095" t="s">
        <v>47</v>
      </c>
      <c r="D1095" t="s">
        <v>24</v>
      </c>
      <c r="E1095" t="s">
        <v>25</v>
      </c>
      <c r="F1095" t="s">
        <v>26</v>
      </c>
      <c r="G1095" t="s">
        <v>49</v>
      </c>
      <c r="H1095" s="1">
        <v>45096.5549537037</v>
      </c>
      <c r="I1095" s="1">
        <v>45098.5549537037</v>
      </c>
      <c r="J1095" s="1">
        <v>45096.596620370372</v>
      </c>
      <c r="K1095" s="2">
        <v>45096.564222638888</v>
      </c>
      <c r="L1095" t="s">
        <v>28</v>
      </c>
      <c r="M1095" s="2">
        <v>45096.862402210645</v>
      </c>
      <c r="N1095" t="s">
        <v>28</v>
      </c>
      <c r="P1095">
        <v>7</v>
      </c>
      <c r="R1095" t="s">
        <v>50</v>
      </c>
      <c r="S1095" t="s">
        <v>30</v>
      </c>
      <c r="T1095" t="s">
        <v>46</v>
      </c>
      <c r="U1095">
        <v>47.696471899999999</v>
      </c>
      <c r="V1095">
        <v>13.3457347</v>
      </c>
      <c r="W1095" t="str">
        <f t="shared" si="120"/>
        <v>ok</v>
      </c>
      <c r="X1095" t="str">
        <f t="shared" si="126"/>
        <v>ok</v>
      </c>
      <c r="Y1095" t="str">
        <f t="shared" si="121"/>
        <v>ok</v>
      </c>
      <c r="Z1095" t="str">
        <f t="shared" si="122"/>
        <v>ok</v>
      </c>
      <c r="AA1095" s="4" t="str">
        <f t="shared" si="123"/>
        <v>ok</v>
      </c>
      <c r="AB1095" s="4" t="str">
        <f t="shared" si="124"/>
        <v>ok</v>
      </c>
      <c r="AC1095" s="6">
        <f t="shared" si="125"/>
        <v>7.3787641666713171</v>
      </c>
    </row>
    <row r="1096" spans="1:29" x14ac:dyDescent="0.3">
      <c r="A1096" t="s">
        <v>22</v>
      </c>
      <c r="B1096">
        <v>2390</v>
      </c>
      <c r="C1096" t="s">
        <v>23</v>
      </c>
      <c r="D1096" t="s">
        <v>24</v>
      </c>
      <c r="E1096" t="s">
        <v>44</v>
      </c>
      <c r="F1096" t="s">
        <v>26</v>
      </c>
      <c r="G1096" t="s">
        <v>45</v>
      </c>
      <c r="H1096" s="1">
        <v>45097.248854166668</v>
      </c>
      <c r="I1096" s="1">
        <v>45099.248854166668</v>
      </c>
      <c r="J1096" s="1">
        <v>45097.290520833332</v>
      </c>
      <c r="K1096" s="2">
        <v>45097.252278356478</v>
      </c>
      <c r="L1096" t="s">
        <v>28</v>
      </c>
      <c r="M1096" s="2">
        <v>45099.072532349535</v>
      </c>
      <c r="N1096" t="s">
        <v>28</v>
      </c>
      <c r="O1096" s="2">
        <v>45099.528996655092</v>
      </c>
      <c r="P1096">
        <v>1</v>
      </c>
      <c r="Q1096">
        <v>5</v>
      </c>
      <c r="R1096" t="s">
        <v>39</v>
      </c>
      <c r="S1096" t="s">
        <v>30</v>
      </c>
      <c r="T1096" t="s">
        <v>63</v>
      </c>
      <c r="U1096">
        <v>55.378051999999997</v>
      </c>
      <c r="V1096">
        <v>-3.4359730000000002</v>
      </c>
      <c r="W1096" t="str">
        <f t="shared" si="120"/>
        <v>ok</v>
      </c>
      <c r="X1096" t="str">
        <f t="shared" si="126"/>
        <v>ok</v>
      </c>
      <c r="Y1096" t="str">
        <f t="shared" si="121"/>
        <v>ok</v>
      </c>
      <c r="Z1096" t="str">
        <f t="shared" si="122"/>
        <v>ok</v>
      </c>
      <c r="AA1096" s="4" t="str">
        <f t="shared" si="123"/>
        <v>ok</v>
      </c>
      <c r="AB1096" s="4" t="str">
        <f t="shared" si="124"/>
        <v>ok</v>
      </c>
      <c r="AC1096" s="6">
        <f t="shared" si="125"/>
        <v>43.768276388815138</v>
      </c>
    </row>
    <row r="1097" spans="1:29" x14ac:dyDescent="0.3">
      <c r="A1097" t="s">
        <v>32</v>
      </c>
      <c r="B1097">
        <v>2391</v>
      </c>
      <c r="C1097" t="s">
        <v>23</v>
      </c>
      <c r="D1097" t="s">
        <v>43</v>
      </c>
      <c r="E1097" t="s">
        <v>35</v>
      </c>
      <c r="F1097" t="s">
        <v>26</v>
      </c>
      <c r="G1097" t="s">
        <v>60</v>
      </c>
      <c r="H1097" s="1">
        <v>45097.139965277776</v>
      </c>
      <c r="I1097" s="1">
        <v>45098.139965277776</v>
      </c>
      <c r="J1097" s="1">
        <v>45097.14135416667</v>
      </c>
      <c r="K1097" s="2">
        <v>45097.14073806713</v>
      </c>
      <c r="L1097" t="s">
        <v>28</v>
      </c>
      <c r="N1097" t="s">
        <v>38</v>
      </c>
      <c r="P1097">
        <v>5</v>
      </c>
      <c r="R1097" t="s">
        <v>50</v>
      </c>
      <c r="S1097" t="s">
        <v>30</v>
      </c>
      <c r="T1097" t="s">
        <v>58</v>
      </c>
      <c r="U1097">
        <v>49.8037633</v>
      </c>
      <c r="V1097">
        <v>15.4749126</v>
      </c>
      <c r="W1097" t="str">
        <f t="shared" si="120"/>
        <v>ok</v>
      </c>
      <c r="X1097" t="str">
        <f t="shared" si="126"/>
        <v>ok</v>
      </c>
      <c r="Y1097" t="str">
        <f t="shared" si="121"/>
        <v>ok</v>
      </c>
      <c r="Z1097" t="str">
        <f t="shared" si="122"/>
        <v>ok</v>
      </c>
      <c r="AA1097" s="4" t="str">
        <f t="shared" si="123"/>
        <v>ok</v>
      </c>
      <c r="AB1097" s="4" t="str">
        <f t="shared" si="124"/>
        <v>no resolution</v>
      </c>
      <c r="AC1097" s="6" t="str">
        <f t="shared" si="125"/>
        <v/>
      </c>
    </row>
    <row r="1098" spans="1:29" x14ac:dyDescent="0.3">
      <c r="A1098" t="s">
        <v>22</v>
      </c>
      <c r="B1098">
        <v>2392</v>
      </c>
      <c r="C1098" t="s">
        <v>23</v>
      </c>
      <c r="D1098" t="s">
        <v>24</v>
      </c>
      <c r="E1098" t="s">
        <v>48</v>
      </c>
      <c r="F1098" t="s">
        <v>26</v>
      </c>
      <c r="G1098" t="s">
        <v>45</v>
      </c>
      <c r="H1098" s="1">
        <v>45097.029699074075</v>
      </c>
      <c r="I1098" s="1">
        <v>45099.029699074075</v>
      </c>
      <c r="J1098" s="1">
        <v>45097.07136574074</v>
      </c>
      <c r="K1098" s="2">
        <v>45097.070755624998</v>
      </c>
      <c r="L1098" t="s">
        <v>28</v>
      </c>
      <c r="M1098" s="2">
        <v>45100.637419027778</v>
      </c>
      <c r="N1098" t="s">
        <v>38</v>
      </c>
      <c r="O1098" s="2">
        <v>45102.485264074072</v>
      </c>
      <c r="P1098">
        <v>3</v>
      </c>
      <c r="Q1098">
        <v>2</v>
      </c>
      <c r="R1098" t="s">
        <v>39</v>
      </c>
      <c r="S1098" t="s">
        <v>30</v>
      </c>
      <c r="T1098" t="s">
        <v>61</v>
      </c>
      <c r="U1098">
        <v>42.724992499999999</v>
      </c>
      <c r="V1098">
        <v>25.483303899999999</v>
      </c>
      <c r="W1098" t="str">
        <f t="shared" si="120"/>
        <v>ok</v>
      </c>
      <c r="X1098" t="str">
        <f t="shared" si="126"/>
        <v>ok</v>
      </c>
      <c r="Y1098" t="str">
        <f t="shared" si="121"/>
        <v>ok</v>
      </c>
      <c r="Z1098" t="str">
        <f t="shared" si="122"/>
        <v>ok</v>
      </c>
      <c r="AA1098" s="4" t="str">
        <f t="shared" si="123"/>
        <v>ok</v>
      </c>
      <c r="AB1098" s="4" t="str">
        <f t="shared" si="124"/>
        <v>ok</v>
      </c>
      <c r="AC1098" s="6">
        <f t="shared" si="125"/>
        <v>86.58527888887329</v>
      </c>
    </row>
    <row r="1099" spans="1:29" x14ac:dyDescent="0.3">
      <c r="A1099" t="s">
        <v>22</v>
      </c>
      <c r="B1099">
        <v>2393</v>
      </c>
      <c r="C1099" t="s">
        <v>23</v>
      </c>
      <c r="D1099" t="s">
        <v>34</v>
      </c>
      <c r="E1099" t="s">
        <v>35</v>
      </c>
      <c r="F1099" t="s">
        <v>26</v>
      </c>
      <c r="G1099" t="s">
        <v>49</v>
      </c>
      <c r="H1099" s="1">
        <v>45097.125138888892</v>
      </c>
      <c r="I1099" s="1">
        <v>45099.125138888892</v>
      </c>
      <c r="J1099" s="1">
        <v>45097.126527777778</v>
      </c>
      <c r="K1099" s="2">
        <v>45097.125573993057</v>
      </c>
      <c r="L1099" t="s">
        <v>28</v>
      </c>
      <c r="M1099" s="2">
        <v>45098.438397372687</v>
      </c>
      <c r="N1099" t="s">
        <v>28</v>
      </c>
      <c r="O1099" s="2">
        <v>45097.950829502312</v>
      </c>
      <c r="P1099">
        <v>3</v>
      </c>
      <c r="Q1099">
        <v>3</v>
      </c>
      <c r="R1099" t="s">
        <v>50</v>
      </c>
      <c r="S1099" t="s">
        <v>30</v>
      </c>
      <c r="T1099" t="s">
        <v>63</v>
      </c>
      <c r="U1099">
        <v>55.378051999999997</v>
      </c>
      <c r="V1099">
        <v>-3.4359730000000002</v>
      </c>
      <c r="W1099" t="str">
        <f t="shared" si="120"/>
        <v>ok</v>
      </c>
      <c r="X1099" t="str">
        <f t="shared" si="126"/>
        <v>ok</v>
      </c>
      <c r="Y1099" t="str">
        <f t="shared" si="121"/>
        <v>check</v>
      </c>
      <c r="Z1099" t="str">
        <f t="shared" si="122"/>
        <v>ok</v>
      </c>
      <c r="AA1099" s="4" t="str">
        <f t="shared" si="123"/>
        <v>ok</v>
      </c>
      <c r="AB1099" s="4" t="str">
        <f t="shared" si="124"/>
        <v>ok</v>
      </c>
      <c r="AC1099" s="6">
        <f t="shared" si="125"/>
        <v>31.518203611078206</v>
      </c>
    </row>
    <row r="1100" spans="1:29" x14ac:dyDescent="0.3">
      <c r="A1100" t="s">
        <v>22</v>
      </c>
      <c r="B1100">
        <v>2394</v>
      </c>
      <c r="C1100" t="s">
        <v>23</v>
      </c>
      <c r="D1100" t="s">
        <v>43</v>
      </c>
      <c r="E1100" t="s">
        <v>39</v>
      </c>
      <c r="F1100" t="s">
        <v>26</v>
      </c>
      <c r="G1100" t="s">
        <v>49</v>
      </c>
      <c r="H1100" s="1">
        <v>45097.195671296293</v>
      </c>
      <c r="I1100" s="1">
        <v>45098.195671296293</v>
      </c>
      <c r="J1100" s="1">
        <v>45097.197060185186</v>
      </c>
      <c r="K1100" s="2">
        <v>45097.196594317131</v>
      </c>
      <c r="L1100" t="s">
        <v>28</v>
      </c>
      <c r="M1100" s="2">
        <v>45097.997184351851</v>
      </c>
      <c r="N1100" t="s">
        <v>28</v>
      </c>
      <c r="O1100" s="2">
        <v>45098.176201226852</v>
      </c>
      <c r="P1100">
        <v>3</v>
      </c>
      <c r="Q1100">
        <v>4</v>
      </c>
      <c r="R1100" t="s">
        <v>50</v>
      </c>
      <c r="S1100" t="s">
        <v>30</v>
      </c>
      <c r="T1100" t="s">
        <v>41</v>
      </c>
      <c r="U1100">
        <v>43.036776000000003</v>
      </c>
      <c r="V1100">
        <v>12.678565000000001</v>
      </c>
      <c r="W1100" t="str">
        <f t="shared" si="120"/>
        <v>ok</v>
      </c>
      <c r="X1100" t="str">
        <f t="shared" si="126"/>
        <v>ok</v>
      </c>
      <c r="Y1100" t="str">
        <f t="shared" si="121"/>
        <v>ok</v>
      </c>
      <c r="Z1100" t="str">
        <f t="shared" si="122"/>
        <v>ok</v>
      </c>
      <c r="AA1100" s="4" t="str">
        <f t="shared" si="123"/>
        <v>ok</v>
      </c>
      <c r="AB1100" s="4" t="str">
        <f t="shared" si="124"/>
        <v>ok</v>
      </c>
      <c r="AC1100" s="6">
        <f t="shared" si="125"/>
        <v>19.236313333385624</v>
      </c>
    </row>
    <row r="1101" spans="1:29" x14ac:dyDescent="0.3">
      <c r="A1101" t="s">
        <v>22</v>
      </c>
      <c r="B1101">
        <v>2395</v>
      </c>
      <c r="C1101" t="s">
        <v>33</v>
      </c>
      <c r="D1101" t="s">
        <v>24</v>
      </c>
      <c r="E1101" t="s">
        <v>35</v>
      </c>
      <c r="F1101" t="s">
        <v>36</v>
      </c>
      <c r="G1101" t="s">
        <v>54</v>
      </c>
      <c r="H1101" s="1">
        <v>45098.809178240743</v>
      </c>
      <c r="I1101" s="1">
        <v>45100.809178240743</v>
      </c>
      <c r="J1101" s="1">
        <v>45098.850844907407</v>
      </c>
      <c r="K1101" s="2">
        <v>45098.819634884261</v>
      </c>
      <c r="L1101" t="s">
        <v>28</v>
      </c>
      <c r="M1101" s="2">
        <v>45099.706805972222</v>
      </c>
      <c r="N1101" t="s">
        <v>28</v>
      </c>
      <c r="O1101" s="2">
        <v>45102.898393923613</v>
      </c>
      <c r="P1101">
        <v>10</v>
      </c>
      <c r="Q1101">
        <v>1</v>
      </c>
      <c r="R1101" t="s">
        <v>50</v>
      </c>
      <c r="S1101" t="s">
        <v>40</v>
      </c>
      <c r="T1101" t="s">
        <v>63</v>
      </c>
      <c r="U1101">
        <v>55.378051999999997</v>
      </c>
      <c r="V1101">
        <v>-3.4359730000000002</v>
      </c>
      <c r="W1101" t="str">
        <f t="shared" si="120"/>
        <v>ok</v>
      </c>
      <c r="X1101" t="str">
        <f t="shared" si="126"/>
        <v>ok</v>
      </c>
      <c r="Y1101" t="str">
        <f t="shared" si="121"/>
        <v>ok</v>
      </c>
      <c r="Z1101" t="str">
        <f t="shared" si="122"/>
        <v>ok</v>
      </c>
      <c r="AA1101" s="4" t="str">
        <f t="shared" si="123"/>
        <v>ok</v>
      </c>
      <c r="AB1101" s="4" t="str">
        <f t="shared" si="124"/>
        <v>ok</v>
      </c>
      <c r="AC1101" s="6">
        <f t="shared" si="125"/>
        <v>21.543065555510111</v>
      </c>
    </row>
    <row r="1102" spans="1:29" x14ac:dyDescent="0.3">
      <c r="A1102" t="s">
        <v>42</v>
      </c>
      <c r="B1102">
        <v>2396</v>
      </c>
      <c r="C1102" t="s">
        <v>33</v>
      </c>
      <c r="D1102" t="s">
        <v>24</v>
      </c>
      <c r="E1102" t="s">
        <v>67</v>
      </c>
      <c r="F1102" t="s">
        <v>26</v>
      </c>
      <c r="G1102" t="s">
        <v>45</v>
      </c>
      <c r="H1102" s="1">
        <v>45098.732488425929</v>
      </c>
      <c r="I1102" s="1">
        <v>45100.732488425929</v>
      </c>
      <c r="J1102" s="1">
        <v>45098.774155092593</v>
      </c>
      <c r="K1102" s="2">
        <v>45098.75670903935</v>
      </c>
      <c r="L1102" t="s">
        <v>28</v>
      </c>
      <c r="M1102" s="2">
        <v>45100.332308067133</v>
      </c>
      <c r="N1102" t="s">
        <v>28</v>
      </c>
      <c r="P1102">
        <v>7</v>
      </c>
      <c r="R1102" t="s">
        <v>29</v>
      </c>
      <c r="S1102" t="s">
        <v>30</v>
      </c>
      <c r="T1102" t="s">
        <v>57</v>
      </c>
      <c r="U1102">
        <v>51.165691000000002</v>
      </c>
      <c r="V1102">
        <v>10.451525999999999</v>
      </c>
      <c r="W1102" t="str">
        <f t="shared" si="120"/>
        <v>ok</v>
      </c>
      <c r="X1102" t="str">
        <f t="shared" si="126"/>
        <v>ok</v>
      </c>
      <c r="Y1102" t="str">
        <f t="shared" si="121"/>
        <v>ok</v>
      </c>
      <c r="Z1102" t="str">
        <f t="shared" si="122"/>
        <v>ok</v>
      </c>
      <c r="AA1102" s="4" t="str">
        <f t="shared" si="123"/>
        <v>ok</v>
      </c>
      <c r="AB1102" s="4" t="str">
        <f t="shared" si="124"/>
        <v>ok</v>
      </c>
      <c r="AC1102" s="6">
        <f t="shared" si="125"/>
        <v>38.39567138889106</v>
      </c>
    </row>
    <row r="1103" spans="1:29" x14ac:dyDescent="0.3">
      <c r="A1103" t="s">
        <v>42</v>
      </c>
      <c r="B1103">
        <v>2397</v>
      </c>
      <c r="C1103" t="s">
        <v>23</v>
      </c>
      <c r="D1103" t="s">
        <v>24</v>
      </c>
      <c r="E1103" t="s">
        <v>39</v>
      </c>
      <c r="F1103" t="s">
        <v>26</v>
      </c>
      <c r="G1103" t="s">
        <v>49</v>
      </c>
      <c r="H1103" s="1">
        <v>45098.213113425925</v>
      </c>
      <c r="I1103" s="1">
        <v>45100.213113425925</v>
      </c>
      <c r="J1103" s="1">
        <v>45098.254780092589</v>
      </c>
      <c r="K1103" s="2">
        <v>45098.230579201387</v>
      </c>
      <c r="L1103" t="s">
        <v>28</v>
      </c>
      <c r="M1103" s="2">
        <v>45099.341493865744</v>
      </c>
      <c r="N1103" t="s">
        <v>28</v>
      </c>
      <c r="P1103">
        <v>2</v>
      </c>
      <c r="R1103" t="s">
        <v>29</v>
      </c>
      <c r="S1103" t="s">
        <v>30</v>
      </c>
      <c r="T1103" t="s">
        <v>56</v>
      </c>
      <c r="U1103">
        <v>52.536273000000001</v>
      </c>
      <c r="V1103">
        <v>19.050639</v>
      </c>
      <c r="W1103" t="str">
        <f t="shared" si="120"/>
        <v>ok</v>
      </c>
      <c r="X1103" t="str">
        <f t="shared" si="126"/>
        <v>ok</v>
      </c>
      <c r="Y1103" t="str">
        <f t="shared" si="121"/>
        <v>ok</v>
      </c>
      <c r="Z1103" t="str">
        <f t="shared" si="122"/>
        <v>ok</v>
      </c>
      <c r="AA1103" s="4" t="str">
        <f t="shared" si="123"/>
        <v>ok</v>
      </c>
      <c r="AB1103" s="4" t="str">
        <f t="shared" si="124"/>
        <v>ok</v>
      </c>
      <c r="AC1103" s="6">
        <f t="shared" si="125"/>
        <v>27.081130555656273</v>
      </c>
    </row>
    <row r="1104" spans="1:29" x14ac:dyDescent="0.3">
      <c r="A1104" t="s">
        <v>22</v>
      </c>
      <c r="B1104">
        <v>2398</v>
      </c>
      <c r="C1104" t="s">
        <v>23</v>
      </c>
      <c r="D1104" t="s">
        <v>24</v>
      </c>
      <c r="E1104" t="s">
        <v>44</v>
      </c>
      <c r="F1104" t="s">
        <v>26</v>
      </c>
      <c r="G1104" t="s">
        <v>49</v>
      </c>
      <c r="H1104" s="1">
        <v>45098.824780092589</v>
      </c>
      <c r="I1104" s="1">
        <v>45100.824780092589</v>
      </c>
      <c r="J1104" s="1">
        <v>45098.866446759261</v>
      </c>
      <c r="K1104" s="2">
        <v>45098.826396805554</v>
      </c>
      <c r="L1104" t="s">
        <v>28</v>
      </c>
      <c r="M1104" s="2">
        <v>45099.569239803241</v>
      </c>
      <c r="N1104" t="s">
        <v>28</v>
      </c>
      <c r="O1104" s="2">
        <v>45101.087214131941</v>
      </c>
      <c r="P1104">
        <v>10</v>
      </c>
      <c r="Q1104">
        <v>5</v>
      </c>
      <c r="R1104" t="s">
        <v>50</v>
      </c>
      <c r="S1104" t="s">
        <v>30</v>
      </c>
      <c r="T1104" t="s">
        <v>61</v>
      </c>
      <c r="U1104">
        <v>42.724992499999999</v>
      </c>
      <c r="V1104">
        <v>25.483303899999999</v>
      </c>
      <c r="W1104" t="str">
        <f t="shared" si="120"/>
        <v>ok</v>
      </c>
      <c r="X1104" t="str">
        <f t="shared" si="126"/>
        <v>ok</v>
      </c>
      <c r="Y1104" t="str">
        <f t="shared" si="121"/>
        <v>ok</v>
      </c>
      <c r="Z1104" t="str">
        <f t="shared" si="122"/>
        <v>ok</v>
      </c>
      <c r="AA1104" s="4" t="str">
        <f t="shared" si="123"/>
        <v>ok</v>
      </c>
      <c r="AB1104" s="4" t="str">
        <f t="shared" si="124"/>
        <v>ok</v>
      </c>
      <c r="AC1104" s="6">
        <f t="shared" si="125"/>
        <v>17.867033055634238</v>
      </c>
    </row>
    <row r="1105" spans="1:29" x14ac:dyDescent="0.3">
      <c r="A1105" t="s">
        <v>22</v>
      </c>
      <c r="B1105">
        <v>2399</v>
      </c>
      <c r="C1105" t="s">
        <v>33</v>
      </c>
      <c r="D1105" t="s">
        <v>43</v>
      </c>
      <c r="E1105" t="s">
        <v>35</v>
      </c>
      <c r="F1105" t="s">
        <v>36</v>
      </c>
      <c r="G1105" t="s">
        <v>64</v>
      </c>
      <c r="H1105" s="1">
        <v>45098.418564814812</v>
      </c>
      <c r="I1105" s="1">
        <v>45099.418564814812</v>
      </c>
      <c r="J1105" s="1">
        <v>45098.419953703706</v>
      </c>
      <c r="K1105" s="2">
        <v>45098.419072175922</v>
      </c>
      <c r="L1105" t="s">
        <v>28</v>
      </c>
      <c r="M1105" s="2">
        <v>45099.723826643516</v>
      </c>
      <c r="N1105" t="s">
        <v>38</v>
      </c>
      <c r="O1105" s="2">
        <v>45101.654944004629</v>
      </c>
      <c r="P1105">
        <v>4</v>
      </c>
      <c r="Q1105">
        <v>3</v>
      </c>
      <c r="R1105" t="s">
        <v>29</v>
      </c>
      <c r="S1105" t="s">
        <v>40</v>
      </c>
      <c r="T1105" t="s">
        <v>63</v>
      </c>
      <c r="U1105">
        <v>55.378051999999997</v>
      </c>
      <c r="V1105">
        <v>-3.4359730000000002</v>
      </c>
      <c r="W1105" t="str">
        <f t="shared" si="120"/>
        <v>ok</v>
      </c>
      <c r="X1105" t="str">
        <f t="shared" si="126"/>
        <v>ok</v>
      </c>
      <c r="Y1105" t="str">
        <f t="shared" si="121"/>
        <v>ok</v>
      </c>
      <c r="Z1105" t="str">
        <f t="shared" si="122"/>
        <v>ok</v>
      </c>
      <c r="AA1105" s="4" t="str">
        <f t="shared" si="123"/>
        <v>ok</v>
      </c>
      <c r="AB1105" s="4" t="str">
        <f t="shared" si="124"/>
        <v>ok</v>
      </c>
      <c r="AC1105" s="6">
        <f t="shared" si="125"/>
        <v>31.326283888891339</v>
      </c>
    </row>
    <row r="1106" spans="1:29" x14ac:dyDescent="0.3">
      <c r="A1106" t="s">
        <v>22</v>
      </c>
      <c r="B1106">
        <v>2400</v>
      </c>
      <c r="C1106" t="s">
        <v>33</v>
      </c>
      <c r="D1106" t="s">
        <v>43</v>
      </c>
      <c r="E1106" t="s">
        <v>25</v>
      </c>
      <c r="F1106" t="s">
        <v>26</v>
      </c>
      <c r="G1106" t="s">
        <v>60</v>
      </c>
      <c r="H1106" s="1">
        <v>45098.955682870372</v>
      </c>
      <c r="I1106" s="1">
        <v>45099.955682870372</v>
      </c>
      <c r="J1106" s="1">
        <v>45098.957071759258</v>
      </c>
      <c r="K1106" s="2">
        <v>45098.956716701388</v>
      </c>
      <c r="L1106" t="s">
        <v>28</v>
      </c>
      <c r="M1106" s="2">
        <v>45104.831902627317</v>
      </c>
      <c r="N1106" t="s">
        <v>38</v>
      </c>
      <c r="O1106" s="2">
        <v>45105.904857731482</v>
      </c>
      <c r="P1106">
        <v>6</v>
      </c>
      <c r="Q1106">
        <v>3</v>
      </c>
      <c r="R1106" t="s">
        <v>50</v>
      </c>
      <c r="S1106" t="s">
        <v>30</v>
      </c>
      <c r="T1106" t="s">
        <v>56</v>
      </c>
      <c r="U1106">
        <v>52.536273000000001</v>
      </c>
      <c r="V1106">
        <v>19.050639</v>
      </c>
      <c r="W1106" t="str">
        <f t="shared" si="120"/>
        <v>ok</v>
      </c>
      <c r="X1106" t="str">
        <f t="shared" si="126"/>
        <v>ok</v>
      </c>
      <c r="Y1106" t="str">
        <f t="shared" si="121"/>
        <v>ok</v>
      </c>
      <c r="Z1106" t="str">
        <f t="shared" si="122"/>
        <v>ok</v>
      </c>
      <c r="AA1106" s="4" t="str">
        <f t="shared" si="123"/>
        <v>ok</v>
      </c>
      <c r="AB1106" s="4" t="str">
        <f t="shared" si="124"/>
        <v>ok</v>
      </c>
      <c r="AC1106" s="6">
        <f t="shared" si="125"/>
        <v>141.02927416667808</v>
      </c>
    </row>
    <row r="1107" spans="1:29" x14ac:dyDescent="0.3">
      <c r="A1107" t="s">
        <v>42</v>
      </c>
      <c r="B1107">
        <v>2401</v>
      </c>
      <c r="C1107" t="s">
        <v>23</v>
      </c>
      <c r="D1107" t="s">
        <v>43</v>
      </c>
      <c r="E1107" t="s">
        <v>39</v>
      </c>
      <c r="F1107" t="s">
        <v>26</v>
      </c>
      <c r="G1107" t="s">
        <v>49</v>
      </c>
      <c r="H1107" s="1">
        <v>45098.767523148148</v>
      </c>
      <c r="I1107" s="1">
        <v>45099.767523148148</v>
      </c>
      <c r="J1107" s="1">
        <v>45098.768912037034</v>
      </c>
      <c r="K1107" s="2">
        <v>45098.770102581017</v>
      </c>
      <c r="L1107" t="s">
        <v>38</v>
      </c>
      <c r="M1107" s="2">
        <v>45099.666575810188</v>
      </c>
      <c r="N1107" t="s">
        <v>28</v>
      </c>
      <c r="P1107">
        <v>4</v>
      </c>
      <c r="R1107" t="s">
        <v>50</v>
      </c>
      <c r="S1107" t="s">
        <v>30</v>
      </c>
      <c r="T1107" t="s">
        <v>51</v>
      </c>
      <c r="U1107">
        <v>39.673369999999998</v>
      </c>
      <c r="V1107">
        <v>-4.7677259999999997</v>
      </c>
      <c r="W1107" t="str">
        <f t="shared" si="120"/>
        <v>ok</v>
      </c>
      <c r="X1107" t="str">
        <f t="shared" si="126"/>
        <v>ok</v>
      </c>
      <c r="Y1107" t="str">
        <f t="shared" si="121"/>
        <v>ok</v>
      </c>
      <c r="Z1107" t="str">
        <f t="shared" si="122"/>
        <v>ok</v>
      </c>
      <c r="AA1107" s="4" t="str">
        <f t="shared" si="123"/>
        <v>ok</v>
      </c>
      <c r="AB1107" s="4" t="str">
        <f t="shared" si="124"/>
        <v>ok</v>
      </c>
      <c r="AC1107" s="6">
        <f t="shared" si="125"/>
        <v>21.57726388896117</v>
      </c>
    </row>
    <row r="1108" spans="1:29" x14ac:dyDescent="0.3">
      <c r="A1108" t="s">
        <v>22</v>
      </c>
      <c r="B1108">
        <v>2402</v>
      </c>
      <c r="C1108" t="s">
        <v>47</v>
      </c>
      <c r="D1108" t="s">
        <v>24</v>
      </c>
      <c r="E1108" t="s">
        <v>25</v>
      </c>
      <c r="F1108" t="s">
        <v>26</v>
      </c>
      <c r="G1108" t="s">
        <v>27</v>
      </c>
      <c r="H1108" s="1">
        <v>45098.979398148149</v>
      </c>
      <c r="I1108" s="1">
        <v>45100.979398148149</v>
      </c>
      <c r="J1108" s="1">
        <v>45099.021064814813</v>
      </c>
      <c r="K1108" s="2">
        <v>45099.014316666668</v>
      </c>
      <c r="L1108" t="s">
        <v>28</v>
      </c>
      <c r="M1108" s="2">
        <v>45099.863688634257</v>
      </c>
      <c r="N1108" t="s">
        <v>28</v>
      </c>
      <c r="O1108" s="2">
        <v>45102.630638553244</v>
      </c>
      <c r="P1108">
        <v>1</v>
      </c>
      <c r="Q1108">
        <v>5</v>
      </c>
      <c r="R1108" t="s">
        <v>50</v>
      </c>
      <c r="S1108" t="s">
        <v>30</v>
      </c>
      <c r="T1108" t="s">
        <v>57</v>
      </c>
      <c r="U1108">
        <v>51.165691000000002</v>
      </c>
      <c r="V1108">
        <v>10.451525999999999</v>
      </c>
      <c r="W1108" t="str">
        <f t="shared" si="120"/>
        <v>ok</v>
      </c>
      <c r="X1108" t="str">
        <f t="shared" si="126"/>
        <v>ok</v>
      </c>
      <c r="Y1108" t="str">
        <f t="shared" si="121"/>
        <v>ok</v>
      </c>
      <c r="Z1108" t="str">
        <f t="shared" si="122"/>
        <v>ok</v>
      </c>
      <c r="AA1108" s="4" t="str">
        <f t="shared" si="123"/>
        <v>ok</v>
      </c>
      <c r="AB1108" s="4" t="str">
        <f t="shared" si="124"/>
        <v>ok</v>
      </c>
      <c r="AC1108" s="6">
        <f t="shared" si="125"/>
        <v>21.22297166660428</v>
      </c>
    </row>
    <row r="1109" spans="1:29" x14ac:dyDescent="0.3">
      <c r="A1109" t="s">
        <v>42</v>
      </c>
      <c r="B1109">
        <v>2403</v>
      </c>
      <c r="C1109" t="s">
        <v>33</v>
      </c>
      <c r="D1109" t="s">
        <v>43</v>
      </c>
      <c r="E1109" t="s">
        <v>39</v>
      </c>
      <c r="F1109" t="s">
        <v>26</v>
      </c>
      <c r="G1109" t="s">
        <v>27</v>
      </c>
      <c r="H1109" s="1">
        <v>45098.480185185188</v>
      </c>
      <c r="I1109" s="1">
        <v>45099.480185185188</v>
      </c>
      <c r="J1109" s="1">
        <v>45098.481574074074</v>
      </c>
      <c r="K1109" s="2">
        <v>45098.480997430554</v>
      </c>
      <c r="L1109" t="s">
        <v>28</v>
      </c>
      <c r="M1109" s="2">
        <v>45098.485473668981</v>
      </c>
      <c r="N1109" t="s">
        <v>28</v>
      </c>
      <c r="P1109">
        <v>60</v>
      </c>
      <c r="R1109" t="s">
        <v>29</v>
      </c>
      <c r="S1109" t="s">
        <v>30</v>
      </c>
      <c r="T1109" t="s">
        <v>63</v>
      </c>
      <c r="U1109">
        <v>55.378051999999997</v>
      </c>
      <c r="V1109">
        <v>-3.4359730000000002</v>
      </c>
      <c r="W1109" t="str">
        <f t="shared" si="120"/>
        <v>ok</v>
      </c>
      <c r="X1109" t="str">
        <f t="shared" si="126"/>
        <v>ok</v>
      </c>
      <c r="Y1109" t="str">
        <f t="shared" si="121"/>
        <v>ok</v>
      </c>
      <c r="Z1109" t="str">
        <f t="shared" si="122"/>
        <v>ok</v>
      </c>
      <c r="AA1109" s="4" t="str">
        <f t="shared" si="123"/>
        <v>ok</v>
      </c>
      <c r="AB1109" s="4" t="str">
        <f t="shared" si="124"/>
        <v>ok</v>
      </c>
      <c r="AC1109" s="6">
        <f t="shared" si="125"/>
        <v>0.12692361103836447</v>
      </c>
    </row>
    <row r="1110" spans="1:29" x14ac:dyDescent="0.3">
      <c r="A1110" t="s">
        <v>22</v>
      </c>
      <c r="B1110">
        <v>2404</v>
      </c>
      <c r="C1110" t="s">
        <v>23</v>
      </c>
      <c r="D1110" t="s">
        <v>24</v>
      </c>
      <c r="E1110" t="s">
        <v>62</v>
      </c>
      <c r="F1110" t="s">
        <v>36</v>
      </c>
      <c r="G1110" t="s">
        <v>37</v>
      </c>
      <c r="H1110" s="1">
        <v>45098.355057870373</v>
      </c>
      <c r="I1110" s="1">
        <v>45100.355057870373</v>
      </c>
      <c r="J1110" s="1">
        <v>45098.396724537037</v>
      </c>
      <c r="K1110" s="2">
        <v>45098.369968530096</v>
      </c>
      <c r="L1110" t="s">
        <v>28</v>
      </c>
      <c r="M1110" s="2">
        <v>45098.897619421296</v>
      </c>
      <c r="N1110" t="s">
        <v>28</v>
      </c>
      <c r="O1110" s="2">
        <v>45102.523152268521</v>
      </c>
      <c r="P1110">
        <v>8</v>
      </c>
      <c r="Q1110">
        <v>3</v>
      </c>
      <c r="R1110" t="s">
        <v>55</v>
      </c>
      <c r="S1110" t="s">
        <v>40</v>
      </c>
      <c r="T1110" t="s">
        <v>56</v>
      </c>
      <c r="U1110">
        <v>52.536273000000001</v>
      </c>
      <c r="V1110">
        <v>19.050639</v>
      </c>
      <c r="W1110" t="str">
        <f t="shared" si="120"/>
        <v>ok</v>
      </c>
      <c r="X1110" t="str">
        <f t="shared" si="126"/>
        <v>ok</v>
      </c>
      <c r="Y1110" t="str">
        <f t="shared" si="121"/>
        <v>ok</v>
      </c>
      <c r="Z1110" t="str">
        <f t="shared" si="122"/>
        <v>ok</v>
      </c>
      <c r="AA1110" s="4" t="str">
        <f t="shared" si="123"/>
        <v>ok</v>
      </c>
      <c r="AB1110" s="4" t="str">
        <f t="shared" si="124"/>
        <v>ok</v>
      </c>
      <c r="AC1110" s="6">
        <f t="shared" si="125"/>
        <v>13.021477222151589</v>
      </c>
    </row>
    <row r="1111" spans="1:29" x14ac:dyDescent="0.3">
      <c r="A1111" t="s">
        <v>32</v>
      </c>
      <c r="B1111">
        <v>2405</v>
      </c>
      <c r="C1111" t="s">
        <v>47</v>
      </c>
      <c r="D1111" t="s">
        <v>24</v>
      </c>
      <c r="E1111" t="s">
        <v>62</v>
      </c>
      <c r="F1111" t="s">
        <v>26</v>
      </c>
      <c r="G1111" t="s">
        <v>49</v>
      </c>
      <c r="H1111" s="1">
        <v>45098.782071759262</v>
      </c>
      <c r="I1111" s="1">
        <v>45100.782071759262</v>
      </c>
      <c r="J1111" s="1">
        <v>45098.823738425926</v>
      </c>
      <c r="K1111" s="2">
        <v>45098.815503113423</v>
      </c>
      <c r="L1111" t="s">
        <v>28</v>
      </c>
      <c r="N1111" t="s">
        <v>38</v>
      </c>
      <c r="P1111">
        <v>8</v>
      </c>
      <c r="R1111" t="s">
        <v>55</v>
      </c>
      <c r="S1111" t="s">
        <v>30</v>
      </c>
      <c r="T1111" t="s">
        <v>51</v>
      </c>
      <c r="U1111">
        <v>39.673369999999998</v>
      </c>
      <c r="V1111">
        <v>-4.7677259999999997</v>
      </c>
      <c r="W1111" t="str">
        <f t="shared" si="120"/>
        <v>ok</v>
      </c>
      <c r="X1111" t="str">
        <f t="shared" si="126"/>
        <v>ok</v>
      </c>
      <c r="Y1111" t="str">
        <f t="shared" si="121"/>
        <v>ok</v>
      </c>
      <c r="Z1111" t="str">
        <f t="shared" si="122"/>
        <v>ok</v>
      </c>
      <c r="AA1111" s="4" t="str">
        <f t="shared" si="123"/>
        <v>ok</v>
      </c>
      <c r="AB1111" s="4" t="str">
        <f t="shared" si="124"/>
        <v>no resolution</v>
      </c>
      <c r="AC1111" s="6" t="str">
        <f t="shared" si="125"/>
        <v/>
      </c>
    </row>
    <row r="1112" spans="1:29" x14ac:dyDescent="0.3">
      <c r="A1112" t="s">
        <v>32</v>
      </c>
      <c r="B1112">
        <v>2406</v>
      </c>
      <c r="C1112" t="s">
        <v>47</v>
      </c>
      <c r="D1112" t="s">
        <v>24</v>
      </c>
      <c r="E1112" t="s">
        <v>35</v>
      </c>
      <c r="F1112" t="s">
        <v>26</v>
      </c>
      <c r="G1112" t="s">
        <v>49</v>
      </c>
      <c r="H1112" s="1">
        <v>45098.635416666664</v>
      </c>
      <c r="I1112" s="1">
        <v>45100.635416666664</v>
      </c>
      <c r="J1112" s="1">
        <v>45098.677083333336</v>
      </c>
      <c r="K1112" s="2">
        <v>45098.665029618052</v>
      </c>
      <c r="L1112" t="s">
        <v>28</v>
      </c>
      <c r="N1112" t="s">
        <v>38</v>
      </c>
      <c r="P1112">
        <v>2</v>
      </c>
      <c r="R1112" t="s">
        <v>50</v>
      </c>
      <c r="S1112" t="s">
        <v>30</v>
      </c>
      <c r="T1112" t="s">
        <v>56</v>
      </c>
      <c r="U1112">
        <v>52.536273000000001</v>
      </c>
      <c r="V1112">
        <v>19.050639</v>
      </c>
      <c r="W1112" t="str">
        <f t="shared" si="120"/>
        <v>ok</v>
      </c>
      <c r="X1112" t="str">
        <f t="shared" si="126"/>
        <v>ok</v>
      </c>
      <c r="Y1112" t="str">
        <f t="shared" si="121"/>
        <v>ok</v>
      </c>
      <c r="Z1112" t="str">
        <f t="shared" si="122"/>
        <v>ok</v>
      </c>
      <c r="AA1112" s="4" t="str">
        <f t="shared" si="123"/>
        <v>ok</v>
      </c>
      <c r="AB1112" s="4" t="str">
        <f t="shared" si="124"/>
        <v>no resolution</v>
      </c>
      <c r="AC1112" s="6" t="str">
        <f t="shared" si="125"/>
        <v/>
      </c>
    </row>
    <row r="1113" spans="1:29" x14ac:dyDescent="0.3">
      <c r="A1113" t="s">
        <v>42</v>
      </c>
      <c r="B1113">
        <v>2407</v>
      </c>
      <c r="C1113" t="s">
        <v>33</v>
      </c>
      <c r="D1113" t="s">
        <v>24</v>
      </c>
      <c r="E1113" t="s">
        <v>25</v>
      </c>
      <c r="F1113" t="s">
        <v>36</v>
      </c>
      <c r="G1113" t="s">
        <v>64</v>
      </c>
      <c r="H1113" s="1">
        <v>45098.634039351855</v>
      </c>
      <c r="I1113" s="1">
        <v>45100.634039351855</v>
      </c>
      <c r="J1113" s="1">
        <v>45098.675706018519</v>
      </c>
      <c r="K1113" s="2">
        <v>45098.661004756941</v>
      </c>
      <c r="L1113" t="s">
        <v>28</v>
      </c>
      <c r="M1113" s="2">
        <v>45100.115349479165</v>
      </c>
      <c r="N1113" t="s">
        <v>28</v>
      </c>
      <c r="P1113">
        <v>3</v>
      </c>
      <c r="R1113" t="s">
        <v>39</v>
      </c>
      <c r="S1113" t="s">
        <v>40</v>
      </c>
      <c r="T1113" t="s">
        <v>56</v>
      </c>
      <c r="U1113">
        <v>52.536273000000001</v>
      </c>
      <c r="V1113">
        <v>19.050639</v>
      </c>
      <c r="W1113" t="str">
        <f t="shared" si="120"/>
        <v>ok</v>
      </c>
      <c r="X1113" t="str">
        <f t="shared" si="126"/>
        <v>ok</v>
      </c>
      <c r="Y1113" t="str">
        <f t="shared" si="121"/>
        <v>ok</v>
      </c>
      <c r="Z1113" t="str">
        <f t="shared" si="122"/>
        <v>ok</v>
      </c>
      <c r="AA1113" s="4" t="str">
        <f t="shared" si="123"/>
        <v>ok</v>
      </c>
      <c r="AB1113" s="4" t="str">
        <f t="shared" si="124"/>
        <v>ok</v>
      </c>
      <c r="AC1113" s="6">
        <f t="shared" si="125"/>
        <v>35.551443055446725</v>
      </c>
    </row>
    <row r="1114" spans="1:29" x14ac:dyDescent="0.3">
      <c r="A1114" t="s">
        <v>22</v>
      </c>
      <c r="B1114">
        <v>2408</v>
      </c>
      <c r="C1114" t="s">
        <v>23</v>
      </c>
      <c r="D1114" t="s">
        <v>34</v>
      </c>
      <c r="E1114" t="s">
        <v>48</v>
      </c>
      <c r="F1114" t="s">
        <v>26</v>
      </c>
      <c r="G1114" t="s">
        <v>52</v>
      </c>
      <c r="H1114" s="1">
        <v>45098.641840277778</v>
      </c>
      <c r="I1114" s="1">
        <v>45100.641840277778</v>
      </c>
      <c r="J1114" s="1">
        <v>45098.643229166664</v>
      </c>
      <c r="K1114" s="2">
        <v>45098.642366145832</v>
      </c>
      <c r="L1114" t="s">
        <v>28</v>
      </c>
      <c r="M1114" s="2">
        <v>45104.367141527779</v>
      </c>
      <c r="N1114" t="s">
        <v>38</v>
      </c>
      <c r="O1114" s="2">
        <v>45106.139682939815</v>
      </c>
      <c r="P1114">
        <v>5</v>
      </c>
      <c r="Q1114">
        <v>4</v>
      </c>
      <c r="R1114" t="s">
        <v>55</v>
      </c>
      <c r="S1114" t="s">
        <v>30</v>
      </c>
      <c r="T1114" t="s">
        <v>57</v>
      </c>
      <c r="U1114">
        <v>51.165691000000002</v>
      </c>
      <c r="V1114">
        <v>10.451525999999999</v>
      </c>
      <c r="W1114" t="str">
        <f t="shared" si="120"/>
        <v>ok</v>
      </c>
      <c r="X1114" t="str">
        <f t="shared" si="126"/>
        <v>ok</v>
      </c>
      <c r="Y1114" t="str">
        <f t="shared" si="121"/>
        <v>ok</v>
      </c>
      <c r="Z1114" t="str">
        <f t="shared" si="122"/>
        <v>ok</v>
      </c>
      <c r="AA1114" s="4" t="str">
        <f t="shared" si="123"/>
        <v>ok</v>
      </c>
      <c r="AB1114" s="4" t="str">
        <f t="shared" si="124"/>
        <v>ok</v>
      </c>
      <c r="AC1114" s="6">
        <f t="shared" si="125"/>
        <v>137.40723000001162</v>
      </c>
    </row>
    <row r="1115" spans="1:29" x14ac:dyDescent="0.3">
      <c r="A1115" t="s">
        <v>32</v>
      </c>
      <c r="B1115">
        <v>2409</v>
      </c>
      <c r="C1115" t="s">
        <v>23</v>
      </c>
      <c r="D1115" t="s">
        <v>24</v>
      </c>
      <c r="E1115" t="s">
        <v>35</v>
      </c>
      <c r="F1115" t="s">
        <v>26</v>
      </c>
      <c r="G1115" t="s">
        <v>49</v>
      </c>
      <c r="H1115" s="1">
        <v>45098.332604166666</v>
      </c>
      <c r="I1115" s="1">
        <v>45100.332604166666</v>
      </c>
      <c r="J1115" s="1">
        <v>45098.37427083333</v>
      </c>
      <c r="K1115" s="2">
        <v>45098.370172650466</v>
      </c>
      <c r="L1115" t="s">
        <v>28</v>
      </c>
      <c r="N1115" t="s">
        <v>38</v>
      </c>
      <c r="P1115">
        <v>2</v>
      </c>
      <c r="R1115" t="s">
        <v>39</v>
      </c>
      <c r="S1115" t="s">
        <v>30</v>
      </c>
      <c r="T1115" t="s">
        <v>63</v>
      </c>
      <c r="U1115">
        <v>55.378051999999997</v>
      </c>
      <c r="V1115">
        <v>-3.4359730000000002</v>
      </c>
      <c r="W1115" t="str">
        <f t="shared" si="120"/>
        <v>ok</v>
      </c>
      <c r="X1115" t="str">
        <f t="shared" si="126"/>
        <v>ok</v>
      </c>
      <c r="Y1115" t="str">
        <f t="shared" si="121"/>
        <v>ok</v>
      </c>
      <c r="Z1115" t="str">
        <f t="shared" si="122"/>
        <v>ok</v>
      </c>
      <c r="AA1115" s="4" t="str">
        <f t="shared" si="123"/>
        <v>ok</v>
      </c>
      <c r="AB1115" s="4" t="str">
        <f t="shared" si="124"/>
        <v>no resolution</v>
      </c>
      <c r="AC1115" s="6" t="str">
        <f t="shared" si="125"/>
        <v/>
      </c>
    </row>
    <row r="1116" spans="1:29" x14ac:dyDescent="0.3">
      <c r="A1116" t="s">
        <v>22</v>
      </c>
      <c r="B1116">
        <v>2410</v>
      </c>
      <c r="C1116" t="s">
        <v>23</v>
      </c>
      <c r="D1116" t="s">
        <v>34</v>
      </c>
      <c r="E1116" t="s">
        <v>35</v>
      </c>
      <c r="F1116" t="s">
        <v>26</v>
      </c>
      <c r="G1116" t="s">
        <v>60</v>
      </c>
      <c r="H1116" s="1">
        <v>45098.590231481481</v>
      </c>
      <c r="I1116" s="1">
        <v>45100.590231481481</v>
      </c>
      <c r="J1116" s="1">
        <v>45098.591620370367</v>
      </c>
      <c r="K1116" s="2">
        <v>45098.592402951392</v>
      </c>
      <c r="L1116" t="s">
        <v>38</v>
      </c>
      <c r="M1116" s="2">
        <v>45098.941125266203</v>
      </c>
      <c r="N1116" t="s">
        <v>28</v>
      </c>
      <c r="O1116" s="2">
        <v>45102.692673923608</v>
      </c>
      <c r="P1116">
        <v>1</v>
      </c>
      <c r="Q1116">
        <v>2</v>
      </c>
      <c r="R1116" t="s">
        <v>50</v>
      </c>
      <c r="S1116" t="s">
        <v>30</v>
      </c>
      <c r="T1116" t="s">
        <v>65</v>
      </c>
      <c r="U1116">
        <v>46.149166399999999</v>
      </c>
      <c r="V1116">
        <v>14.9860106</v>
      </c>
      <c r="W1116" t="str">
        <f t="shared" si="120"/>
        <v>ok</v>
      </c>
      <c r="X1116" t="str">
        <f t="shared" si="126"/>
        <v>ok</v>
      </c>
      <c r="Y1116" t="str">
        <f t="shared" si="121"/>
        <v>ok</v>
      </c>
      <c r="Z1116" t="str">
        <f t="shared" si="122"/>
        <v>ok</v>
      </c>
      <c r="AA1116" s="4" t="str">
        <f t="shared" si="123"/>
        <v>ok</v>
      </c>
      <c r="AB1116" s="4" t="str">
        <f t="shared" si="124"/>
        <v>ok</v>
      </c>
      <c r="AC1116" s="6">
        <f t="shared" si="125"/>
        <v>8.421450833324343</v>
      </c>
    </row>
    <row r="1117" spans="1:29" x14ac:dyDescent="0.3">
      <c r="A1117" t="s">
        <v>42</v>
      </c>
      <c r="B1117">
        <v>2411</v>
      </c>
      <c r="C1117" t="s">
        <v>33</v>
      </c>
      <c r="D1117" t="s">
        <v>24</v>
      </c>
      <c r="E1117" t="s">
        <v>25</v>
      </c>
      <c r="F1117" t="s">
        <v>36</v>
      </c>
      <c r="G1117" t="s">
        <v>64</v>
      </c>
      <c r="H1117" s="1">
        <v>45099.896562499998</v>
      </c>
      <c r="I1117" s="1">
        <v>45101.896562499998</v>
      </c>
      <c r="J1117" s="1">
        <v>45099.93822916667</v>
      </c>
      <c r="K1117" s="2">
        <v>45099.900674108794</v>
      </c>
      <c r="L1117" t="s">
        <v>28</v>
      </c>
      <c r="M1117" s="2">
        <v>45100.459867453705</v>
      </c>
      <c r="N1117" t="s">
        <v>28</v>
      </c>
      <c r="P1117">
        <v>1</v>
      </c>
      <c r="R1117" t="s">
        <v>29</v>
      </c>
      <c r="S1117" t="s">
        <v>40</v>
      </c>
      <c r="T1117" t="s">
        <v>46</v>
      </c>
      <c r="U1117">
        <v>47.696471899999999</v>
      </c>
      <c r="V1117">
        <v>13.3457347</v>
      </c>
      <c r="W1117" t="str">
        <f t="shared" si="120"/>
        <v>ok</v>
      </c>
      <c r="X1117" t="str">
        <f t="shared" si="126"/>
        <v>ok</v>
      </c>
      <c r="Y1117" t="str">
        <f t="shared" si="121"/>
        <v>ok</v>
      </c>
      <c r="Z1117" t="str">
        <f t="shared" si="122"/>
        <v>ok</v>
      </c>
      <c r="AA1117" s="4" t="str">
        <f t="shared" si="123"/>
        <v>ok</v>
      </c>
      <c r="AB1117" s="4" t="str">
        <f t="shared" si="124"/>
        <v>ok</v>
      </c>
      <c r="AC1117" s="6">
        <f t="shared" si="125"/>
        <v>13.519318888953421</v>
      </c>
    </row>
    <row r="1118" spans="1:29" x14ac:dyDescent="0.3">
      <c r="A1118" t="s">
        <v>32</v>
      </c>
      <c r="B1118">
        <v>2412</v>
      </c>
      <c r="C1118" t="s">
        <v>47</v>
      </c>
      <c r="D1118" t="s">
        <v>34</v>
      </c>
      <c r="E1118" t="s">
        <v>67</v>
      </c>
      <c r="F1118" t="s">
        <v>26</v>
      </c>
      <c r="G1118" t="s">
        <v>52</v>
      </c>
      <c r="H1118" s="1">
        <v>45099.388680555552</v>
      </c>
      <c r="I1118" s="1">
        <v>45101.388680555552</v>
      </c>
      <c r="J1118" s="1">
        <v>45099.390069444446</v>
      </c>
      <c r="K1118" s="2">
        <v>45099.39031949074</v>
      </c>
      <c r="L1118" t="s">
        <v>38</v>
      </c>
      <c r="N1118" t="s">
        <v>38</v>
      </c>
      <c r="P1118">
        <v>1</v>
      </c>
      <c r="R1118" t="s">
        <v>29</v>
      </c>
      <c r="S1118" t="s">
        <v>30</v>
      </c>
      <c r="T1118" t="s">
        <v>63</v>
      </c>
      <c r="U1118">
        <v>55.378051999999997</v>
      </c>
      <c r="V1118">
        <v>-3.4359730000000002</v>
      </c>
      <c r="W1118" t="str">
        <f t="shared" si="120"/>
        <v>ok</v>
      </c>
      <c r="X1118" t="str">
        <f t="shared" si="126"/>
        <v>ok</v>
      </c>
      <c r="Y1118" t="str">
        <f t="shared" si="121"/>
        <v>ok</v>
      </c>
      <c r="Z1118" t="str">
        <f t="shared" si="122"/>
        <v>ok</v>
      </c>
      <c r="AA1118" s="4" t="str">
        <f t="shared" si="123"/>
        <v>ok</v>
      </c>
      <c r="AB1118" s="4" t="str">
        <f t="shared" si="124"/>
        <v>no resolution</v>
      </c>
      <c r="AC1118" s="6" t="str">
        <f t="shared" si="125"/>
        <v/>
      </c>
    </row>
    <row r="1119" spans="1:29" x14ac:dyDescent="0.3">
      <c r="A1119" t="s">
        <v>42</v>
      </c>
      <c r="B1119">
        <v>2413</v>
      </c>
      <c r="C1119" t="s">
        <v>33</v>
      </c>
      <c r="D1119" t="s">
        <v>43</v>
      </c>
      <c r="E1119" t="s">
        <v>48</v>
      </c>
      <c r="F1119" t="s">
        <v>26</v>
      </c>
      <c r="G1119" t="s">
        <v>52</v>
      </c>
      <c r="H1119" s="1">
        <v>45099.891944444447</v>
      </c>
      <c r="I1119" s="1">
        <v>45100.891944444447</v>
      </c>
      <c r="J1119" s="1">
        <v>45099.893333333333</v>
      </c>
      <c r="K1119" s="2">
        <v>45099.892972384259</v>
      </c>
      <c r="L1119" t="s">
        <v>28</v>
      </c>
      <c r="M1119" s="2">
        <v>45100.351243379628</v>
      </c>
      <c r="N1119" t="s">
        <v>28</v>
      </c>
      <c r="P1119">
        <v>4</v>
      </c>
      <c r="R1119" t="s">
        <v>39</v>
      </c>
      <c r="S1119" t="s">
        <v>30</v>
      </c>
      <c r="T1119" t="s">
        <v>58</v>
      </c>
      <c r="U1119">
        <v>49.8037633</v>
      </c>
      <c r="V1119">
        <v>15.4749126</v>
      </c>
      <c r="W1119" t="str">
        <f t="shared" si="120"/>
        <v>ok</v>
      </c>
      <c r="X1119" t="str">
        <f t="shared" si="126"/>
        <v>ok</v>
      </c>
      <c r="Y1119" t="str">
        <f t="shared" si="121"/>
        <v>ok</v>
      </c>
      <c r="Z1119" t="str">
        <f t="shared" si="122"/>
        <v>ok</v>
      </c>
      <c r="AA1119" s="4" t="str">
        <f t="shared" si="123"/>
        <v>ok</v>
      </c>
      <c r="AB1119" s="4" t="str">
        <f t="shared" si="124"/>
        <v>ok</v>
      </c>
      <c r="AC1119" s="6">
        <f t="shared" si="125"/>
        <v>11.023174444329925</v>
      </c>
    </row>
    <row r="1120" spans="1:29" x14ac:dyDescent="0.3">
      <c r="A1120" t="s">
        <v>22</v>
      </c>
      <c r="B1120">
        <v>2414</v>
      </c>
      <c r="C1120" t="s">
        <v>23</v>
      </c>
      <c r="D1120" t="s">
        <v>24</v>
      </c>
      <c r="E1120" t="s">
        <v>25</v>
      </c>
      <c r="F1120" t="s">
        <v>36</v>
      </c>
      <c r="G1120" t="s">
        <v>64</v>
      </c>
      <c r="H1120" s="1">
        <v>45099.632002314815</v>
      </c>
      <c r="I1120" s="1">
        <v>45101.632002314815</v>
      </c>
      <c r="J1120" s="1">
        <v>45099.673668981479</v>
      </c>
      <c r="K1120" s="2">
        <v>45099.897279097226</v>
      </c>
      <c r="L1120" t="s">
        <v>38</v>
      </c>
      <c r="M1120" s="2">
        <v>45100.061720520833</v>
      </c>
      <c r="N1120" t="s">
        <v>28</v>
      </c>
      <c r="O1120" s="2">
        <v>45105.5914671875</v>
      </c>
      <c r="P1120">
        <v>1</v>
      </c>
      <c r="Q1120">
        <v>5</v>
      </c>
      <c r="R1120" t="s">
        <v>29</v>
      </c>
      <c r="S1120" t="s">
        <v>40</v>
      </c>
      <c r="T1120" t="s">
        <v>56</v>
      </c>
      <c r="U1120">
        <v>52.536273000000001</v>
      </c>
      <c r="V1120">
        <v>19.050639</v>
      </c>
      <c r="W1120" t="str">
        <f t="shared" si="120"/>
        <v>ok</v>
      </c>
      <c r="X1120" t="str">
        <f t="shared" si="126"/>
        <v>ok</v>
      </c>
      <c r="Y1120" t="str">
        <f t="shared" si="121"/>
        <v>ok</v>
      </c>
      <c r="Z1120" t="str">
        <f t="shared" si="122"/>
        <v>ok</v>
      </c>
      <c r="AA1120" s="4" t="str">
        <f t="shared" si="123"/>
        <v>ok</v>
      </c>
      <c r="AB1120" s="4" t="str">
        <f t="shared" si="124"/>
        <v>ok</v>
      </c>
      <c r="AC1120" s="6">
        <f t="shared" si="125"/>
        <v>10.31323694443563</v>
      </c>
    </row>
    <row r="1121" spans="1:29" x14ac:dyDescent="0.3">
      <c r="A1121" t="s">
        <v>32</v>
      </c>
      <c r="B1121">
        <v>2415</v>
      </c>
      <c r="C1121" t="s">
        <v>47</v>
      </c>
      <c r="D1121" t="s">
        <v>24</v>
      </c>
      <c r="E1121" t="s">
        <v>39</v>
      </c>
      <c r="F1121" t="s">
        <v>26</v>
      </c>
      <c r="G1121" t="s">
        <v>27</v>
      </c>
      <c r="H1121" s="1">
        <v>45099.396701388891</v>
      </c>
      <c r="I1121" s="1">
        <v>45101.396701388891</v>
      </c>
      <c r="J1121" s="1">
        <v>45099.438368055555</v>
      </c>
      <c r="K1121" s="2">
        <v>45099.425160486113</v>
      </c>
      <c r="L1121" t="s">
        <v>28</v>
      </c>
      <c r="N1121" t="s">
        <v>38</v>
      </c>
      <c r="P1121">
        <v>3</v>
      </c>
      <c r="R1121" t="s">
        <v>50</v>
      </c>
      <c r="S1121" t="s">
        <v>30</v>
      </c>
      <c r="T1121" t="s">
        <v>57</v>
      </c>
      <c r="U1121">
        <v>51.165691000000002</v>
      </c>
      <c r="V1121">
        <v>10.451525999999999</v>
      </c>
      <c r="W1121" t="str">
        <f t="shared" si="120"/>
        <v>ok</v>
      </c>
      <c r="X1121" t="str">
        <f t="shared" si="126"/>
        <v>ok</v>
      </c>
      <c r="Y1121" t="str">
        <f t="shared" si="121"/>
        <v>ok</v>
      </c>
      <c r="Z1121" t="str">
        <f t="shared" si="122"/>
        <v>ok</v>
      </c>
      <c r="AA1121" s="4" t="str">
        <f t="shared" si="123"/>
        <v>ok</v>
      </c>
      <c r="AB1121" s="4" t="str">
        <f t="shared" si="124"/>
        <v>no resolution</v>
      </c>
      <c r="AC1121" s="6" t="str">
        <f t="shared" si="125"/>
        <v/>
      </c>
    </row>
    <row r="1122" spans="1:29" x14ac:dyDescent="0.3">
      <c r="A1122" t="s">
        <v>22</v>
      </c>
      <c r="B1122">
        <v>2416</v>
      </c>
      <c r="C1122" t="s">
        <v>23</v>
      </c>
      <c r="D1122" t="s">
        <v>43</v>
      </c>
      <c r="E1122" t="s">
        <v>35</v>
      </c>
      <c r="F1122" t="s">
        <v>26</v>
      </c>
      <c r="G1122" t="s">
        <v>52</v>
      </c>
      <c r="H1122" s="1">
        <v>45099.135277777779</v>
      </c>
      <c r="I1122" s="1">
        <v>45100.135277777779</v>
      </c>
      <c r="J1122" s="1">
        <v>45099.136666666665</v>
      </c>
      <c r="K1122" s="2">
        <v>45099.136117395836</v>
      </c>
      <c r="L1122" t="s">
        <v>28</v>
      </c>
      <c r="M1122" s="2">
        <v>45099.350369236112</v>
      </c>
      <c r="N1122" t="s">
        <v>28</v>
      </c>
      <c r="O1122" s="2">
        <v>45104.496671261571</v>
      </c>
      <c r="P1122">
        <v>3</v>
      </c>
      <c r="Q1122">
        <v>4</v>
      </c>
      <c r="R1122" t="s">
        <v>50</v>
      </c>
      <c r="S1122" t="s">
        <v>30</v>
      </c>
      <c r="T1122" t="s">
        <v>56</v>
      </c>
      <c r="U1122">
        <v>52.536273000000001</v>
      </c>
      <c r="V1122">
        <v>19.050639</v>
      </c>
      <c r="W1122" t="str">
        <f t="shared" si="120"/>
        <v>ok</v>
      </c>
      <c r="X1122" t="str">
        <f t="shared" si="126"/>
        <v>ok</v>
      </c>
      <c r="Y1122" t="str">
        <f t="shared" si="121"/>
        <v>ok</v>
      </c>
      <c r="Z1122" t="str">
        <f t="shared" si="122"/>
        <v>ok</v>
      </c>
      <c r="AA1122" s="4" t="str">
        <f t="shared" si="123"/>
        <v>ok</v>
      </c>
      <c r="AB1122" s="4" t="str">
        <f t="shared" si="124"/>
        <v>ok</v>
      </c>
      <c r="AC1122" s="6">
        <f t="shared" si="125"/>
        <v>5.1621949999826029</v>
      </c>
    </row>
    <row r="1123" spans="1:29" x14ac:dyDescent="0.3">
      <c r="A1123" t="s">
        <v>32</v>
      </c>
      <c r="B1123">
        <v>2417</v>
      </c>
      <c r="C1123" t="s">
        <v>23</v>
      </c>
      <c r="D1123" t="s">
        <v>43</v>
      </c>
      <c r="E1123" t="s">
        <v>62</v>
      </c>
      <c r="F1123" t="s">
        <v>36</v>
      </c>
      <c r="G1123" t="s">
        <v>64</v>
      </c>
      <c r="H1123" s="1">
        <v>45099.231249999997</v>
      </c>
      <c r="I1123" s="1">
        <v>45100.231249999997</v>
      </c>
      <c r="J1123" s="1">
        <v>45099.232638888891</v>
      </c>
      <c r="K1123" s="2">
        <v>45099.23334554398</v>
      </c>
      <c r="L1123" t="s">
        <v>38</v>
      </c>
      <c r="N1123" t="s">
        <v>38</v>
      </c>
      <c r="P1123">
        <v>8</v>
      </c>
      <c r="R1123" t="s">
        <v>55</v>
      </c>
      <c r="S1123" t="s">
        <v>40</v>
      </c>
      <c r="T1123" t="s">
        <v>41</v>
      </c>
      <c r="U1123">
        <v>43.036776000000003</v>
      </c>
      <c r="V1123">
        <v>12.678565000000001</v>
      </c>
      <c r="W1123" t="str">
        <f t="shared" si="120"/>
        <v>ok</v>
      </c>
      <c r="X1123" t="str">
        <f t="shared" si="126"/>
        <v>ok</v>
      </c>
      <c r="Y1123" t="str">
        <f t="shared" si="121"/>
        <v>ok</v>
      </c>
      <c r="Z1123" t="str">
        <f t="shared" si="122"/>
        <v>ok</v>
      </c>
      <c r="AA1123" s="4" t="str">
        <f t="shared" si="123"/>
        <v>ok</v>
      </c>
      <c r="AB1123" s="4" t="str">
        <f t="shared" si="124"/>
        <v>no resolution</v>
      </c>
      <c r="AC1123" s="6" t="str">
        <f t="shared" si="125"/>
        <v/>
      </c>
    </row>
    <row r="1124" spans="1:29" x14ac:dyDescent="0.3">
      <c r="A1124" t="s">
        <v>22</v>
      </c>
      <c r="B1124">
        <v>2418</v>
      </c>
      <c r="C1124" t="s">
        <v>47</v>
      </c>
      <c r="D1124" t="s">
        <v>24</v>
      </c>
      <c r="E1124" t="s">
        <v>44</v>
      </c>
      <c r="F1124" t="s">
        <v>36</v>
      </c>
      <c r="G1124" t="s">
        <v>54</v>
      </c>
      <c r="H1124" s="1">
        <v>45099.638912037037</v>
      </c>
      <c r="I1124" s="1">
        <v>45101.638912037037</v>
      </c>
      <c r="J1124" s="1">
        <v>45099.680578703701</v>
      </c>
      <c r="K1124" s="2">
        <v>45099.650547187499</v>
      </c>
      <c r="L1124" t="s">
        <v>28</v>
      </c>
      <c r="M1124" s="2">
        <v>45102.078449155095</v>
      </c>
      <c r="N1124" t="s">
        <v>38</v>
      </c>
      <c r="O1124" s="2">
        <v>45103.112542962961</v>
      </c>
      <c r="P1124">
        <v>1</v>
      </c>
      <c r="Q1124">
        <v>4</v>
      </c>
      <c r="R1124" t="s">
        <v>50</v>
      </c>
      <c r="S1124" t="s">
        <v>40</v>
      </c>
      <c r="T1124" t="s">
        <v>57</v>
      </c>
      <c r="U1124">
        <v>51.165691000000002</v>
      </c>
      <c r="V1124">
        <v>10.451525999999999</v>
      </c>
      <c r="W1124" t="str">
        <f t="shared" si="120"/>
        <v>ok</v>
      </c>
      <c r="X1124" t="str">
        <f t="shared" si="126"/>
        <v>ok</v>
      </c>
      <c r="Y1124" t="str">
        <f t="shared" si="121"/>
        <v>ok</v>
      </c>
      <c r="Z1124" t="str">
        <f t="shared" si="122"/>
        <v>ok</v>
      </c>
      <c r="AA1124" s="4" t="str">
        <f t="shared" si="123"/>
        <v>ok</v>
      </c>
      <c r="AB1124" s="4" t="str">
        <f t="shared" si="124"/>
        <v>ok</v>
      </c>
      <c r="AC1124" s="6">
        <f t="shared" si="125"/>
        <v>58.548890833393671</v>
      </c>
    </row>
    <row r="1125" spans="1:29" x14ac:dyDescent="0.3">
      <c r="A1125" t="s">
        <v>22</v>
      </c>
      <c r="B1125">
        <v>2419</v>
      </c>
      <c r="C1125" t="s">
        <v>23</v>
      </c>
      <c r="D1125" t="s">
        <v>34</v>
      </c>
      <c r="E1125" t="s">
        <v>67</v>
      </c>
      <c r="F1125" t="s">
        <v>26</v>
      </c>
      <c r="G1125" t="s">
        <v>49</v>
      </c>
      <c r="H1125" s="1">
        <v>45099.637465277781</v>
      </c>
      <c r="I1125" s="1">
        <v>45101.637465277781</v>
      </c>
      <c r="J1125" s="1">
        <v>45099.638854166667</v>
      </c>
      <c r="K1125" s="2">
        <v>45099.637587870369</v>
      </c>
      <c r="L1125" t="s">
        <v>28</v>
      </c>
      <c r="M1125" s="2">
        <v>45101.280027071756</v>
      </c>
      <c r="N1125" t="s">
        <v>28</v>
      </c>
      <c r="O1125" s="2">
        <v>45103.578056053244</v>
      </c>
      <c r="P1125">
        <v>2</v>
      </c>
      <c r="Q1125">
        <v>3</v>
      </c>
      <c r="R1125" t="s">
        <v>29</v>
      </c>
      <c r="S1125" t="s">
        <v>30</v>
      </c>
      <c r="T1125" t="s">
        <v>66</v>
      </c>
      <c r="U1125">
        <v>48.864716000000001</v>
      </c>
      <c r="V1125">
        <v>2.3490139999999999</v>
      </c>
      <c r="W1125" t="str">
        <f t="shared" si="120"/>
        <v>ok</v>
      </c>
      <c r="X1125" t="str">
        <f t="shared" si="126"/>
        <v>ok</v>
      </c>
      <c r="Y1125" t="str">
        <f t="shared" si="121"/>
        <v>ok</v>
      </c>
      <c r="Z1125" t="str">
        <f t="shared" si="122"/>
        <v>ok</v>
      </c>
      <c r="AA1125" s="4" t="str">
        <f t="shared" si="123"/>
        <v>ok</v>
      </c>
      <c r="AB1125" s="4" t="str">
        <f t="shared" si="124"/>
        <v>ok</v>
      </c>
      <c r="AC1125" s="6">
        <f t="shared" si="125"/>
        <v>39.421483055397402</v>
      </c>
    </row>
    <row r="1126" spans="1:29" x14ac:dyDescent="0.3">
      <c r="A1126" t="s">
        <v>22</v>
      </c>
      <c r="B1126">
        <v>2420</v>
      </c>
      <c r="C1126" t="s">
        <v>47</v>
      </c>
      <c r="D1126" t="s">
        <v>43</v>
      </c>
      <c r="E1126" t="s">
        <v>39</v>
      </c>
      <c r="F1126" t="s">
        <v>36</v>
      </c>
      <c r="G1126" t="s">
        <v>37</v>
      </c>
      <c r="H1126" s="1">
        <v>45099.428090277775</v>
      </c>
      <c r="I1126" s="1">
        <v>45100.428090277775</v>
      </c>
      <c r="J1126" s="1">
        <v>45099.429479166669</v>
      </c>
      <c r="K1126" s="2">
        <v>45099.431083877316</v>
      </c>
      <c r="L1126" t="s">
        <v>38</v>
      </c>
      <c r="M1126" s="2">
        <v>45099.620141388892</v>
      </c>
      <c r="N1126" t="s">
        <v>28</v>
      </c>
      <c r="O1126" s="2">
        <v>45103.852877013887</v>
      </c>
      <c r="P1126">
        <v>60</v>
      </c>
      <c r="Q1126">
        <v>4</v>
      </c>
      <c r="R1126" t="s">
        <v>39</v>
      </c>
      <c r="S1126" t="s">
        <v>40</v>
      </c>
      <c r="T1126" t="s">
        <v>66</v>
      </c>
      <c r="U1126">
        <v>48.864716000000001</v>
      </c>
      <c r="V1126">
        <v>2.3490139999999999</v>
      </c>
      <c r="W1126" t="str">
        <f t="shared" si="120"/>
        <v>ok</v>
      </c>
      <c r="X1126" t="str">
        <f t="shared" si="126"/>
        <v>ok</v>
      </c>
      <c r="Y1126" t="str">
        <f t="shared" si="121"/>
        <v>ok</v>
      </c>
      <c r="Z1126" t="str">
        <f t="shared" si="122"/>
        <v>ok</v>
      </c>
      <c r="AA1126" s="4" t="str">
        <f t="shared" si="123"/>
        <v>ok</v>
      </c>
      <c r="AB1126" s="4" t="str">
        <f t="shared" si="124"/>
        <v>ok</v>
      </c>
      <c r="AC1126" s="6">
        <f t="shared" si="125"/>
        <v>4.6092266667983495</v>
      </c>
    </row>
    <row r="1127" spans="1:29" x14ac:dyDescent="0.3">
      <c r="A1127" t="s">
        <v>42</v>
      </c>
      <c r="B1127">
        <v>2421</v>
      </c>
      <c r="C1127" t="s">
        <v>23</v>
      </c>
      <c r="D1127" t="s">
        <v>34</v>
      </c>
      <c r="E1127" t="s">
        <v>39</v>
      </c>
      <c r="F1127" t="s">
        <v>26</v>
      </c>
      <c r="G1127" t="s">
        <v>27</v>
      </c>
      <c r="H1127" s="1">
        <v>45100.119305555556</v>
      </c>
      <c r="I1127" s="1">
        <v>45102.119305555556</v>
      </c>
      <c r="J1127" s="1">
        <v>45100.120694444442</v>
      </c>
      <c r="K1127" s="2">
        <v>45100.119566782407</v>
      </c>
      <c r="L1127" t="s">
        <v>28</v>
      </c>
      <c r="M1127" s="2">
        <v>45100.678514513886</v>
      </c>
      <c r="N1127" t="s">
        <v>28</v>
      </c>
      <c r="P1127">
        <v>3</v>
      </c>
      <c r="R1127" t="s">
        <v>50</v>
      </c>
      <c r="S1127" t="s">
        <v>30</v>
      </c>
      <c r="T1127" t="s">
        <v>61</v>
      </c>
      <c r="U1127">
        <v>42.724992499999999</v>
      </c>
      <c r="V1127">
        <v>25.483303899999999</v>
      </c>
      <c r="W1127" t="str">
        <f t="shared" si="120"/>
        <v>ok</v>
      </c>
      <c r="X1127" t="str">
        <f t="shared" si="126"/>
        <v>ok</v>
      </c>
      <c r="Y1127" t="str">
        <f t="shared" si="121"/>
        <v>ok</v>
      </c>
      <c r="Z1127" t="str">
        <f t="shared" si="122"/>
        <v>ok</v>
      </c>
      <c r="AA1127" s="4" t="str">
        <f t="shared" si="123"/>
        <v>ok</v>
      </c>
      <c r="AB1127" s="4" t="str">
        <f t="shared" si="124"/>
        <v>ok</v>
      </c>
      <c r="AC1127" s="6">
        <f t="shared" si="125"/>
        <v>13.421014999912586</v>
      </c>
    </row>
    <row r="1128" spans="1:29" x14ac:dyDescent="0.3">
      <c r="A1128" t="s">
        <v>42</v>
      </c>
      <c r="B1128">
        <v>2422</v>
      </c>
      <c r="C1128" t="s">
        <v>23</v>
      </c>
      <c r="D1128" t="s">
        <v>34</v>
      </c>
      <c r="E1128" t="s">
        <v>48</v>
      </c>
      <c r="F1128" t="s">
        <v>26</v>
      </c>
      <c r="G1128" t="s">
        <v>45</v>
      </c>
      <c r="H1128" s="1">
        <v>45100.083726851852</v>
      </c>
      <c r="I1128" s="1">
        <v>45102.083726851852</v>
      </c>
      <c r="J1128" s="1">
        <v>45100.085115740738</v>
      </c>
      <c r="K1128" s="2">
        <v>45100.0866134838</v>
      </c>
      <c r="L1128" t="s">
        <v>38</v>
      </c>
      <c r="M1128" s="2">
        <v>45100.898509907405</v>
      </c>
      <c r="N1128" t="s">
        <v>28</v>
      </c>
      <c r="P1128">
        <v>2</v>
      </c>
      <c r="R1128" t="s">
        <v>55</v>
      </c>
      <c r="S1128" t="s">
        <v>30</v>
      </c>
      <c r="T1128" t="s">
        <v>46</v>
      </c>
      <c r="U1128">
        <v>47.696471899999999</v>
      </c>
      <c r="V1128">
        <v>13.3457347</v>
      </c>
      <c r="W1128" t="str">
        <f t="shared" si="120"/>
        <v>ok</v>
      </c>
      <c r="X1128" t="str">
        <f t="shared" si="126"/>
        <v>ok</v>
      </c>
      <c r="Y1128" t="str">
        <f t="shared" si="121"/>
        <v>ok</v>
      </c>
      <c r="Z1128" t="str">
        <f t="shared" si="122"/>
        <v>ok</v>
      </c>
      <c r="AA1128" s="4" t="str">
        <f t="shared" si="123"/>
        <v>ok</v>
      </c>
      <c r="AB1128" s="4" t="str">
        <f t="shared" si="124"/>
        <v>ok</v>
      </c>
      <c r="AC1128" s="6">
        <f t="shared" si="125"/>
        <v>19.554793333285488</v>
      </c>
    </row>
    <row r="1129" spans="1:29" x14ac:dyDescent="0.3">
      <c r="A1129" t="s">
        <v>22</v>
      </c>
      <c r="B1129">
        <v>2423</v>
      </c>
      <c r="C1129" t="s">
        <v>23</v>
      </c>
      <c r="D1129" t="s">
        <v>24</v>
      </c>
      <c r="E1129" t="s">
        <v>25</v>
      </c>
      <c r="F1129" t="s">
        <v>26</v>
      </c>
      <c r="G1129" t="s">
        <v>49</v>
      </c>
      <c r="H1129" s="1">
        <v>45100.471041666664</v>
      </c>
      <c r="I1129" s="1">
        <v>45102.471041666664</v>
      </c>
      <c r="J1129" s="1">
        <v>45100.512708333335</v>
      </c>
      <c r="K1129" s="2">
        <v>45100.507087013888</v>
      </c>
      <c r="L1129" t="s">
        <v>28</v>
      </c>
      <c r="M1129" s="2">
        <v>45100.967273738424</v>
      </c>
      <c r="N1129" t="s">
        <v>28</v>
      </c>
      <c r="O1129" s="2">
        <v>45102.055352175928</v>
      </c>
      <c r="P1129">
        <v>1</v>
      </c>
      <c r="Q1129">
        <v>3</v>
      </c>
      <c r="R1129" t="s">
        <v>50</v>
      </c>
      <c r="S1129" t="s">
        <v>30</v>
      </c>
      <c r="T1129" t="s">
        <v>57</v>
      </c>
      <c r="U1129">
        <v>51.165691000000002</v>
      </c>
      <c r="V1129">
        <v>10.451525999999999</v>
      </c>
      <c r="W1129" t="str">
        <f t="shared" si="120"/>
        <v>ok</v>
      </c>
      <c r="X1129" t="str">
        <f t="shared" si="126"/>
        <v>ok</v>
      </c>
      <c r="Y1129" t="str">
        <f t="shared" si="121"/>
        <v>ok</v>
      </c>
      <c r="Z1129" t="str">
        <f t="shared" si="122"/>
        <v>ok</v>
      </c>
      <c r="AA1129" s="4" t="str">
        <f t="shared" si="123"/>
        <v>ok</v>
      </c>
      <c r="AB1129" s="4" t="str">
        <f t="shared" si="124"/>
        <v>ok</v>
      </c>
      <c r="AC1129" s="6">
        <f t="shared" si="125"/>
        <v>11.909569722251035</v>
      </c>
    </row>
    <row r="1130" spans="1:29" x14ac:dyDescent="0.3">
      <c r="A1130" t="s">
        <v>22</v>
      </c>
      <c r="B1130">
        <v>2425</v>
      </c>
      <c r="C1130" t="s">
        <v>47</v>
      </c>
      <c r="D1130" t="s">
        <v>24</v>
      </c>
      <c r="E1130" t="s">
        <v>35</v>
      </c>
      <c r="F1130" t="s">
        <v>26</v>
      </c>
      <c r="G1130" t="s">
        <v>45</v>
      </c>
      <c r="H1130" s="1">
        <v>45100.573831018519</v>
      </c>
      <c r="I1130" s="1">
        <v>45102.573831018519</v>
      </c>
      <c r="J1130" s="1">
        <v>45100.615497685183</v>
      </c>
      <c r="K1130" s="2">
        <v>45100.590914456021</v>
      </c>
      <c r="L1130" t="s">
        <v>28</v>
      </c>
      <c r="M1130" s="2">
        <v>45101.963784942127</v>
      </c>
      <c r="N1130" t="s">
        <v>28</v>
      </c>
      <c r="O1130" s="2">
        <v>45102.339462615739</v>
      </c>
      <c r="P1130">
        <v>1</v>
      </c>
      <c r="Q1130">
        <v>4</v>
      </c>
      <c r="R1130" t="s">
        <v>50</v>
      </c>
      <c r="S1130" t="s">
        <v>30</v>
      </c>
      <c r="T1130" t="s">
        <v>63</v>
      </c>
      <c r="U1130">
        <v>55.378051999999997</v>
      </c>
      <c r="V1130">
        <v>-3.4359730000000002</v>
      </c>
      <c r="W1130" t="str">
        <f t="shared" si="120"/>
        <v>ok</v>
      </c>
      <c r="X1130" t="str">
        <f t="shared" si="126"/>
        <v>ok</v>
      </c>
      <c r="Y1130" t="str">
        <f t="shared" si="121"/>
        <v>ok</v>
      </c>
      <c r="Z1130" t="str">
        <f t="shared" si="122"/>
        <v>ok</v>
      </c>
      <c r="AA1130" s="4" t="str">
        <f t="shared" si="123"/>
        <v>ok</v>
      </c>
      <c r="AB1130" s="4" t="str">
        <f t="shared" si="124"/>
        <v>ok</v>
      </c>
      <c r="AC1130" s="6">
        <f t="shared" si="125"/>
        <v>33.358894166594837</v>
      </c>
    </row>
    <row r="1131" spans="1:29" x14ac:dyDescent="0.3">
      <c r="A1131" t="s">
        <v>32</v>
      </c>
      <c r="B1131">
        <v>2426</v>
      </c>
      <c r="C1131" t="s">
        <v>23</v>
      </c>
      <c r="D1131" t="s">
        <v>24</v>
      </c>
      <c r="E1131" t="s">
        <v>67</v>
      </c>
      <c r="F1131" t="s">
        <v>26</v>
      </c>
      <c r="G1131" t="s">
        <v>27</v>
      </c>
      <c r="H1131" s="1">
        <v>45100.865624999999</v>
      </c>
      <c r="I1131" s="1">
        <v>45102.865624999999</v>
      </c>
      <c r="J1131" s="1">
        <v>45100.90729166667</v>
      </c>
      <c r="K1131" s="2">
        <v>45100.893562349534</v>
      </c>
      <c r="L1131" t="s">
        <v>28</v>
      </c>
      <c r="N1131" t="s">
        <v>38</v>
      </c>
      <c r="P1131">
        <v>2</v>
      </c>
      <c r="R1131" t="s">
        <v>29</v>
      </c>
      <c r="S1131" t="s">
        <v>30</v>
      </c>
      <c r="T1131" t="s">
        <v>57</v>
      </c>
      <c r="U1131">
        <v>51.165691000000002</v>
      </c>
      <c r="V1131">
        <v>10.451525999999999</v>
      </c>
      <c r="W1131" t="str">
        <f t="shared" si="120"/>
        <v>ok</v>
      </c>
      <c r="X1131" t="str">
        <f t="shared" si="126"/>
        <v>ok</v>
      </c>
      <c r="Y1131" t="str">
        <f t="shared" si="121"/>
        <v>ok</v>
      </c>
      <c r="Z1131" t="str">
        <f t="shared" si="122"/>
        <v>ok</v>
      </c>
      <c r="AA1131" s="4" t="str">
        <f t="shared" si="123"/>
        <v>ok</v>
      </c>
      <c r="AB1131" s="4" t="str">
        <f t="shared" si="124"/>
        <v>no resolution</v>
      </c>
      <c r="AC1131" s="6" t="str">
        <f t="shared" si="125"/>
        <v/>
      </c>
    </row>
    <row r="1132" spans="1:29" x14ac:dyDescent="0.3">
      <c r="A1132" t="s">
        <v>42</v>
      </c>
      <c r="B1132">
        <v>2429</v>
      </c>
      <c r="C1132" t="s">
        <v>23</v>
      </c>
      <c r="D1132" t="s">
        <v>24</v>
      </c>
      <c r="E1132" t="s">
        <v>48</v>
      </c>
      <c r="F1132" t="s">
        <v>26</v>
      </c>
      <c r="G1132" t="s">
        <v>60</v>
      </c>
      <c r="H1132" s="1">
        <v>45100.923449074071</v>
      </c>
      <c r="I1132" s="1">
        <v>45102.923449074071</v>
      </c>
      <c r="J1132" s="1">
        <v>45100.965115740742</v>
      </c>
      <c r="K1132" s="2">
        <v>45100.930617696758</v>
      </c>
      <c r="L1132" t="s">
        <v>28</v>
      </c>
      <c r="M1132" s="2">
        <v>45102.022777453705</v>
      </c>
      <c r="N1132" t="s">
        <v>28</v>
      </c>
      <c r="P1132">
        <v>2</v>
      </c>
      <c r="R1132" t="s">
        <v>50</v>
      </c>
      <c r="S1132" t="s">
        <v>30</v>
      </c>
      <c r="T1132" t="s">
        <v>41</v>
      </c>
      <c r="U1132">
        <v>43.036776000000003</v>
      </c>
      <c r="V1132">
        <v>12.678565000000001</v>
      </c>
      <c r="W1132" t="str">
        <f t="shared" si="120"/>
        <v>ok</v>
      </c>
      <c r="X1132" t="str">
        <f t="shared" si="126"/>
        <v>ok</v>
      </c>
      <c r="Y1132" t="str">
        <f t="shared" si="121"/>
        <v>ok</v>
      </c>
      <c r="Z1132" t="str">
        <f t="shared" si="122"/>
        <v>ok</v>
      </c>
      <c r="AA1132" s="4" t="str">
        <f t="shared" si="123"/>
        <v>ok</v>
      </c>
      <c r="AB1132" s="4" t="str">
        <f t="shared" si="124"/>
        <v>ok</v>
      </c>
      <c r="AC1132" s="6">
        <f t="shared" si="125"/>
        <v>26.383881111221854</v>
      </c>
    </row>
    <row r="1133" spans="1:29" x14ac:dyDescent="0.3">
      <c r="A1133" t="s">
        <v>22</v>
      </c>
      <c r="B1133">
        <v>2431</v>
      </c>
      <c r="C1133" t="s">
        <v>33</v>
      </c>
      <c r="D1133" t="s">
        <v>24</v>
      </c>
      <c r="E1133" t="s">
        <v>44</v>
      </c>
      <c r="F1133" t="s">
        <v>26</v>
      </c>
      <c r="G1133" t="s">
        <v>45</v>
      </c>
      <c r="H1133" s="1">
        <v>45101.303043981483</v>
      </c>
      <c r="I1133" s="1">
        <v>45103.303043981483</v>
      </c>
      <c r="J1133" s="1">
        <v>45101.344710648147</v>
      </c>
      <c r="K1133" s="2">
        <v>45101.32835127315</v>
      </c>
      <c r="L1133" t="s">
        <v>28</v>
      </c>
      <c r="M1133" s="2">
        <v>45107.174440902774</v>
      </c>
      <c r="N1133" t="s">
        <v>38</v>
      </c>
      <c r="O1133" s="2">
        <v>45108.320604375003</v>
      </c>
      <c r="P1133">
        <v>1</v>
      </c>
      <c r="Q1133">
        <v>4</v>
      </c>
      <c r="R1133" t="s">
        <v>39</v>
      </c>
      <c r="S1133" t="s">
        <v>30</v>
      </c>
      <c r="T1133" t="s">
        <v>41</v>
      </c>
      <c r="U1133">
        <v>43.036776000000003</v>
      </c>
      <c r="V1133">
        <v>12.678565000000001</v>
      </c>
      <c r="W1133" t="str">
        <f t="shared" si="120"/>
        <v>ok</v>
      </c>
      <c r="X1133" t="str">
        <f t="shared" si="126"/>
        <v>ok</v>
      </c>
      <c r="Y1133" t="str">
        <f t="shared" si="121"/>
        <v>ok</v>
      </c>
      <c r="Z1133" t="str">
        <f t="shared" si="122"/>
        <v>ok</v>
      </c>
      <c r="AA1133" s="4" t="str">
        <f t="shared" si="123"/>
        <v>ok</v>
      </c>
      <c r="AB1133" s="4" t="str">
        <f t="shared" si="124"/>
        <v>ok</v>
      </c>
      <c r="AC1133" s="6">
        <f t="shared" si="125"/>
        <v>140.91352611099137</v>
      </c>
    </row>
    <row r="1134" spans="1:29" x14ac:dyDescent="0.3">
      <c r="A1134" t="s">
        <v>22</v>
      </c>
      <c r="B1134">
        <v>2433</v>
      </c>
      <c r="C1134" t="s">
        <v>23</v>
      </c>
      <c r="D1134" t="s">
        <v>43</v>
      </c>
      <c r="E1134" t="s">
        <v>25</v>
      </c>
      <c r="F1134" t="s">
        <v>26</v>
      </c>
      <c r="G1134" t="s">
        <v>52</v>
      </c>
      <c r="H1134" s="1">
        <v>45101.777465277781</v>
      </c>
      <c r="I1134" s="1">
        <v>45102.777465277781</v>
      </c>
      <c r="J1134" s="1">
        <v>45101.778854166667</v>
      </c>
      <c r="K1134" s="2">
        <v>45101.778073402776</v>
      </c>
      <c r="L1134" t="s">
        <v>28</v>
      </c>
      <c r="M1134" s="2">
        <v>45102.524767708332</v>
      </c>
      <c r="N1134" t="s">
        <v>28</v>
      </c>
      <c r="O1134" s="2">
        <v>45107.938095810183</v>
      </c>
      <c r="P1134">
        <v>3</v>
      </c>
      <c r="Q1134">
        <v>2</v>
      </c>
      <c r="R1134" t="s">
        <v>50</v>
      </c>
      <c r="S1134" t="s">
        <v>30</v>
      </c>
      <c r="T1134" t="s">
        <v>61</v>
      </c>
      <c r="U1134">
        <v>42.724992499999999</v>
      </c>
      <c r="V1134">
        <v>25.483303899999999</v>
      </c>
      <c r="W1134" t="str">
        <f t="shared" si="120"/>
        <v>ok</v>
      </c>
      <c r="X1134" t="str">
        <f t="shared" si="126"/>
        <v>ok</v>
      </c>
      <c r="Y1134" t="str">
        <f t="shared" si="121"/>
        <v>ok</v>
      </c>
      <c r="Z1134" t="str">
        <f t="shared" si="122"/>
        <v>ok</v>
      </c>
      <c r="AA1134" s="4" t="str">
        <f t="shared" si="123"/>
        <v>ok</v>
      </c>
      <c r="AB1134" s="4" t="str">
        <f t="shared" si="124"/>
        <v>ok</v>
      </c>
      <c r="AC1134" s="6">
        <f t="shared" si="125"/>
        <v>17.935258333222009</v>
      </c>
    </row>
    <row r="1135" spans="1:29" x14ac:dyDescent="0.3">
      <c r="A1135" t="s">
        <v>22</v>
      </c>
      <c r="B1135">
        <v>2446</v>
      </c>
      <c r="C1135" t="s">
        <v>23</v>
      </c>
      <c r="D1135" t="s">
        <v>43</v>
      </c>
      <c r="E1135" t="s">
        <v>48</v>
      </c>
      <c r="F1135" t="s">
        <v>36</v>
      </c>
      <c r="G1135" t="s">
        <v>64</v>
      </c>
      <c r="H1135" s="1">
        <v>45102.694884259261</v>
      </c>
      <c r="I1135" s="1">
        <v>45103.694884259261</v>
      </c>
      <c r="J1135" s="1">
        <v>45102.696273148147</v>
      </c>
      <c r="K1135" s="2">
        <v>45102.696257858799</v>
      </c>
      <c r="L1135" t="s">
        <v>28</v>
      </c>
      <c r="M1135" s="2">
        <v>45103.564232731478</v>
      </c>
      <c r="N1135" t="s">
        <v>28</v>
      </c>
      <c r="O1135" s="2">
        <v>45103.796682187502</v>
      </c>
      <c r="P1135">
        <v>6</v>
      </c>
      <c r="Q1135">
        <v>4</v>
      </c>
      <c r="R1135" t="s">
        <v>29</v>
      </c>
      <c r="S1135" t="s">
        <v>40</v>
      </c>
      <c r="T1135" t="s">
        <v>31</v>
      </c>
      <c r="U1135">
        <v>53.094023999999997</v>
      </c>
      <c r="V1135">
        <v>-8.0196749999999994</v>
      </c>
      <c r="W1135" t="str">
        <f t="shared" si="120"/>
        <v>ok</v>
      </c>
      <c r="X1135" t="str">
        <f t="shared" si="126"/>
        <v>ok</v>
      </c>
      <c r="Y1135" t="str">
        <f t="shared" si="121"/>
        <v>ok</v>
      </c>
      <c r="Z1135" t="str">
        <f t="shared" si="122"/>
        <v>ok</v>
      </c>
      <c r="AA1135" s="4" t="str">
        <f t="shared" si="123"/>
        <v>ok</v>
      </c>
      <c r="AB1135" s="4" t="str">
        <f t="shared" si="124"/>
        <v>ok</v>
      </c>
      <c r="AC1135" s="6">
        <f t="shared" si="125"/>
        <v>20.864363333210349</v>
      </c>
    </row>
    <row r="1136" spans="1:29" x14ac:dyDescent="0.3">
      <c r="A1136" t="s">
        <v>42</v>
      </c>
      <c r="B1136">
        <v>2447</v>
      </c>
      <c r="C1136" t="s">
        <v>33</v>
      </c>
      <c r="D1136" t="s">
        <v>43</v>
      </c>
      <c r="E1136" t="s">
        <v>44</v>
      </c>
      <c r="F1136" t="s">
        <v>26</v>
      </c>
      <c r="G1136" t="s">
        <v>27</v>
      </c>
      <c r="H1136" s="1">
        <v>45102.477037037039</v>
      </c>
      <c r="I1136" s="1">
        <v>45103.477037037039</v>
      </c>
      <c r="J1136" s="1">
        <v>45102.478425925925</v>
      </c>
      <c r="K1136" s="2">
        <v>45102.478039363428</v>
      </c>
      <c r="L1136" t="s">
        <v>28</v>
      </c>
      <c r="M1136" s="2">
        <v>45102.572636562501</v>
      </c>
      <c r="N1136" t="s">
        <v>28</v>
      </c>
      <c r="P1136">
        <v>8</v>
      </c>
      <c r="R1136" t="s">
        <v>50</v>
      </c>
      <c r="S1136" t="s">
        <v>30</v>
      </c>
      <c r="T1136" t="s">
        <v>56</v>
      </c>
      <c r="U1136">
        <v>52.536273000000001</v>
      </c>
      <c r="V1136">
        <v>19.050639</v>
      </c>
      <c r="W1136" t="str">
        <f t="shared" si="120"/>
        <v>ok</v>
      </c>
      <c r="X1136" t="str">
        <f t="shared" si="126"/>
        <v>ok</v>
      </c>
      <c r="Y1136" t="str">
        <f t="shared" si="121"/>
        <v>ok</v>
      </c>
      <c r="Z1136" t="str">
        <f t="shared" si="122"/>
        <v>ok</v>
      </c>
      <c r="AA1136" s="4" t="str">
        <f t="shared" si="123"/>
        <v>ok</v>
      </c>
      <c r="AB1136" s="4" t="str">
        <f t="shared" si="124"/>
        <v>ok</v>
      </c>
      <c r="AC1136" s="6">
        <f t="shared" si="125"/>
        <v>2.2943886111024767</v>
      </c>
    </row>
    <row r="1137" spans="1:29" x14ac:dyDescent="0.3">
      <c r="A1137" t="s">
        <v>22</v>
      </c>
      <c r="B1137">
        <v>2448</v>
      </c>
      <c r="C1137" t="s">
        <v>23</v>
      </c>
      <c r="D1137" t="s">
        <v>24</v>
      </c>
      <c r="E1137" t="s">
        <v>39</v>
      </c>
      <c r="F1137" t="s">
        <v>36</v>
      </c>
      <c r="G1137" t="s">
        <v>54</v>
      </c>
      <c r="H1137" s="1">
        <v>45103.943310185183</v>
      </c>
      <c r="I1137" s="1">
        <v>45105.943310185183</v>
      </c>
      <c r="J1137" s="1">
        <v>45103.984976851854</v>
      </c>
      <c r="K1137" s="2">
        <v>45104.24090960648</v>
      </c>
      <c r="L1137" t="s">
        <v>38</v>
      </c>
      <c r="M1137" s="2">
        <v>45105.034366516207</v>
      </c>
      <c r="N1137" t="s">
        <v>28</v>
      </c>
      <c r="O1137" s="2">
        <v>45104.661934826392</v>
      </c>
      <c r="P1137">
        <v>2</v>
      </c>
      <c r="Q1137">
        <v>4</v>
      </c>
      <c r="R1137" t="s">
        <v>50</v>
      </c>
      <c r="S1137" t="s">
        <v>40</v>
      </c>
      <c r="T1137" t="s">
        <v>66</v>
      </c>
      <c r="U1137">
        <v>48.864716000000001</v>
      </c>
      <c r="V1137">
        <v>2.3490139999999999</v>
      </c>
      <c r="W1137" t="str">
        <f t="shared" si="120"/>
        <v>ok</v>
      </c>
      <c r="X1137" t="str">
        <f t="shared" si="126"/>
        <v>ok</v>
      </c>
      <c r="Y1137" t="str">
        <f t="shared" si="121"/>
        <v>check</v>
      </c>
      <c r="Z1137" t="str">
        <f t="shared" si="122"/>
        <v>ok</v>
      </c>
      <c r="AA1137" s="4" t="str">
        <f t="shared" si="123"/>
        <v>ok</v>
      </c>
      <c r="AB1137" s="4" t="str">
        <f t="shared" si="124"/>
        <v>ok</v>
      </c>
      <c r="AC1137" s="6">
        <f t="shared" si="125"/>
        <v>26.185351944586728</v>
      </c>
    </row>
    <row r="1138" spans="1:29" x14ac:dyDescent="0.3">
      <c r="A1138" t="s">
        <v>32</v>
      </c>
      <c r="B1138">
        <v>2449</v>
      </c>
      <c r="C1138" t="s">
        <v>23</v>
      </c>
      <c r="D1138" t="s">
        <v>24</v>
      </c>
      <c r="E1138" t="s">
        <v>35</v>
      </c>
      <c r="F1138" t="s">
        <v>26</v>
      </c>
      <c r="G1138" t="s">
        <v>49</v>
      </c>
      <c r="H1138" s="1">
        <v>45103.445659722223</v>
      </c>
      <c r="I1138" s="1">
        <v>45105.445659722223</v>
      </c>
      <c r="J1138" s="1">
        <v>45103.487326388888</v>
      </c>
      <c r="K1138" s="2">
        <v>45103.479748437501</v>
      </c>
      <c r="L1138" t="s">
        <v>28</v>
      </c>
      <c r="N1138" t="s">
        <v>38</v>
      </c>
      <c r="P1138">
        <v>10</v>
      </c>
      <c r="R1138" t="s">
        <v>39</v>
      </c>
      <c r="S1138" t="s">
        <v>30</v>
      </c>
      <c r="T1138" t="s">
        <v>41</v>
      </c>
      <c r="U1138">
        <v>43.036776000000003</v>
      </c>
      <c r="V1138">
        <v>12.678565000000001</v>
      </c>
      <c r="W1138" t="str">
        <f t="shared" si="120"/>
        <v>ok</v>
      </c>
      <c r="X1138" t="str">
        <f t="shared" si="126"/>
        <v>ok</v>
      </c>
      <c r="Y1138" t="str">
        <f t="shared" si="121"/>
        <v>ok</v>
      </c>
      <c r="Z1138" t="str">
        <f t="shared" si="122"/>
        <v>ok</v>
      </c>
      <c r="AA1138" s="4" t="str">
        <f t="shared" si="123"/>
        <v>ok</v>
      </c>
      <c r="AB1138" s="4" t="str">
        <f t="shared" si="124"/>
        <v>no resolution</v>
      </c>
      <c r="AC1138" s="6" t="str">
        <f t="shared" si="125"/>
        <v/>
      </c>
    </row>
    <row r="1139" spans="1:29" x14ac:dyDescent="0.3">
      <c r="A1139" t="s">
        <v>42</v>
      </c>
      <c r="B1139">
        <v>2450</v>
      </c>
      <c r="C1139" t="s">
        <v>23</v>
      </c>
      <c r="D1139" t="s">
        <v>34</v>
      </c>
      <c r="E1139" t="s">
        <v>59</v>
      </c>
      <c r="F1139" t="s">
        <v>26</v>
      </c>
      <c r="G1139" t="s">
        <v>52</v>
      </c>
      <c r="H1139" s="1">
        <v>45103.232453703706</v>
      </c>
      <c r="I1139" s="1">
        <v>45105.232453703706</v>
      </c>
      <c r="J1139" s="1">
        <v>45103.233842592592</v>
      </c>
      <c r="K1139" s="2">
        <v>45103.232870601852</v>
      </c>
      <c r="L1139" t="s">
        <v>28</v>
      </c>
      <c r="M1139" s="2">
        <v>45104.718861689813</v>
      </c>
      <c r="N1139" t="s">
        <v>28</v>
      </c>
      <c r="P1139">
        <v>1</v>
      </c>
      <c r="R1139" t="s">
        <v>50</v>
      </c>
      <c r="S1139" t="s">
        <v>30</v>
      </c>
      <c r="T1139" t="s">
        <v>51</v>
      </c>
      <c r="U1139">
        <v>39.673369999999998</v>
      </c>
      <c r="V1139">
        <v>-4.7677259999999997</v>
      </c>
      <c r="W1139" t="str">
        <f t="shared" si="120"/>
        <v>ok</v>
      </c>
      <c r="X1139" t="str">
        <f t="shared" si="126"/>
        <v>ok</v>
      </c>
      <c r="Y1139" t="str">
        <f t="shared" si="121"/>
        <v>ok</v>
      </c>
      <c r="Z1139" t="str">
        <f t="shared" si="122"/>
        <v>ok</v>
      </c>
      <c r="AA1139" s="4" t="str">
        <f t="shared" si="123"/>
        <v>ok</v>
      </c>
      <c r="AB1139" s="4" t="str">
        <f t="shared" si="124"/>
        <v>ok</v>
      </c>
      <c r="AC1139" s="6">
        <f t="shared" si="125"/>
        <v>35.673791666573379</v>
      </c>
    </row>
    <row r="1140" spans="1:29" x14ac:dyDescent="0.3">
      <c r="A1140" t="s">
        <v>22</v>
      </c>
      <c r="B1140">
        <v>2451</v>
      </c>
      <c r="C1140" t="s">
        <v>33</v>
      </c>
      <c r="D1140" t="s">
        <v>34</v>
      </c>
      <c r="E1140" t="s">
        <v>39</v>
      </c>
      <c r="F1140" t="s">
        <v>36</v>
      </c>
      <c r="G1140" t="s">
        <v>64</v>
      </c>
      <c r="H1140" s="1">
        <v>45103.535439814812</v>
      </c>
      <c r="I1140" s="1">
        <v>45105.535439814812</v>
      </c>
      <c r="J1140" s="1">
        <v>45103.536828703705</v>
      </c>
      <c r="K1140" s="2">
        <v>45103.536247361109</v>
      </c>
      <c r="L1140" t="s">
        <v>28</v>
      </c>
      <c r="M1140" s="2">
        <v>45104.52716928241</v>
      </c>
      <c r="N1140" t="s">
        <v>28</v>
      </c>
      <c r="O1140" s="2">
        <v>45104.674880486113</v>
      </c>
      <c r="P1140">
        <v>3</v>
      </c>
      <c r="Q1140">
        <v>3</v>
      </c>
      <c r="R1140" t="s">
        <v>55</v>
      </c>
      <c r="S1140" t="s">
        <v>40</v>
      </c>
      <c r="T1140" t="s">
        <v>63</v>
      </c>
      <c r="U1140">
        <v>55.378051999999997</v>
      </c>
      <c r="V1140">
        <v>-3.4359730000000002</v>
      </c>
      <c r="W1140" t="str">
        <f t="shared" si="120"/>
        <v>ok</v>
      </c>
      <c r="X1140" t="str">
        <f t="shared" si="126"/>
        <v>ok</v>
      </c>
      <c r="Y1140" t="str">
        <f t="shared" si="121"/>
        <v>ok</v>
      </c>
      <c r="Z1140" t="str">
        <f t="shared" si="122"/>
        <v>ok</v>
      </c>
      <c r="AA1140" s="4" t="str">
        <f t="shared" si="123"/>
        <v>ok</v>
      </c>
      <c r="AB1140" s="4" t="str">
        <f t="shared" si="124"/>
        <v>ok</v>
      </c>
      <c r="AC1140" s="6">
        <f t="shared" si="125"/>
        <v>23.801507222349755</v>
      </c>
    </row>
    <row r="1141" spans="1:29" x14ac:dyDescent="0.3">
      <c r="A1141" t="s">
        <v>22</v>
      </c>
      <c r="B1141">
        <v>2452</v>
      </c>
      <c r="C1141" t="s">
        <v>47</v>
      </c>
      <c r="D1141" t="s">
        <v>34</v>
      </c>
      <c r="E1141" t="s">
        <v>25</v>
      </c>
      <c r="F1141" t="s">
        <v>26</v>
      </c>
      <c r="G1141" t="s">
        <v>49</v>
      </c>
      <c r="H1141" s="1">
        <v>45103.244027777779</v>
      </c>
      <c r="I1141" s="1">
        <v>45105.244027777779</v>
      </c>
      <c r="J1141" s="1">
        <v>45103.245416666665</v>
      </c>
      <c r="K1141" s="2">
        <v>45103.24555013889</v>
      </c>
      <c r="L1141" t="s">
        <v>38</v>
      </c>
      <c r="M1141" s="2">
        <v>45105.127973877316</v>
      </c>
      <c r="N1141" t="s">
        <v>28</v>
      </c>
      <c r="O1141" s="2">
        <v>45105.751187037036</v>
      </c>
      <c r="P1141">
        <v>3</v>
      </c>
      <c r="Q1141">
        <v>5</v>
      </c>
      <c r="R1141" t="s">
        <v>29</v>
      </c>
      <c r="S1141" t="s">
        <v>30</v>
      </c>
      <c r="T1141" t="s">
        <v>51</v>
      </c>
      <c r="U1141">
        <v>39.673369999999998</v>
      </c>
      <c r="V1141">
        <v>-4.7677259999999997</v>
      </c>
      <c r="W1141" t="str">
        <f t="shared" si="120"/>
        <v>ok</v>
      </c>
      <c r="X1141" t="str">
        <f t="shared" si="126"/>
        <v>ok</v>
      </c>
      <c r="Y1141" t="str">
        <f t="shared" si="121"/>
        <v>ok</v>
      </c>
      <c r="Z1141" t="str">
        <f t="shared" si="122"/>
        <v>ok</v>
      </c>
      <c r="AA1141" s="4" t="str">
        <f t="shared" si="123"/>
        <v>ok</v>
      </c>
      <c r="AB1141" s="4" t="str">
        <f t="shared" si="124"/>
        <v>ok</v>
      </c>
      <c r="AC1141" s="6">
        <f t="shared" si="125"/>
        <v>45.214706388884224</v>
      </c>
    </row>
    <row r="1142" spans="1:29" x14ac:dyDescent="0.3">
      <c r="A1142" t="s">
        <v>22</v>
      </c>
      <c r="B1142">
        <v>2453</v>
      </c>
      <c r="C1142" t="s">
        <v>23</v>
      </c>
      <c r="D1142" t="s">
        <v>24</v>
      </c>
      <c r="E1142" t="s">
        <v>44</v>
      </c>
      <c r="F1142" t="s">
        <v>26</v>
      </c>
      <c r="G1142" t="s">
        <v>52</v>
      </c>
      <c r="H1142" s="1">
        <v>45103.458472222221</v>
      </c>
      <c r="I1142" s="1">
        <v>45105.458472222221</v>
      </c>
      <c r="J1142" s="1">
        <v>45103.500138888892</v>
      </c>
      <c r="K1142" s="2">
        <v>45103.475602407409</v>
      </c>
      <c r="L1142" t="s">
        <v>28</v>
      </c>
      <c r="M1142" s="2">
        <v>45107.792091921299</v>
      </c>
      <c r="N1142" t="s">
        <v>38</v>
      </c>
      <c r="O1142" s="2">
        <v>45109.123396400464</v>
      </c>
      <c r="P1142">
        <v>1</v>
      </c>
      <c r="Q1142">
        <v>3</v>
      </c>
      <c r="R1142" t="s">
        <v>29</v>
      </c>
      <c r="S1142" t="s">
        <v>30</v>
      </c>
      <c r="T1142" t="s">
        <v>31</v>
      </c>
      <c r="U1142">
        <v>53.094023999999997</v>
      </c>
      <c r="V1142">
        <v>-8.0196749999999994</v>
      </c>
      <c r="W1142" t="str">
        <f t="shared" si="120"/>
        <v>ok</v>
      </c>
      <c r="X1142" t="str">
        <f t="shared" si="126"/>
        <v>ok</v>
      </c>
      <c r="Y1142" t="str">
        <f t="shared" si="121"/>
        <v>ok</v>
      </c>
      <c r="Z1142" t="str">
        <f t="shared" si="122"/>
        <v>ok</v>
      </c>
      <c r="AA1142" s="4" t="str">
        <f t="shared" si="123"/>
        <v>ok</v>
      </c>
      <c r="AB1142" s="4" t="str">
        <f t="shared" si="124"/>
        <v>ok</v>
      </c>
      <c r="AC1142" s="6">
        <f t="shared" si="125"/>
        <v>104.00687277788529</v>
      </c>
    </row>
    <row r="1143" spans="1:29" x14ac:dyDescent="0.3">
      <c r="A1143" t="s">
        <v>32</v>
      </c>
      <c r="B1143">
        <v>2454</v>
      </c>
      <c r="C1143" t="s">
        <v>23</v>
      </c>
      <c r="D1143" t="s">
        <v>34</v>
      </c>
      <c r="E1143" t="s">
        <v>39</v>
      </c>
      <c r="F1143" t="s">
        <v>26</v>
      </c>
      <c r="G1143" t="s">
        <v>49</v>
      </c>
      <c r="H1143" s="1">
        <v>45103.486655092594</v>
      </c>
      <c r="I1143" s="1">
        <v>45105.486655092594</v>
      </c>
      <c r="J1143" s="1">
        <v>45103.488043981481</v>
      </c>
      <c r="K1143" s="2">
        <v>45103.487719814817</v>
      </c>
      <c r="L1143" t="s">
        <v>28</v>
      </c>
      <c r="N1143" t="s">
        <v>38</v>
      </c>
      <c r="P1143">
        <v>1</v>
      </c>
      <c r="R1143" t="s">
        <v>29</v>
      </c>
      <c r="S1143" t="s">
        <v>30</v>
      </c>
      <c r="T1143" t="s">
        <v>57</v>
      </c>
      <c r="U1143">
        <v>51.165691000000002</v>
      </c>
      <c r="V1143">
        <v>10.451525999999999</v>
      </c>
      <c r="W1143" t="str">
        <f t="shared" si="120"/>
        <v>ok</v>
      </c>
      <c r="X1143" t="str">
        <f t="shared" si="126"/>
        <v>ok</v>
      </c>
      <c r="Y1143" t="str">
        <f t="shared" si="121"/>
        <v>ok</v>
      </c>
      <c r="Z1143" t="str">
        <f t="shared" si="122"/>
        <v>ok</v>
      </c>
      <c r="AA1143" s="4" t="str">
        <f t="shared" si="123"/>
        <v>ok</v>
      </c>
      <c r="AB1143" s="4" t="str">
        <f t="shared" si="124"/>
        <v>no resolution</v>
      </c>
      <c r="AC1143" s="6" t="str">
        <f t="shared" si="125"/>
        <v/>
      </c>
    </row>
    <row r="1144" spans="1:29" x14ac:dyDescent="0.3">
      <c r="A1144" t="s">
        <v>32</v>
      </c>
      <c r="B1144">
        <v>2455</v>
      </c>
      <c r="C1144" t="s">
        <v>23</v>
      </c>
      <c r="D1144" t="s">
        <v>24</v>
      </c>
      <c r="E1144" t="s">
        <v>67</v>
      </c>
      <c r="F1144" t="s">
        <v>26</v>
      </c>
      <c r="G1144" t="s">
        <v>45</v>
      </c>
      <c r="H1144" s="1">
        <v>45103.854212962964</v>
      </c>
      <c r="I1144" s="1">
        <v>45105.854212962964</v>
      </c>
      <c r="J1144" s="1">
        <v>45103.895879629628</v>
      </c>
      <c r="K1144" s="2">
        <v>45103.864196655093</v>
      </c>
      <c r="L1144" t="s">
        <v>28</v>
      </c>
      <c r="N1144" t="s">
        <v>38</v>
      </c>
      <c r="P1144">
        <v>2</v>
      </c>
      <c r="R1144" t="s">
        <v>29</v>
      </c>
      <c r="S1144" t="s">
        <v>30</v>
      </c>
      <c r="T1144" t="s">
        <v>56</v>
      </c>
      <c r="U1144">
        <v>52.536273000000001</v>
      </c>
      <c r="V1144">
        <v>19.050639</v>
      </c>
      <c r="W1144" t="str">
        <f t="shared" si="120"/>
        <v>ok</v>
      </c>
      <c r="X1144" t="str">
        <f t="shared" si="126"/>
        <v>ok</v>
      </c>
      <c r="Y1144" t="str">
        <f t="shared" si="121"/>
        <v>ok</v>
      </c>
      <c r="Z1144" t="str">
        <f t="shared" si="122"/>
        <v>ok</v>
      </c>
      <c r="AA1144" s="4" t="str">
        <f t="shared" si="123"/>
        <v>ok</v>
      </c>
      <c r="AB1144" s="4" t="str">
        <f t="shared" si="124"/>
        <v>no resolution</v>
      </c>
      <c r="AC1144" s="6" t="str">
        <f t="shared" si="125"/>
        <v/>
      </c>
    </row>
    <row r="1145" spans="1:29" x14ac:dyDescent="0.3">
      <c r="A1145" t="s">
        <v>22</v>
      </c>
      <c r="B1145">
        <v>2456</v>
      </c>
      <c r="C1145" t="s">
        <v>47</v>
      </c>
      <c r="D1145" t="s">
        <v>34</v>
      </c>
      <c r="E1145" t="s">
        <v>25</v>
      </c>
      <c r="F1145" t="s">
        <v>26</v>
      </c>
      <c r="G1145" t="s">
        <v>60</v>
      </c>
      <c r="H1145" s="1">
        <v>45103.329629629632</v>
      </c>
      <c r="I1145" s="1">
        <v>45105.329629629632</v>
      </c>
      <c r="J1145" s="1">
        <v>45103.331018518518</v>
      </c>
      <c r="K1145" s="2">
        <v>45103.333704027777</v>
      </c>
      <c r="L1145" t="s">
        <v>38</v>
      </c>
      <c r="M1145" s="2">
        <v>45104.764517222226</v>
      </c>
      <c r="N1145" t="s">
        <v>28</v>
      </c>
      <c r="O1145" s="2">
        <v>45108.178274166668</v>
      </c>
      <c r="P1145">
        <v>3</v>
      </c>
      <c r="Q1145">
        <v>5</v>
      </c>
      <c r="R1145" t="s">
        <v>50</v>
      </c>
      <c r="S1145" t="s">
        <v>30</v>
      </c>
      <c r="T1145" t="s">
        <v>61</v>
      </c>
      <c r="U1145">
        <v>42.724992499999999</v>
      </c>
      <c r="V1145">
        <v>25.483303899999999</v>
      </c>
      <c r="W1145" t="str">
        <f t="shared" si="120"/>
        <v>ok</v>
      </c>
      <c r="X1145" t="str">
        <f t="shared" si="126"/>
        <v>ok</v>
      </c>
      <c r="Y1145" t="str">
        <f t="shared" si="121"/>
        <v>ok</v>
      </c>
      <c r="Z1145" t="str">
        <f t="shared" si="122"/>
        <v>ok</v>
      </c>
      <c r="AA1145" s="4" t="str">
        <f t="shared" si="123"/>
        <v>ok</v>
      </c>
      <c r="AB1145" s="4" t="str">
        <f t="shared" si="124"/>
        <v>ok</v>
      </c>
      <c r="AC1145" s="6">
        <f t="shared" si="125"/>
        <v>34.437302222242579</v>
      </c>
    </row>
    <row r="1146" spans="1:29" x14ac:dyDescent="0.3">
      <c r="A1146" t="s">
        <v>22</v>
      </c>
      <c r="B1146">
        <v>2457</v>
      </c>
      <c r="C1146" t="s">
        <v>23</v>
      </c>
      <c r="D1146" t="s">
        <v>43</v>
      </c>
      <c r="E1146" t="s">
        <v>59</v>
      </c>
      <c r="F1146" t="s">
        <v>26</v>
      </c>
      <c r="G1146" t="s">
        <v>49</v>
      </c>
      <c r="H1146" s="1">
        <v>45103.353993055556</v>
      </c>
      <c r="I1146" s="1">
        <v>45104.353993055556</v>
      </c>
      <c r="J1146" s="1">
        <v>45103.355381944442</v>
      </c>
      <c r="K1146" s="2">
        <v>45103.35486994213</v>
      </c>
      <c r="L1146" t="s">
        <v>28</v>
      </c>
      <c r="M1146" s="2">
        <v>45104.304408252312</v>
      </c>
      <c r="N1146" t="s">
        <v>28</v>
      </c>
      <c r="O1146" s="2">
        <v>45104.52290708333</v>
      </c>
      <c r="P1146">
        <v>9</v>
      </c>
      <c r="Q1146">
        <v>4</v>
      </c>
      <c r="R1146" t="s">
        <v>55</v>
      </c>
      <c r="S1146" t="s">
        <v>30</v>
      </c>
      <c r="T1146" t="s">
        <v>65</v>
      </c>
      <c r="U1146">
        <v>46.149166399999999</v>
      </c>
      <c r="V1146">
        <v>14.9860106</v>
      </c>
      <c r="W1146" t="str">
        <f t="shared" si="120"/>
        <v>ok</v>
      </c>
      <c r="X1146" t="str">
        <f t="shared" si="126"/>
        <v>ok</v>
      </c>
      <c r="Y1146" t="str">
        <f t="shared" si="121"/>
        <v>ok</v>
      </c>
      <c r="Z1146" t="str">
        <f t="shared" si="122"/>
        <v>ok</v>
      </c>
      <c r="AA1146" s="4" t="str">
        <f t="shared" si="123"/>
        <v>ok</v>
      </c>
      <c r="AB1146" s="4" t="str">
        <f t="shared" si="124"/>
        <v>ok</v>
      </c>
      <c r="AC1146" s="6">
        <f t="shared" si="125"/>
        <v>22.80996472213883</v>
      </c>
    </row>
    <row r="1147" spans="1:29" x14ac:dyDescent="0.3">
      <c r="A1147" t="s">
        <v>42</v>
      </c>
      <c r="B1147">
        <v>2458</v>
      </c>
      <c r="C1147" t="s">
        <v>23</v>
      </c>
      <c r="D1147" t="s">
        <v>24</v>
      </c>
      <c r="E1147" t="s">
        <v>59</v>
      </c>
      <c r="F1147" t="s">
        <v>36</v>
      </c>
      <c r="G1147" t="s">
        <v>54</v>
      </c>
      <c r="H1147" s="1">
        <v>45103.157349537039</v>
      </c>
      <c r="I1147" s="1">
        <v>45105.157349537039</v>
      </c>
      <c r="J1147" s="1">
        <v>45103.199016203704</v>
      </c>
      <c r="K1147" s="2">
        <v>45103.161779444446</v>
      </c>
      <c r="L1147" t="s">
        <v>28</v>
      </c>
      <c r="M1147" s="2">
        <v>45106.986064895835</v>
      </c>
      <c r="N1147" t="s">
        <v>38</v>
      </c>
      <c r="P1147">
        <v>2</v>
      </c>
      <c r="R1147" t="s">
        <v>50</v>
      </c>
      <c r="S1147" t="s">
        <v>40</v>
      </c>
      <c r="T1147" t="s">
        <v>65</v>
      </c>
      <c r="U1147">
        <v>46.149166399999999</v>
      </c>
      <c r="V1147">
        <v>14.9860106</v>
      </c>
      <c r="W1147" t="str">
        <f t="shared" si="120"/>
        <v>ok</v>
      </c>
      <c r="X1147" t="str">
        <f t="shared" si="126"/>
        <v>ok</v>
      </c>
      <c r="Y1147" t="str">
        <f t="shared" si="121"/>
        <v>ok</v>
      </c>
      <c r="Z1147" t="str">
        <f t="shared" si="122"/>
        <v>ok</v>
      </c>
      <c r="AA1147" s="4" t="str">
        <f t="shared" si="123"/>
        <v>ok</v>
      </c>
      <c r="AB1147" s="4" t="str">
        <f t="shared" si="124"/>
        <v>ok</v>
      </c>
      <c r="AC1147" s="6">
        <f t="shared" si="125"/>
        <v>91.889168611087371</v>
      </c>
    </row>
    <row r="1148" spans="1:29" x14ac:dyDescent="0.3">
      <c r="A1148" t="s">
        <v>22</v>
      </c>
      <c r="B1148">
        <v>2459</v>
      </c>
      <c r="C1148" t="s">
        <v>47</v>
      </c>
      <c r="D1148" t="s">
        <v>24</v>
      </c>
      <c r="E1148" t="s">
        <v>25</v>
      </c>
      <c r="F1148" t="s">
        <v>36</v>
      </c>
      <c r="G1148" t="s">
        <v>64</v>
      </c>
      <c r="H1148" s="1">
        <v>45104.970752314817</v>
      </c>
      <c r="I1148" s="1">
        <v>45106.970752314817</v>
      </c>
      <c r="J1148" s="1">
        <v>45105.012418981481</v>
      </c>
      <c r="K1148" s="2">
        <v>45104.981962673613</v>
      </c>
      <c r="L1148" t="s">
        <v>28</v>
      </c>
      <c r="M1148" s="2">
        <v>45105.648060347223</v>
      </c>
      <c r="N1148" t="s">
        <v>28</v>
      </c>
      <c r="O1148" s="2">
        <v>45109.758648692128</v>
      </c>
      <c r="P1148">
        <v>3</v>
      </c>
      <c r="Q1148">
        <v>2</v>
      </c>
      <c r="R1148" t="s">
        <v>50</v>
      </c>
      <c r="S1148" t="s">
        <v>40</v>
      </c>
      <c r="T1148" t="s">
        <v>41</v>
      </c>
      <c r="U1148">
        <v>43.036776000000003</v>
      </c>
      <c r="V1148">
        <v>12.678565000000001</v>
      </c>
      <c r="W1148" t="str">
        <f t="shared" si="120"/>
        <v>ok</v>
      </c>
      <c r="X1148" t="str">
        <f t="shared" si="126"/>
        <v>ok</v>
      </c>
      <c r="Y1148" t="str">
        <f t="shared" si="121"/>
        <v>ok</v>
      </c>
      <c r="Z1148" t="str">
        <f t="shared" si="122"/>
        <v>ok</v>
      </c>
      <c r="AA1148" s="4" t="str">
        <f t="shared" si="123"/>
        <v>ok</v>
      </c>
      <c r="AB1148" s="4" t="str">
        <f t="shared" si="124"/>
        <v>ok</v>
      </c>
      <c r="AC1148" s="6">
        <f t="shared" si="125"/>
        <v>16.255392777733505</v>
      </c>
    </row>
    <row r="1149" spans="1:29" x14ac:dyDescent="0.3">
      <c r="A1149" t="s">
        <v>22</v>
      </c>
      <c r="B1149">
        <v>2460</v>
      </c>
      <c r="C1149" t="s">
        <v>47</v>
      </c>
      <c r="D1149" t="s">
        <v>43</v>
      </c>
      <c r="E1149" t="s">
        <v>48</v>
      </c>
      <c r="F1149" t="s">
        <v>26</v>
      </c>
      <c r="G1149" t="s">
        <v>45</v>
      </c>
      <c r="H1149" s="1">
        <v>45104.51153935185</v>
      </c>
      <c r="I1149" s="1">
        <v>45105.51153935185</v>
      </c>
      <c r="J1149" s="1">
        <v>45104.512928240743</v>
      </c>
      <c r="K1149" s="2">
        <v>45104.512164467589</v>
      </c>
      <c r="L1149" t="s">
        <v>28</v>
      </c>
      <c r="M1149" s="2">
        <v>45104.82907684028</v>
      </c>
      <c r="N1149" t="s">
        <v>28</v>
      </c>
      <c r="O1149" s="2">
        <v>45106.428385856481</v>
      </c>
      <c r="P1149">
        <v>6</v>
      </c>
      <c r="Q1149">
        <v>1</v>
      </c>
      <c r="R1149" t="s">
        <v>50</v>
      </c>
      <c r="S1149" t="s">
        <v>30</v>
      </c>
      <c r="T1149" t="s">
        <v>51</v>
      </c>
      <c r="U1149">
        <v>39.673369999999998</v>
      </c>
      <c r="V1149">
        <v>-4.7677259999999997</v>
      </c>
      <c r="W1149" t="str">
        <f t="shared" si="120"/>
        <v>ok</v>
      </c>
      <c r="X1149" t="str">
        <f t="shared" si="126"/>
        <v>ok</v>
      </c>
      <c r="Y1149" t="str">
        <f t="shared" si="121"/>
        <v>ok</v>
      </c>
      <c r="Z1149" t="str">
        <f t="shared" si="122"/>
        <v>ok</v>
      </c>
      <c r="AA1149" s="4" t="str">
        <f t="shared" si="123"/>
        <v>ok</v>
      </c>
      <c r="AB1149" s="4" t="str">
        <f t="shared" si="124"/>
        <v>ok</v>
      </c>
      <c r="AC1149" s="6">
        <f t="shared" si="125"/>
        <v>7.6208997223293409</v>
      </c>
    </row>
    <row r="1150" spans="1:29" x14ac:dyDescent="0.3">
      <c r="A1150" t="s">
        <v>22</v>
      </c>
      <c r="B1150">
        <v>2461</v>
      </c>
      <c r="C1150" t="s">
        <v>23</v>
      </c>
      <c r="D1150" t="s">
        <v>43</v>
      </c>
      <c r="E1150" t="s">
        <v>25</v>
      </c>
      <c r="F1150" t="s">
        <v>36</v>
      </c>
      <c r="G1150" t="s">
        <v>64</v>
      </c>
      <c r="H1150" s="1">
        <v>45104.333391203705</v>
      </c>
      <c r="I1150" s="1">
        <v>45105.333391203705</v>
      </c>
      <c r="J1150" s="1">
        <v>45104.334780092591</v>
      </c>
      <c r="K1150" s="2">
        <v>45104.333771041667</v>
      </c>
      <c r="L1150" t="s">
        <v>28</v>
      </c>
      <c r="M1150" s="2">
        <v>45104.626137060186</v>
      </c>
      <c r="N1150" t="s">
        <v>28</v>
      </c>
      <c r="O1150" s="2">
        <v>45107.194293761575</v>
      </c>
      <c r="P1150">
        <v>3</v>
      </c>
      <c r="Q1150">
        <v>4</v>
      </c>
      <c r="R1150" t="s">
        <v>29</v>
      </c>
      <c r="S1150" t="s">
        <v>40</v>
      </c>
      <c r="T1150" t="s">
        <v>41</v>
      </c>
      <c r="U1150">
        <v>43.036776000000003</v>
      </c>
      <c r="V1150">
        <v>12.678565000000001</v>
      </c>
      <c r="W1150" t="str">
        <f t="shared" si="120"/>
        <v>ok</v>
      </c>
      <c r="X1150" t="str">
        <f t="shared" si="126"/>
        <v>ok</v>
      </c>
      <c r="Y1150" t="str">
        <f t="shared" si="121"/>
        <v>ok</v>
      </c>
      <c r="Z1150" t="str">
        <f t="shared" si="122"/>
        <v>ok</v>
      </c>
      <c r="AA1150" s="4" t="str">
        <f t="shared" si="123"/>
        <v>ok</v>
      </c>
      <c r="AB1150" s="4" t="str">
        <f t="shared" si="124"/>
        <v>ok</v>
      </c>
      <c r="AC1150" s="6">
        <f t="shared" si="125"/>
        <v>7.0259005555417389</v>
      </c>
    </row>
    <row r="1151" spans="1:29" x14ac:dyDescent="0.3">
      <c r="A1151" t="s">
        <v>32</v>
      </c>
      <c r="B1151">
        <v>2462</v>
      </c>
      <c r="C1151" t="s">
        <v>23</v>
      </c>
      <c r="D1151" t="s">
        <v>43</v>
      </c>
      <c r="E1151" t="s">
        <v>44</v>
      </c>
      <c r="F1151" t="s">
        <v>26</v>
      </c>
      <c r="G1151" t="s">
        <v>52</v>
      </c>
      <c r="H1151" s="1">
        <v>45104.948194444441</v>
      </c>
      <c r="I1151" s="1">
        <v>45105.948194444441</v>
      </c>
      <c r="J1151" s="1">
        <v>45104.949583333335</v>
      </c>
      <c r="K1151" s="2">
        <v>45104.950181608794</v>
      </c>
      <c r="L1151" t="s">
        <v>38</v>
      </c>
      <c r="N1151" t="s">
        <v>38</v>
      </c>
      <c r="P1151">
        <v>9</v>
      </c>
      <c r="R1151" t="s">
        <v>50</v>
      </c>
      <c r="S1151" t="s">
        <v>30</v>
      </c>
      <c r="T1151" t="s">
        <v>51</v>
      </c>
      <c r="U1151">
        <v>39.673369999999998</v>
      </c>
      <c r="V1151">
        <v>-4.7677259999999997</v>
      </c>
      <c r="W1151" t="str">
        <f t="shared" si="120"/>
        <v>ok</v>
      </c>
      <c r="X1151" t="str">
        <f t="shared" si="126"/>
        <v>ok</v>
      </c>
      <c r="Y1151" t="str">
        <f t="shared" si="121"/>
        <v>ok</v>
      </c>
      <c r="Z1151" t="str">
        <f t="shared" si="122"/>
        <v>ok</v>
      </c>
      <c r="AA1151" s="4" t="str">
        <f t="shared" si="123"/>
        <v>ok</v>
      </c>
      <c r="AB1151" s="4" t="str">
        <f t="shared" si="124"/>
        <v>no resolution</v>
      </c>
      <c r="AC1151" s="6" t="str">
        <f t="shared" si="125"/>
        <v/>
      </c>
    </row>
    <row r="1152" spans="1:29" x14ac:dyDescent="0.3">
      <c r="A1152" t="s">
        <v>22</v>
      </c>
      <c r="B1152">
        <v>2463</v>
      </c>
      <c r="C1152" t="s">
        <v>23</v>
      </c>
      <c r="D1152" t="s">
        <v>34</v>
      </c>
      <c r="E1152" t="s">
        <v>39</v>
      </c>
      <c r="F1152" t="s">
        <v>26</v>
      </c>
      <c r="G1152" t="s">
        <v>52</v>
      </c>
      <c r="H1152" s="1">
        <v>45104.902650462966</v>
      </c>
      <c r="I1152" s="1">
        <v>45106.902650462966</v>
      </c>
      <c r="J1152" s="1">
        <v>45104.904039351852</v>
      </c>
      <c r="K1152" s="2">
        <v>45104.903135</v>
      </c>
      <c r="L1152" t="s">
        <v>28</v>
      </c>
      <c r="M1152" s="2">
        <v>45105.760021099537</v>
      </c>
      <c r="N1152" t="s">
        <v>28</v>
      </c>
      <c r="O1152" s="2">
        <v>45112.688483206017</v>
      </c>
      <c r="P1152">
        <v>1</v>
      </c>
      <c r="Q1152">
        <v>2</v>
      </c>
      <c r="R1152" t="s">
        <v>50</v>
      </c>
      <c r="S1152" t="s">
        <v>30</v>
      </c>
      <c r="T1152" t="s">
        <v>56</v>
      </c>
      <c r="U1152">
        <v>52.536273000000001</v>
      </c>
      <c r="V1152">
        <v>19.050639</v>
      </c>
      <c r="W1152" t="str">
        <f t="shared" si="120"/>
        <v>ok</v>
      </c>
      <c r="X1152" t="str">
        <f t="shared" si="126"/>
        <v>ok</v>
      </c>
      <c r="Y1152" t="str">
        <f t="shared" si="121"/>
        <v>ok</v>
      </c>
      <c r="Z1152" t="str">
        <f t="shared" si="122"/>
        <v>ok</v>
      </c>
      <c r="AA1152" s="4" t="str">
        <f t="shared" si="123"/>
        <v>ok</v>
      </c>
      <c r="AB1152" s="4" t="str">
        <f t="shared" si="124"/>
        <v>ok</v>
      </c>
      <c r="AC1152" s="6">
        <f t="shared" si="125"/>
        <v>20.576895277714357</v>
      </c>
    </row>
    <row r="1153" spans="1:29" x14ac:dyDescent="0.3">
      <c r="A1153" t="s">
        <v>42</v>
      </c>
      <c r="B1153">
        <v>2464</v>
      </c>
      <c r="C1153" t="s">
        <v>23</v>
      </c>
      <c r="D1153" t="s">
        <v>24</v>
      </c>
      <c r="E1153" t="s">
        <v>67</v>
      </c>
      <c r="F1153" t="s">
        <v>26</v>
      </c>
      <c r="G1153" t="s">
        <v>60</v>
      </c>
      <c r="H1153" s="1">
        <v>45104.263506944444</v>
      </c>
      <c r="I1153" s="1">
        <v>45106.263506944444</v>
      </c>
      <c r="J1153" s="1">
        <v>45104.305173611108</v>
      </c>
      <c r="K1153" s="2">
        <v>45104.272057534719</v>
      </c>
      <c r="L1153" t="s">
        <v>28</v>
      </c>
      <c r="M1153" s="2">
        <v>45108.621232986108</v>
      </c>
      <c r="N1153" t="s">
        <v>38</v>
      </c>
      <c r="P1153">
        <v>2</v>
      </c>
      <c r="R1153" t="s">
        <v>29</v>
      </c>
      <c r="S1153" t="s">
        <v>30</v>
      </c>
      <c r="T1153" t="s">
        <v>63</v>
      </c>
      <c r="U1153">
        <v>55.378051999999997</v>
      </c>
      <c r="V1153">
        <v>-3.4359730000000002</v>
      </c>
      <c r="W1153" t="str">
        <f t="shared" si="120"/>
        <v>ok</v>
      </c>
      <c r="X1153" t="str">
        <f t="shared" si="126"/>
        <v>ok</v>
      </c>
      <c r="Y1153" t="str">
        <f t="shared" si="121"/>
        <v>ok</v>
      </c>
      <c r="Z1153" t="str">
        <f t="shared" si="122"/>
        <v>ok</v>
      </c>
      <c r="AA1153" s="4" t="str">
        <f t="shared" si="123"/>
        <v>ok</v>
      </c>
      <c r="AB1153" s="4" t="str">
        <f t="shared" si="124"/>
        <v>ok</v>
      </c>
      <c r="AC1153" s="6">
        <f t="shared" si="125"/>
        <v>104.58542499993928</v>
      </c>
    </row>
    <row r="1154" spans="1:29" x14ac:dyDescent="0.3">
      <c r="A1154" t="s">
        <v>42</v>
      </c>
      <c r="B1154">
        <v>2465</v>
      </c>
      <c r="C1154" t="s">
        <v>33</v>
      </c>
      <c r="D1154" t="s">
        <v>43</v>
      </c>
      <c r="E1154" t="s">
        <v>35</v>
      </c>
      <c r="F1154" t="s">
        <v>36</v>
      </c>
      <c r="G1154" t="s">
        <v>54</v>
      </c>
      <c r="H1154" s="1">
        <v>45104.269108796296</v>
      </c>
      <c r="I1154" s="1">
        <v>45105.269108796296</v>
      </c>
      <c r="J1154" s="1">
        <v>45104.270497685182</v>
      </c>
      <c r="K1154" s="2">
        <v>45104.270502627318</v>
      </c>
      <c r="L1154" t="s">
        <v>38</v>
      </c>
      <c r="M1154" s="2">
        <v>45108.143050358798</v>
      </c>
      <c r="N1154" t="s">
        <v>38</v>
      </c>
      <c r="P1154">
        <v>6</v>
      </c>
      <c r="R1154" t="s">
        <v>29</v>
      </c>
      <c r="S1154" t="s">
        <v>40</v>
      </c>
      <c r="T1154" t="s">
        <v>51</v>
      </c>
      <c r="U1154">
        <v>39.673369999999998</v>
      </c>
      <c r="V1154">
        <v>-4.7677259999999997</v>
      </c>
      <c r="W1154" t="str">
        <f t="shared" ref="W1154:W1217" si="127">IF(K1154&lt;H1154,"check","ok")</f>
        <v>ok</v>
      </c>
      <c r="X1154" t="str">
        <f t="shared" si="126"/>
        <v>ok</v>
      </c>
      <c r="Y1154" t="str">
        <f t="shared" ref="Y1154:Y1217" si="128">IF(AND(M1154&lt;&gt;"",O1154&lt;&gt;"",O1154&lt;M1154),"check","ok")</f>
        <v>ok</v>
      </c>
      <c r="Z1154" t="str">
        <f t="shared" ref="Z1154:Z1217" si="129">IF(AND(OR(CA1154="Closed",A1154="Resolved"),M1154=""),"check","ok")</f>
        <v>ok</v>
      </c>
      <c r="AA1154" s="4" t="str">
        <f t="shared" ref="AA1154:AA1217" si="130">IF(K1154="","no response",IF(OR(AND(K1154&lt;=J1154,L1154="Within SLA"),AND(K1154&gt;J1154,L1154="SLA Violated")),"ok","check"))</f>
        <v>ok</v>
      </c>
      <c r="AB1154" s="4" t="str">
        <f t="shared" ref="AB1154:AB1217" si="131">IF(M1154="","no resolution",IF(OR(AND(M1154&lt;=I1154,N1154="Within SLA"),AND(M1154&gt;I1154,N1154="SLA Violated")),"ok","check"))</f>
        <v>ok</v>
      </c>
      <c r="AC1154" s="6">
        <f t="shared" ref="AC1154:AC1217" si="132">IF(M1154="","",(M1154-H1154)*24)</f>
        <v>92.974597500055097</v>
      </c>
    </row>
    <row r="1155" spans="1:29" x14ac:dyDescent="0.3">
      <c r="A1155" t="s">
        <v>42</v>
      </c>
      <c r="B1155">
        <v>2466</v>
      </c>
      <c r="C1155" t="s">
        <v>47</v>
      </c>
      <c r="D1155" t="s">
        <v>24</v>
      </c>
      <c r="E1155" t="s">
        <v>59</v>
      </c>
      <c r="F1155" t="s">
        <v>26</v>
      </c>
      <c r="G1155" t="s">
        <v>45</v>
      </c>
      <c r="H1155" s="1">
        <v>45104.049259259256</v>
      </c>
      <c r="I1155" s="1">
        <v>45106.049259259256</v>
      </c>
      <c r="J1155" s="1">
        <v>45104.090925925928</v>
      </c>
      <c r="K1155" s="2">
        <v>45104.076518287038</v>
      </c>
      <c r="L1155" t="s">
        <v>28</v>
      </c>
      <c r="M1155" s="2">
        <v>45104.11946765046</v>
      </c>
      <c r="N1155" t="s">
        <v>28</v>
      </c>
      <c r="P1155">
        <v>2</v>
      </c>
      <c r="R1155" t="s">
        <v>50</v>
      </c>
      <c r="S1155" t="s">
        <v>30</v>
      </c>
      <c r="T1155" t="s">
        <v>63</v>
      </c>
      <c r="U1155">
        <v>55.378051999999997</v>
      </c>
      <c r="V1155">
        <v>-3.4359730000000002</v>
      </c>
      <c r="W1155" t="str">
        <f t="shared" si="127"/>
        <v>ok</v>
      </c>
      <c r="X1155" t="str">
        <f t="shared" ref="X1155:X1218" si="133">IF(AND(M1155&lt;&gt;"",M1155&lt;H1155),"check","ok")</f>
        <v>ok</v>
      </c>
      <c r="Y1155" t="str">
        <f t="shared" si="128"/>
        <v>ok</v>
      </c>
      <c r="Z1155" t="str">
        <f t="shared" si="129"/>
        <v>ok</v>
      </c>
      <c r="AA1155" s="4" t="str">
        <f t="shared" si="130"/>
        <v>ok</v>
      </c>
      <c r="AB1155" s="4" t="str">
        <f t="shared" si="131"/>
        <v>ok</v>
      </c>
      <c r="AC1155" s="6">
        <f t="shared" si="132"/>
        <v>1.6850013888906687</v>
      </c>
    </row>
    <row r="1156" spans="1:29" x14ac:dyDescent="0.3">
      <c r="A1156" t="s">
        <v>42</v>
      </c>
      <c r="B1156">
        <v>2467</v>
      </c>
      <c r="C1156" t="s">
        <v>23</v>
      </c>
      <c r="D1156" t="s">
        <v>24</v>
      </c>
      <c r="E1156" t="s">
        <v>44</v>
      </c>
      <c r="F1156" t="s">
        <v>36</v>
      </c>
      <c r="G1156" t="s">
        <v>54</v>
      </c>
      <c r="H1156" s="1">
        <v>45104.810034722221</v>
      </c>
      <c r="I1156" s="1">
        <v>45106.810034722221</v>
      </c>
      <c r="J1156" s="1">
        <v>45104.851701388892</v>
      </c>
      <c r="K1156" s="2">
        <v>45104.823364537035</v>
      </c>
      <c r="L1156" t="s">
        <v>28</v>
      </c>
      <c r="M1156" s="2">
        <v>45105.246597812496</v>
      </c>
      <c r="N1156" t="s">
        <v>28</v>
      </c>
      <c r="P1156">
        <v>9</v>
      </c>
      <c r="R1156" t="s">
        <v>29</v>
      </c>
      <c r="S1156" t="s">
        <v>40</v>
      </c>
      <c r="T1156" t="s">
        <v>56</v>
      </c>
      <c r="U1156">
        <v>52.536273000000001</v>
      </c>
      <c r="V1156">
        <v>19.050639</v>
      </c>
      <c r="W1156" t="str">
        <f t="shared" si="127"/>
        <v>ok</v>
      </c>
      <c r="X1156" t="str">
        <f t="shared" si="133"/>
        <v>ok</v>
      </c>
      <c r="Y1156" t="str">
        <f t="shared" si="128"/>
        <v>ok</v>
      </c>
      <c r="Z1156" t="str">
        <f t="shared" si="129"/>
        <v>ok</v>
      </c>
      <c r="AA1156" s="4" t="str">
        <f t="shared" si="130"/>
        <v>ok</v>
      </c>
      <c r="AB1156" s="4" t="str">
        <f t="shared" si="131"/>
        <v>ok</v>
      </c>
      <c r="AC1156" s="6">
        <f t="shared" si="132"/>
        <v>10.477514166617766</v>
      </c>
    </row>
    <row r="1157" spans="1:29" x14ac:dyDescent="0.3">
      <c r="A1157" t="s">
        <v>22</v>
      </c>
      <c r="B1157">
        <v>2468</v>
      </c>
      <c r="C1157" t="s">
        <v>23</v>
      </c>
      <c r="D1157" t="s">
        <v>43</v>
      </c>
      <c r="E1157" t="s">
        <v>35</v>
      </c>
      <c r="F1157" t="s">
        <v>26</v>
      </c>
      <c r="G1157" t="s">
        <v>45</v>
      </c>
      <c r="H1157" s="1">
        <v>45105.249479166669</v>
      </c>
      <c r="I1157" s="1">
        <v>45106.249479166669</v>
      </c>
      <c r="J1157" s="1">
        <v>45105.250868055555</v>
      </c>
      <c r="K1157" s="2">
        <v>45105.250110474539</v>
      </c>
      <c r="L1157" t="s">
        <v>28</v>
      </c>
      <c r="M1157" s="2">
        <v>45105.647082870368</v>
      </c>
      <c r="N1157" t="s">
        <v>28</v>
      </c>
      <c r="O1157" s="2">
        <v>45107.278459699075</v>
      </c>
      <c r="P1157">
        <v>4</v>
      </c>
      <c r="Q1157">
        <v>4</v>
      </c>
      <c r="R1157" t="s">
        <v>50</v>
      </c>
      <c r="S1157" t="s">
        <v>30</v>
      </c>
      <c r="T1157" t="s">
        <v>56</v>
      </c>
      <c r="U1157">
        <v>52.536273000000001</v>
      </c>
      <c r="V1157">
        <v>19.050639</v>
      </c>
      <c r="W1157" t="str">
        <f t="shared" si="127"/>
        <v>ok</v>
      </c>
      <c r="X1157" t="str">
        <f t="shared" si="133"/>
        <v>ok</v>
      </c>
      <c r="Y1157" t="str">
        <f t="shared" si="128"/>
        <v>ok</v>
      </c>
      <c r="Z1157" t="str">
        <f t="shared" si="129"/>
        <v>ok</v>
      </c>
      <c r="AA1157" s="4" t="str">
        <f t="shared" si="130"/>
        <v>ok</v>
      </c>
      <c r="AB1157" s="4" t="str">
        <f t="shared" si="131"/>
        <v>ok</v>
      </c>
      <c r="AC1157" s="6">
        <f t="shared" si="132"/>
        <v>9.5424888887791894</v>
      </c>
    </row>
    <row r="1158" spans="1:29" x14ac:dyDescent="0.3">
      <c r="A1158" t="s">
        <v>22</v>
      </c>
      <c r="B1158">
        <v>2469</v>
      </c>
      <c r="C1158" t="s">
        <v>23</v>
      </c>
      <c r="D1158" t="s">
        <v>24</v>
      </c>
      <c r="E1158" t="s">
        <v>48</v>
      </c>
      <c r="F1158" t="s">
        <v>26</v>
      </c>
      <c r="G1158" t="s">
        <v>27</v>
      </c>
      <c r="H1158" s="1">
        <v>45105.412789351853</v>
      </c>
      <c r="I1158" s="1">
        <v>45107.412789351853</v>
      </c>
      <c r="J1158" s="1">
        <v>45105.454456018517</v>
      </c>
      <c r="K1158" s="2">
        <v>45105.413490879633</v>
      </c>
      <c r="L1158" t="s">
        <v>28</v>
      </c>
      <c r="M1158" s="2">
        <v>45106.568756689812</v>
      </c>
      <c r="N1158" t="s">
        <v>28</v>
      </c>
      <c r="O1158" s="2">
        <v>45107.509663171295</v>
      </c>
      <c r="P1158">
        <v>3</v>
      </c>
      <c r="Q1158">
        <v>5</v>
      </c>
      <c r="R1158" t="s">
        <v>50</v>
      </c>
      <c r="S1158" t="s">
        <v>30</v>
      </c>
      <c r="T1158" t="s">
        <v>63</v>
      </c>
      <c r="U1158">
        <v>55.378051999999997</v>
      </c>
      <c r="V1158">
        <v>-3.4359730000000002</v>
      </c>
      <c r="W1158" t="str">
        <f t="shared" si="127"/>
        <v>ok</v>
      </c>
      <c r="X1158" t="str">
        <f t="shared" si="133"/>
        <v>ok</v>
      </c>
      <c r="Y1158" t="str">
        <f t="shared" si="128"/>
        <v>ok</v>
      </c>
      <c r="Z1158" t="str">
        <f t="shared" si="129"/>
        <v>ok</v>
      </c>
      <c r="AA1158" s="4" t="str">
        <f t="shared" si="130"/>
        <v>ok</v>
      </c>
      <c r="AB1158" s="4" t="str">
        <f t="shared" si="131"/>
        <v>ok</v>
      </c>
      <c r="AC1158" s="6">
        <f t="shared" si="132"/>
        <v>27.743216111033689</v>
      </c>
    </row>
    <row r="1159" spans="1:29" x14ac:dyDescent="0.3">
      <c r="A1159" t="s">
        <v>22</v>
      </c>
      <c r="B1159">
        <v>2470</v>
      </c>
      <c r="C1159" t="s">
        <v>23</v>
      </c>
      <c r="D1159" t="s">
        <v>43</v>
      </c>
      <c r="E1159" t="s">
        <v>48</v>
      </c>
      <c r="F1159" t="s">
        <v>26</v>
      </c>
      <c r="G1159" t="s">
        <v>45</v>
      </c>
      <c r="H1159" s="1">
        <v>45105.539884259262</v>
      </c>
      <c r="I1159" s="1">
        <v>45106.539884259262</v>
      </c>
      <c r="J1159" s="1">
        <v>45105.541273148148</v>
      </c>
      <c r="K1159" s="2">
        <v>45105.540955752316</v>
      </c>
      <c r="L1159" t="s">
        <v>28</v>
      </c>
      <c r="M1159" s="2">
        <v>45105.89195784722</v>
      </c>
      <c r="N1159" t="s">
        <v>28</v>
      </c>
      <c r="O1159" s="2">
        <v>45111.730555231479</v>
      </c>
      <c r="P1159">
        <v>6</v>
      </c>
      <c r="Q1159">
        <v>3</v>
      </c>
      <c r="R1159" t="s">
        <v>50</v>
      </c>
      <c r="S1159" t="s">
        <v>30</v>
      </c>
      <c r="T1159" t="s">
        <v>57</v>
      </c>
      <c r="U1159">
        <v>51.165691000000002</v>
      </c>
      <c r="V1159">
        <v>10.451525999999999</v>
      </c>
      <c r="W1159" t="str">
        <f t="shared" si="127"/>
        <v>ok</v>
      </c>
      <c r="X1159" t="str">
        <f t="shared" si="133"/>
        <v>ok</v>
      </c>
      <c r="Y1159" t="str">
        <f t="shared" si="128"/>
        <v>ok</v>
      </c>
      <c r="Z1159" t="str">
        <f t="shared" si="129"/>
        <v>ok</v>
      </c>
      <c r="AA1159" s="4" t="str">
        <f t="shared" si="130"/>
        <v>ok</v>
      </c>
      <c r="AB1159" s="4" t="str">
        <f t="shared" si="131"/>
        <v>ok</v>
      </c>
      <c r="AC1159" s="6">
        <f t="shared" si="132"/>
        <v>8.4497661109780893</v>
      </c>
    </row>
    <row r="1160" spans="1:29" x14ac:dyDescent="0.3">
      <c r="A1160" t="s">
        <v>42</v>
      </c>
      <c r="B1160">
        <v>2471</v>
      </c>
      <c r="C1160" t="s">
        <v>23</v>
      </c>
      <c r="D1160" t="s">
        <v>43</v>
      </c>
      <c r="E1160" t="s">
        <v>48</v>
      </c>
      <c r="F1160" t="s">
        <v>26</v>
      </c>
      <c r="G1160" t="s">
        <v>27</v>
      </c>
      <c r="H1160" s="1">
        <v>45105.521944444445</v>
      </c>
      <c r="I1160" s="1">
        <v>45106.521944444445</v>
      </c>
      <c r="J1160" s="1">
        <v>45105.523333333331</v>
      </c>
      <c r="K1160" s="2">
        <v>45105.521961388891</v>
      </c>
      <c r="L1160" t="s">
        <v>28</v>
      </c>
      <c r="M1160" s="2">
        <v>45105.610865590279</v>
      </c>
      <c r="N1160" t="s">
        <v>28</v>
      </c>
      <c r="P1160">
        <v>4</v>
      </c>
      <c r="R1160" t="s">
        <v>39</v>
      </c>
      <c r="S1160" t="s">
        <v>30</v>
      </c>
      <c r="T1160" t="s">
        <v>56</v>
      </c>
      <c r="U1160">
        <v>52.536273000000001</v>
      </c>
      <c r="V1160">
        <v>19.050639</v>
      </c>
      <c r="W1160" t="str">
        <f t="shared" si="127"/>
        <v>ok</v>
      </c>
      <c r="X1160" t="str">
        <f t="shared" si="133"/>
        <v>ok</v>
      </c>
      <c r="Y1160" t="str">
        <f t="shared" si="128"/>
        <v>ok</v>
      </c>
      <c r="Z1160" t="str">
        <f t="shared" si="129"/>
        <v>ok</v>
      </c>
      <c r="AA1160" s="4" t="str">
        <f t="shared" si="130"/>
        <v>ok</v>
      </c>
      <c r="AB1160" s="4" t="str">
        <f t="shared" si="131"/>
        <v>ok</v>
      </c>
      <c r="AC1160" s="6">
        <f t="shared" si="132"/>
        <v>2.1341075000236742</v>
      </c>
    </row>
    <row r="1161" spans="1:29" x14ac:dyDescent="0.3">
      <c r="A1161" t="s">
        <v>42</v>
      </c>
      <c r="B1161">
        <v>2473</v>
      </c>
      <c r="C1161" t="s">
        <v>47</v>
      </c>
      <c r="D1161" t="s">
        <v>24</v>
      </c>
      <c r="E1161" t="s">
        <v>48</v>
      </c>
      <c r="F1161" t="s">
        <v>26</v>
      </c>
      <c r="G1161" t="s">
        <v>60</v>
      </c>
      <c r="H1161" s="1">
        <v>45105.083287037036</v>
      </c>
      <c r="I1161" s="1">
        <v>45107.083287037036</v>
      </c>
      <c r="J1161" s="1">
        <v>45105.1249537037</v>
      </c>
      <c r="K1161" s="2">
        <v>45105.17092329861</v>
      </c>
      <c r="L1161" t="s">
        <v>38</v>
      </c>
      <c r="M1161" s="2">
        <v>45105.177806215281</v>
      </c>
      <c r="N1161" t="s">
        <v>28</v>
      </c>
      <c r="P1161">
        <v>4</v>
      </c>
      <c r="R1161" t="s">
        <v>55</v>
      </c>
      <c r="S1161" t="s">
        <v>30</v>
      </c>
      <c r="T1161" t="s">
        <v>57</v>
      </c>
      <c r="U1161">
        <v>51.165691000000002</v>
      </c>
      <c r="V1161">
        <v>10.451525999999999</v>
      </c>
      <c r="W1161" t="str">
        <f t="shared" si="127"/>
        <v>ok</v>
      </c>
      <c r="X1161" t="str">
        <f t="shared" si="133"/>
        <v>ok</v>
      </c>
      <c r="Y1161" t="str">
        <f t="shared" si="128"/>
        <v>ok</v>
      </c>
      <c r="Z1161" t="str">
        <f t="shared" si="129"/>
        <v>ok</v>
      </c>
      <c r="AA1161" s="4" t="str">
        <f t="shared" si="130"/>
        <v>ok</v>
      </c>
      <c r="AB1161" s="4" t="str">
        <f t="shared" si="131"/>
        <v>ok</v>
      </c>
      <c r="AC1161" s="6">
        <f t="shared" si="132"/>
        <v>2.2684602778754197</v>
      </c>
    </row>
    <row r="1162" spans="1:29" x14ac:dyDescent="0.3">
      <c r="A1162" t="s">
        <v>42</v>
      </c>
      <c r="B1162">
        <v>2475</v>
      </c>
      <c r="C1162" t="s">
        <v>23</v>
      </c>
      <c r="D1162" t="s">
        <v>43</v>
      </c>
      <c r="E1162" t="s">
        <v>35</v>
      </c>
      <c r="F1162" t="s">
        <v>26</v>
      </c>
      <c r="G1162" t="s">
        <v>49</v>
      </c>
      <c r="H1162" s="1">
        <v>45105.241412037038</v>
      </c>
      <c r="I1162" s="1">
        <v>45106.241412037038</v>
      </c>
      <c r="J1162" s="1">
        <v>45105.242800925924</v>
      </c>
      <c r="K1162" s="2">
        <v>45105.242757812499</v>
      </c>
      <c r="L1162" t="s">
        <v>28</v>
      </c>
      <c r="M1162" s="2">
        <v>45109.368664907408</v>
      </c>
      <c r="N1162" t="s">
        <v>38</v>
      </c>
      <c r="P1162">
        <v>8</v>
      </c>
      <c r="R1162" t="s">
        <v>50</v>
      </c>
      <c r="S1162" t="s">
        <v>30</v>
      </c>
      <c r="T1162" t="s">
        <v>57</v>
      </c>
      <c r="U1162">
        <v>51.165691000000002</v>
      </c>
      <c r="V1162">
        <v>10.451525999999999</v>
      </c>
      <c r="W1162" t="str">
        <f t="shared" si="127"/>
        <v>ok</v>
      </c>
      <c r="X1162" t="str">
        <f t="shared" si="133"/>
        <v>ok</v>
      </c>
      <c r="Y1162" t="str">
        <f t="shared" si="128"/>
        <v>ok</v>
      </c>
      <c r="Z1162" t="str">
        <f t="shared" si="129"/>
        <v>ok</v>
      </c>
      <c r="AA1162" s="4" t="str">
        <f t="shared" si="130"/>
        <v>ok</v>
      </c>
      <c r="AB1162" s="4" t="str">
        <f t="shared" si="131"/>
        <v>ok</v>
      </c>
      <c r="AC1162" s="6">
        <f t="shared" si="132"/>
        <v>99.054068888886832</v>
      </c>
    </row>
    <row r="1163" spans="1:29" x14ac:dyDescent="0.3">
      <c r="A1163" t="s">
        <v>22</v>
      </c>
      <c r="B1163">
        <v>2476</v>
      </c>
      <c r="C1163" t="s">
        <v>33</v>
      </c>
      <c r="D1163" t="s">
        <v>43</v>
      </c>
      <c r="E1163" t="s">
        <v>39</v>
      </c>
      <c r="F1163" t="s">
        <v>26</v>
      </c>
      <c r="G1163" t="s">
        <v>45</v>
      </c>
      <c r="H1163" s="1">
        <v>45105.425081018519</v>
      </c>
      <c r="I1163" s="1">
        <v>45106.425081018519</v>
      </c>
      <c r="J1163" s="1">
        <v>45105.426469907405</v>
      </c>
      <c r="K1163" s="2">
        <v>45105.427165879628</v>
      </c>
      <c r="L1163" t="s">
        <v>38</v>
      </c>
      <c r="M1163" s="2">
        <v>45105.55004765046</v>
      </c>
      <c r="N1163" t="s">
        <v>28</v>
      </c>
      <c r="O1163" s="2">
        <v>45110.669427442132</v>
      </c>
      <c r="P1163">
        <v>60</v>
      </c>
      <c r="Q1163">
        <v>3</v>
      </c>
      <c r="R1163" t="s">
        <v>29</v>
      </c>
      <c r="S1163" t="s">
        <v>30</v>
      </c>
      <c r="T1163" t="s">
        <v>56</v>
      </c>
      <c r="U1163">
        <v>52.536273000000001</v>
      </c>
      <c r="V1163">
        <v>19.050639</v>
      </c>
      <c r="W1163" t="str">
        <f t="shared" si="127"/>
        <v>ok</v>
      </c>
      <c r="X1163" t="str">
        <f t="shared" si="133"/>
        <v>ok</v>
      </c>
      <c r="Y1163" t="str">
        <f t="shared" si="128"/>
        <v>ok</v>
      </c>
      <c r="Z1163" t="str">
        <f t="shared" si="129"/>
        <v>ok</v>
      </c>
      <c r="AA1163" s="4" t="str">
        <f t="shared" si="130"/>
        <v>ok</v>
      </c>
      <c r="AB1163" s="4" t="str">
        <f t="shared" si="131"/>
        <v>ok</v>
      </c>
      <c r="AC1163" s="6">
        <f t="shared" si="132"/>
        <v>2.9991991666029207</v>
      </c>
    </row>
    <row r="1164" spans="1:29" x14ac:dyDescent="0.3">
      <c r="A1164" t="s">
        <v>32</v>
      </c>
      <c r="B1164">
        <v>2477</v>
      </c>
      <c r="C1164" t="s">
        <v>47</v>
      </c>
      <c r="D1164" t="s">
        <v>43</v>
      </c>
      <c r="E1164" t="s">
        <v>25</v>
      </c>
      <c r="F1164" t="s">
        <v>26</v>
      </c>
      <c r="G1164" t="s">
        <v>45</v>
      </c>
      <c r="H1164" s="1">
        <v>45105.772210648145</v>
      </c>
      <c r="I1164" s="1">
        <v>45106.772210648145</v>
      </c>
      <c r="J1164" s="1">
        <v>45105.773599537039</v>
      </c>
      <c r="K1164" s="2">
        <v>45105.773003587965</v>
      </c>
      <c r="L1164" t="s">
        <v>28</v>
      </c>
      <c r="N1164" t="s">
        <v>38</v>
      </c>
      <c r="P1164">
        <v>6</v>
      </c>
      <c r="R1164" t="s">
        <v>29</v>
      </c>
      <c r="S1164" t="s">
        <v>30</v>
      </c>
      <c r="T1164" t="s">
        <v>66</v>
      </c>
      <c r="U1164">
        <v>48.864716000000001</v>
      </c>
      <c r="V1164">
        <v>2.3490139999999999</v>
      </c>
      <c r="W1164" t="str">
        <f t="shared" si="127"/>
        <v>ok</v>
      </c>
      <c r="X1164" t="str">
        <f t="shared" si="133"/>
        <v>ok</v>
      </c>
      <c r="Y1164" t="str">
        <f t="shared" si="128"/>
        <v>ok</v>
      </c>
      <c r="Z1164" t="str">
        <f t="shared" si="129"/>
        <v>ok</v>
      </c>
      <c r="AA1164" s="4" t="str">
        <f t="shared" si="130"/>
        <v>ok</v>
      </c>
      <c r="AB1164" s="4" t="str">
        <f t="shared" si="131"/>
        <v>no resolution</v>
      </c>
      <c r="AC1164" s="6" t="str">
        <f t="shared" si="132"/>
        <v/>
      </c>
    </row>
    <row r="1165" spans="1:29" x14ac:dyDescent="0.3">
      <c r="A1165" t="s">
        <v>32</v>
      </c>
      <c r="B1165">
        <v>2478</v>
      </c>
      <c r="C1165" t="s">
        <v>33</v>
      </c>
      <c r="D1165" t="s">
        <v>43</v>
      </c>
      <c r="E1165" t="s">
        <v>35</v>
      </c>
      <c r="F1165" t="s">
        <v>36</v>
      </c>
      <c r="G1165" t="s">
        <v>37</v>
      </c>
      <c r="H1165" s="1">
        <v>45105.776331018518</v>
      </c>
      <c r="I1165" s="1">
        <v>45106.776331018518</v>
      </c>
      <c r="J1165" s="1">
        <v>45105.777719907404</v>
      </c>
      <c r="K1165" s="2">
        <v>45105.776917592593</v>
      </c>
      <c r="L1165" t="s">
        <v>28</v>
      </c>
      <c r="N1165" t="s">
        <v>38</v>
      </c>
      <c r="P1165">
        <v>7</v>
      </c>
      <c r="R1165" t="s">
        <v>29</v>
      </c>
      <c r="S1165" t="s">
        <v>40</v>
      </c>
      <c r="T1165" t="s">
        <v>66</v>
      </c>
      <c r="U1165">
        <v>48.864716000000001</v>
      </c>
      <c r="V1165">
        <v>2.3490139999999999</v>
      </c>
      <c r="W1165" t="str">
        <f t="shared" si="127"/>
        <v>ok</v>
      </c>
      <c r="X1165" t="str">
        <f t="shared" si="133"/>
        <v>ok</v>
      </c>
      <c r="Y1165" t="str">
        <f t="shared" si="128"/>
        <v>ok</v>
      </c>
      <c r="Z1165" t="str">
        <f t="shared" si="129"/>
        <v>ok</v>
      </c>
      <c r="AA1165" s="4" t="str">
        <f t="shared" si="130"/>
        <v>ok</v>
      </c>
      <c r="AB1165" s="4" t="str">
        <f t="shared" si="131"/>
        <v>no resolution</v>
      </c>
      <c r="AC1165" s="6" t="str">
        <f t="shared" si="132"/>
        <v/>
      </c>
    </row>
    <row r="1166" spans="1:29" x14ac:dyDescent="0.3">
      <c r="A1166" t="s">
        <v>42</v>
      </c>
      <c r="B1166">
        <v>2479</v>
      </c>
      <c r="C1166" t="s">
        <v>23</v>
      </c>
      <c r="D1166" t="s">
        <v>24</v>
      </c>
      <c r="E1166" t="s">
        <v>39</v>
      </c>
      <c r="F1166" t="s">
        <v>36</v>
      </c>
      <c r="G1166" t="s">
        <v>64</v>
      </c>
      <c r="H1166" s="1">
        <v>45105.174108796295</v>
      </c>
      <c r="I1166" s="1">
        <v>45107.174108796295</v>
      </c>
      <c r="J1166" s="1">
        <v>45105.215775462966</v>
      </c>
      <c r="K1166" s="2">
        <v>45105.214563900459</v>
      </c>
      <c r="L1166" t="s">
        <v>28</v>
      </c>
      <c r="M1166" s="2">
        <v>45107.112738506941</v>
      </c>
      <c r="N1166" t="s">
        <v>28</v>
      </c>
      <c r="P1166">
        <v>6</v>
      </c>
      <c r="R1166" t="s">
        <v>55</v>
      </c>
      <c r="S1166" t="s">
        <v>40</v>
      </c>
      <c r="T1166" t="s">
        <v>57</v>
      </c>
      <c r="U1166">
        <v>51.165691000000002</v>
      </c>
      <c r="V1166">
        <v>10.451525999999999</v>
      </c>
      <c r="W1166" t="str">
        <f t="shared" si="127"/>
        <v>ok</v>
      </c>
      <c r="X1166" t="str">
        <f t="shared" si="133"/>
        <v>ok</v>
      </c>
      <c r="Y1166" t="str">
        <f t="shared" si="128"/>
        <v>ok</v>
      </c>
      <c r="Z1166" t="str">
        <f t="shared" si="129"/>
        <v>ok</v>
      </c>
      <c r="AA1166" s="4" t="str">
        <f t="shared" si="130"/>
        <v>ok</v>
      </c>
      <c r="AB1166" s="4" t="str">
        <f t="shared" si="131"/>
        <v>ok</v>
      </c>
      <c r="AC1166" s="6">
        <f t="shared" si="132"/>
        <v>46.527113055519294</v>
      </c>
    </row>
    <row r="1167" spans="1:29" x14ac:dyDescent="0.3">
      <c r="A1167" t="s">
        <v>42</v>
      </c>
      <c r="B1167">
        <v>2481</v>
      </c>
      <c r="C1167" t="s">
        <v>33</v>
      </c>
      <c r="D1167" t="s">
        <v>43</v>
      </c>
      <c r="E1167" t="s">
        <v>39</v>
      </c>
      <c r="F1167" t="s">
        <v>26</v>
      </c>
      <c r="G1167" t="s">
        <v>27</v>
      </c>
      <c r="H1167" s="1">
        <v>45106.837002314816</v>
      </c>
      <c r="I1167" s="1">
        <v>45107.837002314816</v>
      </c>
      <c r="J1167" s="1">
        <v>45106.838391203702</v>
      </c>
      <c r="K1167" s="2">
        <v>45106.837068993053</v>
      </c>
      <c r="L1167" t="s">
        <v>28</v>
      </c>
      <c r="M1167" s="2">
        <v>45107.640912465278</v>
      </c>
      <c r="N1167" t="s">
        <v>28</v>
      </c>
      <c r="P1167">
        <v>9</v>
      </c>
      <c r="R1167" t="s">
        <v>50</v>
      </c>
      <c r="S1167" t="s">
        <v>30</v>
      </c>
      <c r="T1167" t="s">
        <v>61</v>
      </c>
      <c r="U1167">
        <v>42.724992499999999</v>
      </c>
      <c r="V1167">
        <v>25.483303899999999</v>
      </c>
      <c r="W1167" t="str">
        <f t="shared" si="127"/>
        <v>ok</v>
      </c>
      <c r="X1167" t="str">
        <f t="shared" si="133"/>
        <v>ok</v>
      </c>
      <c r="Y1167" t="str">
        <f t="shared" si="128"/>
        <v>ok</v>
      </c>
      <c r="Z1167" t="str">
        <f t="shared" si="129"/>
        <v>ok</v>
      </c>
      <c r="AA1167" s="4" t="str">
        <f t="shared" si="130"/>
        <v>ok</v>
      </c>
      <c r="AB1167" s="4" t="str">
        <f t="shared" si="131"/>
        <v>ok</v>
      </c>
      <c r="AC1167" s="6">
        <f t="shared" si="132"/>
        <v>19.293843611085322</v>
      </c>
    </row>
    <row r="1168" spans="1:29" x14ac:dyDescent="0.3">
      <c r="A1168" t="s">
        <v>22</v>
      </c>
      <c r="B1168">
        <v>2482</v>
      </c>
      <c r="C1168" t="s">
        <v>23</v>
      </c>
      <c r="D1168" t="s">
        <v>24</v>
      </c>
      <c r="E1168" t="s">
        <v>59</v>
      </c>
      <c r="F1168" t="s">
        <v>26</v>
      </c>
      <c r="G1168" t="s">
        <v>27</v>
      </c>
      <c r="H1168" s="1">
        <v>45106.084155092591</v>
      </c>
      <c r="I1168" s="1">
        <v>45108.084155092591</v>
      </c>
      <c r="J1168" s="1">
        <v>45106.125821759262</v>
      </c>
      <c r="K1168" s="2">
        <v>45106.122819965276</v>
      </c>
      <c r="L1168" t="s">
        <v>28</v>
      </c>
      <c r="M1168" s="2">
        <v>45106.662245300926</v>
      </c>
      <c r="N1168" t="s">
        <v>28</v>
      </c>
      <c r="O1168" s="2">
        <v>45111.262023078707</v>
      </c>
      <c r="P1168">
        <v>1</v>
      </c>
      <c r="Q1168">
        <v>5</v>
      </c>
      <c r="R1168" t="s">
        <v>55</v>
      </c>
      <c r="S1168" t="s">
        <v>30</v>
      </c>
      <c r="T1168" t="s">
        <v>53</v>
      </c>
      <c r="U1168">
        <v>39.368279000000001</v>
      </c>
      <c r="V1168">
        <v>21.863140999999999</v>
      </c>
      <c r="W1168" t="str">
        <f t="shared" si="127"/>
        <v>ok</v>
      </c>
      <c r="X1168" t="str">
        <f t="shared" si="133"/>
        <v>ok</v>
      </c>
      <c r="Y1168" t="str">
        <f t="shared" si="128"/>
        <v>ok</v>
      </c>
      <c r="Z1168" t="str">
        <f t="shared" si="129"/>
        <v>ok</v>
      </c>
      <c r="AA1168" s="4" t="str">
        <f t="shared" si="130"/>
        <v>ok</v>
      </c>
      <c r="AB1168" s="4" t="str">
        <f t="shared" si="131"/>
        <v>ok</v>
      </c>
      <c r="AC1168" s="6">
        <f t="shared" si="132"/>
        <v>13.874165000044741</v>
      </c>
    </row>
    <row r="1169" spans="1:29" x14ac:dyDescent="0.3">
      <c r="A1169" t="s">
        <v>42</v>
      </c>
      <c r="B1169">
        <v>2483</v>
      </c>
      <c r="C1169" t="s">
        <v>23</v>
      </c>
      <c r="D1169" t="s">
        <v>24</v>
      </c>
      <c r="E1169" t="s">
        <v>35</v>
      </c>
      <c r="F1169" t="s">
        <v>36</v>
      </c>
      <c r="G1169" t="s">
        <v>64</v>
      </c>
      <c r="H1169" s="1">
        <v>45106.341354166667</v>
      </c>
      <c r="I1169" s="1">
        <v>45108.341354166667</v>
      </c>
      <c r="J1169" s="1">
        <v>45106.383020833331</v>
      </c>
      <c r="K1169" s="2">
        <v>45106.367119166665</v>
      </c>
      <c r="L1169" t="s">
        <v>28</v>
      </c>
      <c r="M1169" s="2">
        <v>45109.185360254633</v>
      </c>
      <c r="N1169" t="s">
        <v>38</v>
      </c>
      <c r="P1169">
        <v>3</v>
      </c>
      <c r="R1169" t="s">
        <v>39</v>
      </c>
      <c r="S1169" t="s">
        <v>40</v>
      </c>
      <c r="T1169" t="s">
        <v>41</v>
      </c>
      <c r="U1169">
        <v>43.036776000000003</v>
      </c>
      <c r="V1169">
        <v>12.678565000000001</v>
      </c>
      <c r="W1169" t="str">
        <f t="shared" si="127"/>
        <v>ok</v>
      </c>
      <c r="X1169" t="str">
        <f t="shared" si="133"/>
        <v>ok</v>
      </c>
      <c r="Y1169" t="str">
        <f t="shared" si="128"/>
        <v>ok</v>
      </c>
      <c r="Z1169" t="str">
        <f t="shared" si="129"/>
        <v>ok</v>
      </c>
      <c r="AA1169" s="4" t="str">
        <f t="shared" si="130"/>
        <v>ok</v>
      </c>
      <c r="AB1169" s="4" t="str">
        <f t="shared" si="131"/>
        <v>ok</v>
      </c>
      <c r="AC1169" s="6">
        <f t="shared" si="132"/>
        <v>68.256146111176349</v>
      </c>
    </row>
    <row r="1170" spans="1:29" x14ac:dyDescent="0.3">
      <c r="A1170" t="s">
        <v>42</v>
      </c>
      <c r="B1170">
        <v>2484</v>
      </c>
      <c r="C1170" t="s">
        <v>47</v>
      </c>
      <c r="D1170" t="s">
        <v>24</v>
      </c>
      <c r="E1170" t="s">
        <v>35</v>
      </c>
      <c r="F1170" t="s">
        <v>26</v>
      </c>
      <c r="G1170" t="s">
        <v>60</v>
      </c>
      <c r="H1170" s="1">
        <v>45106.991678240738</v>
      </c>
      <c r="I1170" s="1">
        <v>45108.991678240738</v>
      </c>
      <c r="J1170" s="1">
        <v>45107.03334490741</v>
      </c>
      <c r="K1170" s="2">
        <v>45107.024758402775</v>
      </c>
      <c r="L1170" t="s">
        <v>28</v>
      </c>
      <c r="M1170" s="2">
        <v>45108.705265335651</v>
      </c>
      <c r="N1170" t="s">
        <v>28</v>
      </c>
      <c r="P1170">
        <v>4</v>
      </c>
      <c r="R1170" t="s">
        <v>55</v>
      </c>
      <c r="S1170" t="s">
        <v>30</v>
      </c>
      <c r="T1170" t="s">
        <v>41</v>
      </c>
      <c r="U1170">
        <v>43.036776000000003</v>
      </c>
      <c r="V1170">
        <v>12.678565000000001</v>
      </c>
      <c r="W1170" t="str">
        <f t="shared" si="127"/>
        <v>ok</v>
      </c>
      <c r="X1170" t="str">
        <f t="shared" si="133"/>
        <v>ok</v>
      </c>
      <c r="Y1170" t="str">
        <f t="shared" si="128"/>
        <v>ok</v>
      </c>
      <c r="Z1170" t="str">
        <f t="shared" si="129"/>
        <v>ok</v>
      </c>
      <c r="AA1170" s="4" t="str">
        <f t="shared" si="130"/>
        <v>ok</v>
      </c>
      <c r="AB1170" s="4" t="str">
        <f t="shared" si="131"/>
        <v>ok</v>
      </c>
      <c r="AC1170" s="6">
        <f t="shared" si="132"/>
        <v>41.126090277917683</v>
      </c>
    </row>
    <row r="1171" spans="1:29" x14ac:dyDescent="0.3">
      <c r="A1171" t="s">
        <v>42</v>
      </c>
      <c r="B1171">
        <v>2485</v>
      </c>
      <c r="C1171" t="s">
        <v>47</v>
      </c>
      <c r="D1171" t="s">
        <v>24</v>
      </c>
      <c r="E1171" t="s">
        <v>39</v>
      </c>
      <c r="F1171" t="s">
        <v>26</v>
      </c>
      <c r="G1171" t="s">
        <v>45</v>
      </c>
      <c r="H1171" s="1">
        <v>45106.052476851852</v>
      </c>
      <c r="I1171" s="1">
        <v>45108.052476851852</v>
      </c>
      <c r="J1171" s="1">
        <v>45106.094143518516</v>
      </c>
      <c r="K1171" s="2">
        <v>45106.08059409722</v>
      </c>
      <c r="L1171" t="s">
        <v>28</v>
      </c>
      <c r="M1171" s="2">
        <v>45107.19356417824</v>
      </c>
      <c r="N1171" t="s">
        <v>28</v>
      </c>
      <c r="P1171">
        <v>2</v>
      </c>
      <c r="R1171" t="s">
        <v>55</v>
      </c>
      <c r="S1171" t="s">
        <v>30</v>
      </c>
      <c r="T1171" t="s">
        <v>46</v>
      </c>
      <c r="U1171">
        <v>47.696471899999999</v>
      </c>
      <c r="V1171">
        <v>13.3457347</v>
      </c>
      <c r="W1171" t="str">
        <f t="shared" si="127"/>
        <v>ok</v>
      </c>
      <c r="X1171" t="str">
        <f t="shared" si="133"/>
        <v>ok</v>
      </c>
      <c r="Y1171" t="str">
        <f t="shared" si="128"/>
        <v>ok</v>
      </c>
      <c r="Z1171" t="str">
        <f t="shared" si="129"/>
        <v>ok</v>
      </c>
      <c r="AA1171" s="4" t="str">
        <f t="shared" si="130"/>
        <v>ok</v>
      </c>
      <c r="AB1171" s="4" t="str">
        <f t="shared" si="131"/>
        <v>ok</v>
      </c>
      <c r="AC1171" s="6">
        <f t="shared" si="132"/>
        <v>27.386095833324362</v>
      </c>
    </row>
    <row r="1172" spans="1:29" x14ac:dyDescent="0.3">
      <c r="A1172" t="s">
        <v>42</v>
      </c>
      <c r="B1172">
        <v>2486</v>
      </c>
      <c r="C1172" t="s">
        <v>23</v>
      </c>
      <c r="D1172" t="s">
        <v>34</v>
      </c>
      <c r="E1172" t="s">
        <v>35</v>
      </c>
      <c r="F1172" t="s">
        <v>26</v>
      </c>
      <c r="G1172" t="s">
        <v>45</v>
      </c>
      <c r="H1172" s="1">
        <v>45107.484803240739</v>
      </c>
      <c r="I1172" s="1">
        <v>45109.484803240739</v>
      </c>
      <c r="J1172" s="1">
        <v>45107.486192129632</v>
      </c>
      <c r="K1172" s="2">
        <v>45107.485164166668</v>
      </c>
      <c r="L1172" t="s">
        <v>28</v>
      </c>
      <c r="M1172" s="2">
        <v>45107.878192523145</v>
      </c>
      <c r="N1172" t="s">
        <v>28</v>
      </c>
      <c r="P1172">
        <v>1</v>
      </c>
      <c r="R1172" t="s">
        <v>50</v>
      </c>
      <c r="S1172" t="s">
        <v>30</v>
      </c>
      <c r="T1172" t="s">
        <v>53</v>
      </c>
      <c r="U1172">
        <v>39.368279000000001</v>
      </c>
      <c r="V1172">
        <v>21.863140999999999</v>
      </c>
      <c r="W1172" t="str">
        <f t="shared" si="127"/>
        <v>ok</v>
      </c>
      <c r="X1172" t="str">
        <f t="shared" si="133"/>
        <v>ok</v>
      </c>
      <c r="Y1172" t="str">
        <f t="shared" si="128"/>
        <v>ok</v>
      </c>
      <c r="Z1172" t="str">
        <f t="shared" si="129"/>
        <v>ok</v>
      </c>
      <c r="AA1172" s="4" t="str">
        <f t="shared" si="130"/>
        <v>ok</v>
      </c>
      <c r="AB1172" s="4" t="str">
        <f t="shared" si="131"/>
        <v>ok</v>
      </c>
      <c r="AC1172" s="6">
        <f t="shared" si="132"/>
        <v>9.4413427777471952</v>
      </c>
    </row>
    <row r="1173" spans="1:29" x14ac:dyDescent="0.3">
      <c r="A1173" t="s">
        <v>42</v>
      </c>
      <c r="B1173">
        <v>2487</v>
      </c>
      <c r="C1173" t="s">
        <v>33</v>
      </c>
      <c r="D1173" t="s">
        <v>43</v>
      </c>
      <c r="E1173" t="s">
        <v>35</v>
      </c>
      <c r="F1173" t="s">
        <v>36</v>
      </c>
      <c r="G1173" t="s">
        <v>54</v>
      </c>
      <c r="H1173" s="1">
        <v>45107.042430555557</v>
      </c>
      <c r="I1173" s="1">
        <v>45108.042430555557</v>
      </c>
      <c r="J1173" s="1">
        <v>45107.043819444443</v>
      </c>
      <c r="K1173" s="2">
        <v>45107.043642291668</v>
      </c>
      <c r="L1173" t="s">
        <v>28</v>
      </c>
      <c r="M1173" s="2">
        <v>45107.893112893522</v>
      </c>
      <c r="N1173" t="s">
        <v>28</v>
      </c>
      <c r="P1173">
        <v>7</v>
      </c>
      <c r="R1173" t="s">
        <v>39</v>
      </c>
      <c r="S1173" t="s">
        <v>40</v>
      </c>
      <c r="T1173" t="s">
        <v>56</v>
      </c>
      <c r="U1173">
        <v>52.536273000000001</v>
      </c>
      <c r="V1173">
        <v>19.050639</v>
      </c>
      <c r="W1173" t="str">
        <f t="shared" si="127"/>
        <v>ok</v>
      </c>
      <c r="X1173" t="str">
        <f t="shared" si="133"/>
        <v>ok</v>
      </c>
      <c r="Y1173" t="str">
        <f t="shared" si="128"/>
        <v>ok</v>
      </c>
      <c r="Z1173" t="str">
        <f t="shared" si="129"/>
        <v>ok</v>
      </c>
      <c r="AA1173" s="4" t="str">
        <f t="shared" si="130"/>
        <v>ok</v>
      </c>
      <c r="AB1173" s="4" t="str">
        <f t="shared" si="131"/>
        <v>ok</v>
      </c>
      <c r="AC1173" s="6">
        <f t="shared" si="132"/>
        <v>20.416376111155841</v>
      </c>
    </row>
    <row r="1174" spans="1:29" x14ac:dyDescent="0.3">
      <c r="A1174" t="s">
        <v>22</v>
      </c>
      <c r="B1174">
        <v>2488</v>
      </c>
      <c r="C1174" t="s">
        <v>23</v>
      </c>
      <c r="D1174" t="s">
        <v>43</v>
      </c>
      <c r="E1174" t="s">
        <v>25</v>
      </c>
      <c r="F1174" t="s">
        <v>36</v>
      </c>
      <c r="G1174" t="s">
        <v>37</v>
      </c>
      <c r="H1174" s="1">
        <v>45107.021238425928</v>
      </c>
      <c r="I1174" s="1">
        <v>45108.021238425928</v>
      </c>
      <c r="J1174" s="1">
        <v>45107.022627314815</v>
      </c>
      <c r="K1174" s="2">
        <v>45107.021674733798</v>
      </c>
      <c r="L1174" t="s">
        <v>28</v>
      </c>
      <c r="M1174" s="2">
        <v>45107.927418449071</v>
      </c>
      <c r="N1174" t="s">
        <v>28</v>
      </c>
      <c r="O1174" s="2">
        <v>45110.922173043982</v>
      </c>
      <c r="P1174">
        <v>4</v>
      </c>
      <c r="Q1174">
        <v>3</v>
      </c>
      <c r="R1174" t="s">
        <v>29</v>
      </c>
      <c r="S1174" t="s">
        <v>40</v>
      </c>
      <c r="T1174" t="s">
        <v>56</v>
      </c>
      <c r="U1174">
        <v>52.536273000000001</v>
      </c>
      <c r="V1174">
        <v>19.050639</v>
      </c>
      <c r="W1174" t="str">
        <f t="shared" si="127"/>
        <v>ok</v>
      </c>
      <c r="X1174" t="str">
        <f t="shared" si="133"/>
        <v>ok</v>
      </c>
      <c r="Y1174" t="str">
        <f t="shared" si="128"/>
        <v>ok</v>
      </c>
      <c r="Z1174" t="str">
        <f t="shared" si="129"/>
        <v>ok</v>
      </c>
      <c r="AA1174" s="4" t="str">
        <f t="shared" si="130"/>
        <v>ok</v>
      </c>
      <c r="AB1174" s="4" t="str">
        <f t="shared" si="131"/>
        <v>ok</v>
      </c>
      <c r="AC1174" s="6">
        <f t="shared" si="132"/>
        <v>21.748320555430837</v>
      </c>
    </row>
    <row r="1175" spans="1:29" x14ac:dyDescent="0.3">
      <c r="A1175" t="s">
        <v>22</v>
      </c>
      <c r="B1175">
        <v>2489</v>
      </c>
      <c r="C1175" t="s">
        <v>23</v>
      </c>
      <c r="D1175" t="s">
        <v>43</v>
      </c>
      <c r="E1175" t="s">
        <v>44</v>
      </c>
      <c r="F1175" t="s">
        <v>26</v>
      </c>
      <c r="G1175" t="s">
        <v>45</v>
      </c>
      <c r="H1175" s="1">
        <v>45107.496805555558</v>
      </c>
      <c r="I1175" s="1">
        <v>45108.496805555558</v>
      </c>
      <c r="J1175" s="1">
        <v>45107.498194444444</v>
      </c>
      <c r="K1175" s="2">
        <v>45107.49815363426</v>
      </c>
      <c r="L1175" t="s">
        <v>28</v>
      </c>
      <c r="M1175" s="2">
        <v>45107.818990277781</v>
      </c>
      <c r="N1175" t="s">
        <v>28</v>
      </c>
      <c r="O1175" s="2">
        <v>45110.516900104165</v>
      </c>
      <c r="P1175">
        <v>6</v>
      </c>
      <c r="Q1175">
        <v>3</v>
      </c>
      <c r="R1175" t="s">
        <v>29</v>
      </c>
      <c r="S1175" t="s">
        <v>30</v>
      </c>
      <c r="T1175" t="s">
        <v>65</v>
      </c>
      <c r="U1175">
        <v>46.149166399999999</v>
      </c>
      <c r="V1175">
        <v>14.9860106</v>
      </c>
      <c r="W1175" t="str">
        <f t="shared" si="127"/>
        <v>ok</v>
      </c>
      <c r="X1175" t="str">
        <f t="shared" si="133"/>
        <v>ok</v>
      </c>
      <c r="Y1175" t="str">
        <f t="shared" si="128"/>
        <v>ok</v>
      </c>
      <c r="Z1175" t="str">
        <f t="shared" si="129"/>
        <v>ok</v>
      </c>
      <c r="AA1175" s="4" t="str">
        <f t="shared" si="130"/>
        <v>ok</v>
      </c>
      <c r="AB1175" s="4" t="str">
        <f t="shared" si="131"/>
        <v>ok</v>
      </c>
      <c r="AC1175" s="6">
        <f t="shared" si="132"/>
        <v>7.7324333333526738</v>
      </c>
    </row>
    <row r="1176" spans="1:29" x14ac:dyDescent="0.3">
      <c r="A1176" t="s">
        <v>22</v>
      </c>
      <c r="B1176">
        <v>2490</v>
      </c>
      <c r="C1176" t="s">
        <v>47</v>
      </c>
      <c r="D1176" t="s">
        <v>24</v>
      </c>
      <c r="E1176" t="s">
        <v>35</v>
      </c>
      <c r="F1176" t="s">
        <v>36</v>
      </c>
      <c r="G1176" t="s">
        <v>64</v>
      </c>
      <c r="H1176" s="1">
        <v>45107.143368055556</v>
      </c>
      <c r="I1176" s="1">
        <v>45109.143368055556</v>
      </c>
      <c r="J1176" s="1">
        <v>45107.185034722221</v>
      </c>
      <c r="K1176" s="2">
        <v>45107.175279016206</v>
      </c>
      <c r="L1176" t="s">
        <v>28</v>
      </c>
      <c r="M1176" s="2">
        <v>45107.957647326388</v>
      </c>
      <c r="N1176" t="s">
        <v>28</v>
      </c>
      <c r="O1176" s="2">
        <v>45112.760473784721</v>
      </c>
      <c r="P1176">
        <v>2</v>
      </c>
      <c r="Q1176">
        <v>4</v>
      </c>
      <c r="R1176" t="s">
        <v>50</v>
      </c>
      <c r="S1176" t="s">
        <v>40</v>
      </c>
      <c r="T1176" t="s">
        <v>56</v>
      </c>
      <c r="U1176">
        <v>52.536273000000001</v>
      </c>
      <c r="V1176">
        <v>19.050639</v>
      </c>
      <c r="W1176" t="str">
        <f t="shared" si="127"/>
        <v>ok</v>
      </c>
      <c r="X1176" t="str">
        <f t="shared" si="133"/>
        <v>ok</v>
      </c>
      <c r="Y1176" t="str">
        <f t="shared" si="128"/>
        <v>ok</v>
      </c>
      <c r="Z1176" t="str">
        <f t="shared" si="129"/>
        <v>ok</v>
      </c>
      <c r="AA1176" s="4" t="str">
        <f t="shared" si="130"/>
        <v>ok</v>
      </c>
      <c r="AB1176" s="4" t="str">
        <f t="shared" si="131"/>
        <v>ok</v>
      </c>
      <c r="AC1176" s="6">
        <f t="shared" si="132"/>
        <v>19.542702499951702</v>
      </c>
    </row>
    <row r="1177" spans="1:29" x14ac:dyDescent="0.3">
      <c r="A1177" t="s">
        <v>22</v>
      </c>
      <c r="B1177">
        <v>2491</v>
      </c>
      <c r="C1177" t="s">
        <v>33</v>
      </c>
      <c r="D1177" t="s">
        <v>43</v>
      </c>
      <c r="E1177" t="s">
        <v>67</v>
      </c>
      <c r="F1177" t="s">
        <v>26</v>
      </c>
      <c r="G1177" t="s">
        <v>60</v>
      </c>
      <c r="H1177" s="1">
        <v>45107.469618055555</v>
      </c>
      <c r="I1177" s="1">
        <v>45108.469618055555</v>
      </c>
      <c r="J1177" s="1">
        <v>45107.471006944441</v>
      </c>
      <c r="K1177" s="2">
        <v>45107.471795243058</v>
      </c>
      <c r="L1177" t="s">
        <v>38</v>
      </c>
      <c r="M1177" s="2">
        <v>45107.683026087965</v>
      </c>
      <c r="N1177" t="s">
        <v>28</v>
      </c>
      <c r="O1177" s="2">
        <v>45109.008130520837</v>
      </c>
      <c r="P1177">
        <v>7</v>
      </c>
      <c r="Q1177">
        <v>5</v>
      </c>
      <c r="R1177" t="s">
        <v>29</v>
      </c>
      <c r="S1177" t="s">
        <v>30</v>
      </c>
      <c r="T1177" t="s">
        <v>61</v>
      </c>
      <c r="U1177">
        <v>42.724992499999999</v>
      </c>
      <c r="V1177">
        <v>25.483303899999999</v>
      </c>
      <c r="W1177" t="str">
        <f t="shared" si="127"/>
        <v>ok</v>
      </c>
      <c r="X1177" t="str">
        <f t="shared" si="133"/>
        <v>ok</v>
      </c>
      <c r="Y1177" t="str">
        <f t="shared" si="128"/>
        <v>ok</v>
      </c>
      <c r="Z1177" t="str">
        <f t="shared" si="129"/>
        <v>ok</v>
      </c>
      <c r="AA1177" s="4" t="str">
        <f t="shared" si="130"/>
        <v>ok</v>
      </c>
      <c r="AB1177" s="4" t="str">
        <f t="shared" si="131"/>
        <v>ok</v>
      </c>
      <c r="AC1177" s="6">
        <f t="shared" si="132"/>
        <v>5.1217927778488956</v>
      </c>
    </row>
    <row r="1178" spans="1:29" x14ac:dyDescent="0.3">
      <c r="A1178" t="s">
        <v>32</v>
      </c>
      <c r="B1178">
        <v>2492</v>
      </c>
      <c r="C1178" t="s">
        <v>47</v>
      </c>
      <c r="D1178" t="s">
        <v>24</v>
      </c>
      <c r="E1178" t="s">
        <v>35</v>
      </c>
      <c r="F1178" t="s">
        <v>26</v>
      </c>
      <c r="G1178" t="s">
        <v>49</v>
      </c>
      <c r="H1178" s="1">
        <v>45107.054166666669</v>
      </c>
      <c r="I1178" s="1">
        <v>45109.054166666669</v>
      </c>
      <c r="J1178" s="1">
        <v>45107.095833333333</v>
      </c>
      <c r="K1178" s="2">
        <v>45107.08542427083</v>
      </c>
      <c r="L1178" t="s">
        <v>28</v>
      </c>
      <c r="N1178" t="s">
        <v>38</v>
      </c>
      <c r="P1178">
        <v>6</v>
      </c>
      <c r="R1178" t="s">
        <v>50</v>
      </c>
      <c r="S1178" t="s">
        <v>30</v>
      </c>
      <c r="T1178" t="s">
        <v>51</v>
      </c>
      <c r="U1178">
        <v>39.673369999999998</v>
      </c>
      <c r="V1178">
        <v>-4.7677259999999997</v>
      </c>
      <c r="W1178" t="str">
        <f t="shared" si="127"/>
        <v>ok</v>
      </c>
      <c r="X1178" t="str">
        <f t="shared" si="133"/>
        <v>ok</v>
      </c>
      <c r="Y1178" t="str">
        <f t="shared" si="128"/>
        <v>ok</v>
      </c>
      <c r="Z1178" t="str">
        <f t="shared" si="129"/>
        <v>ok</v>
      </c>
      <c r="AA1178" s="4" t="str">
        <f t="shared" si="130"/>
        <v>ok</v>
      </c>
      <c r="AB1178" s="4" t="str">
        <f t="shared" si="131"/>
        <v>no resolution</v>
      </c>
      <c r="AC1178" s="6" t="str">
        <f t="shared" si="132"/>
        <v/>
      </c>
    </row>
    <row r="1179" spans="1:29" x14ac:dyDescent="0.3">
      <c r="A1179" t="s">
        <v>22</v>
      </c>
      <c r="B1179">
        <v>2493</v>
      </c>
      <c r="C1179" t="s">
        <v>23</v>
      </c>
      <c r="D1179" t="s">
        <v>24</v>
      </c>
      <c r="E1179" t="s">
        <v>35</v>
      </c>
      <c r="F1179" t="s">
        <v>36</v>
      </c>
      <c r="G1179" t="s">
        <v>54</v>
      </c>
      <c r="H1179" s="1">
        <v>45107.363553240742</v>
      </c>
      <c r="I1179" s="1">
        <v>45109.363553240742</v>
      </c>
      <c r="J1179" s="1">
        <v>45107.405219907407</v>
      </c>
      <c r="K1179" s="2">
        <v>45107.396716331015</v>
      </c>
      <c r="L1179" t="s">
        <v>28</v>
      </c>
      <c r="M1179" s="2">
        <v>45109.528876249999</v>
      </c>
      <c r="N1179" t="s">
        <v>38</v>
      </c>
      <c r="O1179" s="2">
        <v>45110.547930682871</v>
      </c>
      <c r="P1179">
        <v>5</v>
      </c>
      <c r="Q1179">
        <v>3</v>
      </c>
      <c r="R1179" t="s">
        <v>50</v>
      </c>
      <c r="S1179" t="s">
        <v>40</v>
      </c>
      <c r="T1179" t="s">
        <v>56</v>
      </c>
      <c r="U1179">
        <v>52.536273000000001</v>
      </c>
      <c r="V1179">
        <v>19.050639</v>
      </c>
      <c r="W1179" t="str">
        <f t="shared" si="127"/>
        <v>ok</v>
      </c>
      <c r="X1179" t="str">
        <f t="shared" si="133"/>
        <v>ok</v>
      </c>
      <c r="Y1179" t="str">
        <f t="shared" si="128"/>
        <v>ok</v>
      </c>
      <c r="Z1179" t="str">
        <f t="shared" si="129"/>
        <v>ok</v>
      </c>
      <c r="AA1179" s="4" t="str">
        <f t="shared" si="130"/>
        <v>ok</v>
      </c>
      <c r="AB1179" s="4" t="str">
        <f t="shared" si="131"/>
        <v>ok</v>
      </c>
      <c r="AC1179" s="6">
        <f t="shared" si="132"/>
        <v>51.967752222146373</v>
      </c>
    </row>
    <row r="1180" spans="1:29" x14ac:dyDescent="0.3">
      <c r="A1180" t="s">
        <v>32</v>
      </c>
      <c r="B1180">
        <v>2494</v>
      </c>
      <c r="C1180" t="s">
        <v>47</v>
      </c>
      <c r="D1180" t="s">
        <v>43</v>
      </c>
      <c r="E1180" t="s">
        <v>25</v>
      </c>
      <c r="F1180" t="s">
        <v>26</v>
      </c>
      <c r="G1180" t="s">
        <v>52</v>
      </c>
      <c r="H1180" s="1">
        <v>45107.785613425927</v>
      </c>
      <c r="I1180" s="1">
        <v>45108.785613425927</v>
      </c>
      <c r="J1180" s="1">
        <v>45107.787002314813</v>
      </c>
      <c r="K1180" s="2">
        <v>45107.786744328703</v>
      </c>
      <c r="L1180" t="s">
        <v>28</v>
      </c>
      <c r="N1180" t="s">
        <v>38</v>
      </c>
      <c r="P1180">
        <v>6</v>
      </c>
      <c r="R1180" t="s">
        <v>39</v>
      </c>
      <c r="S1180" t="s">
        <v>30</v>
      </c>
      <c r="T1180" t="s">
        <v>53</v>
      </c>
      <c r="U1180">
        <v>39.368279000000001</v>
      </c>
      <c r="V1180">
        <v>21.863140999999999</v>
      </c>
      <c r="W1180" t="str">
        <f t="shared" si="127"/>
        <v>ok</v>
      </c>
      <c r="X1180" t="str">
        <f t="shared" si="133"/>
        <v>ok</v>
      </c>
      <c r="Y1180" t="str">
        <f t="shared" si="128"/>
        <v>ok</v>
      </c>
      <c r="Z1180" t="str">
        <f t="shared" si="129"/>
        <v>ok</v>
      </c>
      <c r="AA1180" s="4" t="str">
        <f t="shared" si="130"/>
        <v>ok</v>
      </c>
      <c r="AB1180" s="4" t="str">
        <f t="shared" si="131"/>
        <v>no resolution</v>
      </c>
      <c r="AC1180" s="6" t="str">
        <f t="shared" si="132"/>
        <v/>
      </c>
    </row>
    <row r="1181" spans="1:29" x14ac:dyDescent="0.3">
      <c r="A1181" t="s">
        <v>42</v>
      </c>
      <c r="B1181">
        <v>2495</v>
      </c>
      <c r="C1181" t="s">
        <v>33</v>
      </c>
      <c r="D1181" t="s">
        <v>24</v>
      </c>
      <c r="E1181" t="s">
        <v>25</v>
      </c>
      <c r="F1181" t="s">
        <v>36</v>
      </c>
      <c r="G1181" t="s">
        <v>64</v>
      </c>
      <c r="H1181" s="1">
        <v>45107.49181712963</v>
      </c>
      <c r="I1181" s="1">
        <v>45109.49181712963</v>
      </c>
      <c r="J1181" s="1">
        <v>45107.533483796295</v>
      </c>
      <c r="K1181" s="2">
        <v>45107.505426747688</v>
      </c>
      <c r="L1181" t="s">
        <v>28</v>
      </c>
      <c r="M1181" s="2">
        <v>45112.48205402778</v>
      </c>
      <c r="N1181" t="s">
        <v>38</v>
      </c>
      <c r="P1181">
        <v>6</v>
      </c>
      <c r="R1181" t="s">
        <v>39</v>
      </c>
      <c r="S1181" t="s">
        <v>40</v>
      </c>
      <c r="T1181" t="s">
        <v>58</v>
      </c>
      <c r="U1181">
        <v>49.8037633</v>
      </c>
      <c r="V1181">
        <v>15.4749126</v>
      </c>
      <c r="W1181" t="str">
        <f t="shared" si="127"/>
        <v>ok</v>
      </c>
      <c r="X1181" t="str">
        <f t="shared" si="133"/>
        <v>ok</v>
      </c>
      <c r="Y1181" t="str">
        <f t="shared" si="128"/>
        <v>ok</v>
      </c>
      <c r="Z1181" t="str">
        <f t="shared" si="129"/>
        <v>ok</v>
      </c>
      <c r="AA1181" s="4" t="str">
        <f t="shared" si="130"/>
        <v>ok</v>
      </c>
      <c r="AB1181" s="4" t="str">
        <f t="shared" si="131"/>
        <v>ok</v>
      </c>
      <c r="AC1181" s="6">
        <f t="shared" si="132"/>
        <v>119.76568555558333</v>
      </c>
    </row>
    <row r="1182" spans="1:29" x14ac:dyDescent="0.3">
      <c r="A1182" t="s">
        <v>22</v>
      </c>
      <c r="B1182">
        <v>2496</v>
      </c>
      <c r="C1182" t="s">
        <v>47</v>
      </c>
      <c r="D1182" t="s">
        <v>24</v>
      </c>
      <c r="E1182" t="s">
        <v>44</v>
      </c>
      <c r="F1182" t="s">
        <v>26</v>
      </c>
      <c r="G1182" t="s">
        <v>52</v>
      </c>
      <c r="H1182" s="1">
        <v>45107.330613425926</v>
      </c>
      <c r="I1182" s="1">
        <v>45109.330613425926</v>
      </c>
      <c r="J1182" s="1">
        <v>45107.37228009259</v>
      </c>
      <c r="K1182" s="2">
        <v>45107.332353449077</v>
      </c>
      <c r="L1182" t="s">
        <v>28</v>
      </c>
      <c r="M1182" s="2">
        <v>45109.271054016201</v>
      </c>
      <c r="N1182" t="s">
        <v>28</v>
      </c>
      <c r="O1182" s="2">
        <v>45112.440372986108</v>
      </c>
      <c r="P1182">
        <v>5</v>
      </c>
      <c r="Q1182">
        <v>2</v>
      </c>
      <c r="R1182" t="s">
        <v>29</v>
      </c>
      <c r="S1182" t="s">
        <v>30</v>
      </c>
      <c r="T1182" t="s">
        <v>41</v>
      </c>
      <c r="U1182">
        <v>43.036776000000003</v>
      </c>
      <c r="V1182">
        <v>12.678565000000001</v>
      </c>
      <c r="W1182" t="str">
        <f t="shared" si="127"/>
        <v>ok</v>
      </c>
      <c r="X1182" t="str">
        <f t="shared" si="133"/>
        <v>ok</v>
      </c>
      <c r="Y1182" t="str">
        <f t="shared" si="128"/>
        <v>ok</v>
      </c>
      <c r="Z1182" t="str">
        <f t="shared" si="129"/>
        <v>ok</v>
      </c>
      <c r="AA1182" s="4" t="str">
        <f t="shared" si="130"/>
        <v>ok</v>
      </c>
      <c r="AB1182" s="4" t="str">
        <f t="shared" si="131"/>
        <v>ok</v>
      </c>
      <c r="AC1182" s="6">
        <f t="shared" si="132"/>
        <v>46.570574166602455</v>
      </c>
    </row>
    <row r="1183" spans="1:29" x14ac:dyDescent="0.3">
      <c r="A1183" t="s">
        <v>32</v>
      </c>
      <c r="B1183">
        <v>2497</v>
      </c>
      <c r="C1183" t="s">
        <v>23</v>
      </c>
      <c r="D1183" t="s">
        <v>24</v>
      </c>
      <c r="E1183" t="s">
        <v>25</v>
      </c>
      <c r="F1183" t="s">
        <v>26</v>
      </c>
      <c r="G1183" t="s">
        <v>27</v>
      </c>
      <c r="H1183" s="1">
        <v>45108.815567129626</v>
      </c>
      <c r="I1183" s="1">
        <v>45110.815567129626</v>
      </c>
      <c r="J1183" s="1">
        <v>45108.857233796298</v>
      </c>
      <c r="K1183" s="2">
        <v>45108.825145138886</v>
      </c>
      <c r="L1183" t="s">
        <v>28</v>
      </c>
      <c r="N1183" t="s">
        <v>38</v>
      </c>
      <c r="P1183">
        <v>1</v>
      </c>
      <c r="R1183" t="s">
        <v>50</v>
      </c>
      <c r="S1183" t="s">
        <v>30</v>
      </c>
      <c r="T1183" t="s">
        <v>63</v>
      </c>
      <c r="U1183">
        <v>55.378051999999997</v>
      </c>
      <c r="V1183">
        <v>-3.4359730000000002</v>
      </c>
      <c r="W1183" t="str">
        <f t="shared" si="127"/>
        <v>ok</v>
      </c>
      <c r="X1183" t="str">
        <f t="shared" si="133"/>
        <v>ok</v>
      </c>
      <c r="Y1183" t="str">
        <f t="shared" si="128"/>
        <v>ok</v>
      </c>
      <c r="Z1183" t="str">
        <f t="shared" si="129"/>
        <v>ok</v>
      </c>
      <c r="AA1183" s="4" t="str">
        <f t="shared" si="130"/>
        <v>ok</v>
      </c>
      <c r="AB1183" s="4" t="str">
        <f t="shared" si="131"/>
        <v>no resolution</v>
      </c>
      <c r="AC1183" s="6" t="str">
        <f t="shared" si="132"/>
        <v/>
      </c>
    </row>
    <row r="1184" spans="1:29" x14ac:dyDescent="0.3">
      <c r="A1184" t="s">
        <v>22</v>
      </c>
      <c r="B1184">
        <v>2498</v>
      </c>
      <c r="C1184" t="s">
        <v>33</v>
      </c>
      <c r="D1184" t="s">
        <v>43</v>
      </c>
      <c r="E1184" t="s">
        <v>35</v>
      </c>
      <c r="F1184" t="s">
        <v>26</v>
      </c>
      <c r="G1184" t="s">
        <v>52</v>
      </c>
      <c r="H1184" s="1">
        <v>45108.172337962962</v>
      </c>
      <c r="I1184" s="1">
        <v>45109.172337962962</v>
      </c>
      <c r="J1184" s="1">
        <v>45108.173726851855</v>
      </c>
      <c r="K1184" s="2">
        <v>45108.173078321757</v>
      </c>
      <c r="L1184" t="s">
        <v>28</v>
      </c>
      <c r="M1184" s="2">
        <v>45108.23809165509</v>
      </c>
      <c r="N1184" t="s">
        <v>28</v>
      </c>
      <c r="O1184" s="2">
        <v>45112.517100173609</v>
      </c>
      <c r="P1184">
        <v>4</v>
      </c>
      <c r="Q1184">
        <v>5</v>
      </c>
      <c r="R1184" t="s">
        <v>50</v>
      </c>
      <c r="S1184" t="s">
        <v>30</v>
      </c>
      <c r="T1184" t="s">
        <v>41</v>
      </c>
      <c r="U1184">
        <v>43.036776000000003</v>
      </c>
      <c r="V1184">
        <v>12.678565000000001</v>
      </c>
      <c r="W1184" t="str">
        <f t="shared" si="127"/>
        <v>ok</v>
      </c>
      <c r="X1184" t="str">
        <f t="shared" si="133"/>
        <v>ok</v>
      </c>
      <c r="Y1184" t="str">
        <f t="shared" si="128"/>
        <v>ok</v>
      </c>
      <c r="Z1184" t="str">
        <f t="shared" si="129"/>
        <v>ok</v>
      </c>
      <c r="AA1184" s="4" t="str">
        <f t="shared" si="130"/>
        <v>ok</v>
      </c>
      <c r="AB1184" s="4" t="str">
        <f t="shared" si="131"/>
        <v>ok</v>
      </c>
      <c r="AC1184" s="6">
        <f t="shared" si="132"/>
        <v>1.5780886110733263</v>
      </c>
    </row>
    <row r="1185" spans="1:29" x14ac:dyDescent="0.3">
      <c r="A1185" t="s">
        <v>42</v>
      </c>
      <c r="B1185">
        <v>2508</v>
      </c>
      <c r="C1185" t="s">
        <v>47</v>
      </c>
      <c r="D1185" t="s">
        <v>34</v>
      </c>
      <c r="E1185" t="s">
        <v>39</v>
      </c>
      <c r="F1185" t="s">
        <v>26</v>
      </c>
      <c r="G1185" t="s">
        <v>60</v>
      </c>
      <c r="H1185" s="1">
        <v>45109.488449074073</v>
      </c>
      <c r="I1185" s="1">
        <v>45111.488449074073</v>
      </c>
      <c r="J1185" s="1">
        <v>45109.489837962959</v>
      </c>
      <c r="K1185" s="2">
        <v>45109.488704212963</v>
      </c>
      <c r="L1185" t="s">
        <v>28</v>
      </c>
      <c r="M1185" s="2">
        <v>45115.244959016207</v>
      </c>
      <c r="N1185" t="s">
        <v>38</v>
      </c>
      <c r="P1185">
        <v>1</v>
      </c>
      <c r="R1185" t="s">
        <v>50</v>
      </c>
      <c r="S1185" t="s">
        <v>30</v>
      </c>
      <c r="T1185" t="s">
        <v>53</v>
      </c>
      <c r="U1185">
        <v>39.368279000000001</v>
      </c>
      <c r="V1185">
        <v>21.863140999999999</v>
      </c>
      <c r="W1185" t="str">
        <f t="shared" si="127"/>
        <v>ok</v>
      </c>
      <c r="X1185" t="str">
        <f t="shared" si="133"/>
        <v>ok</v>
      </c>
      <c r="Y1185" t="str">
        <f t="shared" si="128"/>
        <v>ok</v>
      </c>
      <c r="Z1185" t="str">
        <f t="shared" si="129"/>
        <v>ok</v>
      </c>
      <c r="AA1185" s="4" t="str">
        <f t="shared" si="130"/>
        <v>ok</v>
      </c>
      <c r="AB1185" s="4" t="str">
        <f t="shared" si="131"/>
        <v>ok</v>
      </c>
      <c r="AC1185" s="6">
        <f t="shared" si="132"/>
        <v>138.15623861120548</v>
      </c>
    </row>
    <row r="1186" spans="1:29" x14ac:dyDescent="0.3">
      <c r="A1186" t="s">
        <v>22</v>
      </c>
      <c r="B1186">
        <v>2509</v>
      </c>
      <c r="C1186" t="s">
        <v>47</v>
      </c>
      <c r="D1186" t="s">
        <v>43</v>
      </c>
      <c r="E1186" t="s">
        <v>25</v>
      </c>
      <c r="F1186" t="s">
        <v>26</v>
      </c>
      <c r="G1186" t="s">
        <v>52</v>
      </c>
      <c r="H1186" s="1">
        <v>45109.648900462962</v>
      </c>
      <c r="I1186" s="1">
        <v>45110.648900462962</v>
      </c>
      <c r="J1186" s="1">
        <v>45109.650289351855</v>
      </c>
      <c r="K1186" s="2">
        <v>45109.650212511573</v>
      </c>
      <c r="L1186" t="s">
        <v>28</v>
      </c>
      <c r="M1186" s="2">
        <v>45110.512036967593</v>
      </c>
      <c r="N1186" t="s">
        <v>28</v>
      </c>
      <c r="O1186" s="2">
        <v>45110.965328680555</v>
      </c>
      <c r="P1186">
        <v>3</v>
      </c>
      <c r="Q1186">
        <v>4</v>
      </c>
      <c r="R1186" t="s">
        <v>39</v>
      </c>
      <c r="S1186" t="s">
        <v>30</v>
      </c>
      <c r="T1186" t="s">
        <v>61</v>
      </c>
      <c r="U1186">
        <v>42.724992499999999</v>
      </c>
      <c r="V1186">
        <v>25.483303899999999</v>
      </c>
      <c r="W1186" t="str">
        <f t="shared" si="127"/>
        <v>ok</v>
      </c>
      <c r="X1186" t="str">
        <f t="shared" si="133"/>
        <v>ok</v>
      </c>
      <c r="Y1186" t="str">
        <f t="shared" si="128"/>
        <v>ok</v>
      </c>
      <c r="Z1186" t="str">
        <f t="shared" si="129"/>
        <v>ok</v>
      </c>
      <c r="AA1186" s="4" t="str">
        <f t="shared" si="130"/>
        <v>ok</v>
      </c>
      <c r="AB1186" s="4" t="str">
        <f t="shared" si="131"/>
        <v>ok</v>
      </c>
      <c r="AC1186" s="6">
        <f t="shared" si="132"/>
        <v>20.71527611115016</v>
      </c>
    </row>
    <row r="1187" spans="1:29" x14ac:dyDescent="0.3">
      <c r="A1187" t="s">
        <v>32</v>
      </c>
      <c r="B1187">
        <v>2510</v>
      </c>
      <c r="C1187" t="s">
        <v>23</v>
      </c>
      <c r="D1187" t="s">
        <v>34</v>
      </c>
      <c r="E1187" t="s">
        <v>35</v>
      </c>
      <c r="F1187" t="s">
        <v>26</v>
      </c>
      <c r="G1187" t="s">
        <v>52</v>
      </c>
      <c r="H1187" s="1">
        <v>45109.512407407405</v>
      </c>
      <c r="I1187" s="1">
        <v>45111.512407407405</v>
      </c>
      <c r="J1187" s="1">
        <v>45109.513796296298</v>
      </c>
      <c r="K1187" s="2">
        <v>45109.513627569446</v>
      </c>
      <c r="L1187" t="s">
        <v>28</v>
      </c>
      <c r="N1187" t="s">
        <v>38</v>
      </c>
      <c r="P1187">
        <v>2</v>
      </c>
      <c r="R1187" t="s">
        <v>50</v>
      </c>
      <c r="S1187" t="s">
        <v>30</v>
      </c>
      <c r="T1187" t="s">
        <v>63</v>
      </c>
      <c r="U1187">
        <v>55.378051999999997</v>
      </c>
      <c r="V1187">
        <v>-3.4359730000000002</v>
      </c>
      <c r="W1187" t="str">
        <f t="shared" si="127"/>
        <v>ok</v>
      </c>
      <c r="X1187" t="str">
        <f t="shared" si="133"/>
        <v>ok</v>
      </c>
      <c r="Y1187" t="str">
        <f t="shared" si="128"/>
        <v>ok</v>
      </c>
      <c r="Z1187" t="str">
        <f t="shared" si="129"/>
        <v>ok</v>
      </c>
      <c r="AA1187" s="4" t="str">
        <f t="shared" si="130"/>
        <v>ok</v>
      </c>
      <c r="AB1187" s="4" t="str">
        <f t="shared" si="131"/>
        <v>no resolution</v>
      </c>
      <c r="AC1187" s="6" t="str">
        <f t="shared" si="132"/>
        <v/>
      </c>
    </row>
    <row r="1188" spans="1:29" x14ac:dyDescent="0.3">
      <c r="A1188" t="s">
        <v>32</v>
      </c>
      <c r="B1188">
        <v>2511</v>
      </c>
      <c r="C1188" t="s">
        <v>23</v>
      </c>
      <c r="D1188" t="s">
        <v>43</v>
      </c>
      <c r="E1188" t="s">
        <v>35</v>
      </c>
      <c r="F1188" t="s">
        <v>26</v>
      </c>
      <c r="G1188" t="s">
        <v>60</v>
      </c>
      <c r="H1188" s="1">
        <v>45110.526956018519</v>
      </c>
      <c r="I1188" s="1">
        <v>45111.526956018519</v>
      </c>
      <c r="J1188" s="1">
        <v>45110.528344907405</v>
      </c>
      <c r="K1188" s="2">
        <v>45110.529781527781</v>
      </c>
      <c r="L1188" t="s">
        <v>38</v>
      </c>
      <c r="N1188" t="s">
        <v>38</v>
      </c>
      <c r="P1188">
        <v>3</v>
      </c>
      <c r="R1188" t="s">
        <v>29</v>
      </c>
      <c r="S1188" t="s">
        <v>30</v>
      </c>
      <c r="T1188" t="s">
        <v>53</v>
      </c>
      <c r="U1188">
        <v>39.368279000000001</v>
      </c>
      <c r="V1188">
        <v>21.863140999999999</v>
      </c>
      <c r="W1188" t="str">
        <f t="shared" si="127"/>
        <v>ok</v>
      </c>
      <c r="X1188" t="str">
        <f t="shared" si="133"/>
        <v>ok</v>
      </c>
      <c r="Y1188" t="str">
        <f t="shared" si="128"/>
        <v>ok</v>
      </c>
      <c r="Z1188" t="str">
        <f t="shared" si="129"/>
        <v>ok</v>
      </c>
      <c r="AA1188" s="4" t="str">
        <f t="shared" si="130"/>
        <v>ok</v>
      </c>
      <c r="AB1188" s="4" t="str">
        <f t="shared" si="131"/>
        <v>no resolution</v>
      </c>
      <c r="AC1188" s="6" t="str">
        <f t="shared" si="132"/>
        <v/>
      </c>
    </row>
    <row r="1189" spans="1:29" x14ac:dyDescent="0.3">
      <c r="A1189" t="s">
        <v>42</v>
      </c>
      <c r="B1189">
        <v>2512</v>
      </c>
      <c r="C1189" t="s">
        <v>23</v>
      </c>
      <c r="D1189" t="s">
        <v>24</v>
      </c>
      <c r="E1189" t="s">
        <v>48</v>
      </c>
      <c r="F1189" t="s">
        <v>26</v>
      </c>
      <c r="G1189" t="s">
        <v>49</v>
      </c>
      <c r="H1189" s="1">
        <v>45110.234861111108</v>
      </c>
      <c r="I1189" s="1">
        <v>45112.234861111108</v>
      </c>
      <c r="J1189" s="1">
        <v>45110.27652777778</v>
      </c>
      <c r="K1189" s="2">
        <v>45110.247737106482</v>
      </c>
      <c r="L1189" t="s">
        <v>28</v>
      </c>
      <c r="M1189" s="2">
        <v>45111.150922881941</v>
      </c>
      <c r="N1189" t="s">
        <v>28</v>
      </c>
      <c r="P1189">
        <v>6</v>
      </c>
      <c r="R1189" t="s">
        <v>50</v>
      </c>
      <c r="S1189" t="s">
        <v>30</v>
      </c>
      <c r="T1189" t="s">
        <v>58</v>
      </c>
      <c r="U1189">
        <v>49.8037633</v>
      </c>
      <c r="V1189">
        <v>15.4749126</v>
      </c>
      <c r="W1189" t="str">
        <f t="shared" si="127"/>
        <v>ok</v>
      </c>
      <c r="X1189" t="str">
        <f t="shared" si="133"/>
        <v>ok</v>
      </c>
      <c r="Y1189" t="str">
        <f t="shared" si="128"/>
        <v>ok</v>
      </c>
      <c r="Z1189" t="str">
        <f t="shared" si="129"/>
        <v>ok</v>
      </c>
      <c r="AA1189" s="4" t="str">
        <f t="shared" si="130"/>
        <v>ok</v>
      </c>
      <c r="AB1189" s="4" t="str">
        <f t="shared" si="131"/>
        <v>ok</v>
      </c>
      <c r="AC1189" s="6">
        <f t="shared" si="132"/>
        <v>21.985482499992941</v>
      </c>
    </row>
    <row r="1190" spans="1:29" x14ac:dyDescent="0.3">
      <c r="A1190" t="s">
        <v>32</v>
      </c>
      <c r="B1190">
        <v>2513</v>
      </c>
      <c r="C1190" t="s">
        <v>23</v>
      </c>
      <c r="D1190" t="s">
        <v>24</v>
      </c>
      <c r="E1190" t="s">
        <v>59</v>
      </c>
      <c r="F1190" t="s">
        <v>26</v>
      </c>
      <c r="G1190" t="s">
        <v>52</v>
      </c>
      <c r="H1190" s="1">
        <v>45110.943240740744</v>
      </c>
      <c r="I1190" s="1">
        <v>45112.943240740744</v>
      </c>
      <c r="J1190" s="1">
        <v>45110.984907407408</v>
      </c>
      <c r="K1190" s="2">
        <v>45110.953836666667</v>
      </c>
      <c r="L1190" t="s">
        <v>28</v>
      </c>
      <c r="N1190" t="s">
        <v>38</v>
      </c>
      <c r="P1190">
        <v>1</v>
      </c>
      <c r="R1190" t="s">
        <v>29</v>
      </c>
      <c r="S1190" t="s">
        <v>30</v>
      </c>
      <c r="T1190" t="s">
        <v>63</v>
      </c>
      <c r="U1190">
        <v>55.378051999999997</v>
      </c>
      <c r="V1190">
        <v>-3.4359730000000002</v>
      </c>
      <c r="W1190" t="str">
        <f t="shared" si="127"/>
        <v>ok</v>
      </c>
      <c r="X1190" t="str">
        <f t="shared" si="133"/>
        <v>ok</v>
      </c>
      <c r="Y1190" t="str">
        <f t="shared" si="128"/>
        <v>ok</v>
      </c>
      <c r="Z1190" t="str">
        <f t="shared" si="129"/>
        <v>ok</v>
      </c>
      <c r="AA1190" s="4" t="str">
        <f t="shared" si="130"/>
        <v>ok</v>
      </c>
      <c r="AB1190" s="4" t="str">
        <f t="shared" si="131"/>
        <v>no resolution</v>
      </c>
      <c r="AC1190" s="6" t="str">
        <f t="shared" si="132"/>
        <v/>
      </c>
    </row>
    <row r="1191" spans="1:29" x14ac:dyDescent="0.3">
      <c r="A1191" t="s">
        <v>32</v>
      </c>
      <c r="B1191">
        <v>2514</v>
      </c>
      <c r="C1191" t="s">
        <v>23</v>
      </c>
      <c r="D1191" t="s">
        <v>24</v>
      </c>
      <c r="E1191" t="s">
        <v>59</v>
      </c>
      <c r="F1191" t="s">
        <v>26</v>
      </c>
      <c r="G1191" t="s">
        <v>45</v>
      </c>
      <c r="H1191" s="1">
        <v>45110.035312499997</v>
      </c>
      <c r="I1191" s="1">
        <v>45112.035312499997</v>
      </c>
      <c r="J1191" s="1">
        <v>45110.076979166668</v>
      </c>
      <c r="K1191" s="2">
        <v>45110.06881409722</v>
      </c>
      <c r="L1191" t="s">
        <v>28</v>
      </c>
      <c r="N1191" t="s">
        <v>38</v>
      </c>
      <c r="P1191">
        <v>3</v>
      </c>
      <c r="R1191" t="s">
        <v>50</v>
      </c>
      <c r="S1191" t="s">
        <v>30</v>
      </c>
      <c r="T1191" t="s">
        <v>57</v>
      </c>
      <c r="U1191">
        <v>51.165691000000002</v>
      </c>
      <c r="V1191">
        <v>10.451525999999999</v>
      </c>
      <c r="W1191" t="str">
        <f t="shared" si="127"/>
        <v>ok</v>
      </c>
      <c r="X1191" t="str">
        <f t="shared" si="133"/>
        <v>ok</v>
      </c>
      <c r="Y1191" t="str">
        <f t="shared" si="128"/>
        <v>ok</v>
      </c>
      <c r="Z1191" t="str">
        <f t="shared" si="129"/>
        <v>ok</v>
      </c>
      <c r="AA1191" s="4" t="str">
        <f t="shared" si="130"/>
        <v>ok</v>
      </c>
      <c r="AB1191" s="4" t="str">
        <f t="shared" si="131"/>
        <v>no resolution</v>
      </c>
      <c r="AC1191" s="6" t="str">
        <f t="shared" si="132"/>
        <v/>
      </c>
    </row>
    <row r="1192" spans="1:29" x14ac:dyDescent="0.3">
      <c r="A1192" t="s">
        <v>32</v>
      </c>
      <c r="B1192">
        <v>2515</v>
      </c>
      <c r="C1192" t="s">
        <v>23</v>
      </c>
      <c r="D1192" t="s">
        <v>43</v>
      </c>
      <c r="E1192" t="s">
        <v>25</v>
      </c>
      <c r="F1192" t="s">
        <v>26</v>
      </c>
      <c r="G1192" t="s">
        <v>52</v>
      </c>
      <c r="H1192" s="1">
        <v>45110.800844907404</v>
      </c>
      <c r="I1192" s="1">
        <v>45111.800844907404</v>
      </c>
      <c r="J1192" s="1">
        <v>45110.802233796298</v>
      </c>
      <c r="K1192" s="2">
        <v>45110.801705694445</v>
      </c>
      <c r="L1192" t="s">
        <v>28</v>
      </c>
      <c r="N1192" t="s">
        <v>38</v>
      </c>
      <c r="P1192">
        <v>4</v>
      </c>
      <c r="R1192" t="s">
        <v>29</v>
      </c>
      <c r="S1192" t="s">
        <v>30</v>
      </c>
      <c r="T1192" t="s">
        <v>56</v>
      </c>
      <c r="U1192">
        <v>52.536273000000001</v>
      </c>
      <c r="V1192">
        <v>19.050639</v>
      </c>
      <c r="W1192" t="str">
        <f t="shared" si="127"/>
        <v>ok</v>
      </c>
      <c r="X1192" t="str">
        <f t="shared" si="133"/>
        <v>ok</v>
      </c>
      <c r="Y1192" t="str">
        <f t="shared" si="128"/>
        <v>ok</v>
      </c>
      <c r="Z1192" t="str">
        <f t="shared" si="129"/>
        <v>ok</v>
      </c>
      <c r="AA1192" s="4" t="str">
        <f t="shared" si="130"/>
        <v>ok</v>
      </c>
      <c r="AB1192" s="4" t="str">
        <f t="shared" si="131"/>
        <v>no resolution</v>
      </c>
      <c r="AC1192" s="6" t="str">
        <f t="shared" si="132"/>
        <v/>
      </c>
    </row>
    <row r="1193" spans="1:29" x14ac:dyDescent="0.3">
      <c r="A1193" t="s">
        <v>42</v>
      </c>
      <c r="B1193">
        <v>2516</v>
      </c>
      <c r="C1193" t="s">
        <v>47</v>
      </c>
      <c r="D1193" t="s">
        <v>24</v>
      </c>
      <c r="E1193" t="s">
        <v>35</v>
      </c>
      <c r="F1193" t="s">
        <v>26</v>
      </c>
      <c r="G1193" t="s">
        <v>45</v>
      </c>
      <c r="H1193" s="1">
        <v>45111.990983796299</v>
      </c>
      <c r="I1193" s="1">
        <v>45113.990983796299</v>
      </c>
      <c r="J1193" s="1">
        <v>45112.032650462963</v>
      </c>
      <c r="K1193" s="2">
        <v>45112.00519787037</v>
      </c>
      <c r="L1193" t="s">
        <v>28</v>
      </c>
      <c r="M1193" s="2">
        <v>45112.545929386572</v>
      </c>
      <c r="N1193" t="s">
        <v>28</v>
      </c>
      <c r="P1193">
        <v>2</v>
      </c>
      <c r="R1193" t="s">
        <v>50</v>
      </c>
      <c r="S1193" t="s">
        <v>30</v>
      </c>
      <c r="T1193" t="s">
        <v>57</v>
      </c>
      <c r="U1193">
        <v>51.165691000000002</v>
      </c>
      <c r="V1193">
        <v>10.451525999999999</v>
      </c>
      <c r="W1193" t="str">
        <f t="shared" si="127"/>
        <v>ok</v>
      </c>
      <c r="X1193" t="str">
        <f t="shared" si="133"/>
        <v>ok</v>
      </c>
      <c r="Y1193" t="str">
        <f t="shared" si="128"/>
        <v>ok</v>
      </c>
      <c r="Z1193" t="str">
        <f t="shared" si="129"/>
        <v>ok</v>
      </c>
      <c r="AA1193" s="4" t="str">
        <f t="shared" si="130"/>
        <v>ok</v>
      </c>
      <c r="AB1193" s="4" t="str">
        <f t="shared" si="131"/>
        <v>ok</v>
      </c>
      <c r="AC1193" s="6">
        <f t="shared" si="132"/>
        <v>13.318694166548084</v>
      </c>
    </row>
    <row r="1194" spans="1:29" x14ac:dyDescent="0.3">
      <c r="A1194" t="s">
        <v>22</v>
      </c>
      <c r="B1194">
        <v>2517</v>
      </c>
      <c r="C1194" t="s">
        <v>47</v>
      </c>
      <c r="D1194" t="s">
        <v>43</v>
      </c>
      <c r="E1194" t="s">
        <v>48</v>
      </c>
      <c r="F1194" t="s">
        <v>36</v>
      </c>
      <c r="G1194" t="s">
        <v>37</v>
      </c>
      <c r="H1194" s="1">
        <v>45111.108483796299</v>
      </c>
      <c r="I1194" s="1">
        <v>45112.108483796299</v>
      </c>
      <c r="J1194" s="1">
        <v>45111.109872685185</v>
      </c>
      <c r="K1194" s="2">
        <v>45111.108818541667</v>
      </c>
      <c r="L1194" t="s">
        <v>28</v>
      </c>
      <c r="M1194" s="2">
        <v>45111.813419618054</v>
      </c>
      <c r="N1194" t="s">
        <v>28</v>
      </c>
      <c r="O1194" s="2">
        <v>45118.443582870372</v>
      </c>
      <c r="P1194">
        <v>9</v>
      </c>
      <c r="Q1194">
        <v>2</v>
      </c>
      <c r="R1194" t="s">
        <v>55</v>
      </c>
      <c r="S1194" t="s">
        <v>40</v>
      </c>
      <c r="T1194" t="s">
        <v>41</v>
      </c>
      <c r="U1194">
        <v>43.036776000000003</v>
      </c>
      <c r="V1194">
        <v>12.678565000000001</v>
      </c>
      <c r="W1194" t="str">
        <f t="shared" si="127"/>
        <v>ok</v>
      </c>
      <c r="X1194" t="str">
        <f t="shared" si="133"/>
        <v>ok</v>
      </c>
      <c r="Y1194" t="str">
        <f t="shared" si="128"/>
        <v>ok</v>
      </c>
      <c r="Z1194" t="str">
        <f t="shared" si="129"/>
        <v>ok</v>
      </c>
      <c r="AA1194" s="4" t="str">
        <f t="shared" si="130"/>
        <v>ok</v>
      </c>
      <c r="AB1194" s="4" t="str">
        <f t="shared" si="131"/>
        <v>ok</v>
      </c>
      <c r="AC1194" s="6">
        <f t="shared" si="132"/>
        <v>16.918459722131956</v>
      </c>
    </row>
    <row r="1195" spans="1:29" x14ac:dyDescent="0.3">
      <c r="A1195" t="s">
        <v>42</v>
      </c>
      <c r="B1195">
        <v>2518</v>
      </c>
      <c r="C1195" t="s">
        <v>23</v>
      </c>
      <c r="D1195" t="s">
        <v>24</v>
      </c>
      <c r="E1195" t="s">
        <v>48</v>
      </c>
      <c r="F1195" t="s">
        <v>26</v>
      </c>
      <c r="G1195" t="s">
        <v>49</v>
      </c>
      <c r="H1195" s="1">
        <v>45111.027685185189</v>
      </c>
      <c r="I1195" s="1">
        <v>45113.027685185189</v>
      </c>
      <c r="J1195" s="1">
        <v>45111.069351851853</v>
      </c>
      <c r="K1195" s="2">
        <v>45111.04738009259</v>
      </c>
      <c r="L1195" t="s">
        <v>28</v>
      </c>
      <c r="M1195" s="2">
        <v>45112.426223495371</v>
      </c>
      <c r="N1195" t="s">
        <v>28</v>
      </c>
      <c r="P1195">
        <v>3</v>
      </c>
      <c r="R1195" t="s">
        <v>50</v>
      </c>
      <c r="S1195" t="s">
        <v>30</v>
      </c>
      <c r="T1195" t="s">
        <v>56</v>
      </c>
      <c r="U1195">
        <v>52.536273000000001</v>
      </c>
      <c r="V1195">
        <v>19.050639</v>
      </c>
      <c r="W1195" t="str">
        <f t="shared" si="127"/>
        <v>ok</v>
      </c>
      <c r="X1195" t="str">
        <f t="shared" si="133"/>
        <v>ok</v>
      </c>
      <c r="Y1195" t="str">
        <f t="shared" si="128"/>
        <v>ok</v>
      </c>
      <c r="Z1195" t="str">
        <f t="shared" si="129"/>
        <v>ok</v>
      </c>
      <c r="AA1195" s="4" t="str">
        <f t="shared" si="130"/>
        <v>ok</v>
      </c>
      <c r="AB1195" s="4" t="str">
        <f t="shared" si="131"/>
        <v>ok</v>
      </c>
      <c r="AC1195" s="6">
        <f t="shared" si="132"/>
        <v>33.564919444383122</v>
      </c>
    </row>
    <row r="1196" spans="1:29" x14ac:dyDescent="0.3">
      <c r="A1196" t="s">
        <v>22</v>
      </c>
      <c r="B1196">
        <v>2519</v>
      </c>
      <c r="C1196" t="s">
        <v>33</v>
      </c>
      <c r="D1196" t="s">
        <v>34</v>
      </c>
      <c r="E1196" t="s">
        <v>48</v>
      </c>
      <c r="F1196" t="s">
        <v>26</v>
      </c>
      <c r="G1196" t="s">
        <v>45</v>
      </c>
      <c r="H1196" s="1">
        <v>45111.417812500003</v>
      </c>
      <c r="I1196" s="1">
        <v>45113.417812500003</v>
      </c>
      <c r="J1196" s="1">
        <v>45111.41920138889</v>
      </c>
      <c r="K1196" s="2">
        <v>45111.417972754629</v>
      </c>
      <c r="L1196" t="s">
        <v>28</v>
      </c>
      <c r="M1196" s="2">
        <v>45113.035504837964</v>
      </c>
      <c r="N1196" t="s">
        <v>28</v>
      </c>
      <c r="O1196" s="2">
        <v>45114.066232199075</v>
      </c>
      <c r="P1196">
        <v>1</v>
      </c>
      <c r="Q1196">
        <v>3</v>
      </c>
      <c r="R1196" t="s">
        <v>50</v>
      </c>
      <c r="S1196" t="s">
        <v>30</v>
      </c>
      <c r="T1196" t="s">
        <v>63</v>
      </c>
      <c r="U1196">
        <v>55.378051999999997</v>
      </c>
      <c r="V1196">
        <v>-3.4359730000000002</v>
      </c>
      <c r="W1196" t="str">
        <f t="shared" si="127"/>
        <v>ok</v>
      </c>
      <c r="X1196" t="str">
        <f t="shared" si="133"/>
        <v>ok</v>
      </c>
      <c r="Y1196" t="str">
        <f t="shared" si="128"/>
        <v>ok</v>
      </c>
      <c r="Z1196" t="str">
        <f t="shared" si="129"/>
        <v>ok</v>
      </c>
      <c r="AA1196" s="4" t="str">
        <f t="shared" si="130"/>
        <v>ok</v>
      </c>
      <c r="AB1196" s="4" t="str">
        <f t="shared" si="131"/>
        <v>ok</v>
      </c>
      <c r="AC1196" s="6">
        <f t="shared" si="132"/>
        <v>38.824616111058276</v>
      </c>
    </row>
    <row r="1197" spans="1:29" x14ac:dyDescent="0.3">
      <c r="A1197" t="s">
        <v>32</v>
      </c>
      <c r="B1197">
        <v>2520</v>
      </c>
      <c r="C1197" t="s">
        <v>33</v>
      </c>
      <c r="D1197" t="s">
        <v>43</v>
      </c>
      <c r="E1197" t="s">
        <v>39</v>
      </c>
      <c r="F1197" t="s">
        <v>26</v>
      </c>
      <c r="G1197" t="s">
        <v>27</v>
      </c>
      <c r="H1197" s="1">
        <v>45111.551608796297</v>
      </c>
      <c r="I1197" s="1">
        <v>45112.551608796297</v>
      </c>
      <c r="J1197" s="1">
        <v>45111.552997685183</v>
      </c>
      <c r="K1197" s="2">
        <v>45111.55293849537</v>
      </c>
      <c r="L1197" t="s">
        <v>28</v>
      </c>
      <c r="N1197" t="s">
        <v>38</v>
      </c>
      <c r="P1197">
        <v>9</v>
      </c>
      <c r="R1197" t="s">
        <v>50</v>
      </c>
      <c r="S1197" t="s">
        <v>30</v>
      </c>
      <c r="T1197" t="s">
        <v>57</v>
      </c>
      <c r="U1197">
        <v>51.165691000000002</v>
      </c>
      <c r="V1197">
        <v>10.451525999999999</v>
      </c>
      <c r="W1197" t="str">
        <f t="shared" si="127"/>
        <v>ok</v>
      </c>
      <c r="X1197" t="str">
        <f t="shared" si="133"/>
        <v>ok</v>
      </c>
      <c r="Y1197" t="str">
        <f t="shared" si="128"/>
        <v>ok</v>
      </c>
      <c r="Z1197" t="str">
        <f t="shared" si="129"/>
        <v>ok</v>
      </c>
      <c r="AA1197" s="4" t="str">
        <f t="shared" si="130"/>
        <v>ok</v>
      </c>
      <c r="AB1197" s="4" t="str">
        <f t="shared" si="131"/>
        <v>no resolution</v>
      </c>
      <c r="AC1197" s="6" t="str">
        <f t="shared" si="132"/>
        <v/>
      </c>
    </row>
    <row r="1198" spans="1:29" x14ac:dyDescent="0.3">
      <c r="A1198" t="s">
        <v>22</v>
      </c>
      <c r="B1198">
        <v>2521</v>
      </c>
      <c r="C1198" t="s">
        <v>23</v>
      </c>
      <c r="D1198" t="s">
        <v>24</v>
      </c>
      <c r="E1198" t="s">
        <v>39</v>
      </c>
      <c r="F1198" t="s">
        <v>36</v>
      </c>
      <c r="G1198" t="s">
        <v>54</v>
      </c>
      <c r="H1198" s="1">
        <v>45111.069803240738</v>
      </c>
      <c r="I1198" s="1">
        <v>45113.069803240738</v>
      </c>
      <c r="J1198" s="1">
        <v>45111.11146990741</v>
      </c>
      <c r="K1198" s="2">
        <v>45111.175954212966</v>
      </c>
      <c r="L1198" t="s">
        <v>38</v>
      </c>
      <c r="M1198" s="2">
        <v>45112.472102858796</v>
      </c>
      <c r="N1198" t="s">
        <v>28</v>
      </c>
      <c r="O1198" s="2">
        <v>45118.04052091435</v>
      </c>
      <c r="P1198">
        <v>10</v>
      </c>
      <c r="Q1198">
        <v>5</v>
      </c>
      <c r="R1198" t="s">
        <v>29</v>
      </c>
      <c r="S1198" t="s">
        <v>40</v>
      </c>
      <c r="T1198" t="s">
        <v>31</v>
      </c>
      <c r="U1198">
        <v>53.094023999999997</v>
      </c>
      <c r="V1198">
        <v>-8.0196749999999994</v>
      </c>
      <c r="W1198" t="str">
        <f t="shared" si="127"/>
        <v>ok</v>
      </c>
      <c r="X1198" t="str">
        <f t="shared" si="133"/>
        <v>ok</v>
      </c>
      <c r="Y1198" t="str">
        <f t="shared" si="128"/>
        <v>ok</v>
      </c>
      <c r="Z1198" t="str">
        <f t="shared" si="129"/>
        <v>ok</v>
      </c>
      <c r="AA1198" s="4" t="str">
        <f t="shared" si="130"/>
        <v>ok</v>
      </c>
      <c r="AB1198" s="4" t="str">
        <f t="shared" si="131"/>
        <v>ok</v>
      </c>
      <c r="AC1198" s="6">
        <f t="shared" si="132"/>
        <v>33.655190833378583</v>
      </c>
    </row>
    <row r="1199" spans="1:29" x14ac:dyDescent="0.3">
      <c r="A1199" t="s">
        <v>22</v>
      </c>
      <c r="B1199">
        <v>2522</v>
      </c>
      <c r="C1199" t="s">
        <v>23</v>
      </c>
      <c r="D1199" t="s">
        <v>24</v>
      </c>
      <c r="E1199" t="s">
        <v>59</v>
      </c>
      <c r="F1199" t="s">
        <v>26</v>
      </c>
      <c r="G1199" t="s">
        <v>60</v>
      </c>
      <c r="H1199" s="1">
        <v>45111.158807870372</v>
      </c>
      <c r="I1199" s="1">
        <v>45113.158807870372</v>
      </c>
      <c r="J1199" s="1">
        <v>45111.200474537036</v>
      </c>
      <c r="K1199" s="2">
        <v>45111.200287916668</v>
      </c>
      <c r="L1199" t="s">
        <v>28</v>
      </c>
      <c r="M1199" s="2">
        <v>45111.208460057867</v>
      </c>
      <c r="N1199" t="s">
        <v>28</v>
      </c>
      <c r="O1199" s="2">
        <v>45114.186676122685</v>
      </c>
      <c r="P1199">
        <v>8</v>
      </c>
      <c r="Q1199">
        <v>1</v>
      </c>
      <c r="R1199" t="s">
        <v>29</v>
      </c>
      <c r="S1199" t="s">
        <v>30</v>
      </c>
      <c r="T1199" t="s">
        <v>46</v>
      </c>
      <c r="U1199">
        <v>47.696471899999999</v>
      </c>
      <c r="V1199">
        <v>13.3457347</v>
      </c>
      <c r="W1199" t="str">
        <f t="shared" si="127"/>
        <v>ok</v>
      </c>
      <c r="X1199" t="str">
        <f t="shared" si="133"/>
        <v>ok</v>
      </c>
      <c r="Y1199" t="str">
        <f t="shared" si="128"/>
        <v>ok</v>
      </c>
      <c r="Z1199" t="str">
        <f t="shared" si="129"/>
        <v>ok</v>
      </c>
      <c r="AA1199" s="4" t="str">
        <f t="shared" si="130"/>
        <v>ok</v>
      </c>
      <c r="AB1199" s="4" t="str">
        <f t="shared" si="131"/>
        <v>ok</v>
      </c>
      <c r="AC1199" s="6">
        <f t="shared" si="132"/>
        <v>1.1916524998960085</v>
      </c>
    </row>
    <row r="1200" spans="1:29" x14ac:dyDescent="0.3">
      <c r="A1200" t="s">
        <v>32</v>
      </c>
      <c r="B1200">
        <v>2523</v>
      </c>
      <c r="C1200" t="s">
        <v>23</v>
      </c>
      <c r="D1200" t="s">
        <v>43</v>
      </c>
      <c r="E1200" t="s">
        <v>59</v>
      </c>
      <c r="F1200" t="s">
        <v>36</v>
      </c>
      <c r="G1200" t="s">
        <v>54</v>
      </c>
      <c r="H1200" s="1">
        <v>45111.63857638889</v>
      </c>
      <c r="I1200" s="1">
        <v>45112.63857638889</v>
      </c>
      <c r="J1200" s="1">
        <v>45111.639965277776</v>
      </c>
      <c r="K1200" s="2">
        <v>45111.639214791663</v>
      </c>
      <c r="L1200" t="s">
        <v>28</v>
      </c>
      <c r="N1200" t="s">
        <v>38</v>
      </c>
      <c r="P1200">
        <v>6</v>
      </c>
      <c r="R1200" t="s">
        <v>50</v>
      </c>
      <c r="S1200" t="s">
        <v>40</v>
      </c>
      <c r="T1200" t="s">
        <v>46</v>
      </c>
      <c r="U1200">
        <v>47.696471899999999</v>
      </c>
      <c r="V1200">
        <v>13.3457347</v>
      </c>
      <c r="W1200" t="str">
        <f t="shared" si="127"/>
        <v>ok</v>
      </c>
      <c r="X1200" t="str">
        <f t="shared" si="133"/>
        <v>ok</v>
      </c>
      <c r="Y1200" t="str">
        <f t="shared" si="128"/>
        <v>ok</v>
      </c>
      <c r="Z1200" t="str">
        <f t="shared" si="129"/>
        <v>ok</v>
      </c>
      <c r="AA1200" s="4" t="str">
        <f t="shared" si="130"/>
        <v>ok</v>
      </c>
      <c r="AB1200" s="4" t="str">
        <f t="shared" si="131"/>
        <v>no resolution</v>
      </c>
      <c r="AC1200" s="6" t="str">
        <f t="shared" si="132"/>
        <v/>
      </c>
    </row>
    <row r="1201" spans="1:29" x14ac:dyDescent="0.3">
      <c r="A1201" t="s">
        <v>22</v>
      </c>
      <c r="B1201">
        <v>2525</v>
      </c>
      <c r="C1201" t="s">
        <v>33</v>
      </c>
      <c r="D1201" t="s">
        <v>43</v>
      </c>
      <c r="E1201" t="s">
        <v>59</v>
      </c>
      <c r="F1201" t="s">
        <v>36</v>
      </c>
      <c r="G1201" t="s">
        <v>37</v>
      </c>
      <c r="H1201" s="1">
        <v>45112.532685185186</v>
      </c>
      <c r="I1201" s="1">
        <v>45113.532685185186</v>
      </c>
      <c r="J1201" s="1">
        <v>45112.534074074072</v>
      </c>
      <c r="K1201" s="2">
        <v>45112.536180740739</v>
      </c>
      <c r="L1201" t="s">
        <v>38</v>
      </c>
      <c r="M1201" s="2">
        <v>45112.912821562502</v>
      </c>
      <c r="N1201" t="s">
        <v>28</v>
      </c>
      <c r="O1201" s="2">
        <v>45113.54208136574</v>
      </c>
      <c r="P1201">
        <v>6</v>
      </c>
      <c r="Q1201">
        <v>1</v>
      </c>
      <c r="R1201" t="s">
        <v>50</v>
      </c>
      <c r="S1201" t="s">
        <v>40</v>
      </c>
      <c r="T1201" t="s">
        <v>65</v>
      </c>
      <c r="U1201">
        <v>46.149166399999999</v>
      </c>
      <c r="V1201">
        <v>14.9860106</v>
      </c>
      <c r="W1201" t="str">
        <f t="shared" si="127"/>
        <v>ok</v>
      </c>
      <c r="X1201" t="str">
        <f t="shared" si="133"/>
        <v>ok</v>
      </c>
      <c r="Y1201" t="str">
        <f t="shared" si="128"/>
        <v>ok</v>
      </c>
      <c r="Z1201" t="str">
        <f t="shared" si="129"/>
        <v>ok</v>
      </c>
      <c r="AA1201" s="4" t="str">
        <f t="shared" si="130"/>
        <v>ok</v>
      </c>
      <c r="AB1201" s="4" t="str">
        <f t="shared" si="131"/>
        <v>ok</v>
      </c>
      <c r="AC1201" s="6">
        <f t="shared" si="132"/>
        <v>9.1232730555930175</v>
      </c>
    </row>
    <row r="1202" spans="1:29" x14ac:dyDescent="0.3">
      <c r="A1202" t="s">
        <v>42</v>
      </c>
      <c r="B1202">
        <v>2526</v>
      </c>
      <c r="C1202" t="s">
        <v>47</v>
      </c>
      <c r="D1202" t="s">
        <v>43</v>
      </c>
      <c r="E1202" t="s">
        <v>35</v>
      </c>
      <c r="F1202" t="s">
        <v>26</v>
      </c>
      <c r="G1202" t="s">
        <v>27</v>
      </c>
      <c r="H1202" s="1">
        <v>45112.627384259256</v>
      </c>
      <c r="I1202" s="1">
        <v>45113.627384259256</v>
      </c>
      <c r="J1202" s="1">
        <v>45112.62877314815</v>
      </c>
      <c r="K1202" s="2">
        <v>45112.630651921296</v>
      </c>
      <c r="L1202" t="s">
        <v>38</v>
      </c>
      <c r="M1202" s="2">
        <v>45112.98667056713</v>
      </c>
      <c r="N1202" t="s">
        <v>28</v>
      </c>
      <c r="P1202">
        <v>3</v>
      </c>
      <c r="R1202" t="s">
        <v>50</v>
      </c>
      <c r="S1202" t="s">
        <v>30</v>
      </c>
      <c r="T1202" t="s">
        <v>57</v>
      </c>
      <c r="U1202">
        <v>51.165691000000002</v>
      </c>
      <c r="V1202">
        <v>10.451525999999999</v>
      </c>
      <c r="W1202" t="str">
        <f t="shared" si="127"/>
        <v>ok</v>
      </c>
      <c r="X1202" t="str">
        <f t="shared" si="133"/>
        <v>ok</v>
      </c>
      <c r="Y1202" t="str">
        <f t="shared" si="128"/>
        <v>ok</v>
      </c>
      <c r="Z1202" t="str">
        <f t="shared" si="129"/>
        <v>ok</v>
      </c>
      <c r="AA1202" s="4" t="str">
        <f t="shared" si="130"/>
        <v>ok</v>
      </c>
      <c r="AB1202" s="4" t="str">
        <f t="shared" si="131"/>
        <v>ok</v>
      </c>
      <c r="AC1202" s="6">
        <f t="shared" si="132"/>
        <v>8.6228713889722712</v>
      </c>
    </row>
    <row r="1203" spans="1:29" x14ac:dyDescent="0.3">
      <c r="A1203" t="s">
        <v>42</v>
      </c>
      <c r="B1203">
        <v>2527</v>
      </c>
      <c r="C1203" t="s">
        <v>23</v>
      </c>
      <c r="D1203" t="s">
        <v>24</v>
      </c>
      <c r="E1203" t="s">
        <v>35</v>
      </c>
      <c r="F1203" t="s">
        <v>26</v>
      </c>
      <c r="G1203" t="s">
        <v>60</v>
      </c>
      <c r="H1203" s="1">
        <v>45112.959664351853</v>
      </c>
      <c r="I1203" s="1">
        <v>45114.959664351853</v>
      </c>
      <c r="J1203" s="1">
        <v>45113.001331018517</v>
      </c>
      <c r="K1203" s="2">
        <v>45112.971063101853</v>
      </c>
      <c r="L1203" t="s">
        <v>28</v>
      </c>
      <c r="M1203" s="2">
        <v>45114.046120937499</v>
      </c>
      <c r="N1203" t="s">
        <v>28</v>
      </c>
      <c r="P1203">
        <v>1</v>
      </c>
      <c r="R1203" t="s">
        <v>50</v>
      </c>
      <c r="S1203" t="s">
        <v>30</v>
      </c>
      <c r="T1203" t="s">
        <v>51</v>
      </c>
      <c r="U1203">
        <v>39.673369999999998</v>
      </c>
      <c r="V1203">
        <v>-4.7677259999999997</v>
      </c>
      <c r="W1203" t="str">
        <f t="shared" si="127"/>
        <v>ok</v>
      </c>
      <c r="X1203" t="str">
        <f t="shared" si="133"/>
        <v>ok</v>
      </c>
      <c r="Y1203" t="str">
        <f t="shared" si="128"/>
        <v>ok</v>
      </c>
      <c r="Z1203" t="str">
        <f t="shared" si="129"/>
        <v>ok</v>
      </c>
      <c r="AA1203" s="4" t="str">
        <f t="shared" si="130"/>
        <v>ok</v>
      </c>
      <c r="AB1203" s="4" t="str">
        <f t="shared" si="131"/>
        <v>ok</v>
      </c>
      <c r="AC1203" s="6">
        <f t="shared" si="132"/>
        <v>26.07495805551298</v>
      </c>
    </row>
    <row r="1204" spans="1:29" x14ac:dyDescent="0.3">
      <c r="A1204" t="s">
        <v>42</v>
      </c>
      <c r="B1204">
        <v>2528</v>
      </c>
      <c r="C1204" t="s">
        <v>47</v>
      </c>
      <c r="D1204" t="s">
        <v>24</v>
      </c>
      <c r="E1204" t="s">
        <v>35</v>
      </c>
      <c r="F1204" t="s">
        <v>26</v>
      </c>
      <c r="G1204" t="s">
        <v>45</v>
      </c>
      <c r="H1204" s="1">
        <v>45112.877523148149</v>
      </c>
      <c r="I1204" s="1">
        <v>45114.877523148149</v>
      </c>
      <c r="J1204" s="1">
        <v>45112.919189814813</v>
      </c>
      <c r="K1204" s="2">
        <v>45112.88453009259</v>
      </c>
      <c r="L1204" t="s">
        <v>28</v>
      </c>
      <c r="M1204" s="2">
        <v>45114.424816087965</v>
      </c>
      <c r="N1204" t="s">
        <v>28</v>
      </c>
      <c r="P1204">
        <v>3</v>
      </c>
      <c r="R1204" t="s">
        <v>29</v>
      </c>
      <c r="S1204" t="s">
        <v>30</v>
      </c>
      <c r="T1204" t="s">
        <v>56</v>
      </c>
      <c r="U1204">
        <v>52.536273000000001</v>
      </c>
      <c r="V1204">
        <v>19.050639</v>
      </c>
      <c r="W1204" t="str">
        <f t="shared" si="127"/>
        <v>ok</v>
      </c>
      <c r="X1204" t="str">
        <f t="shared" si="133"/>
        <v>ok</v>
      </c>
      <c r="Y1204" t="str">
        <f t="shared" si="128"/>
        <v>ok</v>
      </c>
      <c r="Z1204" t="str">
        <f t="shared" si="129"/>
        <v>ok</v>
      </c>
      <c r="AA1204" s="4" t="str">
        <f t="shared" si="130"/>
        <v>ok</v>
      </c>
      <c r="AB1204" s="4" t="str">
        <f t="shared" si="131"/>
        <v>ok</v>
      </c>
      <c r="AC1204" s="6">
        <f t="shared" si="132"/>
        <v>37.135030555597041</v>
      </c>
    </row>
    <row r="1205" spans="1:29" x14ac:dyDescent="0.3">
      <c r="A1205" t="s">
        <v>42</v>
      </c>
      <c r="B1205">
        <v>2529</v>
      </c>
      <c r="C1205" t="s">
        <v>47</v>
      </c>
      <c r="D1205" t="s">
        <v>43</v>
      </c>
      <c r="E1205" t="s">
        <v>35</v>
      </c>
      <c r="F1205" t="s">
        <v>26</v>
      </c>
      <c r="G1205" t="s">
        <v>60</v>
      </c>
      <c r="H1205" s="1">
        <v>45112.923750000002</v>
      </c>
      <c r="I1205" s="1">
        <v>45113.923750000002</v>
      </c>
      <c r="J1205" s="1">
        <v>45112.925138888888</v>
      </c>
      <c r="K1205" s="2">
        <v>45112.924847696762</v>
      </c>
      <c r="L1205" t="s">
        <v>28</v>
      </c>
      <c r="M1205" s="2">
        <v>45113.708366157407</v>
      </c>
      <c r="N1205" t="s">
        <v>28</v>
      </c>
      <c r="P1205">
        <v>6</v>
      </c>
      <c r="R1205" t="s">
        <v>50</v>
      </c>
      <c r="S1205" t="s">
        <v>30</v>
      </c>
      <c r="T1205" t="s">
        <v>56</v>
      </c>
      <c r="U1205">
        <v>52.536273000000001</v>
      </c>
      <c r="V1205">
        <v>19.050639</v>
      </c>
      <c r="W1205" t="str">
        <f t="shared" si="127"/>
        <v>ok</v>
      </c>
      <c r="X1205" t="str">
        <f t="shared" si="133"/>
        <v>ok</v>
      </c>
      <c r="Y1205" t="str">
        <f t="shared" si="128"/>
        <v>ok</v>
      </c>
      <c r="Z1205" t="str">
        <f t="shared" si="129"/>
        <v>ok</v>
      </c>
      <c r="AA1205" s="4" t="str">
        <f t="shared" si="130"/>
        <v>ok</v>
      </c>
      <c r="AB1205" s="4" t="str">
        <f t="shared" si="131"/>
        <v>ok</v>
      </c>
      <c r="AC1205" s="6">
        <f t="shared" si="132"/>
        <v>18.830787777726073</v>
      </c>
    </row>
    <row r="1206" spans="1:29" x14ac:dyDescent="0.3">
      <c r="A1206" t="s">
        <v>32</v>
      </c>
      <c r="B1206">
        <v>2530</v>
      </c>
      <c r="C1206" t="s">
        <v>23</v>
      </c>
      <c r="D1206" t="s">
        <v>43</v>
      </c>
      <c r="E1206" t="s">
        <v>35</v>
      </c>
      <c r="F1206" t="s">
        <v>26</v>
      </c>
      <c r="G1206" t="s">
        <v>52</v>
      </c>
      <c r="H1206" s="1">
        <v>45112.715752314813</v>
      </c>
      <c r="I1206" s="1">
        <v>45113.715752314813</v>
      </c>
      <c r="J1206" s="1">
        <v>45112.717141203706</v>
      </c>
      <c r="K1206" s="2">
        <v>45112.715958379631</v>
      </c>
      <c r="L1206" t="s">
        <v>28</v>
      </c>
      <c r="N1206" t="s">
        <v>38</v>
      </c>
      <c r="P1206">
        <v>3</v>
      </c>
      <c r="R1206" t="s">
        <v>50</v>
      </c>
      <c r="S1206" t="s">
        <v>30</v>
      </c>
      <c r="T1206" t="s">
        <v>41</v>
      </c>
      <c r="U1206">
        <v>43.036776000000003</v>
      </c>
      <c r="V1206">
        <v>12.678565000000001</v>
      </c>
      <c r="W1206" t="str">
        <f t="shared" si="127"/>
        <v>ok</v>
      </c>
      <c r="X1206" t="str">
        <f t="shared" si="133"/>
        <v>ok</v>
      </c>
      <c r="Y1206" t="str">
        <f t="shared" si="128"/>
        <v>ok</v>
      </c>
      <c r="Z1206" t="str">
        <f t="shared" si="129"/>
        <v>ok</v>
      </c>
      <c r="AA1206" s="4" t="str">
        <f t="shared" si="130"/>
        <v>ok</v>
      </c>
      <c r="AB1206" s="4" t="str">
        <f t="shared" si="131"/>
        <v>no resolution</v>
      </c>
      <c r="AC1206" s="6" t="str">
        <f t="shared" si="132"/>
        <v/>
      </c>
    </row>
    <row r="1207" spans="1:29" x14ac:dyDescent="0.3">
      <c r="A1207" t="s">
        <v>22</v>
      </c>
      <c r="B1207">
        <v>2532</v>
      </c>
      <c r="C1207" t="s">
        <v>33</v>
      </c>
      <c r="D1207" t="s">
        <v>24</v>
      </c>
      <c r="E1207" t="s">
        <v>25</v>
      </c>
      <c r="F1207" t="s">
        <v>26</v>
      </c>
      <c r="G1207" t="s">
        <v>60</v>
      </c>
      <c r="H1207" s="1">
        <v>45112.604664351849</v>
      </c>
      <c r="I1207" s="1">
        <v>45114.604664351849</v>
      </c>
      <c r="J1207" s="1">
        <v>45112.646331018521</v>
      </c>
      <c r="K1207" s="2">
        <v>45112.608911944444</v>
      </c>
      <c r="L1207" t="s">
        <v>28</v>
      </c>
      <c r="M1207" s="2">
        <v>45112.737352638891</v>
      </c>
      <c r="N1207" t="s">
        <v>28</v>
      </c>
      <c r="O1207" s="2">
        <v>45116.004417222219</v>
      </c>
      <c r="P1207">
        <v>2</v>
      </c>
      <c r="Q1207">
        <v>1</v>
      </c>
      <c r="R1207" t="s">
        <v>50</v>
      </c>
      <c r="S1207" t="s">
        <v>30</v>
      </c>
      <c r="T1207" t="s">
        <v>63</v>
      </c>
      <c r="U1207">
        <v>55.378051999999997</v>
      </c>
      <c r="V1207">
        <v>-3.4359730000000002</v>
      </c>
      <c r="W1207" t="str">
        <f t="shared" si="127"/>
        <v>ok</v>
      </c>
      <c r="X1207" t="str">
        <f t="shared" si="133"/>
        <v>ok</v>
      </c>
      <c r="Y1207" t="str">
        <f t="shared" si="128"/>
        <v>ok</v>
      </c>
      <c r="Z1207" t="str">
        <f t="shared" si="129"/>
        <v>ok</v>
      </c>
      <c r="AA1207" s="4" t="str">
        <f t="shared" si="130"/>
        <v>ok</v>
      </c>
      <c r="AB1207" s="4" t="str">
        <f t="shared" si="131"/>
        <v>ok</v>
      </c>
      <c r="AC1207" s="6">
        <f t="shared" si="132"/>
        <v>3.1845188890001737</v>
      </c>
    </row>
    <row r="1208" spans="1:29" x14ac:dyDescent="0.3">
      <c r="A1208" t="s">
        <v>42</v>
      </c>
      <c r="B1208">
        <v>2535</v>
      </c>
      <c r="C1208" t="s">
        <v>23</v>
      </c>
      <c r="D1208" t="s">
        <v>43</v>
      </c>
      <c r="E1208" t="s">
        <v>35</v>
      </c>
      <c r="F1208" t="s">
        <v>26</v>
      </c>
      <c r="G1208" t="s">
        <v>49</v>
      </c>
      <c r="H1208" s="1">
        <v>45113.116701388892</v>
      </c>
      <c r="I1208" s="1">
        <v>45114.116701388892</v>
      </c>
      <c r="J1208" s="1">
        <v>45113.118090277778</v>
      </c>
      <c r="K1208" s="2">
        <v>45113.11774760417</v>
      </c>
      <c r="L1208" t="s">
        <v>28</v>
      </c>
      <c r="M1208" s="2">
        <v>45114.076070381947</v>
      </c>
      <c r="N1208" t="s">
        <v>28</v>
      </c>
      <c r="P1208">
        <v>6</v>
      </c>
      <c r="R1208" t="s">
        <v>50</v>
      </c>
      <c r="S1208" t="s">
        <v>30</v>
      </c>
      <c r="T1208" t="s">
        <v>41</v>
      </c>
      <c r="U1208">
        <v>43.036776000000003</v>
      </c>
      <c r="V1208">
        <v>12.678565000000001</v>
      </c>
      <c r="W1208" t="str">
        <f t="shared" si="127"/>
        <v>ok</v>
      </c>
      <c r="X1208" t="str">
        <f t="shared" si="133"/>
        <v>ok</v>
      </c>
      <c r="Y1208" t="str">
        <f t="shared" si="128"/>
        <v>ok</v>
      </c>
      <c r="Z1208" t="str">
        <f t="shared" si="129"/>
        <v>ok</v>
      </c>
      <c r="AA1208" s="4" t="str">
        <f t="shared" si="130"/>
        <v>ok</v>
      </c>
      <c r="AB1208" s="4" t="str">
        <f t="shared" si="131"/>
        <v>ok</v>
      </c>
      <c r="AC1208" s="6">
        <f t="shared" si="132"/>
        <v>23.024855833326001</v>
      </c>
    </row>
    <row r="1209" spans="1:29" x14ac:dyDescent="0.3">
      <c r="A1209" t="s">
        <v>32</v>
      </c>
      <c r="B1209">
        <v>2536</v>
      </c>
      <c r="C1209" t="s">
        <v>23</v>
      </c>
      <c r="D1209" t="s">
        <v>43</v>
      </c>
      <c r="E1209" t="s">
        <v>39</v>
      </c>
      <c r="F1209" t="s">
        <v>26</v>
      </c>
      <c r="G1209" t="s">
        <v>49</v>
      </c>
      <c r="H1209" s="1">
        <v>45113.826006944444</v>
      </c>
      <c r="I1209" s="1">
        <v>45114.826006944444</v>
      </c>
      <c r="J1209" s="1">
        <v>45113.82739583333</v>
      </c>
      <c r="K1209" s="2">
        <v>45113.826230868057</v>
      </c>
      <c r="L1209" t="s">
        <v>28</v>
      </c>
      <c r="N1209" t="s">
        <v>38</v>
      </c>
      <c r="P1209">
        <v>9</v>
      </c>
      <c r="R1209" t="s">
        <v>29</v>
      </c>
      <c r="S1209" t="s">
        <v>30</v>
      </c>
      <c r="T1209" t="s">
        <v>57</v>
      </c>
      <c r="U1209">
        <v>51.165691000000002</v>
      </c>
      <c r="V1209">
        <v>10.451525999999999</v>
      </c>
      <c r="W1209" t="str">
        <f t="shared" si="127"/>
        <v>ok</v>
      </c>
      <c r="X1209" t="str">
        <f t="shared" si="133"/>
        <v>ok</v>
      </c>
      <c r="Y1209" t="str">
        <f t="shared" si="128"/>
        <v>ok</v>
      </c>
      <c r="Z1209" t="str">
        <f t="shared" si="129"/>
        <v>ok</v>
      </c>
      <c r="AA1209" s="4" t="str">
        <f t="shared" si="130"/>
        <v>ok</v>
      </c>
      <c r="AB1209" s="4" t="str">
        <f t="shared" si="131"/>
        <v>no resolution</v>
      </c>
      <c r="AC1209" s="6" t="str">
        <f t="shared" si="132"/>
        <v/>
      </c>
    </row>
    <row r="1210" spans="1:29" x14ac:dyDescent="0.3">
      <c r="A1210" t="s">
        <v>22</v>
      </c>
      <c r="B1210">
        <v>2537</v>
      </c>
      <c r="C1210" t="s">
        <v>47</v>
      </c>
      <c r="D1210" t="s">
        <v>43</v>
      </c>
      <c r="E1210" t="s">
        <v>35</v>
      </c>
      <c r="F1210" t="s">
        <v>36</v>
      </c>
      <c r="G1210" t="s">
        <v>54</v>
      </c>
      <c r="H1210" s="1">
        <v>45113.432673611111</v>
      </c>
      <c r="I1210" s="1">
        <v>45114.432673611111</v>
      </c>
      <c r="J1210" s="1">
        <v>45113.434062499997</v>
      </c>
      <c r="K1210" s="2">
        <v>45113.4337725</v>
      </c>
      <c r="L1210" t="s">
        <v>28</v>
      </c>
      <c r="M1210" s="2">
        <v>45114.18466791667</v>
      </c>
      <c r="N1210" t="s">
        <v>28</v>
      </c>
      <c r="O1210" s="2">
        <v>45118.889334282409</v>
      </c>
      <c r="P1210">
        <v>6</v>
      </c>
      <c r="Q1210">
        <v>5</v>
      </c>
      <c r="R1210" t="s">
        <v>29</v>
      </c>
      <c r="S1210" t="s">
        <v>40</v>
      </c>
      <c r="T1210" t="s">
        <v>41</v>
      </c>
      <c r="U1210">
        <v>43.036776000000003</v>
      </c>
      <c r="V1210">
        <v>12.678565000000001</v>
      </c>
      <c r="W1210" t="str">
        <f t="shared" si="127"/>
        <v>ok</v>
      </c>
      <c r="X1210" t="str">
        <f t="shared" si="133"/>
        <v>ok</v>
      </c>
      <c r="Y1210" t="str">
        <f t="shared" si="128"/>
        <v>ok</v>
      </c>
      <c r="Z1210" t="str">
        <f t="shared" si="129"/>
        <v>ok</v>
      </c>
      <c r="AA1210" s="4" t="str">
        <f t="shared" si="130"/>
        <v>ok</v>
      </c>
      <c r="AB1210" s="4" t="str">
        <f t="shared" si="131"/>
        <v>ok</v>
      </c>
      <c r="AC1210" s="6">
        <f t="shared" si="132"/>
        <v>18.047863333427813</v>
      </c>
    </row>
    <row r="1211" spans="1:29" x14ac:dyDescent="0.3">
      <c r="A1211" t="s">
        <v>22</v>
      </c>
      <c r="B1211">
        <v>2539</v>
      </c>
      <c r="C1211" t="s">
        <v>23</v>
      </c>
      <c r="D1211" t="s">
        <v>24</v>
      </c>
      <c r="E1211" t="s">
        <v>48</v>
      </c>
      <c r="F1211" t="s">
        <v>26</v>
      </c>
      <c r="G1211" t="s">
        <v>52</v>
      </c>
      <c r="H1211" s="1">
        <v>45113.557199074072</v>
      </c>
      <c r="I1211" s="1">
        <v>45115.557199074072</v>
      </c>
      <c r="J1211" s="1">
        <v>45113.598865740743</v>
      </c>
      <c r="K1211" s="2">
        <v>45113.589721724537</v>
      </c>
      <c r="L1211" t="s">
        <v>28</v>
      </c>
      <c r="M1211" s="2">
        <v>45115.219295821757</v>
      </c>
      <c r="N1211" t="s">
        <v>28</v>
      </c>
      <c r="O1211" s="2">
        <v>45118.334525428239</v>
      </c>
      <c r="P1211">
        <v>10</v>
      </c>
      <c r="Q1211">
        <v>4</v>
      </c>
      <c r="R1211" t="s">
        <v>50</v>
      </c>
      <c r="S1211" t="s">
        <v>30</v>
      </c>
      <c r="T1211" t="s">
        <v>56</v>
      </c>
      <c r="U1211">
        <v>52.536273000000001</v>
      </c>
      <c r="V1211">
        <v>19.050639</v>
      </c>
      <c r="W1211" t="str">
        <f t="shared" si="127"/>
        <v>ok</v>
      </c>
      <c r="X1211" t="str">
        <f t="shared" si="133"/>
        <v>ok</v>
      </c>
      <c r="Y1211" t="str">
        <f t="shared" si="128"/>
        <v>ok</v>
      </c>
      <c r="Z1211" t="str">
        <f t="shared" si="129"/>
        <v>ok</v>
      </c>
      <c r="AA1211" s="4" t="str">
        <f t="shared" si="130"/>
        <v>ok</v>
      </c>
      <c r="AB1211" s="4" t="str">
        <f t="shared" si="131"/>
        <v>ok</v>
      </c>
      <c r="AC1211" s="6">
        <f t="shared" si="132"/>
        <v>39.890321944432799</v>
      </c>
    </row>
    <row r="1212" spans="1:29" x14ac:dyDescent="0.3">
      <c r="A1212" t="s">
        <v>42</v>
      </c>
      <c r="B1212">
        <v>2540</v>
      </c>
      <c r="C1212" t="s">
        <v>23</v>
      </c>
      <c r="D1212" t="s">
        <v>24</v>
      </c>
      <c r="E1212" t="s">
        <v>39</v>
      </c>
      <c r="F1212" t="s">
        <v>26</v>
      </c>
      <c r="G1212" t="s">
        <v>27</v>
      </c>
      <c r="H1212" s="1">
        <v>45113.06040509259</v>
      </c>
      <c r="I1212" s="1">
        <v>45115.06040509259</v>
      </c>
      <c r="J1212" s="1">
        <v>45113.102071759262</v>
      </c>
      <c r="K1212" s="2">
        <v>45113.062960659721</v>
      </c>
      <c r="L1212" t="s">
        <v>28</v>
      </c>
      <c r="M1212" s="2">
        <v>45113.543579375</v>
      </c>
      <c r="N1212" t="s">
        <v>28</v>
      </c>
      <c r="P1212">
        <v>1</v>
      </c>
      <c r="R1212" t="s">
        <v>50</v>
      </c>
      <c r="S1212" t="s">
        <v>30</v>
      </c>
      <c r="T1212" t="s">
        <v>53</v>
      </c>
      <c r="U1212">
        <v>39.368279000000001</v>
      </c>
      <c r="V1212">
        <v>21.863140999999999</v>
      </c>
      <c r="W1212" t="str">
        <f t="shared" si="127"/>
        <v>ok</v>
      </c>
      <c r="X1212" t="str">
        <f t="shared" si="133"/>
        <v>ok</v>
      </c>
      <c r="Y1212" t="str">
        <f t="shared" si="128"/>
        <v>ok</v>
      </c>
      <c r="Z1212" t="str">
        <f t="shared" si="129"/>
        <v>ok</v>
      </c>
      <c r="AA1212" s="4" t="str">
        <f t="shared" si="130"/>
        <v>ok</v>
      </c>
      <c r="AB1212" s="4" t="str">
        <f t="shared" si="131"/>
        <v>ok</v>
      </c>
      <c r="AC1212" s="6">
        <f t="shared" si="132"/>
        <v>11.596182777837384</v>
      </c>
    </row>
    <row r="1213" spans="1:29" x14ac:dyDescent="0.3">
      <c r="A1213" t="s">
        <v>22</v>
      </c>
      <c r="B1213">
        <v>2541</v>
      </c>
      <c r="C1213" t="s">
        <v>23</v>
      </c>
      <c r="D1213" t="s">
        <v>43</v>
      </c>
      <c r="E1213" t="s">
        <v>48</v>
      </c>
      <c r="F1213" t="s">
        <v>36</v>
      </c>
      <c r="G1213" t="s">
        <v>37</v>
      </c>
      <c r="H1213" s="1">
        <v>45113.708310185182</v>
      </c>
      <c r="I1213" s="1">
        <v>45114.708310185182</v>
      </c>
      <c r="J1213" s="1">
        <v>45113.709699074076</v>
      </c>
      <c r="K1213" s="2">
        <v>45113.712378668984</v>
      </c>
      <c r="L1213" t="s">
        <v>38</v>
      </c>
      <c r="M1213" s="2">
        <v>45115.425099525462</v>
      </c>
      <c r="N1213" t="s">
        <v>38</v>
      </c>
      <c r="O1213" s="2">
        <v>45116.356894652781</v>
      </c>
      <c r="P1213">
        <v>6</v>
      </c>
      <c r="Q1213">
        <v>4</v>
      </c>
      <c r="R1213" t="s">
        <v>50</v>
      </c>
      <c r="S1213" t="s">
        <v>40</v>
      </c>
      <c r="T1213" t="s">
        <v>56</v>
      </c>
      <c r="U1213">
        <v>52.536273000000001</v>
      </c>
      <c r="V1213">
        <v>19.050639</v>
      </c>
      <c r="W1213" t="str">
        <f t="shared" si="127"/>
        <v>ok</v>
      </c>
      <c r="X1213" t="str">
        <f t="shared" si="133"/>
        <v>ok</v>
      </c>
      <c r="Y1213" t="str">
        <f t="shared" si="128"/>
        <v>ok</v>
      </c>
      <c r="Z1213" t="str">
        <f t="shared" si="129"/>
        <v>ok</v>
      </c>
      <c r="AA1213" s="4" t="str">
        <f t="shared" si="130"/>
        <v>ok</v>
      </c>
      <c r="AB1213" s="4" t="str">
        <f t="shared" si="131"/>
        <v>ok</v>
      </c>
      <c r="AC1213" s="6">
        <f t="shared" si="132"/>
        <v>41.202944166725501</v>
      </c>
    </row>
    <row r="1214" spans="1:29" x14ac:dyDescent="0.3">
      <c r="A1214" t="s">
        <v>22</v>
      </c>
      <c r="B1214">
        <v>2543</v>
      </c>
      <c r="C1214" t="s">
        <v>23</v>
      </c>
      <c r="D1214" t="s">
        <v>34</v>
      </c>
      <c r="E1214" t="s">
        <v>35</v>
      </c>
      <c r="F1214" t="s">
        <v>26</v>
      </c>
      <c r="G1214" t="s">
        <v>27</v>
      </c>
      <c r="H1214" s="1">
        <v>45113.336261574077</v>
      </c>
      <c r="I1214" s="1">
        <v>45115.336261574077</v>
      </c>
      <c r="J1214" s="1">
        <v>45113.337650462963</v>
      </c>
      <c r="K1214" s="2">
        <v>45113.338434710648</v>
      </c>
      <c r="L1214" t="s">
        <v>38</v>
      </c>
      <c r="M1214" s="2">
        <v>45115.223734814812</v>
      </c>
      <c r="N1214" t="s">
        <v>28</v>
      </c>
      <c r="O1214" s="2">
        <v>45120.417054768521</v>
      </c>
      <c r="P1214">
        <v>2</v>
      </c>
      <c r="Q1214">
        <v>4</v>
      </c>
      <c r="R1214" t="s">
        <v>50</v>
      </c>
      <c r="S1214" t="s">
        <v>30</v>
      </c>
      <c r="T1214" t="s">
        <v>57</v>
      </c>
      <c r="U1214">
        <v>51.165691000000002</v>
      </c>
      <c r="V1214">
        <v>10.451525999999999</v>
      </c>
      <c r="W1214" t="str">
        <f t="shared" si="127"/>
        <v>ok</v>
      </c>
      <c r="X1214" t="str">
        <f t="shared" si="133"/>
        <v>ok</v>
      </c>
      <c r="Y1214" t="str">
        <f t="shared" si="128"/>
        <v>ok</v>
      </c>
      <c r="Z1214" t="str">
        <f t="shared" si="129"/>
        <v>ok</v>
      </c>
      <c r="AA1214" s="4" t="str">
        <f t="shared" si="130"/>
        <v>ok</v>
      </c>
      <c r="AB1214" s="4" t="str">
        <f t="shared" si="131"/>
        <v>ok</v>
      </c>
      <c r="AC1214" s="6">
        <f t="shared" si="132"/>
        <v>45.299357777636033</v>
      </c>
    </row>
    <row r="1215" spans="1:29" x14ac:dyDescent="0.3">
      <c r="A1215" t="s">
        <v>22</v>
      </c>
      <c r="B1215">
        <v>2544</v>
      </c>
      <c r="C1215" t="s">
        <v>47</v>
      </c>
      <c r="D1215" t="s">
        <v>24</v>
      </c>
      <c r="E1215" t="s">
        <v>48</v>
      </c>
      <c r="F1215" t="s">
        <v>26</v>
      </c>
      <c r="G1215" t="s">
        <v>52</v>
      </c>
      <c r="H1215" s="1">
        <v>45113.58693287037</v>
      </c>
      <c r="I1215" s="1">
        <v>45115.58693287037</v>
      </c>
      <c r="J1215" s="1">
        <v>45113.628599537034</v>
      </c>
      <c r="K1215" s="2">
        <v>45113.590558634256</v>
      </c>
      <c r="L1215" t="s">
        <v>28</v>
      </c>
      <c r="M1215" s="2">
        <v>45114.111725208335</v>
      </c>
      <c r="N1215" t="s">
        <v>28</v>
      </c>
      <c r="O1215" s="2">
        <v>45117.020383275463</v>
      </c>
      <c r="P1215">
        <v>5</v>
      </c>
      <c r="Q1215">
        <v>4</v>
      </c>
      <c r="R1215" t="s">
        <v>39</v>
      </c>
      <c r="S1215" t="s">
        <v>30</v>
      </c>
      <c r="T1215" t="s">
        <v>51</v>
      </c>
      <c r="U1215">
        <v>39.673369999999998</v>
      </c>
      <c r="V1215">
        <v>-4.7677259999999997</v>
      </c>
      <c r="W1215" t="str">
        <f t="shared" si="127"/>
        <v>ok</v>
      </c>
      <c r="X1215" t="str">
        <f t="shared" si="133"/>
        <v>ok</v>
      </c>
      <c r="Y1215" t="str">
        <f t="shared" si="128"/>
        <v>ok</v>
      </c>
      <c r="Z1215" t="str">
        <f t="shared" si="129"/>
        <v>ok</v>
      </c>
      <c r="AA1215" s="4" t="str">
        <f t="shared" si="130"/>
        <v>ok</v>
      </c>
      <c r="AB1215" s="4" t="str">
        <f t="shared" si="131"/>
        <v>ok</v>
      </c>
      <c r="AC1215" s="6">
        <f t="shared" si="132"/>
        <v>12.595016111154109</v>
      </c>
    </row>
    <row r="1216" spans="1:29" x14ac:dyDescent="0.3">
      <c r="A1216" t="s">
        <v>22</v>
      </c>
      <c r="B1216">
        <v>2545</v>
      </c>
      <c r="C1216" t="s">
        <v>33</v>
      </c>
      <c r="D1216" t="s">
        <v>43</v>
      </c>
      <c r="E1216" t="s">
        <v>59</v>
      </c>
      <c r="F1216" t="s">
        <v>26</v>
      </c>
      <c r="G1216" t="s">
        <v>52</v>
      </c>
      <c r="H1216" s="1">
        <v>45113.091770833336</v>
      </c>
      <c r="I1216" s="1">
        <v>45114.091770833336</v>
      </c>
      <c r="J1216" s="1">
        <v>45113.093159722222</v>
      </c>
      <c r="K1216" s="2">
        <v>45113.092720393521</v>
      </c>
      <c r="L1216" t="s">
        <v>28</v>
      </c>
      <c r="M1216" s="2">
        <v>45113.886835219906</v>
      </c>
      <c r="N1216" t="s">
        <v>28</v>
      </c>
      <c r="O1216" s="2">
        <v>45120.956758148146</v>
      </c>
      <c r="P1216">
        <v>2</v>
      </c>
      <c r="Q1216">
        <v>4</v>
      </c>
      <c r="R1216" t="s">
        <v>29</v>
      </c>
      <c r="S1216" t="s">
        <v>30</v>
      </c>
      <c r="T1216" t="s">
        <v>56</v>
      </c>
      <c r="U1216">
        <v>52.536273000000001</v>
      </c>
      <c r="V1216">
        <v>19.050639</v>
      </c>
      <c r="W1216" t="str">
        <f t="shared" si="127"/>
        <v>ok</v>
      </c>
      <c r="X1216" t="str">
        <f t="shared" si="133"/>
        <v>ok</v>
      </c>
      <c r="Y1216" t="str">
        <f t="shared" si="128"/>
        <v>ok</v>
      </c>
      <c r="Z1216" t="str">
        <f t="shared" si="129"/>
        <v>ok</v>
      </c>
      <c r="AA1216" s="4" t="str">
        <f t="shared" si="130"/>
        <v>ok</v>
      </c>
      <c r="AB1216" s="4" t="str">
        <f t="shared" si="131"/>
        <v>ok</v>
      </c>
      <c r="AC1216" s="6">
        <f t="shared" si="132"/>
        <v>19.081545277673285</v>
      </c>
    </row>
    <row r="1217" spans="1:29" x14ac:dyDescent="0.3">
      <c r="A1217" t="s">
        <v>42</v>
      </c>
      <c r="B1217">
        <v>2546</v>
      </c>
      <c r="C1217" t="s">
        <v>23</v>
      </c>
      <c r="D1217" t="s">
        <v>24</v>
      </c>
      <c r="E1217" t="s">
        <v>25</v>
      </c>
      <c r="F1217" t="s">
        <v>36</v>
      </c>
      <c r="G1217" t="s">
        <v>54</v>
      </c>
      <c r="H1217" s="1">
        <v>45113.983402777776</v>
      </c>
      <c r="I1217" s="1">
        <v>45115.983402777776</v>
      </c>
      <c r="J1217" s="1">
        <v>45114.025069444448</v>
      </c>
      <c r="K1217" s="2">
        <v>45113.989948437498</v>
      </c>
      <c r="L1217" t="s">
        <v>28</v>
      </c>
      <c r="M1217" s="2">
        <v>45117.387467523149</v>
      </c>
      <c r="N1217" t="s">
        <v>38</v>
      </c>
      <c r="P1217">
        <v>10</v>
      </c>
      <c r="R1217" t="s">
        <v>50</v>
      </c>
      <c r="S1217" t="s">
        <v>40</v>
      </c>
      <c r="T1217" t="s">
        <v>63</v>
      </c>
      <c r="U1217">
        <v>55.378051999999997</v>
      </c>
      <c r="V1217">
        <v>-3.4359730000000002</v>
      </c>
      <c r="W1217" t="str">
        <f t="shared" si="127"/>
        <v>ok</v>
      </c>
      <c r="X1217" t="str">
        <f t="shared" si="133"/>
        <v>ok</v>
      </c>
      <c r="Y1217" t="str">
        <f t="shared" si="128"/>
        <v>ok</v>
      </c>
      <c r="Z1217" t="str">
        <f t="shared" si="129"/>
        <v>ok</v>
      </c>
      <c r="AA1217" s="4" t="str">
        <f t="shared" si="130"/>
        <v>ok</v>
      </c>
      <c r="AB1217" s="4" t="str">
        <f t="shared" si="131"/>
        <v>ok</v>
      </c>
      <c r="AC1217" s="6">
        <f t="shared" si="132"/>
        <v>81.697553888952825</v>
      </c>
    </row>
    <row r="1218" spans="1:29" x14ac:dyDescent="0.3">
      <c r="A1218" t="s">
        <v>42</v>
      </c>
      <c r="B1218">
        <v>2547</v>
      </c>
      <c r="C1218" t="s">
        <v>23</v>
      </c>
      <c r="D1218" t="s">
        <v>24</v>
      </c>
      <c r="E1218" t="s">
        <v>25</v>
      </c>
      <c r="F1218" t="s">
        <v>26</v>
      </c>
      <c r="G1218" t="s">
        <v>45</v>
      </c>
      <c r="H1218" s="1">
        <v>45114.002754629626</v>
      </c>
      <c r="I1218" s="1">
        <v>45116.002754629626</v>
      </c>
      <c r="J1218" s="1">
        <v>45114.044421296298</v>
      </c>
      <c r="K1218" s="2">
        <v>45114.01629605324</v>
      </c>
      <c r="L1218" t="s">
        <v>28</v>
      </c>
      <c r="M1218" s="2">
        <v>45114.737737083335</v>
      </c>
      <c r="N1218" t="s">
        <v>28</v>
      </c>
      <c r="P1218">
        <v>2</v>
      </c>
      <c r="R1218" t="s">
        <v>29</v>
      </c>
      <c r="S1218" t="s">
        <v>30</v>
      </c>
      <c r="T1218" t="s">
        <v>63</v>
      </c>
      <c r="U1218">
        <v>55.378051999999997</v>
      </c>
      <c r="V1218">
        <v>-3.4359730000000002</v>
      </c>
      <c r="W1218" t="str">
        <f t="shared" ref="W1218:W1281" si="134">IF(K1218&lt;H1218,"check","ok")</f>
        <v>ok</v>
      </c>
      <c r="X1218" t="str">
        <f t="shared" si="133"/>
        <v>ok</v>
      </c>
      <c r="Y1218" t="str">
        <f t="shared" ref="Y1218:Y1281" si="135">IF(AND(M1218&lt;&gt;"",O1218&lt;&gt;"",O1218&lt;M1218),"check","ok")</f>
        <v>ok</v>
      </c>
      <c r="Z1218" t="str">
        <f t="shared" ref="Z1218:Z1281" si="136">IF(AND(OR(CA1218="Closed",A1218="Resolved"),M1218=""),"check","ok")</f>
        <v>ok</v>
      </c>
      <c r="AA1218" s="4" t="str">
        <f t="shared" ref="AA1218:AA1281" si="137">IF(K1218="","no response",IF(OR(AND(K1218&lt;=J1218,L1218="Within SLA"),AND(K1218&gt;J1218,L1218="SLA Violated")),"ok","check"))</f>
        <v>ok</v>
      </c>
      <c r="AB1218" s="4" t="str">
        <f t="shared" ref="AB1218:AB1281" si="138">IF(M1218="","no resolution",IF(OR(AND(M1218&lt;=I1218,N1218="Within SLA"),AND(M1218&gt;I1218,N1218="SLA Violated")),"ok","check"))</f>
        <v>ok</v>
      </c>
      <c r="AC1218" s="6">
        <f t="shared" ref="AC1218:AC1281" si="139">IF(M1218="","",(M1218-H1218)*24)</f>
        <v>17.63957888900768</v>
      </c>
    </row>
    <row r="1219" spans="1:29" x14ac:dyDescent="0.3">
      <c r="A1219" t="s">
        <v>42</v>
      </c>
      <c r="B1219">
        <v>2548</v>
      </c>
      <c r="C1219" t="s">
        <v>47</v>
      </c>
      <c r="D1219" t="s">
        <v>24</v>
      </c>
      <c r="E1219" t="s">
        <v>48</v>
      </c>
      <c r="F1219" t="s">
        <v>36</v>
      </c>
      <c r="G1219" t="s">
        <v>64</v>
      </c>
      <c r="H1219" s="1">
        <v>45114.557476851849</v>
      </c>
      <c r="I1219" s="1">
        <v>45116.557476851849</v>
      </c>
      <c r="J1219" s="1">
        <v>45114.599143518521</v>
      </c>
      <c r="K1219" s="2">
        <v>45114.579932291665</v>
      </c>
      <c r="L1219" t="s">
        <v>28</v>
      </c>
      <c r="M1219" s="2">
        <v>45116.13413179398</v>
      </c>
      <c r="N1219" t="s">
        <v>28</v>
      </c>
      <c r="P1219">
        <v>9</v>
      </c>
      <c r="R1219" t="s">
        <v>50</v>
      </c>
      <c r="S1219" t="s">
        <v>40</v>
      </c>
      <c r="T1219" t="s">
        <v>58</v>
      </c>
      <c r="U1219">
        <v>49.8037633</v>
      </c>
      <c r="V1219">
        <v>15.4749126</v>
      </c>
      <c r="W1219" t="str">
        <f t="shared" si="134"/>
        <v>ok</v>
      </c>
      <c r="X1219" t="str">
        <f t="shared" ref="X1219:X1282" si="140">IF(AND(M1219&lt;&gt;"",M1219&lt;H1219),"check","ok")</f>
        <v>ok</v>
      </c>
      <c r="Y1219" t="str">
        <f t="shared" si="135"/>
        <v>ok</v>
      </c>
      <c r="Z1219" t="str">
        <f t="shared" si="136"/>
        <v>ok</v>
      </c>
      <c r="AA1219" s="4" t="str">
        <f t="shared" si="137"/>
        <v>ok</v>
      </c>
      <c r="AB1219" s="4" t="str">
        <f t="shared" si="138"/>
        <v>ok</v>
      </c>
      <c r="AC1219" s="6">
        <f t="shared" si="139"/>
        <v>37.83971861115424</v>
      </c>
    </row>
    <row r="1220" spans="1:29" x14ac:dyDescent="0.3">
      <c r="A1220" t="s">
        <v>42</v>
      </c>
      <c r="B1220">
        <v>2549</v>
      </c>
      <c r="C1220" t="s">
        <v>47</v>
      </c>
      <c r="D1220" t="s">
        <v>43</v>
      </c>
      <c r="E1220" t="s">
        <v>48</v>
      </c>
      <c r="F1220" t="s">
        <v>36</v>
      </c>
      <c r="G1220" t="s">
        <v>54</v>
      </c>
      <c r="H1220" s="1">
        <v>45114.493796296294</v>
      </c>
      <c r="I1220" s="1">
        <v>45115.493796296294</v>
      </c>
      <c r="J1220" s="1">
        <v>45114.495185185187</v>
      </c>
      <c r="K1220" s="2">
        <v>45114.494032152776</v>
      </c>
      <c r="L1220" t="s">
        <v>28</v>
      </c>
      <c r="M1220" s="2">
        <v>45114.78214638889</v>
      </c>
      <c r="N1220" t="s">
        <v>28</v>
      </c>
      <c r="P1220">
        <v>6</v>
      </c>
      <c r="R1220" t="s">
        <v>50</v>
      </c>
      <c r="S1220" t="s">
        <v>40</v>
      </c>
      <c r="T1220" t="s">
        <v>41</v>
      </c>
      <c r="U1220">
        <v>43.036776000000003</v>
      </c>
      <c r="V1220">
        <v>12.678565000000001</v>
      </c>
      <c r="W1220" t="str">
        <f t="shared" si="134"/>
        <v>ok</v>
      </c>
      <c r="X1220" t="str">
        <f t="shared" si="140"/>
        <v>ok</v>
      </c>
      <c r="Y1220" t="str">
        <f t="shared" si="135"/>
        <v>ok</v>
      </c>
      <c r="Z1220" t="str">
        <f t="shared" si="136"/>
        <v>ok</v>
      </c>
      <c r="AA1220" s="4" t="str">
        <f t="shared" si="137"/>
        <v>ok</v>
      </c>
      <c r="AB1220" s="4" t="str">
        <f t="shared" si="138"/>
        <v>ok</v>
      </c>
      <c r="AC1220" s="6">
        <f t="shared" si="139"/>
        <v>6.9204022223129869</v>
      </c>
    </row>
    <row r="1221" spans="1:29" x14ac:dyDescent="0.3">
      <c r="A1221" t="s">
        <v>32</v>
      </c>
      <c r="B1221">
        <v>2550</v>
      </c>
      <c r="C1221" t="s">
        <v>23</v>
      </c>
      <c r="D1221" t="s">
        <v>43</v>
      </c>
      <c r="E1221" t="s">
        <v>35</v>
      </c>
      <c r="F1221" t="s">
        <v>26</v>
      </c>
      <c r="G1221" t="s">
        <v>45</v>
      </c>
      <c r="H1221" s="1">
        <v>45114.618958333333</v>
      </c>
      <c r="I1221" s="1">
        <v>45115.618958333333</v>
      </c>
      <c r="J1221" s="1">
        <v>45114.620347222219</v>
      </c>
      <c r="K1221" s="2">
        <v>45114.620270185187</v>
      </c>
      <c r="L1221" t="s">
        <v>28</v>
      </c>
      <c r="N1221" t="s">
        <v>38</v>
      </c>
      <c r="P1221">
        <v>6</v>
      </c>
      <c r="R1221" t="s">
        <v>50</v>
      </c>
      <c r="S1221" t="s">
        <v>30</v>
      </c>
      <c r="T1221" t="s">
        <v>41</v>
      </c>
      <c r="U1221">
        <v>43.036776000000003</v>
      </c>
      <c r="V1221">
        <v>12.678565000000001</v>
      </c>
      <c r="W1221" t="str">
        <f t="shared" si="134"/>
        <v>ok</v>
      </c>
      <c r="X1221" t="str">
        <f t="shared" si="140"/>
        <v>ok</v>
      </c>
      <c r="Y1221" t="str">
        <f t="shared" si="135"/>
        <v>ok</v>
      </c>
      <c r="Z1221" t="str">
        <f t="shared" si="136"/>
        <v>ok</v>
      </c>
      <c r="AA1221" s="4" t="str">
        <f t="shared" si="137"/>
        <v>ok</v>
      </c>
      <c r="AB1221" s="4" t="str">
        <f t="shared" si="138"/>
        <v>no resolution</v>
      </c>
      <c r="AC1221" s="6" t="str">
        <f t="shared" si="139"/>
        <v/>
      </c>
    </row>
    <row r="1222" spans="1:29" x14ac:dyDescent="0.3">
      <c r="A1222" t="s">
        <v>42</v>
      </c>
      <c r="B1222">
        <v>2551</v>
      </c>
      <c r="C1222" t="s">
        <v>33</v>
      </c>
      <c r="D1222" t="s">
        <v>24</v>
      </c>
      <c r="E1222" t="s">
        <v>39</v>
      </c>
      <c r="F1222" t="s">
        <v>26</v>
      </c>
      <c r="G1222" t="s">
        <v>49</v>
      </c>
      <c r="H1222" s="1">
        <v>45114.515648148146</v>
      </c>
      <c r="I1222" s="1">
        <v>45116.515648148146</v>
      </c>
      <c r="J1222" s="1">
        <v>45114.557314814818</v>
      </c>
      <c r="K1222" s="2">
        <v>45114.533765092594</v>
      </c>
      <c r="L1222" t="s">
        <v>28</v>
      </c>
      <c r="M1222" s="2">
        <v>45120.500269861113</v>
      </c>
      <c r="N1222" t="s">
        <v>38</v>
      </c>
      <c r="P1222">
        <v>7</v>
      </c>
      <c r="R1222" t="s">
        <v>50</v>
      </c>
      <c r="S1222" t="s">
        <v>30</v>
      </c>
      <c r="T1222" t="s">
        <v>66</v>
      </c>
      <c r="U1222">
        <v>48.864716000000001</v>
      </c>
      <c r="V1222">
        <v>2.3490139999999999</v>
      </c>
      <c r="W1222" t="str">
        <f t="shared" si="134"/>
        <v>ok</v>
      </c>
      <c r="X1222" t="str">
        <f t="shared" si="140"/>
        <v>ok</v>
      </c>
      <c r="Y1222" t="str">
        <f t="shared" si="135"/>
        <v>ok</v>
      </c>
      <c r="Z1222" t="str">
        <f t="shared" si="136"/>
        <v>ok</v>
      </c>
      <c r="AA1222" s="4" t="str">
        <f t="shared" si="137"/>
        <v>ok</v>
      </c>
      <c r="AB1222" s="4" t="str">
        <f t="shared" si="138"/>
        <v>ok</v>
      </c>
      <c r="AC1222" s="6">
        <f t="shared" si="139"/>
        <v>143.63092111120932</v>
      </c>
    </row>
    <row r="1223" spans="1:29" x14ac:dyDescent="0.3">
      <c r="A1223" t="s">
        <v>22</v>
      </c>
      <c r="B1223">
        <v>2552</v>
      </c>
      <c r="C1223" t="s">
        <v>23</v>
      </c>
      <c r="D1223" t="s">
        <v>24</v>
      </c>
      <c r="E1223" t="s">
        <v>35</v>
      </c>
      <c r="F1223" t="s">
        <v>26</v>
      </c>
      <c r="G1223" t="s">
        <v>60</v>
      </c>
      <c r="H1223" s="1">
        <v>45114.964189814818</v>
      </c>
      <c r="I1223" s="1">
        <v>45116.964189814818</v>
      </c>
      <c r="J1223" s="1">
        <v>45115.005856481483</v>
      </c>
      <c r="K1223" s="2">
        <v>45114.976802129633</v>
      </c>
      <c r="L1223" t="s">
        <v>28</v>
      </c>
      <c r="M1223" s="2">
        <v>45116.42588516204</v>
      </c>
      <c r="N1223" t="s">
        <v>28</v>
      </c>
      <c r="O1223" s="2">
        <v>45121.821098391207</v>
      </c>
      <c r="P1223">
        <v>9</v>
      </c>
      <c r="Q1223">
        <v>5</v>
      </c>
      <c r="R1223" t="s">
        <v>55</v>
      </c>
      <c r="S1223" t="s">
        <v>30</v>
      </c>
      <c r="T1223" t="s">
        <v>57</v>
      </c>
      <c r="U1223">
        <v>51.165691000000002</v>
      </c>
      <c r="V1223">
        <v>10.451525999999999</v>
      </c>
      <c r="W1223" t="str">
        <f t="shared" si="134"/>
        <v>ok</v>
      </c>
      <c r="X1223" t="str">
        <f t="shared" si="140"/>
        <v>ok</v>
      </c>
      <c r="Y1223" t="str">
        <f t="shared" si="135"/>
        <v>ok</v>
      </c>
      <c r="Z1223" t="str">
        <f t="shared" si="136"/>
        <v>ok</v>
      </c>
      <c r="AA1223" s="4" t="str">
        <f t="shared" si="137"/>
        <v>ok</v>
      </c>
      <c r="AB1223" s="4" t="str">
        <f t="shared" si="138"/>
        <v>ok</v>
      </c>
      <c r="AC1223" s="6">
        <f t="shared" si="139"/>
        <v>35.080688333313446</v>
      </c>
    </row>
    <row r="1224" spans="1:29" x14ac:dyDescent="0.3">
      <c r="A1224" t="s">
        <v>42</v>
      </c>
      <c r="B1224">
        <v>2553</v>
      </c>
      <c r="C1224" t="s">
        <v>23</v>
      </c>
      <c r="D1224" t="s">
        <v>34</v>
      </c>
      <c r="E1224" t="s">
        <v>39</v>
      </c>
      <c r="F1224" t="s">
        <v>26</v>
      </c>
      <c r="G1224" t="s">
        <v>45</v>
      </c>
      <c r="H1224" s="1">
        <v>45114.957013888888</v>
      </c>
      <c r="I1224" s="1">
        <v>45116.957013888888</v>
      </c>
      <c r="J1224" s="1">
        <v>45114.958402777775</v>
      </c>
      <c r="K1224" s="2">
        <v>45114.958075069444</v>
      </c>
      <c r="L1224" t="s">
        <v>28</v>
      </c>
      <c r="M1224" s="2">
        <v>45115.927322129632</v>
      </c>
      <c r="N1224" t="s">
        <v>28</v>
      </c>
      <c r="P1224">
        <v>7</v>
      </c>
      <c r="R1224" t="s">
        <v>39</v>
      </c>
      <c r="S1224" t="s">
        <v>30</v>
      </c>
      <c r="T1224" t="s">
        <v>51</v>
      </c>
      <c r="U1224">
        <v>39.673369999999998</v>
      </c>
      <c r="V1224">
        <v>-4.7677259999999997</v>
      </c>
      <c r="W1224" t="str">
        <f t="shared" si="134"/>
        <v>ok</v>
      </c>
      <c r="X1224" t="str">
        <f t="shared" si="140"/>
        <v>ok</v>
      </c>
      <c r="Y1224" t="str">
        <f t="shared" si="135"/>
        <v>ok</v>
      </c>
      <c r="Z1224" t="str">
        <f t="shared" si="136"/>
        <v>ok</v>
      </c>
      <c r="AA1224" s="4" t="str">
        <f t="shared" si="137"/>
        <v>ok</v>
      </c>
      <c r="AB1224" s="4" t="str">
        <f t="shared" si="138"/>
        <v>ok</v>
      </c>
      <c r="AC1224" s="6">
        <f t="shared" si="139"/>
        <v>23.287397777836304</v>
      </c>
    </row>
    <row r="1225" spans="1:29" x14ac:dyDescent="0.3">
      <c r="A1225" t="s">
        <v>42</v>
      </c>
      <c r="B1225">
        <v>2554</v>
      </c>
      <c r="C1225" t="s">
        <v>33</v>
      </c>
      <c r="D1225" t="s">
        <v>24</v>
      </c>
      <c r="E1225" t="s">
        <v>59</v>
      </c>
      <c r="F1225" t="s">
        <v>26</v>
      </c>
      <c r="G1225" t="s">
        <v>60</v>
      </c>
      <c r="H1225" s="1">
        <v>45114.625543981485</v>
      </c>
      <c r="I1225" s="1">
        <v>45116.625543981485</v>
      </c>
      <c r="J1225" s="1">
        <v>45114.667210648149</v>
      </c>
      <c r="K1225" s="2">
        <v>45114.630922280092</v>
      </c>
      <c r="L1225" t="s">
        <v>28</v>
      </c>
      <c r="M1225" s="2">
        <v>45118.432893472222</v>
      </c>
      <c r="N1225" t="s">
        <v>38</v>
      </c>
      <c r="P1225">
        <v>3</v>
      </c>
      <c r="R1225" t="s">
        <v>29</v>
      </c>
      <c r="S1225" t="s">
        <v>30</v>
      </c>
      <c r="T1225" t="s">
        <v>51</v>
      </c>
      <c r="U1225">
        <v>39.673369999999998</v>
      </c>
      <c r="V1225">
        <v>-4.7677259999999997</v>
      </c>
      <c r="W1225" t="str">
        <f t="shared" si="134"/>
        <v>ok</v>
      </c>
      <c r="X1225" t="str">
        <f t="shared" si="140"/>
        <v>ok</v>
      </c>
      <c r="Y1225" t="str">
        <f t="shared" si="135"/>
        <v>ok</v>
      </c>
      <c r="Z1225" t="str">
        <f t="shared" si="136"/>
        <v>ok</v>
      </c>
      <c r="AA1225" s="4" t="str">
        <f t="shared" si="137"/>
        <v>ok</v>
      </c>
      <c r="AB1225" s="4" t="str">
        <f t="shared" si="138"/>
        <v>ok</v>
      </c>
      <c r="AC1225" s="6">
        <f t="shared" si="139"/>
        <v>91.376387777680065</v>
      </c>
    </row>
    <row r="1226" spans="1:29" x14ac:dyDescent="0.3">
      <c r="A1226" t="s">
        <v>22</v>
      </c>
      <c r="B1226">
        <v>2555</v>
      </c>
      <c r="C1226" t="s">
        <v>23</v>
      </c>
      <c r="D1226" t="s">
        <v>43</v>
      </c>
      <c r="E1226" t="s">
        <v>25</v>
      </c>
      <c r="F1226" t="s">
        <v>36</v>
      </c>
      <c r="G1226" t="s">
        <v>54</v>
      </c>
      <c r="H1226" s="1">
        <v>45114.436342592591</v>
      </c>
      <c r="I1226" s="1">
        <v>45115.436342592591</v>
      </c>
      <c r="J1226" s="1">
        <v>45114.437731481485</v>
      </c>
      <c r="K1226" s="2">
        <v>45114.437267152774</v>
      </c>
      <c r="L1226" t="s">
        <v>28</v>
      </c>
      <c r="M1226" s="2">
        <v>45115.107121724533</v>
      </c>
      <c r="N1226" t="s">
        <v>28</v>
      </c>
      <c r="O1226" s="2">
        <v>45117.772652557869</v>
      </c>
      <c r="P1226">
        <v>2</v>
      </c>
      <c r="Q1226">
        <v>4</v>
      </c>
      <c r="R1226" t="s">
        <v>50</v>
      </c>
      <c r="S1226" t="s">
        <v>40</v>
      </c>
      <c r="T1226" t="s">
        <v>66</v>
      </c>
      <c r="U1226">
        <v>48.864716000000001</v>
      </c>
      <c r="V1226">
        <v>2.3490139999999999</v>
      </c>
      <c r="W1226" t="str">
        <f t="shared" si="134"/>
        <v>ok</v>
      </c>
      <c r="X1226" t="str">
        <f t="shared" si="140"/>
        <v>ok</v>
      </c>
      <c r="Y1226" t="str">
        <f t="shared" si="135"/>
        <v>ok</v>
      </c>
      <c r="Z1226" t="str">
        <f t="shared" si="136"/>
        <v>ok</v>
      </c>
      <c r="AA1226" s="4" t="str">
        <f t="shared" si="137"/>
        <v>ok</v>
      </c>
      <c r="AB1226" s="4" t="str">
        <f t="shared" si="138"/>
        <v>ok</v>
      </c>
      <c r="AC1226" s="6">
        <f t="shared" si="139"/>
        <v>16.098699166614097</v>
      </c>
    </row>
    <row r="1227" spans="1:29" x14ac:dyDescent="0.3">
      <c r="A1227" t="s">
        <v>42</v>
      </c>
      <c r="B1227">
        <v>2556</v>
      </c>
      <c r="C1227" t="s">
        <v>23</v>
      </c>
      <c r="D1227" t="s">
        <v>34</v>
      </c>
      <c r="E1227" t="s">
        <v>59</v>
      </c>
      <c r="F1227" t="s">
        <v>26</v>
      </c>
      <c r="G1227" t="s">
        <v>27</v>
      </c>
      <c r="H1227" s="1">
        <v>45114.004363425927</v>
      </c>
      <c r="I1227" s="1">
        <v>45116.004363425927</v>
      </c>
      <c r="J1227" s="1">
        <v>45114.005752314813</v>
      </c>
      <c r="K1227" s="2">
        <v>45114.004521249997</v>
      </c>
      <c r="L1227" t="s">
        <v>28</v>
      </c>
      <c r="M1227" s="2">
        <v>45114.949731469904</v>
      </c>
      <c r="N1227" t="s">
        <v>28</v>
      </c>
      <c r="P1227">
        <v>1</v>
      </c>
      <c r="R1227" t="s">
        <v>29</v>
      </c>
      <c r="S1227" t="s">
        <v>30</v>
      </c>
      <c r="T1227" t="s">
        <v>57</v>
      </c>
      <c r="U1227">
        <v>51.165691000000002</v>
      </c>
      <c r="V1227">
        <v>10.451525999999999</v>
      </c>
      <c r="W1227" t="str">
        <f t="shared" si="134"/>
        <v>ok</v>
      </c>
      <c r="X1227" t="str">
        <f t="shared" si="140"/>
        <v>ok</v>
      </c>
      <c r="Y1227" t="str">
        <f t="shared" si="135"/>
        <v>ok</v>
      </c>
      <c r="Z1227" t="str">
        <f t="shared" si="136"/>
        <v>ok</v>
      </c>
      <c r="AA1227" s="4" t="str">
        <f t="shared" si="137"/>
        <v>ok</v>
      </c>
      <c r="AB1227" s="4" t="str">
        <f t="shared" si="138"/>
        <v>ok</v>
      </c>
      <c r="AC1227" s="6">
        <f t="shared" si="139"/>
        <v>22.68883305543568</v>
      </c>
    </row>
    <row r="1228" spans="1:29" x14ac:dyDescent="0.3">
      <c r="A1228" t="s">
        <v>22</v>
      </c>
      <c r="B1228">
        <v>2557</v>
      </c>
      <c r="C1228" t="s">
        <v>47</v>
      </c>
      <c r="D1228" t="s">
        <v>24</v>
      </c>
      <c r="E1228" t="s">
        <v>35</v>
      </c>
      <c r="F1228" t="s">
        <v>26</v>
      </c>
      <c r="G1228" t="s">
        <v>45</v>
      </c>
      <c r="H1228" s="1">
        <v>45115.010914351849</v>
      </c>
      <c r="I1228" s="1">
        <v>45117.010914351849</v>
      </c>
      <c r="J1228" s="1">
        <v>45115.052581018521</v>
      </c>
      <c r="K1228" s="2">
        <v>45115.039964976851</v>
      </c>
      <c r="L1228" t="s">
        <v>28</v>
      </c>
      <c r="M1228" s="2">
        <v>45115.201873437501</v>
      </c>
      <c r="N1228" t="s">
        <v>28</v>
      </c>
      <c r="O1228" s="2">
        <v>45118.577276701391</v>
      </c>
      <c r="P1228">
        <v>3</v>
      </c>
      <c r="Q1228">
        <v>3</v>
      </c>
      <c r="R1228" t="s">
        <v>50</v>
      </c>
      <c r="S1228" t="s">
        <v>30</v>
      </c>
      <c r="T1228" t="s">
        <v>41</v>
      </c>
      <c r="U1228">
        <v>43.036776000000003</v>
      </c>
      <c r="V1228">
        <v>12.678565000000001</v>
      </c>
      <c r="W1228" t="str">
        <f t="shared" si="134"/>
        <v>ok</v>
      </c>
      <c r="X1228" t="str">
        <f t="shared" si="140"/>
        <v>ok</v>
      </c>
      <c r="Y1228" t="str">
        <f t="shared" si="135"/>
        <v>ok</v>
      </c>
      <c r="Z1228" t="str">
        <f t="shared" si="136"/>
        <v>ok</v>
      </c>
      <c r="AA1228" s="4" t="str">
        <f t="shared" si="137"/>
        <v>ok</v>
      </c>
      <c r="AB1228" s="4" t="str">
        <f t="shared" si="138"/>
        <v>ok</v>
      </c>
      <c r="AC1228" s="6">
        <f t="shared" si="139"/>
        <v>4.5830180556513369</v>
      </c>
    </row>
    <row r="1229" spans="1:29" x14ac:dyDescent="0.3">
      <c r="A1229" t="s">
        <v>22</v>
      </c>
      <c r="B1229">
        <v>2558</v>
      </c>
      <c r="C1229" t="s">
        <v>23</v>
      </c>
      <c r="D1229" t="s">
        <v>43</v>
      </c>
      <c r="E1229" t="s">
        <v>44</v>
      </c>
      <c r="F1229" t="s">
        <v>26</v>
      </c>
      <c r="G1229" t="s">
        <v>27</v>
      </c>
      <c r="H1229" s="1">
        <v>45115.213090277779</v>
      </c>
      <c r="I1229" s="1">
        <v>45116.213090277779</v>
      </c>
      <c r="J1229" s="1">
        <v>45115.214479166665</v>
      </c>
      <c r="K1229" s="2">
        <v>45115.213219999998</v>
      </c>
      <c r="L1229" t="s">
        <v>28</v>
      </c>
      <c r="M1229" s="2">
        <v>45115.705750543981</v>
      </c>
      <c r="N1229" t="s">
        <v>28</v>
      </c>
      <c r="O1229" s="2">
        <v>45121.211747175927</v>
      </c>
      <c r="P1229">
        <v>6</v>
      </c>
      <c r="Q1229">
        <v>3</v>
      </c>
      <c r="R1229" t="s">
        <v>39</v>
      </c>
      <c r="S1229" t="s">
        <v>30</v>
      </c>
      <c r="T1229" t="s">
        <v>46</v>
      </c>
      <c r="U1229">
        <v>47.696471899999999</v>
      </c>
      <c r="V1229">
        <v>13.3457347</v>
      </c>
      <c r="W1229" t="str">
        <f t="shared" si="134"/>
        <v>ok</v>
      </c>
      <c r="X1229" t="str">
        <f t="shared" si="140"/>
        <v>ok</v>
      </c>
      <c r="Y1229" t="str">
        <f t="shared" si="135"/>
        <v>ok</v>
      </c>
      <c r="Z1229" t="str">
        <f t="shared" si="136"/>
        <v>ok</v>
      </c>
      <c r="AA1229" s="4" t="str">
        <f t="shared" si="137"/>
        <v>ok</v>
      </c>
      <c r="AB1229" s="4" t="str">
        <f t="shared" si="138"/>
        <v>ok</v>
      </c>
      <c r="AC1229" s="6">
        <f t="shared" si="139"/>
        <v>11.823846388841048</v>
      </c>
    </row>
    <row r="1230" spans="1:29" x14ac:dyDescent="0.3">
      <c r="A1230" t="s">
        <v>22</v>
      </c>
      <c r="B1230">
        <v>2559</v>
      </c>
      <c r="C1230" t="s">
        <v>47</v>
      </c>
      <c r="D1230" t="s">
        <v>43</v>
      </c>
      <c r="E1230" t="s">
        <v>35</v>
      </c>
      <c r="F1230" t="s">
        <v>36</v>
      </c>
      <c r="G1230" t="s">
        <v>37</v>
      </c>
      <c r="H1230" s="1">
        <v>45116.709930555553</v>
      </c>
      <c r="I1230" s="1">
        <v>45117.709930555553</v>
      </c>
      <c r="J1230" s="1">
        <v>45116.711319444446</v>
      </c>
      <c r="K1230" s="2">
        <v>45116.710900497688</v>
      </c>
      <c r="L1230" t="s">
        <v>28</v>
      </c>
      <c r="M1230" s="2">
        <v>45116.924727638892</v>
      </c>
      <c r="N1230" t="s">
        <v>28</v>
      </c>
      <c r="O1230" s="2">
        <v>45123.493815682872</v>
      </c>
      <c r="P1230">
        <v>2</v>
      </c>
      <c r="Q1230">
        <v>2</v>
      </c>
      <c r="R1230" t="s">
        <v>50</v>
      </c>
      <c r="S1230" t="s">
        <v>40</v>
      </c>
      <c r="T1230" t="s">
        <v>66</v>
      </c>
      <c r="U1230">
        <v>48.864716000000001</v>
      </c>
      <c r="V1230">
        <v>2.3490139999999999</v>
      </c>
      <c r="W1230" t="str">
        <f t="shared" si="134"/>
        <v>ok</v>
      </c>
      <c r="X1230" t="str">
        <f t="shared" si="140"/>
        <v>ok</v>
      </c>
      <c r="Y1230" t="str">
        <f t="shared" si="135"/>
        <v>ok</v>
      </c>
      <c r="Z1230" t="str">
        <f t="shared" si="136"/>
        <v>ok</v>
      </c>
      <c r="AA1230" s="4" t="str">
        <f t="shared" si="137"/>
        <v>ok</v>
      </c>
      <c r="AB1230" s="4" t="str">
        <f t="shared" si="138"/>
        <v>ok</v>
      </c>
      <c r="AC1230" s="6">
        <f t="shared" si="139"/>
        <v>5.1551300001447089</v>
      </c>
    </row>
    <row r="1231" spans="1:29" x14ac:dyDescent="0.3">
      <c r="A1231" t="s">
        <v>42</v>
      </c>
      <c r="B1231">
        <v>2566</v>
      </c>
      <c r="C1231" t="s">
        <v>23</v>
      </c>
      <c r="D1231" t="s">
        <v>34</v>
      </c>
      <c r="E1231" t="s">
        <v>25</v>
      </c>
      <c r="F1231" t="s">
        <v>26</v>
      </c>
      <c r="G1231" t="s">
        <v>45</v>
      </c>
      <c r="H1231" s="1">
        <v>45116.596979166665</v>
      </c>
      <c r="I1231" s="1">
        <v>45118.596979166665</v>
      </c>
      <c r="J1231" s="1">
        <v>45116.598368055558</v>
      </c>
      <c r="K1231" s="2">
        <v>45116.597231990738</v>
      </c>
      <c r="L1231" t="s">
        <v>28</v>
      </c>
      <c r="M1231" s="2">
        <v>45117.852473090279</v>
      </c>
      <c r="N1231" t="s">
        <v>28</v>
      </c>
      <c r="P1231">
        <v>1</v>
      </c>
      <c r="R1231" t="s">
        <v>29</v>
      </c>
      <c r="S1231" t="s">
        <v>30</v>
      </c>
      <c r="T1231" t="s">
        <v>46</v>
      </c>
      <c r="U1231">
        <v>47.696471899999999</v>
      </c>
      <c r="V1231">
        <v>13.3457347</v>
      </c>
      <c r="W1231" t="str">
        <f t="shared" si="134"/>
        <v>ok</v>
      </c>
      <c r="X1231" t="str">
        <f t="shared" si="140"/>
        <v>ok</v>
      </c>
      <c r="Y1231" t="str">
        <f t="shared" si="135"/>
        <v>ok</v>
      </c>
      <c r="Z1231" t="str">
        <f t="shared" si="136"/>
        <v>ok</v>
      </c>
      <c r="AA1231" s="4" t="str">
        <f t="shared" si="137"/>
        <v>ok</v>
      </c>
      <c r="AB1231" s="4" t="str">
        <f t="shared" si="138"/>
        <v>ok</v>
      </c>
      <c r="AC1231" s="6">
        <f t="shared" si="139"/>
        <v>30.131854166742414</v>
      </c>
    </row>
    <row r="1232" spans="1:29" x14ac:dyDescent="0.3">
      <c r="A1232" t="s">
        <v>42</v>
      </c>
      <c r="B1232">
        <v>2567</v>
      </c>
      <c r="C1232" t="s">
        <v>47</v>
      </c>
      <c r="D1232" t="s">
        <v>24</v>
      </c>
      <c r="E1232" t="s">
        <v>48</v>
      </c>
      <c r="F1232" t="s">
        <v>26</v>
      </c>
      <c r="G1232" t="s">
        <v>60</v>
      </c>
      <c r="H1232" s="1">
        <v>45116.359363425923</v>
      </c>
      <c r="I1232" s="1">
        <v>45118.359363425923</v>
      </c>
      <c r="J1232" s="1">
        <v>45116.401030092595</v>
      </c>
      <c r="K1232" s="2">
        <v>45116.38107920139</v>
      </c>
      <c r="L1232" t="s">
        <v>28</v>
      </c>
      <c r="M1232" s="2">
        <v>45117.602368946762</v>
      </c>
      <c r="N1232" t="s">
        <v>28</v>
      </c>
      <c r="P1232">
        <v>3</v>
      </c>
      <c r="R1232" t="s">
        <v>50</v>
      </c>
      <c r="S1232" t="s">
        <v>30</v>
      </c>
      <c r="T1232" t="s">
        <v>58</v>
      </c>
      <c r="U1232">
        <v>49.8037633</v>
      </c>
      <c r="V1232">
        <v>15.4749126</v>
      </c>
      <c r="W1232" t="str">
        <f t="shared" si="134"/>
        <v>ok</v>
      </c>
      <c r="X1232" t="str">
        <f t="shared" si="140"/>
        <v>ok</v>
      </c>
      <c r="Y1232" t="str">
        <f t="shared" si="135"/>
        <v>ok</v>
      </c>
      <c r="Z1232" t="str">
        <f t="shared" si="136"/>
        <v>ok</v>
      </c>
      <c r="AA1232" s="4" t="str">
        <f t="shared" si="137"/>
        <v>ok</v>
      </c>
      <c r="AB1232" s="4" t="str">
        <f t="shared" si="138"/>
        <v>ok</v>
      </c>
      <c r="AC1232" s="6">
        <f t="shared" si="139"/>
        <v>29.832132500130683</v>
      </c>
    </row>
    <row r="1233" spans="1:29" x14ac:dyDescent="0.3">
      <c r="A1233" t="s">
        <v>42</v>
      </c>
      <c r="B1233">
        <v>2568</v>
      </c>
      <c r="C1233" t="s">
        <v>23</v>
      </c>
      <c r="D1233" t="s">
        <v>24</v>
      </c>
      <c r="E1233" t="s">
        <v>44</v>
      </c>
      <c r="F1233" t="s">
        <v>26</v>
      </c>
      <c r="G1233" t="s">
        <v>49</v>
      </c>
      <c r="H1233" s="1">
        <v>45116.921226851853</v>
      </c>
      <c r="I1233" s="1">
        <v>45118.921226851853</v>
      </c>
      <c r="J1233" s="1">
        <v>45116.962893518517</v>
      </c>
      <c r="K1233" s="2">
        <v>45116.960895162039</v>
      </c>
      <c r="L1233" t="s">
        <v>28</v>
      </c>
      <c r="M1233" s="2">
        <v>45117.692810127315</v>
      </c>
      <c r="N1233" t="s">
        <v>28</v>
      </c>
      <c r="P1233">
        <v>1</v>
      </c>
      <c r="R1233" t="s">
        <v>50</v>
      </c>
      <c r="S1233" t="s">
        <v>30</v>
      </c>
      <c r="T1233" t="s">
        <v>57</v>
      </c>
      <c r="U1233">
        <v>51.165691000000002</v>
      </c>
      <c r="V1233">
        <v>10.451525999999999</v>
      </c>
      <c r="W1233" t="str">
        <f t="shared" si="134"/>
        <v>ok</v>
      </c>
      <c r="X1233" t="str">
        <f t="shared" si="140"/>
        <v>ok</v>
      </c>
      <c r="Y1233" t="str">
        <f t="shared" si="135"/>
        <v>ok</v>
      </c>
      <c r="Z1233" t="str">
        <f t="shared" si="136"/>
        <v>ok</v>
      </c>
      <c r="AA1233" s="4" t="str">
        <f t="shared" si="137"/>
        <v>ok</v>
      </c>
      <c r="AB1233" s="4" t="str">
        <f t="shared" si="138"/>
        <v>ok</v>
      </c>
      <c r="AC1233" s="6">
        <f t="shared" si="139"/>
        <v>18.517998611088842</v>
      </c>
    </row>
    <row r="1234" spans="1:29" x14ac:dyDescent="0.3">
      <c r="A1234" t="s">
        <v>22</v>
      </c>
      <c r="B1234">
        <v>2569</v>
      </c>
      <c r="C1234" t="s">
        <v>23</v>
      </c>
      <c r="D1234" t="s">
        <v>43</v>
      </c>
      <c r="E1234" t="s">
        <v>35</v>
      </c>
      <c r="F1234" t="s">
        <v>36</v>
      </c>
      <c r="G1234" t="s">
        <v>64</v>
      </c>
      <c r="H1234" s="1">
        <v>45117.256030092591</v>
      </c>
      <c r="I1234" s="1">
        <v>45118.256030092591</v>
      </c>
      <c r="J1234" s="1">
        <v>45117.257418981484</v>
      </c>
      <c r="K1234" s="2">
        <v>45117.256353402779</v>
      </c>
      <c r="L1234" t="s">
        <v>28</v>
      </c>
      <c r="M1234" s="2">
        <v>45117.272499942126</v>
      </c>
      <c r="N1234" t="s">
        <v>28</v>
      </c>
      <c r="O1234" s="2">
        <v>45123.401437002314</v>
      </c>
      <c r="P1234">
        <v>60</v>
      </c>
      <c r="Q1234">
        <v>2</v>
      </c>
      <c r="R1234" t="s">
        <v>29</v>
      </c>
      <c r="S1234" t="s">
        <v>40</v>
      </c>
      <c r="T1234" t="s">
        <v>63</v>
      </c>
      <c r="U1234">
        <v>55.378051999999997</v>
      </c>
      <c r="V1234">
        <v>-3.4359730000000002</v>
      </c>
      <c r="W1234" t="str">
        <f t="shared" si="134"/>
        <v>ok</v>
      </c>
      <c r="X1234" t="str">
        <f t="shared" si="140"/>
        <v>ok</v>
      </c>
      <c r="Y1234" t="str">
        <f t="shared" si="135"/>
        <v>ok</v>
      </c>
      <c r="Z1234" t="str">
        <f t="shared" si="136"/>
        <v>ok</v>
      </c>
      <c r="AA1234" s="4" t="str">
        <f t="shared" si="137"/>
        <v>ok</v>
      </c>
      <c r="AB1234" s="4" t="str">
        <f t="shared" si="138"/>
        <v>ok</v>
      </c>
      <c r="AC1234" s="6">
        <f t="shared" si="139"/>
        <v>0.39527638885192573</v>
      </c>
    </row>
    <row r="1235" spans="1:29" x14ac:dyDescent="0.3">
      <c r="A1235" t="s">
        <v>42</v>
      </c>
      <c r="B1235">
        <v>2570</v>
      </c>
      <c r="C1235" t="s">
        <v>23</v>
      </c>
      <c r="D1235" t="s">
        <v>24</v>
      </c>
      <c r="E1235" t="s">
        <v>25</v>
      </c>
      <c r="F1235" t="s">
        <v>36</v>
      </c>
      <c r="G1235" t="s">
        <v>54</v>
      </c>
      <c r="H1235" s="1">
        <v>45117.792893518519</v>
      </c>
      <c r="I1235" s="1">
        <v>45119.792893518519</v>
      </c>
      <c r="J1235" s="1">
        <v>45117.834560185183</v>
      </c>
      <c r="K1235" s="2">
        <v>45117.816797627318</v>
      </c>
      <c r="L1235" t="s">
        <v>28</v>
      </c>
      <c r="M1235" s="2">
        <v>45117.843617314815</v>
      </c>
      <c r="N1235" t="s">
        <v>28</v>
      </c>
      <c r="P1235">
        <v>2</v>
      </c>
      <c r="R1235" t="s">
        <v>50</v>
      </c>
      <c r="S1235" t="s">
        <v>40</v>
      </c>
      <c r="T1235" t="s">
        <v>61</v>
      </c>
      <c r="U1235">
        <v>42.724992499999999</v>
      </c>
      <c r="V1235">
        <v>25.483303899999999</v>
      </c>
      <c r="W1235" t="str">
        <f t="shared" si="134"/>
        <v>ok</v>
      </c>
      <c r="X1235" t="str">
        <f t="shared" si="140"/>
        <v>ok</v>
      </c>
      <c r="Y1235" t="str">
        <f t="shared" si="135"/>
        <v>ok</v>
      </c>
      <c r="Z1235" t="str">
        <f t="shared" si="136"/>
        <v>ok</v>
      </c>
      <c r="AA1235" s="4" t="str">
        <f t="shared" si="137"/>
        <v>ok</v>
      </c>
      <c r="AB1235" s="4" t="str">
        <f t="shared" si="138"/>
        <v>ok</v>
      </c>
      <c r="AC1235" s="6">
        <f t="shared" si="139"/>
        <v>1.2173711110954173</v>
      </c>
    </row>
    <row r="1236" spans="1:29" x14ac:dyDescent="0.3">
      <c r="A1236" t="s">
        <v>22</v>
      </c>
      <c r="B1236">
        <v>2571</v>
      </c>
      <c r="C1236" t="s">
        <v>47</v>
      </c>
      <c r="D1236" t="s">
        <v>24</v>
      </c>
      <c r="E1236" t="s">
        <v>62</v>
      </c>
      <c r="F1236" t="s">
        <v>26</v>
      </c>
      <c r="G1236" t="s">
        <v>45</v>
      </c>
      <c r="H1236" s="1">
        <v>45117.774016203701</v>
      </c>
      <c r="I1236" s="1">
        <v>45119.774016203701</v>
      </c>
      <c r="J1236" s="1">
        <v>45117.815682870372</v>
      </c>
      <c r="K1236" s="2">
        <v>45117.786309027775</v>
      </c>
      <c r="L1236" t="s">
        <v>28</v>
      </c>
      <c r="M1236" s="2">
        <v>45123.10424291667</v>
      </c>
      <c r="N1236" t="s">
        <v>38</v>
      </c>
      <c r="O1236" s="2">
        <v>45123.369062662037</v>
      </c>
      <c r="P1236">
        <v>9</v>
      </c>
      <c r="Q1236">
        <v>1</v>
      </c>
      <c r="R1236" t="s">
        <v>55</v>
      </c>
      <c r="S1236" t="s">
        <v>30</v>
      </c>
      <c r="T1236" t="s">
        <v>57</v>
      </c>
      <c r="U1236">
        <v>51.165691000000002</v>
      </c>
      <c r="V1236">
        <v>10.451525999999999</v>
      </c>
      <c r="W1236" t="str">
        <f t="shared" si="134"/>
        <v>ok</v>
      </c>
      <c r="X1236" t="str">
        <f t="shared" si="140"/>
        <v>ok</v>
      </c>
      <c r="Y1236" t="str">
        <f t="shared" si="135"/>
        <v>ok</v>
      </c>
      <c r="Z1236" t="str">
        <f t="shared" si="136"/>
        <v>ok</v>
      </c>
      <c r="AA1236" s="4" t="str">
        <f t="shared" si="137"/>
        <v>ok</v>
      </c>
      <c r="AB1236" s="4" t="str">
        <f t="shared" si="138"/>
        <v>ok</v>
      </c>
      <c r="AC1236" s="6">
        <f t="shared" si="139"/>
        <v>127.92544111126335</v>
      </c>
    </row>
    <row r="1237" spans="1:29" x14ac:dyDescent="0.3">
      <c r="A1237" t="s">
        <v>22</v>
      </c>
      <c r="B1237">
        <v>2572</v>
      </c>
      <c r="C1237" t="s">
        <v>23</v>
      </c>
      <c r="D1237" t="s">
        <v>24</v>
      </c>
      <c r="E1237" t="s">
        <v>35</v>
      </c>
      <c r="F1237" t="s">
        <v>26</v>
      </c>
      <c r="G1237" t="s">
        <v>60</v>
      </c>
      <c r="H1237" s="1">
        <v>45117.249409722222</v>
      </c>
      <c r="I1237" s="1">
        <v>45119.249409722222</v>
      </c>
      <c r="J1237" s="1">
        <v>45117.291076388887</v>
      </c>
      <c r="K1237" s="2">
        <v>45117.2593046412</v>
      </c>
      <c r="L1237" t="s">
        <v>28</v>
      </c>
      <c r="M1237" s="2">
        <v>45122.893086412034</v>
      </c>
      <c r="N1237" t="s">
        <v>38</v>
      </c>
      <c r="O1237" s="2">
        <v>45123.839489212965</v>
      </c>
      <c r="P1237">
        <v>3</v>
      </c>
      <c r="Q1237">
        <v>4</v>
      </c>
      <c r="R1237" t="s">
        <v>50</v>
      </c>
      <c r="S1237" t="s">
        <v>30</v>
      </c>
      <c r="T1237" t="s">
        <v>61</v>
      </c>
      <c r="U1237">
        <v>42.724992499999999</v>
      </c>
      <c r="V1237">
        <v>25.483303899999999</v>
      </c>
      <c r="W1237" t="str">
        <f t="shared" si="134"/>
        <v>ok</v>
      </c>
      <c r="X1237" t="str">
        <f t="shared" si="140"/>
        <v>ok</v>
      </c>
      <c r="Y1237" t="str">
        <f t="shared" si="135"/>
        <v>ok</v>
      </c>
      <c r="Z1237" t="str">
        <f t="shared" si="136"/>
        <v>ok</v>
      </c>
      <c r="AA1237" s="4" t="str">
        <f t="shared" si="137"/>
        <v>ok</v>
      </c>
      <c r="AB1237" s="4" t="str">
        <f t="shared" si="138"/>
        <v>ok</v>
      </c>
      <c r="AC1237" s="6">
        <f t="shared" si="139"/>
        <v>135.4482405554736</v>
      </c>
    </row>
    <row r="1238" spans="1:29" x14ac:dyDescent="0.3">
      <c r="A1238" t="s">
        <v>42</v>
      </c>
      <c r="B1238">
        <v>2573</v>
      </c>
      <c r="C1238" t="s">
        <v>23</v>
      </c>
      <c r="D1238" t="s">
        <v>43</v>
      </c>
      <c r="E1238" t="s">
        <v>62</v>
      </c>
      <c r="F1238" t="s">
        <v>36</v>
      </c>
      <c r="G1238" t="s">
        <v>54</v>
      </c>
      <c r="H1238" s="1">
        <v>45117.60601851852</v>
      </c>
      <c r="I1238" s="1">
        <v>45118.60601851852</v>
      </c>
      <c r="J1238" s="1">
        <v>45117.607407407406</v>
      </c>
      <c r="K1238" s="2">
        <v>45117.607144502312</v>
      </c>
      <c r="L1238" t="s">
        <v>28</v>
      </c>
      <c r="M1238" s="2">
        <v>45121.643665428244</v>
      </c>
      <c r="N1238" t="s">
        <v>38</v>
      </c>
      <c r="P1238">
        <v>2</v>
      </c>
      <c r="R1238" t="s">
        <v>55</v>
      </c>
      <c r="S1238" t="s">
        <v>40</v>
      </c>
      <c r="T1238" t="s">
        <v>61</v>
      </c>
      <c r="U1238">
        <v>42.724992499999999</v>
      </c>
      <c r="V1238">
        <v>25.483303899999999</v>
      </c>
      <c r="W1238" t="str">
        <f t="shared" si="134"/>
        <v>ok</v>
      </c>
      <c r="X1238" t="str">
        <f t="shared" si="140"/>
        <v>ok</v>
      </c>
      <c r="Y1238" t="str">
        <f t="shared" si="135"/>
        <v>ok</v>
      </c>
      <c r="Z1238" t="str">
        <f t="shared" si="136"/>
        <v>ok</v>
      </c>
      <c r="AA1238" s="4" t="str">
        <f t="shared" si="137"/>
        <v>ok</v>
      </c>
      <c r="AB1238" s="4" t="str">
        <f t="shared" si="138"/>
        <v>ok</v>
      </c>
      <c r="AC1238" s="6">
        <f t="shared" si="139"/>
        <v>96.903525833389722</v>
      </c>
    </row>
    <row r="1239" spans="1:29" x14ac:dyDescent="0.3">
      <c r="A1239" t="s">
        <v>22</v>
      </c>
      <c r="B1239">
        <v>2574</v>
      </c>
      <c r="C1239" t="s">
        <v>47</v>
      </c>
      <c r="D1239" t="s">
        <v>34</v>
      </c>
      <c r="E1239" t="s">
        <v>39</v>
      </c>
      <c r="F1239" t="s">
        <v>26</v>
      </c>
      <c r="G1239" t="s">
        <v>49</v>
      </c>
      <c r="H1239" s="1">
        <v>45117.168668981481</v>
      </c>
      <c r="I1239" s="1">
        <v>45119.168668981481</v>
      </c>
      <c r="J1239" s="1">
        <v>45117.170057870368</v>
      </c>
      <c r="K1239" s="2">
        <v>45117.16952383102</v>
      </c>
      <c r="L1239" t="s">
        <v>28</v>
      </c>
      <c r="M1239" s="2">
        <v>45117.704383611112</v>
      </c>
      <c r="N1239" t="s">
        <v>28</v>
      </c>
      <c r="O1239" s="2">
        <v>45119.639527708336</v>
      </c>
      <c r="P1239">
        <v>2</v>
      </c>
      <c r="Q1239">
        <v>4</v>
      </c>
      <c r="R1239" t="s">
        <v>50</v>
      </c>
      <c r="S1239" t="s">
        <v>30</v>
      </c>
      <c r="T1239" t="s">
        <v>56</v>
      </c>
      <c r="U1239">
        <v>52.536273000000001</v>
      </c>
      <c r="V1239">
        <v>19.050639</v>
      </c>
      <c r="W1239" t="str">
        <f t="shared" si="134"/>
        <v>ok</v>
      </c>
      <c r="X1239" t="str">
        <f t="shared" si="140"/>
        <v>ok</v>
      </c>
      <c r="Y1239" t="str">
        <f t="shared" si="135"/>
        <v>ok</v>
      </c>
      <c r="Z1239" t="str">
        <f t="shared" si="136"/>
        <v>ok</v>
      </c>
      <c r="AA1239" s="4" t="str">
        <f t="shared" si="137"/>
        <v>ok</v>
      </c>
      <c r="AB1239" s="4" t="str">
        <f t="shared" si="138"/>
        <v>ok</v>
      </c>
      <c r="AC1239" s="6">
        <f t="shared" si="139"/>
        <v>12.857151111122221</v>
      </c>
    </row>
    <row r="1240" spans="1:29" x14ac:dyDescent="0.3">
      <c r="A1240" t="s">
        <v>22</v>
      </c>
      <c r="B1240">
        <v>2575</v>
      </c>
      <c r="C1240" t="s">
        <v>47</v>
      </c>
      <c r="D1240" t="s">
        <v>24</v>
      </c>
      <c r="E1240" t="s">
        <v>59</v>
      </c>
      <c r="F1240" t="s">
        <v>26</v>
      </c>
      <c r="G1240" t="s">
        <v>49</v>
      </c>
      <c r="H1240" s="1">
        <v>45117.177569444444</v>
      </c>
      <c r="I1240" s="1">
        <v>45119.177569444444</v>
      </c>
      <c r="J1240" s="1">
        <v>45117.219236111108</v>
      </c>
      <c r="K1240" s="2">
        <v>45117.189011273149</v>
      </c>
      <c r="L1240" t="s">
        <v>28</v>
      </c>
      <c r="M1240" s="2">
        <v>45118.049839490741</v>
      </c>
      <c r="N1240" t="s">
        <v>28</v>
      </c>
      <c r="O1240" s="2">
        <v>45120.194587303238</v>
      </c>
      <c r="P1240">
        <v>5</v>
      </c>
      <c r="Q1240">
        <v>5</v>
      </c>
      <c r="R1240" t="s">
        <v>50</v>
      </c>
      <c r="S1240" t="s">
        <v>30</v>
      </c>
      <c r="T1240" t="s">
        <v>31</v>
      </c>
      <c r="U1240">
        <v>53.094023999999997</v>
      </c>
      <c r="V1240">
        <v>-8.0196749999999994</v>
      </c>
      <c r="W1240" t="str">
        <f t="shared" si="134"/>
        <v>ok</v>
      </c>
      <c r="X1240" t="str">
        <f t="shared" si="140"/>
        <v>ok</v>
      </c>
      <c r="Y1240" t="str">
        <f t="shared" si="135"/>
        <v>ok</v>
      </c>
      <c r="Z1240" t="str">
        <f t="shared" si="136"/>
        <v>ok</v>
      </c>
      <c r="AA1240" s="4" t="str">
        <f t="shared" si="137"/>
        <v>ok</v>
      </c>
      <c r="AB1240" s="4" t="str">
        <f t="shared" si="138"/>
        <v>ok</v>
      </c>
      <c r="AC1240" s="6">
        <f t="shared" si="139"/>
        <v>20.934481111122295</v>
      </c>
    </row>
    <row r="1241" spans="1:29" x14ac:dyDescent="0.3">
      <c r="A1241" t="s">
        <v>32</v>
      </c>
      <c r="B1241">
        <v>2576</v>
      </c>
      <c r="C1241" t="s">
        <v>23</v>
      </c>
      <c r="D1241" t="s">
        <v>34</v>
      </c>
      <c r="E1241" t="s">
        <v>35</v>
      </c>
      <c r="F1241" t="s">
        <v>26</v>
      </c>
      <c r="G1241" t="s">
        <v>60</v>
      </c>
      <c r="H1241" s="1">
        <v>45117.720439814817</v>
      </c>
      <c r="I1241" s="1">
        <v>45119.720439814817</v>
      </c>
      <c r="J1241" s="1">
        <v>45117.721828703703</v>
      </c>
      <c r="K1241" s="2">
        <v>45117.72288494213</v>
      </c>
      <c r="L1241" t="s">
        <v>38</v>
      </c>
      <c r="N1241" t="s">
        <v>38</v>
      </c>
      <c r="P1241">
        <v>5</v>
      </c>
      <c r="R1241" t="s">
        <v>39</v>
      </c>
      <c r="S1241" t="s">
        <v>30</v>
      </c>
      <c r="T1241" t="s">
        <v>31</v>
      </c>
      <c r="U1241">
        <v>53.094023999999997</v>
      </c>
      <c r="V1241">
        <v>-8.0196749999999994</v>
      </c>
      <c r="W1241" t="str">
        <f t="shared" si="134"/>
        <v>ok</v>
      </c>
      <c r="X1241" t="str">
        <f t="shared" si="140"/>
        <v>ok</v>
      </c>
      <c r="Y1241" t="str">
        <f t="shared" si="135"/>
        <v>ok</v>
      </c>
      <c r="Z1241" t="str">
        <f t="shared" si="136"/>
        <v>ok</v>
      </c>
      <c r="AA1241" s="4" t="str">
        <f t="shared" si="137"/>
        <v>ok</v>
      </c>
      <c r="AB1241" s="4" t="str">
        <f t="shared" si="138"/>
        <v>no resolution</v>
      </c>
      <c r="AC1241" s="6" t="str">
        <f t="shared" si="139"/>
        <v/>
      </c>
    </row>
    <row r="1242" spans="1:29" x14ac:dyDescent="0.3">
      <c r="A1242" t="s">
        <v>42</v>
      </c>
      <c r="B1242">
        <v>2577</v>
      </c>
      <c r="C1242" t="s">
        <v>47</v>
      </c>
      <c r="D1242" t="s">
        <v>43</v>
      </c>
      <c r="E1242" t="s">
        <v>25</v>
      </c>
      <c r="F1242" t="s">
        <v>26</v>
      </c>
      <c r="G1242" t="s">
        <v>52</v>
      </c>
      <c r="H1242" s="1">
        <v>45117.315393518518</v>
      </c>
      <c r="I1242" s="1">
        <v>45118.315393518518</v>
      </c>
      <c r="J1242" s="1">
        <v>45117.316782407404</v>
      </c>
      <c r="K1242" s="2">
        <v>45117.317211875001</v>
      </c>
      <c r="L1242" t="s">
        <v>38</v>
      </c>
      <c r="M1242" s="2">
        <v>45117.459749374997</v>
      </c>
      <c r="N1242" t="s">
        <v>28</v>
      </c>
      <c r="P1242">
        <v>6</v>
      </c>
      <c r="R1242" t="s">
        <v>50</v>
      </c>
      <c r="S1242" t="s">
        <v>30</v>
      </c>
      <c r="T1242" t="s">
        <v>66</v>
      </c>
      <c r="U1242">
        <v>48.864716000000001</v>
      </c>
      <c r="V1242">
        <v>2.3490139999999999</v>
      </c>
      <c r="W1242" t="str">
        <f t="shared" si="134"/>
        <v>ok</v>
      </c>
      <c r="X1242" t="str">
        <f t="shared" si="140"/>
        <v>ok</v>
      </c>
      <c r="Y1242" t="str">
        <f t="shared" si="135"/>
        <v>ok</v>
      </c>
      <c r="Z1242" t="str">
        <f t="shared" si="136"/>
        <v>ok</v>
      </c>
      <c r="AA1242" s="4" t="str">
        <f t="shared" si="137"/>
        <v>ok</v>
      </c>
      <c r="AB1242" s="4" t="str">
        <f t="shared" si="138"/>
        <v>ok</v>
      </c>
      <c r="AC1242" s="6">
        <f t="shared" si="139"/>
        <v>3.4645405554911122</v>
      </c>
    </row>
    <row r="1243" spans="1:29" x14ac:dyDescent="0.3">
      <c r="A1243" t="s">
        <v>42</v>
      </c>
      <c r="B1243">
        <v>2578</v>
      </c>
      <c r="C1243" t="s">
        <v>47</v>
      </c>
      <c r="D1243" t="s">
        <v>43</v>
      </c>
      <c r="E1243" t="s">
        <v>25</v>
      </c>
      <c r="F1243" t="s">
        <v>36</v>
      </c>
      <c r="G1243" t="s">
        <v>54</v>
      </c>
      <c r="H1243" s="1">
        <v>45117.87777777778</v>
      </c>
      <c r="I1243" s="1">
        <v>45118.87777777778</v>
      </c>
      <c r="J1243" s="1">
        <v>45117.879166666666</v>
      </c>
      <c r="K1243" s="2">
        <v>45117.878942546296</v>
      </c>
      <c r="L1243" t="s">
        <v>28</v>
      </c>
      <c r="M1243" s="2">
        <v>45118.041831759256</v>
      </c>
      <c r="N1243" t="s">
        <v>28</v>
      </c>
      <c r="P1243">
        <v>6</v>
      </c>
      <c r="R1243" t="s">
        <v>39</v>
      </c>
      <c r="S1243" t="s">
        <v>40</v>
      </c>
      <c r="T1243" t="s">
        <v>63</v>
      </c>
      <c r="U1243">
        <v>55.378051999999997</v>
      </c>
      <c r="V1243">
        <v>-3.4359730000000002</v>
      </c>
      <c r="W1243" t="str">
        <f t="shared" si="134"/>
        <v>ok</v>
      </c>
      <c r="X1243" t="str">
        <f t="shared" si="140"/>
        <v>ok</v>
      </c>
      <c r="Y1243" t="str">
        <f t="shared" si="135"/>
        <v>ok</v>
      </c>
      <c r="Z1243" t="str">
        <f t="shared" si="136"/>
        <v>ok</v>
      </c>
      <c r="AA1243" s="4" t="str">
        <f t="shared" si="137"/>
        <v>ok</v>
      </c>
      <c r="AB1243" s="4" t="str">
        <f t="shared" si="138"/>
        <v>ok</v>
      </c>
      <c r="AC1243" s="6">
        <f t="shared" si="139"/>
        <v>3.9372955554281361</v>
      </c>
    </row>
    <row r="1244" spans="1:29" x14ac:dyDescent="0.3">
      <c r="A1244" t="s">
        <v>42</v>
      </c>
      <c r="B1244">
        <v>2579</v>
      </c>
      <c r="C1244" t="s">
        <v>23</v>
      </c>
      <c r="D1244" t="s">
        <v>24</v>
      </c>
      <c r="E1244" t="s">
        <v>35</v>
      </c>
      <c r="F1244" t="s">
        <v>26</v>
      </c>
      <c r="G1244" t="s">
        <v>60</v>
      </c>
      <c r="H1244" s="1">
        <v>45117.329375000001</v>
      </c>
      <c r="I1244" s="1">
        <v>45119.329375000001</v>
      </c>
      <c r="J1244" s="1">
        <v>45117.371041666665</v>
      </c>
      <c r="K1244" s="2">
        <v>45117.344802488427</v>
      </c>
      <c r="L1244" t="s">
        <v>28</v>
      </c>
      <c r="M1244" s="2">
        <v>45118.054960624999</v>
      </c>
      <c r="N1244" t="s">
        <v>28</v>
      </c>
      <c r="P1244">
        <v>3</v>
      </c>
      <c r="R1244" t="s">
        <v>39</v>
      </c>
      <c r="S1244" t="s">
        <v>30</v>
      </c>
      <c r="T1244" t="s">
        <v>63</v>
      </c>
      <c r="U1244">
        <v>55.378051999999997</v>
      </c>
      <c r="V1244">
        <v>-3.4359730000000002</v>
      </c>
      <c r="W1244" t="str">
        <f t="shared" si="134"/>
        <v>ok</v>
      </c>
      <c r="X1244" t="str">
        <f t="shared" si="140"/>
        <v>ok</v>
      </c>
      <c r="Y1244" t="str">
        <f t="shared" si="135"/>
        <v>ok</v>
      </c>
      <c r="Z1244" t="str">
        <f t="shared" si="136"/>
        <v>ok</v>
      </c>
      <c r="AA1244" s="4" t="str">
        <f t="shared" si="137"/>
        <v>ok</v>
      </c>
      <c r="AB1244" s="4" t="str">
        <f t="shared" si="138"/>
        <v>ok</v>
      </c>
      <c r="AC1244" s="6">
        <f t="shared" si="139"/>
        <v>17.414054999942891</v>
      </c>
    </row>
    <row r="1245" spans="1:29" x14ac:dyDescent="0.3">
      <c r="A1245" t="s">
        <v>42</v>
      </c>
      <c r="B1245">
        <v>2580</v>
      </c>
      <c r="C1245" t="s">
        <v>47</v>
      </c>
      <c r="D1245" t="s">
        <v>24</v>
      </c>
      <c r="E1245" t="s">
        <v>25</v>
      </c>
      <c r="F1245" t="s">
        <v>26</v>
      </c>
      <c r="G1245" t="s">
        <v>27</v>
      </c>
      <c r="H1245" s="1">
        <v>45117.463425925926</v>
      </c>
      <c r="I1245" s="1">
        <v>45119.463425925926</v>
      </c>
      <c r="J1245" s="1">
        <v>45117.50509259259</v>
      </c>
      <c r="K1245" s="2">
        <v>45117.489244803241</v>
      </c>
      <c r="L1245" t="s">
        <v>28</v>
      </c>
      <c r="M1245" s="2">
        <v>45122.811092638891</v>
      </c>
      <c r="N1245" t="s">
        <v>38</v>
      </c>
      <c r="P1245">
        <v>2</v>
      </c>
      <c r="R1245" t="s">
        <v>50</v>
      </c>
      <c r="S1245" t="s">
        <v>30</v>
      </c>
      <c r="T1245" t="s">
        <v>57</v>
      </c>
      <c r="U1245">
        <v>51.165691000000002</v>
      </c>
      <c r="V1245">
        <v>10.451525999999999</v>
      </c>
      <c r="W1245" t="str">
        <f t="shared" si="134"/>
        <v>ok</v>
      </c>
      <c r="X1245" t="str">
        <f t="shared" si="140"/>
        <v>ok</v>
      </c>
      <c r="Y1245" t="str">
        <f t="shared" si="135"/>
        <v>ok</v>
      </c>
      <c r="Z1245" t="str">
        <f t="shared" si="136"/>
        <v>ok</v>
      </c>
      <c r="AA1245" s="4" t="str">
        <f t="shared" si="137"/>
        <v>ok</v>
      </c>
      <c r="AB1245" s="4" t="str">
        <f t="shared" si="138"/>
        <v>ok</v>
      </c>
      <c r="AC1245" s="6">
        <f t="shared" si="139"/>
        <v>128.34400111116702</v>
      </c>
    </row>
    <row r="1246" spans="1:29" x14ac:dyDescent="0.3">
      <c r="A1246" t="s">
        <v>32</v>
      </c>
      <c r="B1246">
        <v>2581</v>
      </c>
      <c r="C1246" t="s">
        <v>33</v>
      </c>
      <c r="D1246" t="s">
        <v>43</v>
      </c>
      <c r="E1246" t="s">
        <v>62</v>
      </c>
      <c r="F1246" t="s">
        <v>26</v>
      </c>
      <c r="G1246" t="s">
        <v>49</v>
      </c>
      <c r="H1246" s="1">
        <v>45118.420578703706</v>
      </c>
      <c r="I1246" s="1">
        <v>45119.420578703706</v>
      </c>
      <c r="J1246" s="1">
        <v>45118.421967592592</v>
      </c>
      <c r="K1246" s="2">
        <v>45118.421099606479</v>
      </c>
      <c r="L1246" t="s">
        <v>28</v>
      </c>
      <c r="N1246" t="s">
        <v>38</v>
      </c>
      <c r="P1246">
        <v>2</v>
      </c>
      <c r="R1246" t="s">
        <v>55</v>
      </c>
      <c r="S1246" t="s">
        <v>30</v>
      </c>
      <c r="T1246" t="s">
        <v>41</v>
      </c>
      <c r="U1246">
        <v>43.036776000000003</v>
      </c>
      <c r="V1246">
        <v>12.678565000000001</v>
      </c>
      <c r="W1246" t="str">
        <f t="shared" si="134"/>
        <v>ok</v>
      </c>
      <c r="X1246" t="str">
        <f t="shared" si="140"/>
        <v>ok</v>
      </c>
      <c r="Y1246" t="str">
        <f t="shared" si="135"/>
        <v>ok</v>
      </c>
      <c r="Z1246" t="str">
        <f t="shared" si="136"/>
        <v>ok</v>
      </c>
      <c r="AA1246" s="4" t="str">
        <f t="shared" si="137"/>
        <v>ok</v>
      </c>
      <c r="AB1246" s="4" t="str">
        <f t="shared" si="138"/>
        <v>no resolution</v>
      </c>
      <c r="AC1246" s="6" t="str">
        <f t="shared" si="139"/>
        <v/>
      </c>
    </row>
    <row r="1247" spans="1:29" x14ac:dyDescent="0.3">
      <c r="A1247" t="s">
        <v>42</v>
      </c>
      <c r="B1247">
        <v>2582</v>
      </c>
      <c r="C1247" t="s">
        <v>23</v>
      </c>
      <c r="D1247" t="s">
        <v>24</v>
      </c>
      <c r="E1247" t="s">
        <v>44</v>
      </c>
      <c r="F1247" t="s">
        <v>36</v>
      </c>
      <c r="G1247" t="s">
        <v>54</v>
      </c>
      <c r="H1247" s="1">
        <v>45118.210266203707</v>
      </c>
      <c r="I1247" s="1">
        <v>45120.210266203707</v>
      </c>
      <c r="J1247" s="1">
        <v>45118.251932870371</v>
      </c>
      <c r="K1247" s="2">
        <v>45118.211981921297</v>
      </c>
      <c r="L1247" t="s">
        <v>28</v>
      </c>
      <c r="M1247" s="2">
        <v>45119.640155914349</v>
      </c>
      <c r="N1247" t="s">
        <v>28</v>
      </c>
      <c r="P1247">
        <v>10</v>
      </c>
      <c r="R1247" t="s">
        <v>29</v>
      </c>
      <c r="S1247" t="s">
        <v>40</v>
      </c>
      <c r="T1247" t="s">
        <v>57</v>
      </c>
      <c r="U1247">
        <v>51.165691000000002</v>
      </c>
      <c r="V1247">
        <v>10.451525999999999</v>
      </c>
      <c r="W1247" t="str">
        <f t="shared" si="134"/>
        <v>ok</v>
      </c>
      <c r="X1247" t="str">
        <f t="shared" si="140"/>
        <v>ok</v>
      </c>
      <c r="Y1247" t="str">
        <f t="shared" si="135"/>
        <v>ok</v>
      </c>
      <c r="Z1247" t="str">
        <f t="shared" si="136"/>
        <v>ok</v>
      </c>
      <c r="AA1247" s="4" t="str">
        <f t="shared" si="137"/>
        <v>ok</v>
      </c>
      <c r="AB1247" s="4" t="str">
        <f t="shared" si="138"/>
        <v>ok</v>
      </c>
      <c r="AC1247" s="6">
        <f t="shared" si="139"/>
        <v>34.317353055404965</v>
      </c>
    </row>
    <row r="1248" spans="1:29" x14ac:dyDescent="0.3">
      <c r="A1248" t="s">
        <v>22</v>
      </c>
      <c r="B1248">
        <v>2583</v>
      </c>
      <c r="C1248" t="s">
        <v>33</v>
      </c>
      <c r="D1248" t="s">
        <v>43</v>
      </c>
      <c r="E1248" t="s">
        <v>44</v>
      </c>
      <c r="F1248" t="s">
        <v>26</v>
      </c>
      <c r="G1248" t="s">
        <v>52</v>
      </c>
      <c r="H1248" s="1">
        <v>45118.902951388889</v>
      </c>
      <c r="I1248" s="1">
        <v>45119.902951388889</v>
      </c>
      <c r="J1248" s="1">
        <v>45118.904340277775</v>
      </c>
      <c r="K1248" s="2">
        <v>45118.903379398151</v>
      </c>
      <c r="L1248" t="s">
        <v>28</v>
      </c>
      <c r="M1248" s="2">
        <v>45119.569876296293</v>
      </c>
      <c r="N1248" t="s">
        <v>28</v>
      </c>
      <c r="O1248" s="2">
        <v>45124.355104513888</v>
      </c>
      <c r="P1248">
        <v>5</v>
      </c>
      <c r="Q1248">
        <v>2</v>
      </c>
      <c r="R1248" t="s">
        <v>39</v>
      </c>
      <c r="S1248" t="s">
        <v>30</v>
      </c>
      <c r="T1248" t="s">
        <v>51</v>
      </c>
      <c r="U1248">
        <v>39.673369999999998</v>
      </c>
      <c r="V1248">
        <v>-4.7677259999999997</v>
      </c>
      <c r="W1248" t="str">
        <f t="shared" si="134"/>
        <v>ok</v>
      </c>
      <c r="X1248" t="str">
        <f t="shared" si="140"/>
        <v>ok</v>
      </c>
      <c r="Y1248" t="str">
        <f t="shared" si="135"/>
        <v>ok</v>
      </c>
      <c r="Z1248" t="str">
        <f t="shared" si="136"/>
        <v>ok</v>
      </c>
      <c r="AA1248" s="4" t="str">
        <f t="shared" si="137"/>
        <v>ok</v>
      </c>
      <c r="AB1248" s="4" t="str">
        <f t="shared" si="138"/>
        <v>ok</v>
      </c>
      <c r="AC1248" s="6">
        <f t="shared" si="139"/>
        <v>16.00619777769316</v>
      </c>
    </row>
    <row r="1249" spans="1:29" x14ac:dyDescent="0.3">
      <c r="A1249" t="s">
        <v>22</v>
      </c>
      <c r="B1249">
        <v>2584</v>
      </c>
      <c r="C1249" t="s">
        <v>47</v>
      </c>
      <c r="D1249" t="s">
        <v>24</v>
      </c>
      <c r="E1249" t="s">
        <v>44</v>
      </c>
      <c r="F1249" t="s">
        <v>36</v>
      </c>
      <c r="G1249" t="s">
        <v>64</v>
      </c>
      <c r="H1249" s="1">
        <v>45118.919537037036</v>
      </c>
      <c r="I1249" s="1">
        <v>45120.919537037036</v>
      </c>
      <c r="J1249" s="1">
        <v>45118.9612037037</v>
      </c>
      <c r="K1249" s="2">
        <v>45118.959915370368</v>
      </c>
      <c r="L1249" t="s">
        <v>28</v>
      </c>
      <c r="M1249" s="2">
        <v>45119.955869756945</v>
      </c>
      <c r="N1249" t="s">
        <v>28</v>
      </c>
      <c r="O1249" s="2">
        <v>45123.132242199077</v>
      </c>
      <c r="P1249">
        <v>10</v>
      </c>
      <c r="Q1249">
        <v>3</v>
      </c>
      <c r="R1249" t="s">
        <v>39</v>
      </c>
      <c r="S1249" t="s">
        <v>40</v>
      </c>
      <c r="T1249" t="s">
        <v>66</v>
      </c>
      <c r="U1249">
        <v>48.864716000000001</v>
      </c>
      <c r="V1249">
        <v>2.3490139999999999</v>
      </c>
      <c r="W1249" t="str">
        <f t="shared" si="134"/>
        <v>ok</v>
      </c>
      <c r="X1249" t="str">
        <f t="shared" si="140"/>
        <v>ok</v>
      </c>
      <c r="Y1249" t="str">
        <f t="shared" si="135"/>
        <v>ok</v>
      </c>
      <c r="Z1249" t="str">
        <f t="shared" si="136"/>
        <v>ok</v>
      </c>
      <c r="AA1249" s="4" t="str">
        <f t="shared" si="137"/>
        <v>ok</v>
      </c>
      <c r="AB1249" s="4" t="str">
        <f t="shared" si="138"/>
        <v>ok</v>
      </c>
      <c r="AC1249" s="6">
        <f t="shared" si="139"/>
        <v>24.871985277801286</v>
      </c>
    </row>
    <row r="1250" spans="1:29" x14ac:dyDescent="0.3">
      <c r="A1250" t="s">
        <v>22</v>
      </c>
      <c r="B1250">
        <v>2585</v>
      </c>
      <c r="C1250" t="s">
        <v>23</v>
      </c>
      <c r="D1250" t="s">
        <v>34</v>
      </c>
      <c r="E1250" t="s">
        <v>25</v>
      </c>
      <c r="F1250" t="s">
        <v>26</v>
      </c>
      <c r="G1250" t="s">
        <v>52</v>
      </c>
      <c r="H1250" s="1">
        <v>45118.00644675926</v>
      </c>
      <c r="I1250" s="1">
        <v>45120.00644675926</v>
      </c>
      <c r="J1250" s="1">
        <v>45118.007835648146</v>
      </c>
      <c r="K1250" s="2">
        <v>45118.007721550923</v>
      </c>
      <c r="L1250" t="s">
        <v>28</v>
      </c>
      <c r="M1250" s="2">
        <v>45119.328419884259</v>
      </c>
      <c r="N1250" t="s">
        <v>28</v>
      </c>
      <c r="O1250" s="2">
        <v>45120.999430578704</v>
      </c>
      <c r="P1250">
        <v>4</v>
      </c>
      <c r="Q1250">
        <v>2</v>
      </c>
      <c r="R1250" t="s">
        <v>50</v>
      </c>
      <c r="S1250" t="s">
        <v>30</v>
      </c>
      <c r="T1250" t="s">
        <v>57</v>
      </c>
      <c r="U1250">
        <v>51.165691000000002</v>
      </c>
      <c r="V1250">
        <v>10.451525999999999</v>
      </c>
      <c r="W1250" t="str">
        <f t="shared" si="134"/>
        <v>ok</v>
      </c>
      <c r="X1250" t="str">
        <f t="shared" si="140"/>
        <v>ok</v>
      </c>
      <c r="Y1250" t="str">
        <f t="shared" si="135"/>
        <v>ok</v>
      </c>
      <c r="Z1250" t="str">
        <f t="shared" si="136"/>
        <v>ok</v>
      </c>
      <c r="AA1250" s="4" t="str">
        <f t="shared" si="137"/>
        <v>ok</v>
      </c>
      <c r="AB1250" s="4" t="str">
        <f t="shared" si="138"/>
        <v>ok</v>
      </c>
      <c r="AC1250" s="6">
        <f t="shared" si="139"/>
        <v>31.727354999980889</v>
      </c>
    </row>
    <row r="1251" spans="1:29" x14ac:dyDescent="0.3">
      <c r="A1251" t="s">
        <v>42</v>
      </c>
      <c r="B1251">
        <v>2586</v>
      </c>
      <c r="C1251" t="s">
        <v>47</v>
      </c>
      <c r="D1251" t="s">
        <v>43</v>
      </c>
      <c r="E1251" t="s">
        <v>25</v>
      </c>
      <c r="F1251" t="s">
        <v>26</v>
      </c>
      <c r="G1251" t="s">
        <v>49</v>
      </c>
      <c r="H1251" s="1">
        <v>45118.083287037036</v>
      </c>
      <c r="I1251" s="1">
        <v>45119.083287037036</v>
      </c>
      <c r="J1251" s="1">
        <v>45118.084675925929</v>
      </c>
      <c r="K1251" s="2">
        <v>45118.084453495372</v>
      </c>
      <c r="L1251" t="s">
        <v>28</v>
      </c>
      <c r="M1251" s="2">
        <v>45123.882378321759</v>
      </c>
      <c r="N1251" t="s">
        <v>38</v>
      </c>
      <c r="P1251">
        <v>3</v>
      </c>
      <c r="R1251" t="s">
        <v>50</v>
      </c>
      <c r="S1251" t="s">
        <v>30</v>
      </c>
      <c r="T1251" t="s">
        <v>57</v>
      </c>
      <c r="U1251">
        <v>51.165691000000002</v>
      </c>
      <c r="V1251">
        <v>10.451525999999999</v>
      </c>
      <c r="W1251" t="str">
        <f t="shared" si="134"/>
        <v>ok</v>
      </c>
      <c r="X1251" t="str">
        <f t="shared" si="140"/>
        <v>ok</v>
      </c>
      <c r="Y1251" t="str">
        <f t="shared" si="135"/>
        <v>ok</v>
      </c>
      <c r="Z1251" t="str">
        <f t="shared" si="136"/>
        <v>ok</v>
      </c>
      <c r="AA1251" s="4" t="str">
        <f t="shared" si="137"/>
        <v>ok</v>
      </c>
      <c r="AB1251" s="4" t="str">
        <f t="shared" si="138"/>
        <v>ok</v>
      </c>
      <c r="AC1251" s="6">
        <f t="shared" si="139"/>
        <v>139.17819083336508</v>
      </c>
    </row>
    <row r="1252" spans="1:29" x14ac:dyDescent="0.3">
      <c r="A1252" t="s">
        <v>22</v>
      </c>
      <c r="B1252">
        <v>2587</v>
      </c>
      <c r="C1252" t="s">
        <v>23</v>
      </c>
      <c r="D1252" t="s">
        <v>24</v>
      </c>
      <c r="E1252" t="s">
        <v>59</v>
      </c>
      <c r="F1252" t="s">
        <v>26</v>
      </c>
      <c r="G1252" t="s">
        <v>49</v>
      </c>
      <c r="H1252" s="1">
        <v>45118.20815972222</v>
      </c>
      <c r="I1252" s="1">
        <v>45120.20815972222</v>
      </c>
      <c r="J1252" s="1">
        <v>45118.249826388892</v>
      </c>
      <c r="K1252" s="2">
        <v>45118.231425879632</v>
      </c>
      <c r="L1252" t="s">
        <v>28</v>
      </c>
      <c r="M1252" s="2">
        <v>45119.804417233798</v>
      </c>
      <c r="N1252" t="s">
        <v>28</v>
      </c>
      <c r="O1252" s="2">
        <v>45124.409046678244</v>
      </c>
      <c r="P1252">
        <v>5</v>
      </c>
      <c r="Q1252">
        <v>3</v>
      </c>
      <c r="R1252" t="s">
        <v>29</v>
      </c>
      <c r="S1252" t="s">
        <v>30</v>
      </c>
      <c r="T1252" t="s">
        <v>56</v>
      </c>
      <c r="U1252">
        <v>52.536273000000001</v>
      </c>
      <c r="V1252">
        <v>19.050639</v>
      </c>
      <c r="W1252" t="str">
        <f t="shared" si="134"/>
        <v>ok</v>
      </c>
      <c r="X1252" t="str">
        <f t="shared" si="140"/>
        <v>ok</v>
      </c>
      <c r="Y1252" t="str">
        <f t="shared" si="135"/>
        <v>ok</v>
      </c>
      <c r="Z1252" t="str">
        <f t="shared" si="136"/>
        <v>ok</v>
      </c>
      <c r="AA1252" s="4" t="str">
        <f t="shared" si="137"/>
        <v>ok</v>
      </c>
      <c r="AB1252" s="4" t="str">
        <f t="shared" si="138"/>
        <v>ok</v>
      </c>
      <c r="AC1252" s="6">
        <f t="shared" si="139"/>
        <v>38.31018027785467</v>
      </c>
    </row>
    <row r="1253" spans="1:29" x14ac:dyDescent="0.3">
      <c r="A1253" t="s">
        <v>32</v>
      </c>
      <c r="B1253">
        <v>2588</v>
      </c>
      <c r="C1253" t="s">
        <v>47</v>
      </c>
      <c r="D1253" t="s">
        <v>24</v>
      </c>
      <c r="E1253" t="s">
        <v>35</v>
      </c>
      <c r="F1253" t="s">
        <v>26</v>
      </c>
      <c r="G1253" t="s">
        <v>52</v>
      </c>
      <c r="H1253" s="1">
        <v>45118.066354166665</v>
      </c>
      <c r="I1253" s="1">
        <v>45120.066354166665</v>
      </c>
      <c r="J1253" s="1">
        <v>45118.108020833337</v>
      </c>
      <c r="K1253" s="2">
        <v>45118.102108194442</v>
      </c>
      <c r="L1253" t="s">
        <v>28</v>
      </c>
      <c r="N1253" t="s">
        <v>38</v>
      </c>
      <c r="P1253">
        <v>10</v>
      </c>
      <c r="R1253" t="s">
        <v>29</v>
      </c>
      <c r="S1253" t="s">
        <v>30</v>
      </c>
      <c r="T1253" t="s">
        <v>65</v>
      </c>
      <c r="U1253">
        <v>46.149166399999999</v>
      </c>
      <c r="V1253">
        <v>14.9860106</v>
      </c>
      <c r="W1253" t="str">
        <f t="shared" si="134"/>
        <v>ok</v>
      </c>
      <c r="X1253" t="str">
        <f t="shared" si="140"/>
        <v>ok</v>
      </c>
      <c r="Y1253" t="str">
        <f t="shared" si="135"/>
        <v>ok</v>
      </c>
      <c r="Z1253" t="str">
        <f t="shared" si="136"/>
        <v>ok</v>
      </c>
      <c r="AA1253" s="4" t="str">
        <f t="shared" si="137"/>
        <v>ok</v>
      </c>
      <c r="AB1253" s="4" t="str">
        <f t="shared" si="138"/>
        <v>no resolution</v>
      </c>
      <c r="AC1253" s="6" t="str">
        <f t="shared" si="139"/>
        <v/>
      </c>
    </row>
    <row r="1254" spans="1:29" x14ac:dyDescent="0.3">
      <c r="A1254" t="s">
        <v>42</v>
      </c>
      <c r="B1254">
        <v>2589</v>
      </c>
      <c r="C1254" t="s">
        <v>23</v>
      </c>
      <c r="D1254" t="s">
        <v>43</v>
      </c>
      <c r="E1254" t="s">
        <v>25</v>
      </c>
      <c r="F1254" t="s">
        <v>26</v>
      </c>
      <c r="G1254" t="s">
        <v>45</v>
      </c>
      <c r="H1254" s="1">
        <v>45118.128981481481</v>
      </c>
      <c r="I1254" s="1">
        <v>45119.128981481481</v>
      </c>
      <c r="J1254" s="1">
        <v>45118.130370370367</v>
      </c>
      <c r="K1254" s="2">
        <v>45118.129511909719</v>
      </c>
      <c r="L1254" t="s">
        <v>28</v>
      </c>
      <c r="M1254" s="2">
        <v>45118.532662916667</v>
      </c>
      <c r="N1254" t="s">
        <v>28</v>
      </c>
      <c r="P1254">
        <v>6</v>
      </c>
      <c r="R1254" t="s">
        <v>50</v>
      </c>
      <c r="S1254" t="s">
        <v>30</v>
      </c>
      <c r="T1254" t="s">
        <v>57</v>
      </c>
      <c r="U1254">
        <v>51.165691000000002</v>
      </c>
      <c r="V1254">
        <v>10.451525999999999</v>
      </c>
      <c r="W1254" t="str">
        <f t="shared" si="134"/>
        <v>ok</v>
      </c>
      <c r="X1254" t="str">
        <f t="shared" si="140"/>
        <v>ok</v>
      </c>
      <c r="Y1254" t="str">
        <f t="shared" si="135"/>
        <v>ok</v>
      </c>
      <c r="Z1254" t="str">
        <f t="shared" si="136"/>
        <v>ok</v>
      </c>
      <c r="AA1254" s="4" t="str">
        <f t="shared" si="137"/>
        <v>ok</v>
      </c>
      <c r="AB1254" s="4" t="str">
        <f t="shared" si="138"/>
        <v>ok</v>
      </c>
      <c r="AC1254" s="6">
        <f t="shared" si="139"/>
        <v>9.6883544444572181</v>
      </c>
    </row>
    <row r="1255" spans="1:29" x14ac:dyDescent="0.3">
      <c r="A1255" t="s">
        <v>22</v>
      </c>
      <c r="B1255">
        <v>2590</v>
      </c>
      <c r="C1255" t="s">
        <v>47</v>
      </c>
      <c r="D1255" t="s">
        <v>24</v>
      </c>
      <c r="E1255" t="s">
        <v>48</v>
      </c>
      <c r="F1255" t="s">
        <v>26</v>
      </c>
      <c r="G1255" t="s">
        <v>52</v>
      </c>
      <c r="H1255" s="1">
        <v>45119.670208333337</v>
      </c>
      <c r="I1255" s="1">
        <v>45121.670208333337</v>
      </c>
      <c r="J1255" s="1">
        <v>45119.711875000001</v>
      </c>
      <c r="K1255" s="2">
        <v>45119.708104490739</v>
      </c>
      <c r="L1255" t="s">
        <v>28</v>
      </c>
      <c r="M1255" s="2">
        <v>45124.734643599535</v>
      </c>
      <c r="N1255" t="s">
        <v>38</v>
      </c>
      <c r="O1255" s="2">
        <v>45125.249761620369</v>
      </c>
      <c r="P1255">
        <v>2</v>
      </c>
      <c r="Q1255">
        <v>3</v>
      </c>
      <c r="R1255" t="s">
        <v>29</v>
      </c>
      <c r="S1255" t="s">
        <v>30</v>
      </c>
      <c r="T1255" t="s">
        <v>66</v>
      </c>
      <c r="U1255">
        <v>48.864716000000001</v>
      </c>
      <c r="V1255">
        <v>2.3490139999999999</v>
      </c>
      <c r="W1255" t="str">
        <f t="shared" si="134"/>
        <v>ok</v>
      </c>
      <c r="X1255" t="str">
        <f t="shared" si="140"/>
        <v>ok</v>
      </c>
      <c r="Y1255" t="str">
        <f t="shared" si="135"/>
        <v>ok</v>
      </c>
      <c r="Z1255" t="str">
        <f t="shared" si="136"/>
        <v>ok</v>
      </c>
      <c r="AA1255" s="4" t="str">
        <f t="shared" si="137"/>
        <v>ok</v>
      </c>
      <c r="AB1255" s="4" t="str">
        <f t="shared" si="138"/>
        <v>ok</v>
      </c>
      <c r="AC1255" s="6">
        <f t="shared" si="139"/>
        <v>121.54644638876198</v>
      </c>
    </row>
    <row r="1256" spans="1:29" x14ac:dyDescent="0.3">
      <c r="A1256" t="s">
        <v>32</v>
      </c>
      <c r="B1256">
        <v>2591</v>
      </c>
      <c r="C1256" t="s">
        <v>23</v>
      </c>
      <c r="D1256" t="s">
        <v>24</v>
      </c>
      <c r="E1256" t="s">
        <v>44</v>
      </c>
      <c r="F1256" t="s">
        <v>26</v>
      </c>
      <c r="G1256" t="s">
        <v>45</v>
      </c>
      <c r="H1256" s="1">
        <v>45119.313958333332</v>
      </c>
      <c r="I1256" s="1">
        <v>45121.313958333332</v>
      </c>
      <c r="J1256" s="1">
        <v>45119.355624999997</v>
      </c>
      <c r="K1256" s="2">
        <v>45119.327106435187</v>
      </c>
      <c r="L1256" t="s">
        <v>28</v>
      </c>
      <c r="N1256" t="s">
        <v>38</v>
      </c>
      <c r="P1256">
        <v>9</v>
      </c>
      <c r="R1256" t="s">
        <v>50</v>
      </c>
      <c r="S1256" t="s">
        <v>30</v>
      </c>
      <c r="T1256" t="s">
        <v>57</v>
      </c>
      <c r="U1256">
        <v>51.165691000000002</v>
      </c>
      <c r="V1256">
        <v>10.451525999999999</v>
      </c>
      <c r="W1256" t="str">
        <f t="shared" si="134"/>
        <v>ok</v>
      </c>
      <c r="X1256" t="str">
        <f t="shared" si="140"/>
        <v>ok</v>
      </c>
      <c r="Y1256" t="str">
        <f t="shared" si="135"/>
        <v>ok</v>
      </c>
      <c r="Z1256" t="str">
        <f t="shared" si="136"/>
        <v>ok</v>
      </c>
      <c r="AA1256" s="4" t="str">
        <f t="shared" si="137"/>
        <v>ok</v>
      </c>
      <c r="AB1256" s="4" t="str">
        <f t="shared" si="138"/>
        <v>no resolution</v>
      </c>
      <c r="AC1256" s="6" t="str">
        <f t="shared" si="139"/>
        <v/>
      </c>
    </row>
    <row r="1257" spans="1:29" x14ac:dyDescent="0.3">
      <c r="A1257" t="s">
        <v>22</v>
      </c>
      <c r="B1257">
        <v>2592</v>
      </c>
      <c r="C1257" t="s">
        <v>23</v>
      </c>
      <c r="D1257" t="s">
        <v>43</v>
      </c>
      <c r="E1257" t="s">
        <v>35</v>
      </c>
      <c r="F1257" t="s">
        <v>26</v>
      </c>
      <c r="G1257" t="s">
        <v>45</v>
      </c>
      <c r="H1257" s="1">
        <v>45119.67</v>
      </c>
      <c r="I1257" s="1">
        <v>45120.67</v>
      </c>
      <c r="J1257" s="1">
        <v>45119.671388888892</v>
      </c>
      <c r="K1257" s="2">
        <v>45119.671844814817</v>
      </c>
      <c r="L1257" t="s">
        <v>38</v>
      </c>
      <c r="M1257" s="2">
        <v>45119.715107928241</v>
      </c>
      <c r="N1257" t="s">
        <v>28</v>
      </c>
      <c r="O1257" s="2">
        <v>45122.296462453705</v>
      </c>
      <c r="P1257">
        <v>6</v>
      </c>
      <c r="Q1257">
        <v>3</v>
      </c>
      <c r="R1257" t="s">
        <v>50</v>
      </c>
      <c r="S1257" t="s">
        <v>30</v>
      </c>
      <c r="T1257" t="s">
        <v>63</v>
      </c>
      <c r="U1257">
        <v>55.378051999999997</v>
      </c>
      <c r="V1257">
        <v>-3.4359730000000002</v>
      </c>
      <c r="W1257" t="str">
        <f t="shared" si="134"/>
        <v>ok</v>
      </c>
      <c r="X1257" t="str">
        <f t="shared" si="140"/>
        <v>ok</v>
      </c>
      <c r="Y1257" t="str">
        <f t="shared" si="135"/>
        <v>ok</v>
      </c>
      <c r="Z1257" t="str">
        <f t="shared" si="136"/>
        <v>ok</v>
      </c>
      <c r="AA1257" s="4" t="str">
        <f t="shared" si="137"/>
        <v>ok</v>
      </c>
      <c r="AB1257" s="4" t="str">
        <f t="shared" si="138"/>
        <v>ok</v>
      </c>
      <c r="AC1257" s="6">
        <f t="shared" si="139"/>
        <v>1.0825902778306045</v>
      </c>
    </row>
    <row r="1258" spans="1:29" x14ac:dyDescent="0.3">
      <c r="A1258" t="s">
        <v>22</v>
      </c>
      <c r="B1258">
        <v>2593</v>
      </c>
      <c r="C1258" t="s">
        <v>23</v>
      </c>
      <c r="D1258" t="s">
        <v>43</v>
      </c>
      <c r="E1258" t="s">
        <v>48</v>
      </c>
      <c r="F1258" t="s">
        <v>36</v>
      </c>
      <c r="G1258" t="s">
        <v>54</v>
      </c>
      <c r="H1258" s="1">
        <v>45119.169942129629</v>
      </c>
      <c r="I1258" s="1">
        <v>45120.169942129629</v>
      </c>
      <c r="J1258" s="1">
        <v>45119.171331018515</v>
      </c>
      <c r="K1258" s="2">
        <v>45119.171025740739</v>
      </c>
      <c r="L1258" t="s">
        <v>28</v>
      </c>
      <c r="M1258" s="2">
        <v>45119.552336064815</v>
      </c>
      <c r="N1258" t="s">
        <v>28</v>
      </c>
      <c r="O1258" s="2">
        <v>45119.914233622687</v>
      </c>
      <c r="P1258">
        <v>4</v>
      </c>
      <c r="Q1258">
        <v>4</v>
      </c>
      <c r="R1258" t="s">
        <v>50</v>
      </c>
      <c r="S1258" t="s">
        <v>40</v>
      </c>
      <c r="T1258" t="s">
        <v>41</v>
      </c>
      <c r="U1258">
        <v>43.036776000000003</v>
      </c>
      <c r="V1258">
        <v>12.678565000000001</v>
      </c>
      <c r="W1258" t="str">
        <f t="shared" si="134"/>
        <v>ok</v>
      </c>
      <c r="X1258" t="str">
        <f t="shared" si="140"/>
        <v>ok</v>
      </c>
      <c r="Y1258" t="str">
        <f t="shared" si="135"/>
        <v>ok</v>
      </c>
      <c r="Z1258" t="str">
        <f t="shared" si="136"/>
        <v>ok</v>
      </c>
      <c r="AA1258" s="4" t="str">
        <f t="shared" si="137"/>
        <v>ok</v>
      </c>
      <c r="AB1258" s="4" t="str">
        <f t="shared" si="138"/>
        <v>ok</v>
      </c>
      <c r="AC1258" s="6">
        <f t="shared" si="139"/>
        <v>9.1774544444633648</v>
      </c>
    </row>
    <row r="1259" spans="1:29" x14ac:dyDescent="0.3">
      <c r="A1259" t="s">
        <v>32</v>
      </c>
      <c r="B1259">
        <v>2594</v>
      </c>
      <c r="C1259" t="s">
        <v>47</v>
      </c>
      <c r="D1259" t="s">
        <v>24</v>
      </c>
      <c r="E1259" t="s">
        <v>44</v>
      </c>
      <c r="F1259" t="s">
        <v>26</v>
      </c>
      <c r="G1259" t="s">
        <v>49</v>
      </c>
      <c r="H1259" s="1">
        <v>45119.740787037037</v>
      </c>
      <c r="I1259" s="1">
        <v>45121.740787037037</v>
      </c>
      <c r="J1259" s="1">
        <v>45119.782453703701</v>
      </c>
      <c r="K1259" s="2">
        <v>45119.766521307873</v>
      </c>
      <c r="L1259" t="s">
        <v>28</v>
      </c>
      <c r="N1259" t="s">
        <v>38</v>
      </c>
      <c r="P1259">
        <v>1</v>
      </c>
      <c r="R1259" t="s">
        <v>50</v>
      </c>
      <c r="S1259" t="s">
        <v>30</v>
      </c>
      <c r="T1259" t="s">
        <v>63</v>
      </c>
      <c r="U1259">
        <v>55.378051999999997</v>
      </c>
      <c r="V1259">
        <v>-3.4359730000000002</v>
      </c>
      <c r="W1259" t="str">
        <f t="shared" si="134"/>
        <v>ok</v>
      </c>
      <c r="X1259" t="str">
        <f t="shared" si="140"/>
        <v>ok</v>
      </c>
      <c r="Y1259" t="str">
        <f t="shared" si="135"/>
        <v>ok</v>
      </c>
      <c r="Z1259" t="str">
        <f t="shared" si="136"/>
        <v>ok</v>
      </c>
      <c r="AA1259" s="4" t="str">
        <f t="shared" si="137"/>
        <v>ok</v>
      </c>
      <c r="AB1259" s="4" t="str">
        <f t="shared" si="138"/>
        <v>no resolution</v>
      </c>
      <c r="AC1259" s="6" t="str">
        <f t="shared" si="139"/>
        <v/>
      </c>
    </row>
    <row r="1260" spans="1:29" x14ac:dyDescent="0.3">
      <c r="A1260" t="s">
        <v>22</v>
      </c>
      <c r="B1260">
        <v>2595</v>
      </c>
      <c r="C1260" t="s">
        <v>23</v>
      </c>
      <c r="D1260" t="s">
        <v>43</v>
      </c>
      <c r="E1260" t="s">
        <v>48</v>
      </c>
      <c r="F1260" t="s">
        <v>26</v>
      </c>
      <c r="G1260" t="s">
        <v>45</v>
      </c>
      <c r="H1260" s="1">
        <v>45119.867569444446</v>
      </c>
      <c r="I1260" s="1">
        <v>45120.867569444446</v>
      </c>
      <c r="J1260" s="1">
        <v>45119.868958333333</v>
      </c>
      <c r="K1260" s="2">
        <v>45119.868660682871</v>
      </c>
      <c r="L1260" t="s">
        <v>28</v>
      </c>
      <c r="M1260" s="2">
        <v>45120.471071631946</v>
      </c>
      <c r="N1260" t="s">
        <v>28</v>
      </c>
      <c r="O1260" s="2">
        <v>45120.735569467593</v>
      </c>
      <c r="P1260">
        <v>6</v>
      </c>
      <c r="Q1260">
        <v>3</v>
      </c>
      <c r="R1260" t="s">
        <v>50</v>
      </c>
      <c r="S1260" t="s">
        <v>30</v>
      </c>
      <c r="T1260" t="s">
        <v>56</v>
      </c>
      <c r="U1260">
        <v>52.536273000000001</v>
      </c>
      <c r="V1260">
        <v>19.050639</v>
      </c>
      <c r="W1260" t="str">
        <f t="shared" si="134"/>
        <v>ok</v>
      </c>
      <c r="X1260" t="str">
        <f t="shared" si="140"/>
        <v>ok</v>
      </c>
      <c r="Y1260" t="str">
        <f t="shared" si="135"/>
        <v>ok</v>
      </c>
      <c r="Z1260" t="str">
        <f t="shared" si="136"/>
        <v>ok</v>
      </c>
      <c r="AA1260" s="4" t="str">
        <f t="shared" si="137"/>
        <v>ok</v>
      </c>
      <c r="AB1260" s="4" t="str">
        <f t="shared" si="138"/>
        <v>ok</v>
      </c>
      <c r="AC1260" s="6">
        <f t="shared" si="139"/>
        <v>14.484052499989048</v>
      </c>
    </row>
    <row r="1261" spans="1:29" x14ac:dyDescent="0.3">
      <c r="A1261" t="s">
        <v>22</v>
      </c>
      <c r="B1261">
        <v>2596</v>
      </c>
      <c r="C1261" t="s">
        <v>47</v>
      </c>
      <c r="D1261" t="s">
        <v>34</v>
      </c>
      <c r="E1261" t="s">
        <v>48</v>
      </c>
      <c r="F1261" t="s">
        <v>26</v>
      </c>
      <c r="G1261" t="s">
        <v>60</v>
      </c>
      <c r="H1261" s="1">
        <v>45119.894837962966</v>
      </c>
      <c r="I1261" s="1">
        <v>45121.894837962966</v>
      </c>
      <c r="J1261" s="1">
        <v>45119.896226851852</v>
      </c>
      <c r="K1261" s="2">
        <v>45119.895473796299</v>
      </c>
      <c r="L1261" t="s">
        <v>28</v>
      </c>
      <c r="M1261" s="2">
        <v>45125.47030990741</v>
      </c>
      <c r="N1261" t="s">
        <v>38</v>
      </c>
      <c r="O1261" s="2">
        <v>45126.728119004627</v>
      </c>
      <c r="P1261">
        <v>3</v>
      </c>
      <c r="Q1261">
        <v>4</v>
      </c>
      <c r="R1261" t="s">
        <v>50</v>
      </c>
      <c r="S1261" t="s">
        <v>30</v>
      </c>
      <c r="T1261" t="s">
        <v>41</v>
      </c>
      <c r="U1261">
        <v>43.036776000000003</v>
      </c>
      <c r="V1261">
        <v>12.678565000000001</v>
      </c>
      <c r="W1261" t="str">
        <f t="shared" si="134"/>
        <v>ok</v>
      </c>
      <c r="X1261" t="str">
        <f t="shared" si="140"/>
        <v>ok</v>
      </c>
      <c r="Y1261" t="str">
        <f t="shared" si="135"/>
        <v>ok</v>
      </c>
      <c r="Z1261" t="str">
        <f t="shared" si="136"/>
        <v>ok</v>
      </c>
      <c r="AA1261" s="4" t="str">
        <f t="shared" si="137"/>
        <v>ok</v>
      </c>
      <c r="AB1261" s="4" t="str">
        <f t="shared" si="138"/>
        <v>ok</v>
      </c>
      <c r="AC1261" s="6">
        <f t="shared" si="139"/>
        <v>133.81132666667691</v>
      </c>
    </row>
    <row r="1262" spans="1:29" x14ac:dyDescent="0.3">
      <c r="A1262" t="s">
        <v>22</v>
      </c>
      <c r="B1262">
        <v>2597</v>
      </c>
      <c r="C1262" t="s">
        <v>47</v>
      </c>
      <c r="D1262" t="s">
        <v>43</v>
      </c>
      <c r="E1262" t="s">
        <v>25</v>
      </c>
      <c r="F1262" t="s">
        <v>26</v>
      </c>
      <c r="G1262" t="s">
        <v>52</v>
      </c>
      <c r="H1262" s="1">
        <v>45119.653124999997</v>
      </c>
      <c r="I1262" s="1">
        <v>45120.653124999997</v>
      </c>
      <c r="J1262" s="1">
        <v>45119.654513888891</v>
      </c>
      <c r="K1262" s="2">
        <v>45119.654337638887</v>
      </c>
      <c r="L1262" t="s">
        <v>28</v>
      </c>
      <c r="M1262" s="2">
        <v>45120.044313599537</v>
      </c>
      <c r="N1262" t="s">
        <v>28</v>
      </c>
      <c r="O1262" s="2">
        <v>45120.466601782406</v>
      </c>
      <c r="P1262">
        <v>3</v>
      </c>
      <c r="Q1262">
        <v>4</v>
      </c>
      <c r="R1262" t="s">
        <v>50</v>
      </c>
      <c r="S1262" t="s">
        <v>30</v>
      </c>
      <c r="T1262" t="s">
        <v>65</v>
      </c>
      <c r="U1262">
        <v>46.149166399999999</v>
      </c>
      <c r="V1262">
        <v>14.9860106</v>
      </c>
      <c r="W1262" t="str">
        <f t="shared" si="134"/>
        <v>ok</v>
      </c>
      <c r="X1262" t="str">
        <f t="shared" si="140"/>
        <v>ok</v>
      </c>
      <c r="Y1262" t="str">
        <f t="shared" si="135"/>
        <v>ok</v>
      </c>
      <c r="Z1262" t="str">
        <f t="shared" si="136"/>
        <v>ok</v>
      </c>
      <c r="AA1262" s="4" t="str">
        <f t="shared" si="137"/>
        <v>ok</v>
      </c>
      <c r="AB1262" s="4" t="str">
        <f t="shared" si="138"/>
        <v>ok</v>
      </c>
      <c r="AC1262" s="6">
        <f t="shared" si="139"/>
        <v>9.3885263889678754</v>
      </c>
    </row>
    <row r="1263" spans="1:29" x14ac:dyDescent="0.3">
      <c r="A1263" t="s">
        <v>42</v>
      </c>
      <c r="B1263">
        <v>2598</v>
      </c>
      <c r="C1263" t="s">
        <v>23</v>
      </c>
      <c r="D1263" t="s">
        <v>43</v>
      </c>
      <c r="E1263" t="s">
        <v>25</v>
      </c>
      <c r="F1263" t="s">
        <v>26</v>
      </c>
      <c r="G1263" t="s">
        <v>52</v>
      </c>
      <c r="H1263" s="1">
        <v>45119.729502314818</v>
      </c>
      <c r="I1263" s="1">
        <v>45120.729502314818</v>
      </c>
      <c r="J1263" s="1">
        <v>45119.730891203704</v>
      </c>
      <c r="K1263" s="2">
        <v>45119.732444687499</v>
      </c>
      <c r="L1263" t="s">
        <v>38</v>
      </c>
      <c r="M1263" s="2">
        <v>45119.938831504631</v>
      </c>
      <c r="N1263" t="s">
        <v>28</v>
      </c>
      <c r="P1263">
        <v>60</v>
      </c>
      <c r="R1263" t="s">
        <v>50</v>
      </c>
      <c r="S1263" t="s">
        <v>30</v>
      </c>
      <c r="T1263" t="s">
        <v>63</v>
      </c>
      <c r="U1263">
        <v>55.378051999999997</v>
      </c>
      <c r="V1263">
        <v>-3.4359730000000002</v>
      </c>
      <c r="W1263" t="str">
        <f t="shared" si="134"/>
        <v>ok</v>
      </c>
      <c r="X1263" t="str">
        <f t="shared" si="140"/>
        <v>ok</v>
      </c>
      <c r="Y1263" t="str">
        <f t="shared" si="135"/>
        <v>ok</v>
      </c>
      <c r="Z1263" t="str">
        <f t="shared" si="136"/>
        <v>ok</v>
      </c>
      <c r="AA1263" s="4" t="str">
        <f t="shared" si="137"/>
        <v>ok</v>
      </c>
      <c r="AB1263" s="4" t="str">
        <f t="shared" si="138"/>
        <v>ok</v>
      </c>
      <c r="AC1263" s="6">
        <f t="shared" si="139"/>
        <v>5.0239005555049516</v>
      </c>
    </row>
    <row r="1264" spans="1:29" x14ac:dyDescent="0.3">
      <c r="A1264" t="s">
        <v>32</v>
      </c>
      <c r="B1264">
        <v>2599</v>
      </c>
      <c r="C1264" t="s">
        <v>33</v>
      </c>
      <c r="D1264" t="s">
        <v>34</v>
      </c>
      <c r="E1264" t="s">
        <v>35</v>
      </c>
      <c r="F1264" t="s">
        <v>26</v>
      </c>
      <c r="G1264" t="s">
        <v>49</v>
      </c>
      <c r="H1264" s="1">
        <v>45120.718391203707</v>
      </c>
      <c r="I1264" s="1">
        <v>45122.718391203707</v>
      </c>
      <c r="J1264" s="1">
        <v>45120.719780092593</v>
      </c>
      <c r="K1264" s="2">
        <v>45120.718826122684</v>
      </c>
      <c r="L1264" t="s">
        <v>28</v>
      </c>
      <c r="N1264" t="s">
        <v>38</v>
      </c>
      <c r="P1264">
        <v>2</v>
      </c>
      <c r="R1264" t="s">
        <v>55</v>
      </c>
      <c r="S1264" t="s">
        <v>30</v>
      </c>
      <c r="T1264" t="s">
        <v>57</v>
      </c>
      <c r="U1264">
        <v>51.165691000000002</v>
      </c>
      <c r="V1264">
        <v>10.451525999999999</v>
      </c>
      <c r="W1264" t="str">
        <f t="shared" si="134"/>
        <v>ok</v>
      </c>
      <c r="X1264" t="str">
        <f t="shared" si="140"/>
        <v>ok</v>
      </c>
      <c r="Y1264" t="str">
        <f t="shared" si="135"/>
        <v>ok</v>
      </c>
      <c r="Z1264" t="str">
        <f t="shared" si="136"/>
        <v>ok</v>
      </c>
      <c r="AA1264" s="4" t="str">
        <f t="shared" si="137"/>
        <v>ok</v>
      </c>
      <c r="AB1264" s="4" t="str">
        <f t="shared" si="138"/>
        <v>no resolution</v>
      </c>
      <c r="AC1264" s="6" t="str">
        <f t="shared" si="139"/>
        <v/>
      </c>
    </row>
    <row r="1265" spans="1:29" x14ac:dyDescent="0.3">
      <c r="A1265" t="s">
        <v>42</v>
      </c>
      <c r="B1265">
        <v>2600</v>
      </c>
      <c r="C1265" t="s">
        <v>47</v>
      </c>
      <c r="D1265" t="s">
        <v>34</v>
      </c>
      <c r="E1265" t="s">
        <v>48</v>
      </c>
      <c r="F1265" t="s">
        <v>36</v>
      </c>
      <c r="G1265" t="s">
        <v>37</v>
      </c>
      <c r="H1265" s="1">
        <v>45120.29351851852</v>
      </c>
      <c r="I1265" s="1">
        <v>45122.29351851852</v>
      </c>
      <c r="J1265" s="1">
        <v>45120.294907407406</v>
      </c>
      <c r="K1265" s="2">
        <v>45120.294524976853</v>
      </c>
      <c r="L1265" t="s">
        <v>28</v>
      </c>
      <c r="M1265" s="2">
        <v>45120.915793645836</v>
      </c>
      <c r="N1265" t="s">
        <v>28</v>
      </c>
      <c r="P1265">
        <v>1</v>
      </c>
      <c r="R1265" t="s">
        <v>29</v>
      </c>
      <c r="S1265" t="s">
        <v>40</v>
      </c>
      <c r="T1265" t="s">
        <v>56</v>
      </c>
      <c r="U1265">
        <v>52.536273000000001</v>
      </c>
      <c r="V1265">
        <v>19.050639</v>
      </c>
      <c r="W1265" t="str">
        <f t="shared" si="134"/>
        <v>ok</v>
      </c>
      <c r="X1265" t="str">
        <f t="shared" si="140"/>
        <v>ok</v>
      </c>
      <c r="Y1265" t="str">
        <f t="shared" si="135"/>
        <v>ok</v>
      </c>
      <c r="Z1265" t="str">
        <f t="shared" si="136"/>
        <v>ok</v>
      </c>
      <c r="AA1265" s="4" t="str">
        <f t="shared" si="137"/>
        <v>ok</v>
      </c>
      <c r="AB1265" s="4" t="str">
        <f t="shared" si="138"/>
        <v>ok</v>
      </c>
      <c r="AC1265" s="6">
        <f t="shared" si="139"/>
        <v>14.934603055589832</v>
      </c>
    </row>
    <row r="1266" spans="1:29" x14ac:dyDescent="0.3">
      <c r="A1266" t="s">
        <v>22</v>
      </c>
      <c r="B1266">
        <v>2601</v>
      </c>
      <c r="C1266" t="s">
        <v>47</v>
      </c>
      <c r="D1266" t="s">
        <v>43</v>
      </c>
      <c r="E1266" t="s">
        <v>59</v>
      </c>
      <c r="F1266" t="s">
        <v>26</v>
      </c>
      <c r="G1266" t="s">
        <v>45</v>
      </c>
      <c r="H1266" s="1">
        <v>45120.298032407409</v>
      </c>
      <c r="I1266" s="1">
        <v>45121.298032407409</v>
      </c>
      <c r="J1266" s="1">
        <v>45120.299421296295</v>
      </c>
      <c r="K1266" s="2">
        <v>45120.298144039349</v>
      </c>
      <c r="L1266" t="s">
        <v>28</v>
      </c>
      <c r="M1266" s="2">
        <v>45120.859772337964</v>
      </c>
      <c r="N1266" t="s">
        <v>28</v>
      </c>
      <c r="O1266" s="2">
        <v>45125.664290138891</v>
      </c>
      <c r="P1266">
        <v>6</v>
      </c>
      <c r="Q1266">
        <v>3</v>
      </c>
      <c r="R1266" t="s">
        <v>55</v>
      </c>
      <c r="S1266" t="s">
        <v>30</v>
      </c>
      <c r="T1266" t="s">
        <v>63</v>
      </c>
      <c r="U1266">
        <v>55.378051999999997</v>
      </c>
      <c r="V1266">
        <v>-3.4359730000000002</v>
      </c>
      <c r="W1266" t="str">
        <f t="shared" si="134"/>
        <v>ok</v>
      </c>
      <c r="X1266" t="str">
        <f t="shared" si="140"/>
        <v>ok</v>
      </c>
      <c r="Y1266" t="str">
        <f t="shared" si="135"/>
        <v>ok</v>
      </c>
      <c r="Z1266" t="str">
        <f t="shared" si="136"/>
        <v>ok</v>
      </c>
      <c r="AA1266" s="4" t="str">
        <f t="shared" si="137"/>
        <v>ok</v>
      </c>
      <c r="AB1266" s="4" t="str">
        <f t="shared" si="138"/>
        <v>ok</v>
      </c>
      <c r="AC1266" s="6">
        <f t="shared" si="139"/>
        <v>13.481758333335165</v>
      </c>
    </row>
    <row r="1267" spans="1:29" x14ac:dyDescent="0.3">
      <c r="A1267" t="s">
        <v>22</v>
      </c>
      <c r="B1267">
        <v>2602</v>
      </c>
      <c r="C1267" t="s">
        <v>47</v>
      </c>
      <c r="D1267" t="s">
        <v>43</v>
      </c>
      <c r="E1267" t="s">
        <v>48</v>
      </c>
      <c r="F1267" t="s">
        <v>26</v>
      </c>
      <c r="G1267" t="s">
        <v>49</v>
      </c>
      <c r="H1267" s="1">
        <v>45120.246423611112</v>
      </c>
      <c r="I1267" s="1">
        <v>45121.246423611112</v>
      </c>
      <c r="J1267" s="1">
        <v>45120.247812499998</v>
      </c>
      <c r="K1267" s="2">
        <v>45120.247674166669</v>
      </c>
      <c r="L1267" t="s">
        <v>28</v>
      </c>
      <c r="M1267" s="2">
        <v>45125.72252920139</v>
      </c>
      <c r="N1267" t="s">
        <v>38</v>
      </c>
      <c r="O1267" s="2">
        <v>45126.668171342593</v>
      </c>
      <c r="P1267">
        <v>6</v>
      </c>
      <c r="Q1267">
        <v>4</v>
      </c>
      <c r="R1267" t="s">
        <v>50</v>
      </c>
      <c r="S1267" t="s">
        <v>30</v>
      </c>
      <c r="T1267" t="s">
        <v>61</v>
      </c>
      <c r="U1267">
        <v>42.724992499999999</v>
      </c>
      <c r="V1267">
        <v>25.483303899999999</v>
      </c>
      <c r="W1267" t="str">
        <f t="shared" si="134"/>
        <v>ok</v>
      </c>
      <c r="X1267" t="str">
        <f t="shared" si="140"/>
        <v>ok</v>
      </c>
      <c r="Y1267" t="str">
        <f t="shared" si="135"/>
        <v>ok</v>
      </c>
      <c r="Z1267" t="str">
        <f t="shared" si="136"/>
        <v>ok</v>
      </c>
      <c r="AA1267" s="4" t="str">
        <f t="shared" si="137"/>
        <v>ok</v>
      </c>
      <c r="AB1267" s="4" t="str">
        <f t="shared" si="138"/>
        <v>ok</v>
      </c>
      <c r="AC1267" s="6">
        <f t="shared" si="139"/>
        <v>131.42653416667599</v>
      </c>
    </row>
    <row r="1268" spans="1:29" x14ac:dyDescent="0.3">
      <c r="A1268" t="s">
        <v>42</v>
      </c>
      <c r="B1268">
        <v>2603</v>
      </c>
      <c r="C1268" t="s">
        <v>47</v>
      </c>
      <c r="D1268" t="s">
        <v>24</v>
      </c>
      <c r="E1268" t="s">
        <v>44</v>
      </c>
      <c r="F1268" t="s">
        <v>26</v>
      </c>
      <c r="G1268" t="s">
        <v>45</v>
      </c>
      <c r="H1268" s="1">
        <v>45120.457349537035</v>
      </c>
      <c r="I1268" s="1">
        <v>45122.457349537035</v>
      </c>
      <c r="J1268" s="1">
        <v>45120.499016203707</v>
      </c>
      <c r="K1268" s="2">
        <v>45120.474150405091</v>
      </c>
      <c r="L1268" t="s">
        <v>28</v>
      </c>
      <c r="M1268" s="2">
        <v>45121.556310081018</v>
      </c>
      <c r="N1268" t="s">
        <v>28</v>
      </c>
      <c r="P1268">
        <v>1</v>
      </c>
      <c r="R1268" t="s">
        <v>50</v>
      </c>
      <c r="S1268" t="s">
        <v>30</v>
      </c>
      <c r="T1268" t="s">
        <v>56</v>
      </c>
      <c r="U1268">
        <v>52.536273000000001</v>
      </c>
      <c r="V1268">
        <v>19.050639</v>
      </c>
      <c r="W1268" t="str">
        <f t="shared" si="134"/>
        <v>ok</v>
      </c>
      <c r="X1268" t="str">
        <f t="shared" si="140"/>
        <v>ok</v>
      </c>
      <c r="Y1268" t="str">
        <f t="shared" si="135"/>
        <v>ok</v>
      </c>
      <c r="Z1268" t="str">
        <f t="shared" si="136"/>
        <v>ok</v>
      </c>
      <c r="AA1268" s="4" t="str">
        <f t="shared" si="137"/>
        <v>ok</v>
      </c>
      <c r="AB1268" s="4" t="str">
        <f t="shared" si="138"/>
        <v>ok</v>
      </c>
      <c r="AC1268" s="6">
        <f t="shared" si="139"/>
        <v>26.375053055584431</v>
      </c>
    </row>
    <row r="1269" spans="1:29" x14ac:dyDescent="0.3">
      <c r="A1269" t="s">
        <v>32</v>
      </c>
      <c r="B1269">
        <v>2604</v>
      </c>
      <c r="C1269" t="s">
        <v>33</v>
      </c>
      <c r="D1269" t="s">
        <v>24</v>
      </c>
      <c r="E1269" t="s">
        <v>39</v>
      </c>
      <c r="F1269" t="s">
        <v>36</v>
      </c>
      <c r="G1269" t="s">
        <v>37</v>
      </c>
      <c r="H1269" s="1">
        <v>45121.679907407408</v>
      </c>
      <c r="I1269" s="1">
        <v>45123.679907407408</v>
      </c>
      <c r="J1269" s="1">
        <v>45121.721574074072</v>
      </c>
      <c r="K1269" s="2">
        <v>45121.690145821762</v>
      </c>
      <c r="L1269" t="s">
        <v>28</v>
      </c>
      <c r="N1269" t="s">
        <v>38</v>
      </c>
      <c r="P1269">
        <v>10</v>
      </c>
      <c r="R1269" t="s">
        <v>50</v>
      </c>
      <c r="S1269" t="s">
        <v>40</v>
      </c>
      <c r="T1269" t="s">
        <v>56</v>
      </c>
      <c r="U1269">
        <v>52.536273000000001</v>
      </c>
      <c r="V1269">
        <v>19.050639</v>
      </c>
      <c r="W1269" t="str">
        <f t="shared" si="134"/>
        <v>ok</v>
      </c>
      <c r="X1269" t="str">
        <f t="shared" si="140"/>
        <v>ok</v>
      </c>
      <c r="Y1269" t="str">
        <f t="shared" si="135"/>
        <v>ok</v>
      </c>
      <c r="Z1269" t="str">
        <f t="shared" si="136"/>
        <v>ok</v>
      </c>
      <c r="AA1269" s="4" t="str">
        <f t="shared" si="137"/>
        <v>ok</v>
      </c>
      <c r="AB1269" s="4" t="str">
        <f t="shared" si="138"/>
        <v>no resolution</v>
      </c>
      <c r="AC1269" s="6" t="str">
        <f t="shared" si="139"/>
        <v/>
      </c>
    </row>
    <row r="1270" spans="1:29" x14ac:dyDescent="0.3">
      <c r="A1270" t="s">
        <v>22</v>
      </c>
      <c r="B1270">
        <v>2605</v>
      </c>
      <c r="C1270" t="s">
        <v>23</v>
      </c>
      <c r="D1270" t="s">
        <v>43</v>
      </c>
      <c r="E1270" t="s">
        <v>25</v>
      </c>
      <c r="F1270" t="s">
        <v>36</v>
      </c>
      <c r="G1270" t="s">
        <v>54</v>
      </c>
      <c r="H1270" s="1">
        <v>45121.832418981481</v>
      </c>
      <c r="I1270" s="1">
        <v>45122.832418981481</v>
      </c>
      <c r="J1270" s="1">
        <v>45121.833807870367</v>
      </c>
      <c r="K1270" s="2">
        <v>45121.832525914353</v>
      </c>
      <c r="L1270" t="s">
        <v>28</v>
      </c>
      <c r="M1270" s="2">
        <v>45122.504976550925</v>
      </c>
      <c r="N1270" t="s">
        <v>28</v>
      </c>
      <c r="O1270" s="2">
        <v>45124.053955763891</v>
      </c>
      <c r="P1270">
        <v>6</v>
      </c>
      <c r="Q1270">
        <v>4</v>
      </c>
      <c r="R1270" t="s">
        <v>39</v>
      </c>
      <c r="S1270" t="s">
        <v>40</v>
      </c>
      <c r="T1270" t="s">
        <v>56</v>
      </c>
      <c r="U1270">
        <v>52.536273000000001</v>
      </c>
      <c r="V1270">
        <v>19.050639</v>
      </c>
      <c r="W1270" t="str">
        <f t="shared" si="134"/>
        <v>ok</v>
      </c>
      <c r="X1270" t="str">
        <f t="shared" si="140"/>
        <v>ok</v>
      </c>
      <c r="Y1270" t="str">
        <f t="shared" si="135"/>
        <v>ok</v>
      </c>
      <c r="Z1270" t="str">
        <f t="shared" si="136"/>
        <v>ok</v>
      </c>
      <c r="AA1270" s="4" t="str">
        <f t="shared" si="137"/>
        <v>ok</v>
      </c>
      <c r="AB1270" s="4" t="str">
        <f t="shared" si="138"/>
        <v>ok</v>
      </c>
      <c r="AC1270" s="6">
        <f t="shared" si="139"/>
        <v>16.141381666646339</v>
      </c>
    </row>
    <row r="1271" spans="1:29" x14ac:dyDescent="0.3">
      <c r="A1271" t="s">
        <v>22</v>
      </c>
      <c r="B1271">
        <v>2606</v>
      </c>
      <c r="C1271" t="s">
        <v>47</v>
      </c>
      <c r="D1271" t="s">
        <v>43</v>
      </c>
      <c r="E1271" t="s">
        <v>48</v>
      </c>
      <c r="F1271" t="s">
        <v>26</v>
      </c>
      <c r="G1271" t="s">
        <v>52</v>
      </c>
      <c r="H1271" s="1">
        <v>45121.732905092591</v>
      </c>
      <c r="I1271" s="1">
        <v>45122.732905092591</v>
      </c>
      <c r="J1271" s="1">
        <v>45121.734293981484</v>
      </c>
      <c r="K1271" s="2">
        <v>45121.733483321761</v>
      </c>
      <c r="L1271" t="s">
        <v>28</v>
      </c>
      <c r="M1271" s="2">
        <v>45122.709600034723</v>
      </c>
      <c r="N1271" t="s">
        <v>28</v>
      </c>
      <c r="O1271" s="2">
        <v>45127.900774444446</v>
      </c>
      <c r="P1271">
        <v>2</v>
      </c>
      <c r="Q1271">
        <v>4</v>
      </c>
      <c r="R1271" t="s">
        <v>29</v>
      </c>
      <c r="S1271" t="s">
        <v>30</v>
      </c>
      <c r="T1271" t="s">
        <v>63</v>
      </c>
      <c r="U1271">
        <v>55.378051999999997</v>
      </c>
      <c r="V1271">
        <v>-3.4359730000000002</v>
      </c>
      <c r="W1271" t="str">
        <f t="shared" si="134"/>
        <v>ok</v>
      </c>
      <c r="X1271" t="str">
        <f t="shared" si="140"/>
        <v>ok</v>
      </c>
      <c r="Y1271" t="str">
        <f t="shared" si="135"/>
        <v>ok</v>
      </c>
      <c r="Z1271" t="str">
        <f t="shared" si="136"/>
        <v>ok</v>
      </c>
      <c r="AA1271" s="4" t="str">
        <f t="shared" si="137"/>
        <v>ok</v>
      </c>
      <c r="AB1271" s="4" t="str">
        <f t="shared" si="138"/>
        <v>ok</v>
      </c>
      <c r="AC1271" s="6">
        <f t="shared" si="139"/>
        <v>23.440678611164913</v>
      </c>
    </row>
    <row r="1272" spans="1:29" x14ac:dyDescent="0.3">
      <c r="A1272" t="s">
        <v>22</v>
      </c>
      <c r="B1272">
        <v>2607</v>
      </c>
      <c r="C1272" t="s">
        <v>23</v>
      </c>
      <c r="D1272" t="s">
        <v>43</v>
      </c>
      <c r="E1272" t="s">
        <v>25</v>
      </c>
      <c r="F1272" t="s">
        <v>26</v>
      </c>
      <c r="G1272" t="s">
        <v>27</v>
      </c>
      <c r="H1272" s="1">
        <v>45121.718449074076</v>
      </c>
      <c r="I1272" s="1">
        <v>45122.718449074076</v>
      </c>
      <c r="J1272" s="1">
        <v>45121.719837962963</v>
      </c>
      <c r="K1272" s="2">
        <v>45121.720107499998</v>
      </c>
      <c r="L1272" t="s">
        <v>38</v>
      </c>
      <c r="M1272" s="2">
        <v>45122.143709710646</v>
      </c>
      <c r="N1272" t="s">
        <v>28</v>
      </c>
      <c r="O1272" s="2">
        <v>45128.505454942133</v>
      </c>
      <c r="P1272">
        <v>7</v>
      </c>
      <c r="Q1272">
        <v>4</v>
      </c>
      <c r="R1272" t="s">
        <v>50</v>
      </c>
      <c r="S1272" t="s">
        <v>30</v>
      </c>
      <c r="T1272" t="s">
        <v>63</v>
      </c>
      <c r="U1272">
        <v>55.378051999999997</v>
      </c>
      <c r="V1272">
        <v>-3.4359730000000002</v>
      </c>
      <c r="W1272" t="str">
        <f t="shared" si="134"/>
        <v>ok</v>
      </c>
      <c r="X1272" t="str">
        <f t="shared" si="140"/>
        <v>ok</v>
      </c>
      <c r="Y1272" t="str">
        <f t="shared" si="135"/>
        <v>ok</v>
      </c>
      <c r="Z1272" t="str">
        <f t="shared" si="136"/>
        <v>ok</v>
      </c>
      <c r="AA1272" s="4" t="str">
        <f t="shared" si="137"/>
        <v>ok</v>
      </c>
      <c r="AB1272" s="4" t="str">
        <f t="shared" si="138"/>
        <v>ok</v>
      </c>
      <c r="AC1272" s="6">
        <f t="shared" si="139"/>
        <v>10.206255277676973</v>
      </c>
    </row>
    <row r="1273" spans="1:29" x14ac:dyDescent="0.3">
      <c r="A1273" t="s">
        <v>42</v>
      </c>
      <c r="B1273">
        <v>2608</v>
      </c>
      <c r="C1273" t="s">
        <v>23</v>
      </c>
      <c r="D1273" t="s">
        <v>24</v>
      </c>
      <c r="E1273" t="s">
        <v>35</v>
      </c>
      <c r="F1273" t="s">
        <v>26</v>
      </c>
      <c r="G1273" t="s">
        <v>60</v>
      </c>
      <c r="H1273" s="1">
        <v>45121.565960648149</v>
      </c>
      <c r="I1273" s="1">
        <v>45123.565960648149</v>
      </c>
      <c r="J1273" s="1">
        <v>45121.607627314814</v>
      </c>
      <c r="K1273" s="2">
        <v>45121.591291793979</v>
      </c>
      <c r="L1273" t="s">
        <v>28</v>
      </c>
      <c r="M1273" s="2">
        <v>45125.354116666669</v>
      </c>
      <c r="N1273" t="s">
        <v>38</v>
      </c>
      <c r="P1273">
        <v>10</v>
      </c>
      <c r="R1273" t="s">
        <v>29</v>
      </c>
      <c r="S1273" t="s">
        <v>30</v>
      </c>
      <c r="T1273" t="s">
        <v>65</v>
      </c>
      <c r="U1273">
        <v>46.149166399999999</v>
      </c>
      <c r="V1273">
        <v>14.9860106</v>
      </c>
      <c r="W1273" t="str">
        <f t="shared" si="134"/>
        <v>ok</v>
      </c>
      <c r="X1273" t="str">
        <f t="shared" si="140"/>
        <v>ok</v>
      </c>
      <c r="Y1273" t="str">
        <f t="shared" si="135"/>
        <v>ok</v>
      </c>
      <c r="Z1273" t="str">
        <f t="shared" si="136"/>
        <v>ok</v>
      </c>
      <c r="AA1273" s="4" t="str">
        <f t="shared" si="137"/>
        <v>ok</v>
      </c>
      <c r="AB1273" s="4" t="str">
        <f t="shared" si="138"/>
        <v>ok</v>
      </c>
      <c r="AC1273" s="6">
        <f t="shared" si="139"/>
        <v>90.915744444471784</v>
      </c>
    </row>
    <row r="1274" spans="1:29" x14ac:dyDescent="0.3">
      <c r="A1274" t="s">
        <v>32</v>
      </c>
      <c r="B1274">
        <v>2610</v>
      </c>
      <c r="C1274" t="s">
        <v>47</v>
      </c>
      <c r="D1274" t="s">
        <v>24</v>
      </c>
      <c r="E1274" t="s">
        <v>35</v>
      </c>
      <c r="F1274" t="s">
        <v>26</v>
      </c>
      <c r="G1274" t="s">
        <v>49</v>
      </c>
      <c r="H1274" s="1">
        <v>45121.952939814815</v>
      </c>
      <c r="I1274" s="1">
        <v>45123.952939814815</v>
      </c>
      <c r="J1274" s="1">
        <v>45121.994606481479</v>
      </c>
      <c r="K1274" s="2">
        <v>45121.96562171296</v>
      </c>
      <c r="L1274" t="s">
        <v>28</v>
      </c>
      <c r="N1274" t="s">
        <v>38</v>
      </c>
      <c r="P1274">
        <v>10</v>
      </c>
      <c r="R1274" t="s">
        <v>55</v>
      </c>
      <c r="S1274" t="s">
        <v>30</v>
      </c>
      <c r="T1274" t="s">
        <v>63</v>
      </c>
      <c r="U1274">
        <v>55.378051999999997</v>
      </c>
      <c r="V1274">
        <v>-3.4359730000000002</v>
      </c>
      <c r="W1274" t="str">
        <f t="shared" si="134"/>
        <v>ok</v>
      </c>
      <c r="X1274" t="str">
        <f t="shared" si="140"/>
        <v>ok</v>
      </c>
      <c r="Y1274" t="str">
        <f t="shared" si="135"/>
        <v>ok</v>
      </c>
      <c r="Z1274" t="str">
        <f t="shared" si="136"/>
        <v>ok</v>
      </c>
      <c r="AA1274" s="4" t="str">
        <f t="shared" si="137"/>
        <v>ok</v>
      </c>
      <c r="AB1274" s="4" t="str">
        <f t="shared" si="138"/>
        <v>no resolution</v>
      </c>
      <c r="AC1274" s="6" t="str">
        <f t="shared" si="139"/>
        <v/>
      </c>
    </row>
    <row r="1275" spans="1:29" x14ac:dyDescent="0.3">
      <c r="A1275" t="s">
        <v>42</v>
      </c>
      <c r="B1275">
        <v>2611</v>
      </c>
      <c r="C1275" t="s">
        <v>23</v>
      </c>
      <c r="D1275" t="s">
        <v>24</v>
      </c>
      <c r="E1275" t="s">
        <v>48</v>
      </c>
      <c r="F1275" t="s">
        <v>26</v>
      </c>
      <c r="G1275" t="s">
        <v>45</v>
      </c>
      <c r="H1275" s="1">
        <v>45121.480231481481</v>
      </c>
      <c r="I1275" s="1">
        <v>45123.480231481481</v>
      </c>
      <c r="J1275" s="1">
        <v>45121.521898148145</v>
      </c>
      <c r="K1275" s="2">
        <v>45121.657239768516</v>
      </c>
      <c r="L1275" t="s">
        <v>38</v>
      </c>
      <c r="M1275" s="2">
        <v>45122.457588935184</v>
      </c>
      <c r="N1275" t="s">
        <v>28</v>
      </c>
      <c r="P1275">
        <v>2</v>
      </c>
      <c r="R1275" t="s">
        <v>50</v>
      </c>
      <c r="S1275" t="s">
        <v>30</v>
      </c>
      <c r="T1275" t="s">
        <v>53</v>
      </c>
      <c r="U1275">
        <v>39.368279000000001</v>
      </c>
      <c r="V1275">
        <v>21.863140999999999</v>
      </c>
      <c r="W1275" t="str">
        <f t="shared" si="134"/>
        <v>ok</v>
      </c>
      <c r="X1275" t="str">
        <f t="shared" si="140"/>
        <v>ok</v>
      </c>
      <c r="Y1275" t="str">
        <f t="shared" si="135"/>
        <v>ok</v>
      </c>
      <c r="Z1275" t="str">
        <f t="shared" si="136"/>
        <v>ok</v>
      </c>
      <c r="AA1275" s="4" t="str">
        <f t="shared" si="137"/>
        <v>ok</v>
      </c>
      <c r="AB1275" s="4" t="str">
        <f t="shared" si="138"/>
        <v>ok</v>
      </c>
      <c r="AC1275" s="6">
        <f t="shared" si="139"/>
        <v>23.456578888872173</v>
      </c>
    </row>
    <row r="1276" spans="1:29" x14ac:dyDescent="0.3">
      <c r="A1276" t="s">
        <v>22</v>
      </c>
      <c r="B1276">
        <v>2612</v>
      </c>
      <c r="C1276" t="s">
        <v>23</v>
      </c>
      <c r="D1276" t="s">
        <v>43</v>
      </c>
      <c r="E1276" t="s">
        <v>25</v>
      </c>
      <c r="F1276" t="s">
        <v>26</v>
      </c>
      <c r="G1276" t="s">
        <v>60</v>
      </c>
      <c r="H1276" s="1">
        <v>45121.13994212963</v>
      </c>
      <c r="I1276" s="1">
        <v>45122.13994212963</v>
      </c>
      <c r="J1276" s="1">
        <v>45121.141331018516</v>
      </c>
      <c r="K1276" s="2">
        <v>45121.140969456021</v>
      </c>
      <c r="L1276" t="s">
        <v>28</v>
      </c>
      <c r="M1276" s="2">
        <v>45125.503168402778</v>
      </c>
      <c r="N1276" t="s">
        <v>38</v>
      </c>
      <c r="O1276" s="2">
        <v>45127.041765428243</v>
      </c>
      <c r="P1276">
        <v>6</v>
      </c>
      <c r="Q1276">
        <v>4</v>
      </c>
      <c r="R1276" t="s">
        <v>50</v>
      </c>
      <c r="S1276" t="s">
        <v>30</v>
      </c>
      <c r="T1276" t="s">
        <v>66</v>
      </c>
      <c r="U1276">
        <v>48.864716000000001</v>
      </c>
      <c r="V1276">
        <v>2.3490139999999999</v>
      </c>
      <c r="W1276" t="str">
        <f t="shared" si="134"/>
        <v>ok</v>
      </c>
      <c r="X1276" t="str">
        <f t="shared" si="140"/>
        <v>ok</v>
      </c>
      <c r="Y1276" t="str">
        <f t="shared" si="135"/>
        <v>ok</v>
      </c>
      <c r="Z1276" t="str">
        <f t="shared" si="136"/>
        <v>ok</v>
      </c>
      <c r="AA1276" s="4" t="str">
        <f t="shared" si="137"/>
        <v>ok</v>
      </c>
      <c r="AB1276" s="4" t="str">
        <f t="shared" si="138"/>
        <v>ok</v>
      </c>
      <c r="AC1276" s="6">
        <f t="shared" si="139"/>
        <v>104.71743055555271</v>
      </c>
    </row>
    <row r="1277" spans="1:29" x14ac:dyDescent="0.3">
      <c r="A1277" t="s">
        <v>22</v>
      </c>
      <c r="B1277">
        <v>2613</v>
      </c>
      <c r="C1277" t="s">
        <v>47</v>
      </c>
      <c r="D1277" t="s">
        <v>24</v>
      </c>
      <c r="E1277" t="s">
        <v>44</v>
      </c>
      <c r="F1277" t="s">
        <v>26</v>
      </c>
      <c r="G1277" t="s">
        <v>45</v>
      </c>
      <c r="H1277" s="1">
        <v>45121.348692129628</v>
      </c>
      <c r="I1277" s="1">
        <v>45123.348692129628</v>
      </c>
      <c r="J1277" s="1">
        <v>45121.3903587963</v>
      </c>
      <c r="K1277" s="2">
        <v>45121.364796296293</v>
      </c>
      <c r="L1277" t="s">
        <v>28</v>
      </c>
      <c r="M1277" s="2">
        <v>45121.647822673614</v>
      </c>
      <c r="N1277" t="s">
        <v>28</v>
      </c>
      <c r="O1277" s="2">
        <v>45126.942864340279</v>
      </c>
      <c r="P1277">
        <v>2</v>
      </c>
      <c r="Q1277">
        <v>3</v>
      </c>
      <c r="R1277" t="s">
        <v>39</v>
      </c>
      <c r="S1277" t="s">
        <v>30</v>
      </c>
      <c r="T1277" t="s">
        <v>63</v>
      </c>
      <c r="U1277">
        <v>55.378051999999997</v>
      </c>
      <c r="V1277">
        <v>-3.4359730000000002</v>
      </c>
      <c r="W1277" t="str">
        <f t="shared" si="134"/>
        <v>ok</v>
      </c>
      <c r="X1277" t="str">
        <f t="shared" si="140"/>
        <v>ok</v>
      </c>
      <c r="Y1277" t="str">
        <f t="shared" si="135"/>
        <v>ok</v>
      </c>
      <c r="Z1277" t="str">
        <f t="shared" si="136"/>
        <v>ok</v>
      </c>
      <c r="AA1277" s="4" t="str">
        <f t="shared" si="137"/>
        <v>ok</v>
      </c>
      <c r="AB1277" s="4" t="str">
        <f t="shared" si="138"/>
        <v>ok</v>
      </c>
      <c r="AC1277" s="6">
        <f t="shared" si="139"/>
        <v>7.1791330556734465</v>
      </c>
    </row>
    <row r="1278" spans="1:29" x14ac:dyDescent="0.3">
      <c r="A1278" t="s">
        <v>42</v>
      </c>
      <c r="B1278">
        <v>2619</v>
      </c>
      <c r="C1278" t="s">
        <v>23</v>
      </c>
      <c r="D1278" t="s">
        <v>24</v>
      </c>
      <c r="E1278" t="s">
        <v>35</v>
      </c>
      <c r="F1278" t="s">
        <v>26</v>
      </c>
      <c r="G1278" t="s">
        <v>27</v>
      </c>
      <c r="H1278" s="1">
        <v>45122.534861111111</v>
      </c>
      <c r="I1278" s="1">
        <v>45124.534861111111</v>
      </c>
      <c r="J1278" s="1">
        <v>45122.576527777775</v>
      </c>
      <c r="K1278" s="2">
        <v>45122.553080555554</v>
      </c>
      <c r="L1278" t="s">
        <v>28</v>
      </c>
      <c r="M1278" s="2">
        <v>45126.832215659721</v>
      </c>
      <c r="N1278" t="s">
        <v>38</v>
      </c>
      <c r="P1278">
        <v>2</v>
      </c>
      <c r="R1278" t="s">
        <v>39</v>
      </c>
      <c r="S1278" t="s">
        <v>30</v>
      </c>
      <c r="T1278" t="s">
        <v>41</v>
      </c>
      <c r="U1278">
        <v>43.036776000000003</v>
      </c>
      <c r="V1278">
        <v>12.678565000000001</v>
      </c>
      <c r="W1278" t="str">
        <f t="shared" si="134"/>
        <v>ok</v>
      </c>
      <c r="X1278" t="str">
        <f t="shared" si="140"/>
        <v>ok</v>
      </c>
      <c r="Y1278" t="str">
        <f t="shared" si="135"/>
        <v>ok</v>
      </c>
      <c r="Z1278" t="str">
        <f t="shared" si="136"/>
        <v>ok</v>
      </c>
      <c r="AA1278" s="4" t="str">
        <f t="shared" si="137"/>
        <v>ok</v>
      </c>
      <c r="AB1278" s="4" t="str">
        <f t="shared" si="138"/>
        <v>ok</v>
      </c>
      <c r="AC1278" s="6">
        <f t="shared" si="139"/>
        <v>103.136509166623</v>
      </c>
    </row>
    <row r="1279" spans="1:29" x14ac:dyDescent="0.3">
      <c r="A1279" t="s">
        <v>32</v>
      </c>
      <c r="B1279">
        <v>2620</v>
      </c>
      <c r="C1279" t="s">
        <v>23</v>
      </c>
      <c r="D1279" t="s">
        <v>24</v>
      </c>
      <c r="E1279" t="s">
        <v>48</v>
      </c>
      <c r="F1279" t="s">
        <v>26</v>
      </c>
      <c r="G1279" t="s">
        <v>60</v>
      </c>
      <c r="H1279" s="1">
        <v>45122.600983796299</v>
      </c>
      <c r="I1279" s="1">
        <v>45124.600983796299</v>
      </c>
      <c r="J1279" s="1">
        <v>45122.642650462964</v>
      </c>
      <c r="K1279" s="2">
        <v>45122.624152777775</v>
      </c>
      <c r="L1279" t="s">
        <v>28</v>
      </c>
      <c r="N1279" t="s">
        <v>38</v>
      </c>
      <c r="P1279">
        <v>2</v>
      </c>
      <c r="R1279" t="s">
        <v>50</v>
      </c>
      <c r="S1279" t="s">
        <v>30</v>
      </c>
      <c r="T1279" t="s">
        <v>56</v>
      </c>
      <c r="U1279">
        <v>52.536273000000001</v>
      </c>
      <c r="V1279">
        <v>19.050639</v>
      </c>
      <c r="W1279" t="str">
        <f t="shared" si="134"/>
        <v>ok</v>
      </c>
      <c r="X1279" t="str">
        <f t="shared" si="140"/>
        <v>ok</v>
      </c>
      <c r="Y1279" t="str">
        <f t="shared" si="135"/>
        <v>ok</v>
      </c>
      <c r="Z1279" t="str">
        <f t="shared" si="136"/>
        <v>ok</v>
      </c>
      <c r="AA1279" s="4" t="str">
        <f t="shared" si="137"/>
        <v>ok</v>
      </c>
      <c r="AB1279" s="4" t="str">
        <f t="shared" si="138"/>
        <v>no resolution</v>
      </c>
      <c r="AC1279" s="6" t="str">
        <f t="shared" si="139"/>
        <v/>
      </c>
    </row>
    <row r="1280" spans="1:29" x14ac:dyDescent="0.3">
      <c r="A1280" t="s">
        <v>22</v>
      </c>
      <c r="B1280">
        <v>2621</v>
      </c>
      <c r="C1280" t="s">
        <v>23</v>
      </c>
      <c r="D1280" t="s">
        <v>43</v>
      </c>
      <c r="E1280" t="s">
        <v>35</v>
      </c>
      <c r="F1280" t="s">
        <v>36</v>
      </c>
      <c r="G1280" t="s">
        <v>64</v>
      </c>
      <c r="H1280" s="1">
        <v>45122.980104166665</v>
      </c>
      <c r="I1280" s="1">
        <v>45123.980104166665</v>
      </c>
      <c r="J1280" s="1">
        <v>45122.981493055559</v>
      </c>
      <c r="K1280" s="2">
        <v>45122.980890219907</v>
      </c>
      <c r="L1280" t="s">
        <v>28</v>
      </c>
      <c r="M1280" s="2">
        <v>45123.84715765046</v>
      </c>
      <c r="N1280" t="s">
        <v>28</v>
      </c>
      <c r="O1280" s="2">
        <v>45128.503689490739</v>
      </c>
      <c r="P1280">
        <v>6</v>
      </c>
      <c r="Q1280">
        <v>3</v>
      </c>
      <c r="R1280" t="s">
        <v>55</v>
      </c>
      <c r="S1280" t="s">
        <v>40</v>
      </c>
      <c r="T1280" t="s">
        <v>57</v>
      </c>
      <c r="U1280">
        <v>51.165691000000002</v>
      </c>
      <c r="V1280">
        <v>10.451525999999999</v>
      </c>
      <c r="W1280" t="str">
        <f t="shared" si="134"/>
        <v>ok</v>
      </c>
      <c r="X1280" t="str">
        <f t="shared" si="140"/>
        <v>ok</v>
      </c>
      <c r="Y1280" t="str">
        <f t="shared" si="135"/>
        <v>ok</v>
      </c>
      <c r="Z1280" t="str">
        <f t="shared" si="136"/>
        <v>ok</v>
      </c>
      <c r="AA1280" s="4" t="str">
        <f t="shared" si="137"/>
        <v>ok</v>
      </c>
      <c r="AB1280" s="4" t="str">
        <f t="shared" si="138"/>
        <v>ok</v>
      </c>
      <c r="AC1280" s="6">
        <f t="shared" si="139"/>
        <v>20.809283611073624</v>
      </c>
    </row>
    <row r="1281" spans="1:29" x14ac:dyDescent="0.3">
      <c r="A1281" t="s">
        <v>22</v>
      </c>
      <c r="B1281">
        <v>2622</v>
      </c>
      <c r="C1281" t="s">
        <v>47</v>
      </c>
      <c r="D1281" t="s">
        <v>24</v>
      </c>
      <c r="E1281" t="s">
        <v>59</v>
      </c>
      <c r="F1281" t="s">
        <v>26</v>
      </c>
      <c r="G1281" t="s">
        <v>27</v>
      </c>
      <c r="H1281" s="1">
        <v>45123.913564814815</v>
      </c>
      <c r="I1281" s="1">
        <v>45125.913564814815</v>
      </c>
      <c r="J1281" s="1">
        <v>45123.955231481479</v>
      </c>
      <c r="K1281" s="2">
        <v>45123.919646064816</v>
      </c>
      <c r="L1281" t="s">
        <v>28</v>
      </c>
      <c r="M1281" s="2">
        <v>45124.572042997686</v>
      </c>
      <c r="N1281" t="s">
        <v>28</v>
      </c>
      <c r="O1281" s="2">
        <v>45125.239604745373</v>
      </c>
      <c r="P1281">
        <v>2</v>
      </c>
      <c r="Q1281">
        <v>4</v>
      </c>
      <c r="R1281" t="s">
        <v>50</v>
      </c>
      <c r="S1281" t="s">
        <v>30</v>
      </c>
      <c r="T1281" t="s">
        <v>41</v>
      </c>
      <c r="U1281">
        <v>43.036776000000003</v>
      </c>
      <c r="V1281">
        <v>12.678565000000001</v>
      </c>
      <c r="W1281" t="str">
        <f t="shared" si="134"/>
        <v>ok</v>
      </c>
      <c r="X1281" t="str">
        <f t="shared" si="140"/>
        <v>ok</v>
      </c>
      <c r="Y1281" t="str">
        <f t="shared" si="135"/>
        <v>ok</v>
      </c>
      <c r="Z1281" t="str">
        <f t="shared" si="136"/>
        <v>ok</v>
      </c>
      <c r="AA1281" s="4" t="str">
        <f t="shared" si="137"/>
        <v>ok</v>
      </c>
      <c r="AB1281" s="4" t="str">
        <f t="shared" si="138"/>
        <v>ok</v>
      </c>
      <c r="AC1281" s="6">
        <f t="shared" si="139"/>
        <v>15.803476388915442</v>
      </c>
    </row>
    <row r="1282" spans="1:29" x14ac:dyDescent="0.3">
      <c r="A1282" t="s">
        <v>22</v>
      </c>
      <c r="B1282">
        <v>2632</v>
      </c>
      <c r="C1282" t="s">
        <v>47</v>
      </c>
      <c r="D1282" t="s">
        <v>43</v>
      </c>
      <c r="E1282" t="s">
        <v>39</v>
      </c>
      <c r="F1282" t="s">
        <v>26</v>
      </c>
      <c r="G1282" t="s">
        <v>49</v>
      </c>
      <c r="H1282" s="1">
        <v>45123.746296296296</v>
      </c>
      <c r="I1282" s="1">
        <v>45124.746296296296</v>
      </c>
      <c r="J1282" s="1">
        <v>45123.747685185182</v>
      </c>
      <c r="K1282" s="2">
        <v>45123.747028796293</v>
      </c>
      <c r="L1282" t="s">
        <v>28</v>
      </c>
      <c r="M1282" s="2">
        <v>45125.330498692128</v>
      </c>
      <c r="N1282" t="s">
        <v>38</v>
      </c>
      <c r="O1282" s="2">
        <v>45127.247002303244</v>
      </c>
      <c r="P1282">
        <v>3</v>
      </c>
      <c r="Q1282">
        <v>5</v>
      </c>
      <c r="R1282" t="s">
        <v>29</v>
      </c>
      <c r="S1282" t="s">
        <v>30</v>
      </c>
      <c r="T1282" t="s">
        <v>41</v>
      </c>
      <c r="U1282">
        <v>43.036776000000003</v>
      </c>
      <c r="V1282">
        <v>12.678565000000001</v>
      </c>
      <c r="W1282" t="str">
        <f t="shared" ref="W1282:W1345" si="141">IF(K1282&lt;H1282,"check","ok")</f>
        <v>ok</v>
      </c>
      <c r="X1282" t="str">
        <f t="shared" si="140"/>
        <v>ok</v>
      </c>
      <c r="Y1282" t="str">
        <f t="shared" ref="Y1282:Y1345" si="142">IF(AND(M1282&lt;&gt;"",O1282&lt;&gt;"",O1282&lt;M1282),"check","ok")</f>
        <v>ok</v>
      </c>
      <c r="Z1282" t="str">
        <f t="shared" ref="Z1282:Z1345" si="143">IF(AND(OR(CA1282="Closed",A1282="Resolved"),M1282=""),"check","ok")</f>
        <v>ok</v>
      </c>
      <c r="AA1282" s="4" t="str">
        <f t="shared" ref="AA1282:AA1345" si="144">IF(K1282="","no response",IF(OR(AND(K1282&lt;=J1282,L1282="Within SLA"),AND(K1282&gt;J1282,L1282="SLA Violated")),"ok","check"))</f>
        <v>ok</v>
      </c>
      <c r="AB1282" s="4" t="str">
        <f t="shared" ref="AB1282:AB1345" si="145">IF(M1282="","no resolution",IF(OR(AND(M1282&lt;=I1282,N1282="Within SLA"),AND(M1282&gt;I1282,N1282="SLA Violated")),"ok","check"))</f>
        <v>ok</v>
      </c>
      <c r="AC1282" s="6">
        <f t="shared" ref="AC1282:AC1345" si="146">IF(M1282="","",(M1282-H1282)*24)</f>
        <v>38.020857499970589</v>
      </c>
    </row>
    <row r="1283" spans="1:29" x14ac:dyDescent="0.3">
      <c r="A1283" t="s">
        <v>22</v>
      </c>
      <c r="B1283">
        <v>2633</v>
      </c>
      <c r="C1283" t="s">
        <v>23</v>
      </c>
      <c r="D1283" t="s">
        <v>24</v>
      </c>
      <c r="E1283" t="s">
        <v>44</v>
      </c>
      <c r="F1283" t="s">
        <v>26</v>
      </c>
      <c r="G1283" t="s">
        <v>49</v>
      </c>
      <c r="H1283" s="1">
        <v>45124.522986111115</v>
      </c>
      <c r="I1283" s="1">
        <v>45126.522986111115</v>
      </c>
      <c r="J1283" s="1">
        <v>45124.564652777779</v>
      </c>
      <c r="K1283" s="2">
        <v>45124.547502685185</v>
      </c>
      <c r="L1283" t="s">
        <v>28</v>
      </c>
      <c r="M1283" s="2">
        <v>45124.711670543984</v>
      </c>
      <c r="N1283" t="s">
        <v>28</v>
      </c>
      <c r="O1283" s="2">
        <v>45128.450737013889</v>
      </c>
      <c r="P1283">
        <v>9</v>
      </c>
      <c r="Q1283">
        <v>3</v>
      </c>
      <c r="R1283" t="s">
        <v>39</v>
      </c>
      <c r="S1283" t="s">
        <v>30</v>
      </c>
      <c r="T1283" t="s">
        <v>65</v>
      </c>
      <c r="U1283">
        <v>46.149166399999999</v>
      </c>
      <c r="V1283">
        <v>14.9860106</v>
      </c>
      <c r="W1283" t="str">
        <f t="shared" si="141"/>
        <v>ok</v>
      </c>
      <c r="X1283" t="str">
        <f t="shared" ref="X1283:X1346" si="147">IF(AND(M1283&lt;&gt;"",M1283&lt;H1283),"check","ok")</f>
        <v>ok</v>
      </c>
      <c r="Y1283" t="str">
        <f t="shared" si="142"/>
        <v>ok</v>
      </c>
      <c r="Z1283" t="str">
        <f t="shared" si="143"/>
        <v>ok</v>
      </c>
      <c r="AA1283" s="4" t="str">
        <f t="shared" si="144"/>
        <v>ok</v>
      </c>
      <c r="AB1283" s="4" t="str">
        <f t="shared" si="145"/>
        <v>ok</v>
      </c>
      <c r="AC1283" s="6">
        <f t="shared" si="146"/>
        <v>4.5284263888606802</v>
      </c>
    </row>
    <row r="1284" spans="1:29" x14ac:dyDescent="0.3">
      <c r="A1284" t="s">
        <v>32</v>
      </c>
      <c r="B1284">
        <v>2634</v>
      </c>
      <c r="C1284" t="s">
        <v>47</v>
      </c>
      <c r="D1284" t="s">
        <v>43</v>
      </c>
      <c r="E1284" t="s">
        <v>44</v>
      </c>
      <c r="F1284" t="s">
        <v>26</v>
      </c>
      <c r="G1284" t="s">
        <v>49</v>
      </c>
      <c r="H1284" s="1">
        <v>45124.574131944442</v>
      </c>
      <c r="I1284" s="1">
        <v>45125.574131944442</v>
      </c>
      <c r="J1284" s="1">
        <v>45124.575520833336</v>
      </c>
      <c r="K1284" s="2">
        <v>45124.575078344904</v>
      </c>
      <c r="L1284" t="s">
        <v>28</v>
      </c>
      <c r="N1284" t="s">
        <v>38</v>
      </c>
      <c r="P1284">
        <v>9</v>
      </c>
      <c r="R1284" t="s">
        <v>50</v>
      </c>
      <c r="S1284" t="s">
        <v>30</v>
      </c>
      <c r="T1284" t="s">
        <v>56</v>
      </c>
      <c r="U1284">
        <v>52.536273000000001</v>
      </c>
      <c r="V1284">
        <v>19.050639</v>
      </c>
      <c r="W1284" t="str">
        <f t="shared" si="141"/>
        <v>ok</v>
      </c>
      <c r="X1284" t="str">
        <f t="shared" si="147"/>
        <v>ok</v>
      </c>
      <c r="Y1284" t="str">
        <f t="shared" si="142"/>
        <v>ok</v>
      </c>
      <c r="Z1284" t="str">
        <f t="shared" si="143"/>
        <v>ok</v>
      </c>
      <c r="AA1284" s="4" t="str">
        <f t="shared" si="144"/>
        <v>ok</v>
      </c>
      <c r="AB1284" s="4" t="str">
        <f t="shared" si="145"/>
        <v>no resolution</v>
      </c>
      <c r="AC1284" s="6" t="str">
        <f t="shared" si="146"/>
        <v/>
      </c>
    </row>
    <row r="1285" spans="1:29" x14ac:dyDescent="0.3">
      <c r="A1285" t="s">
        <v>32</v>
      </c>
      <c r="B1285">
        <v>2635</v>
      </c>
      <c r="C1285" t="s">
        <v>33</v>
      </c>
      <c r="D1285" t="s">
        <v>24</v>
      </c>
      <c r="E1285" t="s">
        <v>35</v>
      </c>
      <c r="F1285" t="s">
        <v>26</v>
      </c>
      <c r="G1285" t="s">
        <v>52</v>
      </c>
      <c r="H1285" s="1">
        <v>45124.396273148152</v>
      </c>
      <c r="I1285" s="1">
        <v>45126.396273148152</v>
      </c>
      <c r="J1285" s="1">
        <v>45124.437939814816</v>
      </c>
      <c r="K1285" s="2">
        <v>45124.397078993054</v>
      </c>
      <c r="L1285" t="s">
        <v>28</v>
      </c>
      <c r="N1285" t="s">
        <v>38</v>
      </c>
      <c r="P1285">
        <v>10</v>
      </c>
      <c r="R1285" t="s">
        <v>39</v>
      </c>
      <c r="S1285" t="s">
        <v>30</v>
      </c>
      <c r="T1285" t="s">
        <v>53</v>
      </c>
      <c r="U1285">
        <v>39.368279000000001</v>
      </c>
      <c r="V1285">
        <v>21.863140999999999</v>
      </c>
      <c r="W1285" t="str">
        <f t="shared" si="141"/>
        <v>ok</v>
      </c>
      <c r="X1285" t="str">
        <f t="shared" si="147"/>
        <v>ok</v>
      </c>
      <c r="Y1285" t="str">
        <f t="shared" si="142"/>
        <v>ok</v>
      </c>
      <c r="Z1285" t="str">
        <f t="shared" si="143"/>
        <v>ok</v>
      </c>
      <c r="AA1285" s="4" t="str">
        <f t="shared" si="144"/>
        <v>ok</v>
      </c>
      <c r="AB1285" s="4" t="str">
        <f t="shared" si="145"/>
        <v>no resolution</v>
      </c>
      <c r="AC1285" s="6" t="str">
        <f t="shared" si="146"/>
        <v/>
      </c>
    </row>
    <row r="1286" spans="1:29" x14ac:dyDescent="0.3">
      <c r="A1286" t="s">
        <v>22</v>
      </c>
      <c r="B1286">
        <v>2636</v>
      </c>
      <c r="C1286" t="s">
        <v>47</v>
      </c>
      <c r="D1286" t="s">
        <v>24</v>
      </c>
      <c r="E1286" t="s">
        <v>35</v>
      </c>
      <c r="F1286" t="s">
        <v>36</v>
      </c>
      <c r="G1286" t="s">
        <v>37</v>
      </c>
      <c r="H1286" s="1">
        <v>45124.912581018521</v>
      </c>
      <c r="I1286" s="1">
        <v>45126.912581018521</v>
      </c>
      <c r="J1286" s="1">
        <v>45124.954247685186</v>
      </c>
      <c r="K1286" s="2">
        <v>45124.922538449071</v>
      </c>
      <c r="L1286" t="s">
        <v>28</v>
      </c>
      <c r="M1286" s="2">
        <v>45126.65649415509</v>
      </c>
      <c r="N1286" t="s">
        <v>28</v>
      </c>
      <c r="O1286" s="2">
        <v>45126.886804340276</v>
      </c>
      <c r="P1286">
        <v>7</v>
      </c>
      <c r="Q1286">
        <v>3</v>
      </c>
      <c r="R1286" t="s">
        <v>50</v>
      </c>
      <c r="S1286" t="s">
        <v>40</v>
      </c>
      <c r="T1286" t="s">
        <v>41</v>
      </c>
      <c r="U1286">
        <v>43.036776000000003</v>
      </c>
      <c r="V1286">
        <v>12.678565000000001</v>
      </c>
      <c r="W1286" t="str">
        <f t="shared" si="141"/>
        <v>ok</v>
      </c>
      <c r="X1286" t="str">
        <f t="shared" si="147"/>
        <v>ok</v>
      </c>
      <c r="Y1286" t="str">
        <f t="shared" si="142"/>
        <v>ok</v>
      </c>
      <c r="Z1286" t="str">
        <f t="shared" si="143"/>
        <v>ok</v>
      </c>
      <c r="AA1286" s="4" t="str">
        <f t="shared" si="144"/>
        <v>ok</v>
      </c>
      <c r="AB1286" s="4" t="str">
        <f t="shared" si="145"/>
        <v>ok</v>
      </c>
      <c r="AC1286" s="6">
        <f t="shared" si="146"/>
        <v>41.853915277635679</v>
      </c>
    </row>
    <row r="1287" spans="1:29" x14ac:dyDescent="0.3">
      <c r="A1287" t="s">
        <v>22</v>
      </c>
      <c r="B1287">
        <v>2637</v>
      </c>
      <c r="C1287" t="s">
        <v>23</v>
      </c>
      <c r="D1287" t="s">
        <v>24</v>
      </c>
      <c r="E1287" t="s">
        <v>48</v>
      </c>
      <c r="F1287" t="s">
        <v>36</v>
      </c>
      <c r="G1287" t="s">
        <v>37</v>
      </c>
      <c r="H1287" s="1">
        <v>45124.187222222223</v>
      </c>
      <c r="I1287" s="1">
        <v>45126.187222222223</v>
      </c>
      <c r="J1287" s="1">
        <v>45124.228888888887</v>
      </c>
      <c r="K1287" s="2">
        <v>45124.203155023148</v>
      </c>
      <c r="L1287" t="s">
        <v>28</v>
      </c>
      <c r="M1287" s="2">
        <v>45124.38552142361</v>
      </c>
      <c r="N1287" t="s">
        <v>28</v>
      </c>
      <c r="O1287" s="2">
        <v>45130.212259942127</v>
      </c>
      <c r="P1287">
        <v>2</v>
      </c>
      <c r="Q1287">
        <v>5</v>
      </c>
      <c r="R1287" t="s">
        <v>55</v>
      </c>
      <c r="S1287" t="s">
        <v>40</v>
      </c>
      <c r="T1287" t="s">
        <v>57</v>
      </c>
      <c r="U1287">
        <v>51.165691000000002</v>
      </c>
      <c r="V1287">
        <v>10.451525999999999</v>
      </c>
      <c r="W1287" t="str">
        <f t="shared" si="141"/>
        <v>ok</v>
      </c>
      <c r="X1287" t="str">
        <f t="shared" si="147"/>
        <v>ok</v>
      </c>
      <c r="Y1287" t="str">
        <f t="shared" si="142"/>
        <v>ok</v>
      </c>
      <c r="Z1287" t="str">
        <f t="shared" si="143"/>
        <v>ok</v>
      </c>
      <c r="AA1287" s="4" t="str">
        <f t="shared" si="144"/>
        <v>ok</v>
      </c>
      <c r="AB1287" s="4" t="str">
        <f t="shared" si="145"/>
        <v>ok</v>
      </c>
      <c r="AC1287" s="6">
        <f t="shared" si="146"/>
        <v>4.759180833294522</v>
      </c>
    </row>
    <row r="1288" spans="1:29" x14ac:dyDescent="0.3">
      <c r="A1288" t="s">
        <v>22</v>
      </c>
      <c r="B1288">
        <v>2638</v>
      </c>
      <c r="C1288" t="s">
        <v>23</v>
      </c>
      <c r="D1288" t="s">
        <v>24</v>
      </c>
      <c r="E1288" t="s">
        <v>35</v>
      </c>
      <c r="F1288" t="s">
        <v>26</v>
      </c>
      <c r="G1288" t="s">
        <v>27</v>
      </c>
      <c r="H1288" s="1">
        <v>45124.684918981482</v>
      </c>
      <c r="I1288" s="1">
        <v>45126.684918981482</v>
      </c>
      <c r="J1288" s="1">
        <v>45124.726585648146</v>
      </c>
      <c r="K1288" s="2">
        <v>45124.71850880787</v>
      </c>
      <c r="L1288" t="s">
        <v>28</v>
      </c>
      <c r="M1288" s="2">
        <v>45130.351590347222</v>
      </c>
      <c r="N1288" t="s">
        <v>38</v>
      </c>
      <c r="O1288" s="2">
        <v>45130.376118946762</v>
      </c>
      <c r="P1288">
        <v>2</v>
      </c>
      <c r="Q1288">
        <v>2</v>
      </c>
      <c r="R1288" t="s">
        <v>55</v>
      </c>
      <c r="S1288" t="s">
        <v>30</v>
      </c>
      <c r="T1288" t="s">
        <v>63</v>
      </c>
      <c r="U1288">
        <v>55.378051999999997</v>
      </c>
      <c r="V1288">
        <v>-3.4359730000000002</v>
      </c>
      <c r="W1288" t="str">
        <f t="shared" si="141"/>
        <v>ok</v>
      </c>
      <c r="X1288" t="str">
        <f t="shared" si="147"/>
        <v>ok</v>
      </c>
      <c r="Y1288" t="str">
        <f t="shared" si="142"/>
        <v>ok</v>
      </c>
      <c r="Z1288" t="str">
        <f t="shared" si="143"/>
        <v>ok</v>
      </c>
      <c r="AA1288" s="4" t="str">
        <f t="shared" si="144"/>
        <v>ok</v>
      </c>
      <c r="AB1288" s="4" t="str">
        <f t="shared" si="145"/>
        <v>ok</v>
      </c>
      <c r="AC1288" s="6">
        <f t="shared" si="146"/>
        <v>136.00011277775047</v>
      </c>
    </row>
    <row r="1289" spans="1:29" x14ac:dyDescent="0.3">
      <c r="A1289" t="s">
        <v>32</v>
      </c>
      <c r="B1289">
        <v>2639</v>
      </c>
      <c r="C1289" t="s">
        <v>47</v>
      </c>
      <c r="D1289" t="s">
        <v>24</v>
      </c>
      <c r="E1289" t="s">
        <v>35</v>
      </c>
      <c r="F1289" t="s">
        <v>26</v>
      </c>
      <c r="G1289" t="s">
        <v>27</v>
      </c>
      <c r="H1289" s="1">
        <v>45124.657812500001</v>
      </c>
      <c r="I1289" s="1">
        <v>45126.657812500001</v>
      </c>
      <c r="J1289" s="1">
        <v>45124.699479166666</v>
      </c>
      <c r="K1289" s="2">
        <v>45124.692745995373</v>
      </c>
      <c r="L1289" t="s">
        <v>28</v>
      </c>
      <c r="N1289" t="s">
        <v>38</v>
      </c>
      <c r="P1289">
        <v>1</v>
      </c>
      <c r="R1289" t="s">
        <v>55</v>
      </c>
      <c r="S1289" t="s">
        <v>30</v>
      </c>
      <c r="T1289" t="s">
        <v>63</v>
      </c>
      <c r="U1289">
        <v>55.378051999999997</v>
      </c>
      <c r="V1289">
        <v>-3.4359730000000002</v>
      </c>
      <c r="W1289" t="str">
        <f t="shared" si="141"/>
        <v>ok</v>
      </c>
      <c r="X1289" t="str">
        <f t="shared" si="147"/>
        <v>ok</v>
      </c>
      <c r="Y1289" t="str">
        <f t="shared" si="142"/>
        <v>ok</v>
      </c>
      <c r="Z1289" t="str">
        <f t="shared" si="143"/>
        <v>ok</v>
      </c>
      <c r="AA1289" s="4" t="str">
        <f t="shared" si="144"/>
        <v>ok</v>
      </c>
      <c r="AB1289" s="4" t="str">
        <f t="shared" si="145"/>
        <v>no resolution</v>
      </c>
      <c r="AC1289" s="6" t="str">
        <f t="shared" si="146"/>
        <v/>
      </c>
    </row>
    <row r="1290" spans="1:29" x14ac:dyDescent="0.3">
      <c r="A1290" t="s">
        <v>32</v>
      </c>
      <c r="B1290">
        <v>2640</v>
      </c>
      <c r="C1290" t="s">
        <v>47</v>
      </c>
      <c r="D1290" t="s">
        <v>24</v>
      </c>
      <c r="E1290" t="s">
        <v>39</v>
      </c>
      <c r="F1290" t="s">
        <v>26</v>
      </c>
      <c r="G1290" t="s">
        <v>27</v>
      </c>
      <c r="H1290" s="1">
        <v>45124.605254629627</v>
      </c>
      <c r="I1290" s="1">
        <v>45126.605254629627</v>
      </c>
      <c r="J1290" s="1">
        <v>45124.646921296298</v>
      </c>
      <c r="K1290" s="2">
        <v>45124.633765694445</v>
      </c>
      <c r="L1290" t="s">
        <v>28</v>
      </c>
      <c r="N1290" t="s">
        <v>38</v>
      </c>
      <c r="P1290">
        <v>2</v>
      </c>
      <c r="R1290" t="s">
        <v>50</v>
      </c>
      <c r="S1290" t="s">
        <v>30</v>
      </c>
      <c r="T1290" t="s">
        <v>31</v>
      </c>
      <c r="U1290">
        <v>53.094023999999997</v>
      </c>
      <c r="V1290">
        <v>-8.0196749999999994</v>
      </c>
      <c r="W1290" t="str">
        <f t="shared" si="141"/>
        <v>ok</v>
      </c>
      <c r="X1290" t="str">
        <f t="shared" si="147"/>
        <v>ok</v>
      </c>
      <c r="Y1290" t="str">
        <f t="shared" si="142"/>
        <v>ok</v>
      </c>
      <c r="Z1290" t="str">
        <f t="shared" si="143"/>
        <v>ok</v>
      </c>
      <c r="AA1290" s="4" t="str">
        <f t="shared" si="144"/>
        <v>ok</v>
      </c>
      <c r="AB1290" s="4" t="str">
        <f t="shared" si="145"/>
        <v>no resolution</v>
      </c>
      <c r="AC1290" s="6" t="str">
        <f t="shared" si="146"/>
        <v/>
      </c>
    </row>
    <row r="1291" spans="1:29" x14ac:dyDescent="0.3">
      <c r="A1291" t="s">
        <v>42</v>
      </c>
      <c r="B1291">
        <v>2641</v>
      </c>
      <c r="C1291" t="s">
        <v>23</v>
      </c>
      <c r="D1291" t="s">
        <v>24</v>
      </c>
      <c r="E1291" t="s">
        <v>48</v>
      </c>
      <c r="F1291" t="s">
        <v>26</v>
      </c>
      <c r="G1291" t="s">
        <v>27</v>
      </c>
      <c r="H1291" s="1">
        <v>45124.661921296298</v>
      </c>
      <c r="I1291" s="1">
        <v>45126.661921296298</v>
      </c>
      <c r="J1291" s="1">
        <v>45124.703587962962</v>
      </c>
      <c r="K1291" s="2">
        <v>45124.691654571761</v>
      </c>
      <c r="L1291" t="s">
        <v>28</v>
      </c>
      <c r="M1291" s="2">
        <v>45124.771910914351</v>
      </c>
      <c r="N1291" t="s">
        <v>28</v>
      </c>
      <c r="P1291">
        <v>7</v>
      </c>
      <c r="R1291" t="s">
        <v>50</v>
      </c>
      <c r="S1291" t="s">
        <v>30</v>
      </c>
      <c r="T1291" t="s">
        <v>41</v>
      </c>
      <c r="U1291">
        <v>43.036776000000003</v>
      </c>
      <c r="V1291">
        <v>12.678565000000001</v>
      </c>
      <c r="W1291" t="str">
        <f t="shared" si="141"/>
        <v>ok</v>
      </c>
      <c r="X1291" t="str">
        <f t="shared" si="147"/>
        <v>ok</v>
      </c>
      <c r="Y1291" t="str">
        <f t="shared" si="142"/>
        <v>ok</v>
      </c>
      <c r="Z1291" t="str">
        <f t="shared" si="143"/>
        <v>ok</v>
      </c>
      <c r="AA1291" s="4" t="str">
        <f t="shared" si="144"/>
        <v>ok</v>
      </c>
      <c r="AB1291" s="4" t="str">
        <f t="shared" si="145"/>
        <v>ok</v>
      </c>
      <c r="AC1291" s="6">
        <f t="shared" si="146"/>
        <v>2.6397508332738653</v>
      </c>
    </row>
    <row r="1292" spans="1:29" x14ac:dyDescent="0.3">
      <c r="A1292" t="s">
        <v>22</v>
      </c>
      <c r="B1292">
        <v>2642</v>
      </c>
      <c r="C1292" t="s">
        <v>47</v>
      </c>
      <c r="D1292" t="s">
        <v>43</v>
      </c>
      <c r="E1292" t="s">
        <v>39</v>
      </c>
      <c r="F1292" t="s">
        <v>26</v>
      </c>
      <c r="G1292" t="s">
        <v>49</v>
      </c>
      <c r="H1292" s="1">
        <v>45125.117523148147</v>
      </c>
      <c r="I1292" s="1">
        <v>45126.117523148147</v>
      </c>
      <c r="J1292" s="1">
        <v>45125.11891203704</v>
      </c>
      <c r="K1292" s="2">
        <v>45125.118327731485</v>
      </c>
      <c r="L1292" t="s">
        <v>28</v>
      </c>
      <c r="M1292" s="2">
        <v>45125.909604895831</v>
      </c>
      <c r="N1292" t="s">
        <v>28</v>
      </c>
      <c r="O1292" s="2">
        <v>45132.206465034724</v>
      </c>
      <c r="P1292">
        <v>2</v>
      </c>
      <c r="Q1292">
        <v>4</v>
      </c>
      <c r="R1292" t="s">
        <v>50</v>
      </c>
      <c r="S1292" t="s">
        <v>30</v>
      </c>
      <c r="T1292" t="s">
        <v>57</v>
      </c>
      <c r="U1292">
        <v>51.165691000000002</v>
      </c>
      <c r="V1292">
        <v>10.451525999999999</v>
      </c>
      <c r="W1292" t="str">
        <f t="shared" si="141"/>
        <v>ok</v>
      </c>
      <c r="X1292" t="str">
        <f t="shared" si="147"/>
        <v>ok</v>
      </c>
      <c r="Y1292" t="str">
        <f t="shared" si="142"/>
        <v>ok</v>
      </c>
      <c r="Z1292" t="str">
        <f t="shared" si="143"/>
        <v>ok</v>
      </c>
      <c r="AA1292" s="4" t="str">
        <f t="shared" si="144"/>
        <v>ok</v>
      </c>
      <c r="AB1292" s="4" t="str">
        <f t="shared" si="145"/>
        <v>ok</v>
      </c>
      <c r="AC1292" s="6">
        <f t="shared" si="146"/>
        <v>19.009961944422685</v>
      </c>
    </row>
    <row r="1293" spans="1:29" x14ac:dyDescent="0.3">
      <c r="A1293" t="s">
        <v>42</v>
      </c>
      <c r="B1293">
        <v>2643</v>
      </c>
      <c r="C1293" t="s">
        <v>23</v>
      </c>
      <c r="D1293" t="s">
        <v>24</v>
      </c>
      <c r="E1293" t="s">
        <v>25</v>
      </c>
      <c r="F1293" t="s">
        <v>26</v>
      </c>
      <c r="G1293" t="s">
        <v>60</v>
      </c>
      <c r="H1293" s="1">
        <v>45125.623229166667</v>
      </c>
      <c r="I1293" s="1">
        <v>45127.623229166667</v>
      </c>
      <c r="J1293" s="1">
        <v>45125.664895833332</v>
      </c>
      <c r="K1293" s="2">
        <v>45125.646310995369</v>
      </c>
      <c r="L1293" t="s">
        <v>28</v>
      </c>
      <c r="M1293" s="2">
        <v>45126.000040578707</v>
      </c>
      <c r="N1293" t="s">
        <v>28</v>
      </c>
      <c r="P1293">
        <v>10</v>
      </c>
      <c r="R1293" t="s">
        <v>50</v>
      </c>
      <c r="S1293" t="s">
        <v>30</v>
      </c>
      <c r="T1293" t="s">
        <v>65</v>
      </c>
      <c r="U1293">
        <v>46.149166399999999</v>
      </c>
      <c r="V1293">
        <v>14.9860106</v>
      </c>
      <c r="W1293" t="str">
        <f t="shared" si="141"/>
        <v>ok</v>
      </c>
      <c r="X1293" t="str">
        <f t="shared" si="147"/>
        <v>ok</v>
      </c>
      <c r="Y1293" t="str">
        <f t="shared" si="142"/>
        <v>ok</v>
      </c>
      <c r="Z1293" t="str">
        <f t="shared" si="143"/>
        <v>ok</v>
      </c>
      <c r="AA1293" s="4" t="str">
        <f t="shared" si="144"/>
        <v>ok</v>
      </c>
      <c r="AB1293" s="4" t="str">
        <f t="shared" si="145"/>
        <v>ok</v>
      </c>
      <c r="AC1293" s="6">
        <f t="shared" si="146"/>
        <v>9.0434738889453001</v>
      </c>
    </row>
    <row r="1294" spans="1:29" x14ac:dyDescent="0.3">
      <c r="A1294" t="s">
        <v>22</v>
      </c>
      <c r="B1294">
        <v>2644</v>
      </c>
      <c r="C1294" t="s">
        <v>47</v>
      </c>
      <c r="D1294" t="s">
        <v>43</v>
      </c>
      <c r="E1294" t="s">
        <v>44</v>
      </c>
      <c r="F1294" t="s">
        <v>36</v>
      </c>
      <c r="G1294" t="s">
        <v>54</v>
      </c>
      <c r="H1294" s="1">
        <v>45125.687118055554</v>
      </c>
      <c r="I1294" s="1">
        <v>45126.687118055554</v>
      </c>
      <c r="J1294" s="1">
        <v>45125.688506944447</v>
      </c>
      <c r="K1294" s="2">
        <v>45125.687772175923</v>
      </c>
      <c r="L1294" t="s">
        <v>28</v>
      </c>
      <c r="M1294" s="2">
        <v>45125.927764571759</v>
      </c>
      <c r="N1294" t="s">
        <v>28</v>
      </c>
      <c r="O1294" s="2">
        <v>45129.957749710651</v>
      </c>
      <c r="P1294">
        <v>6</v>
      </c>
      <c r="Q1294">
        <v>3</v>
      </c>
      <c r="R1294" t="s">
        <v>29</v>
      </c>
      <c r="S1294" t="s">
        <v>40</v>
      </c>
      <c r="T1294" t="s">
        <v>57</v>
      </c>
      <c r="U1294">
        <v>51.165691000000002</v>
      </c>
      <c r="V1294">
        <v>10.451525999999999</v>
      </c>
      <c r="W1294" t="str">
        <f t="shared" si="141"/>
        <v>ok</v>
      </c>
      <c r="X1294" t="str">
        <f t="shared" si="147"/>
        <v>ok</v>
      </c>
      <c r="Y1294" t="str">
        <f t="shared" si="142"/>
        <v>ok</v>
      </c>
      <c r="Z1294" t="str">
        <f t="shared" si="143"/>
        <v>ok</v>
      </c>
      <c r="AA1294" s="4" t="str">
        <f t="shared" si="144"/>
        <v>ok</v>
      </c>
      <c r="AB1294" s="4" t="str">
        <f t="shared" si="145"/>
        <v>ok</v>
      </c>
      <c r="AC1294" s="6">
        <f t="shared" si="146"/>
        <v>5.7755163889378309</v>
      </c>
    </row>
    <row r="1295" spans="1:29" x14ac:dyDescent="0.3">
      <c r="A1295" t="s">
        <v>22</v>
      </c>
      <c r="B1295">
        <v>2645</v>
      </c>
      <c r="C1295" t="s">
        <v>23</v>
      </c>
      <c r="D1295" t="s">
        <v>24</v>
      </c>
      <c r="E1295" t="s">
        <v>39</v>
      </c>
      <c r="F1295" t="s">
        <v>26</v>
      </c>
      <c r="G1295" t="s">
        <v>45</v>
      </c>
      <c r="H1295" s="1">
        <v>45125.573611111111</v>
      </c>
      <c r="I1295" s="1">
        <v>45127.573611111111</v>
      </c>
      <c r="J1295" s="1">
        <v>45125.615277777775</v>
      </c>
      <c r="K1295" s="2">
        <v>45125.578951481482</v>
      </c>
      <c r="L1295" t="s">
        <v>28</v>
      </c>
      <c r="M1295" s="2">
        <v>45125.771652696756</v>
      </c>
      <c r="N1295" t="s">
        <v>28</v>
      </c>
      <c r="O1295" s="2">
        <v>45132.607091365739</v>
      </c>
      <c r="P1295">
        <v>1</v>
      </c>
      <c r="Q1295">
        <v>1</v>
      </c>
      <c r="R1295" t="s">
        <v>39</v>
      </c>
      <c r="S1295" t="s">
        <v>30</v>
      </c>
      <c r="T1295" t="s">
        <v>63</v>
      </c>
      <c r="U1295">
        <v>55.378051999999997</v>
      </c>
      <c r="V1295">
        <v>-3.4359730000000002</v>
      </c>
      <c r="W1295" t="str">
        <f t="shared" si="141"/>
        <v>ok</v>
      </c>
      <c r="X1295" t="str">
        <f t="shared" si="147"/>
        <v>ok</v>
      </c>
      <c r="Y1295" t="str">
        <f t="shared" si="142"/>
        <v>ok</v>
      </c>
      <c r="Z1295" t="str">
        <f t="shared" si="143"/>
        <v>ok</v>
      </c>
      <c r="AA1295" s="4" t="str">
        <f t="shared" si="144"/>
        <v>ok</v>
      </c>
      <c r="AB1295" s="4" t="str">
        <f t="shared" si="145"/>
        <v>ok</v>
      </c>
      <c r="AC1295" s="6">
        <f t="shared" si="146"/>
        <v>4.7529980554827489</v>
      </c>
    </row>
    <row r="1296" spans="1:29" x14ac:dyDescent="0.3">
      <c r="A1296" t="s">
        <v>42</v>
      </c>
      <c r="B1296">
        <v>2646</v>
      </c>
      <c r="C1296" t="s">
        <v>23</v>
      </c>
      <c r="D1296" t="s">
        <v>24</v>
      </c>
      <c r="E1296" t="s">
        <v>35</v>
      </c>
      <c r="F1296" t="s">
        <v>26</v>
      </c>
      <c r="G1296" t="s">
        <v>49</v>
      </c>
      <c r="H1296" s="1">
        <v>45125.30332175926</v>
      </c>
      <c r="I1296" s="1">
        <v>45127.30332175926</v>
      </c>
      <c r="J1296" s="1">
        <v>45125.344988425924</v>
      </c>
      <c r="K1296" s="2">
        <v>45125.327108194448</v>
      </c>
      <c r="L1296" t="s">
        <v>28</v>
      </c>
      <c r="M1296" s="2">
        <v>45125.922990208332</v>
      </c>
      <c r="N1296" t="s">
        <v>28</v>
      </c>
      <c r="P1296">
        <v>4</v>
      </c>
      <c r="R1296" t="s">
        <v>29</v>
      </c>
      <c r="S1296" t="s">
        <v>30</v>
      </c>
      <c r="T1296" t="s">
        <v>57</v>
      </c>
      <c r="U1296">
        <v>51.165691000000002</v>
      </c>
      <c r="V1296">
        <v>10.451525999999999</v>
      </c>
      <c r="W1296" t="str">
        <f t="shared" si="141"/>
        <v>ok</v>
      </c>
      <c r="X1296" t="str">
        <f t="shared" si="147"/>
        <v>ok</v>
      </c>
      <c r="Y1296" t="str">
        <f t="shared" si="142"/>
        <v>ok</v>
      </c>
      <c r="Z1296" t="str">
        <f t="shared" si="143"/>
        <v>ok</v>
      </c>
      <c r="AA1296" s="4" t="str">
        <f t="shared" si="144"/>
        <v>ok</v>
      </c>
      <c r="AB1296" s="4" t="str">
        <f t="shared" si="145"/>
        <v>ok</v>
      </c>
      <c r="AC1296" s="6">
        <f t="shared" si="146"/>
        <v>14.872042777715251</v>
      </c>
    </row>
    <row r="1297" spans="1:29" x14ac:dyDescent="0.3">
      <c r="A1297" t="s">
        <v>22</v>
      </c>
      <c r="B1297">
        <v>2647</v>
      </c>
      <c r="C1297" t="s">
        <v>23</v>
      </c>
      <c r="D1297" t="s">
        <v>24</v>
      </c>
      <c r="E1297" t="s">
        <v>35</v>
      </c>
      <c r="F1297" t="s">
        <v>26</v>
      </c>
      <c r="G1297" t="s">
        <v>27</v>
      </c>
      <c r="H1297" s="1">
        <v>45125.709027777775</v>
      </c>
      <c r="I1297" s="1">
        <v>45127.709027777775</v>
      </c>
      <c r="J1297" s="1">
        <v>45125.750694444447</v>
      </c>
      <c r="K1297" s="2">
        <v>45125.713445011577</v>
      </c>
      <c r="L1297" t="s">
        <v>28</v>
      </c>
      <c r="M1297" s="2">
        <v>45127.857601145835</v>
      </c>
      <c r="N1297" t="s">
        <v>38</v>
      </c>
      <c r="O1297" s="2">
        <v>45129.635232511573</v>
      </c>
      <c r="P1297">
        <v>2</v>
      </c>
      <c r="Q1297">
        <v>2</v>
      </c>
      <c r="R1297" t="s">
        <v>50</v>
      </c>
      <c r="S1297" t="s">
        <v>30</v>
      </c>
      <c r="T1297" t="s">
        <v>46</v>
      </c>
      <c r="U1297">
        <v>47.696471899999999</v>
      </c>
      <c r="V1297">
        <v>13.3457347</v>
      </c>
      <c r="W1297" t="str">
        <f t="shared" si="141"/>
        <v>ok</v>
      </c>
      <c r="X1297" t="str">
        <f t="shared" si="147"/>
        <v>ok</v>
      </c>
      <c r="Y1297" t="str">
        <f t="shared" si="142"/>
        <v>ok</v>
      </c>
      <c r="Z1297" t="str">
        <f t="shared" si="143"/>
        <v>ok</v>
      </c>
      <c r="AA1297" s="4" t="str">
        <f t="shared" si="144"/>
        <v>ok</v>
      </c>
      <c r="AB1297" s="4" t="str">
        <f t="shared" si="145"/>
        <v>ok</v>
      </c>
      <c r="AC1297" s="6">
        <f t="shared" si="146"/>
        <v>51.565760833444074</v>
      </c>
    </row>
    <row r="1298" spans="1:29" x14ac:dyDescent="0.3">
      <c r="A1298" t="s">
        <v>32</v>
      </c>
      <c r="B1298">
        <v>2648</v>
      </c>
      <c r="C1298" t="s">
        <v>33</v>
      </c>
      <c r="D1298" t="s">
        <v>24</v>
      </c>
      <c r="E1298" t="s">
        <v>44</v>
      </c>
      <c r="F1298" t="s">
        <v>26</v>
      </c>
      <c r="G1298" t="s">
        <v>27</v>
      </c>
      <c r="H1298" s="1">
        <v>45125.181319444448</v>
      </c>
      <c r="I1298" s="1">
        <v>45127.181319444448</v>
      </c>
      <c r="J1298" s="1">
        <v>45125.222986111112</v>
      </c>
      <c r="K1298" s="2">
        <v>45125.199097280092</v>
      </c>
      <c r="L1298" t="s">
        <v>28</v>
      </c>
      <c r="N1298" t="s">
        <v>38</v>
      </c>
      <c r="P1298">
        <v>2</v>
      </c>
      <c r="R1298" t="s">
        <v>39</v>
      </c>
      <c r="S1298" t="s">
        <v>30</v>
      </c>
      <c r="T1298" t="s">
        <v>41</v>
      </c>
      <c r="U1298">
        <v>43.036776000000003</v>
      </c>
      <c r="V1298">
        <v>12.678565000000001</v>
      </c>
      <c r="W1298" t="str">
        <f t="shared" si="141"/>
        <v>ok</v>
      </c>
      <c r="X1298" t="str">
        <f t="shared" si="147"/>
        <v>ok</v>
      </c>
      <c r="Y1298" t="str">
        <f t="shared" si="142"/>
        <v>ok</v>
      </c>
      <c r="Z1298" t="str">
        <f t="shared" si="143"/>
        <v>ok</v>
      </c>
      <c r="AA1298" s="4" t="str">
        <f t="shared" si="144"/>
        <v>ok</v>
      </c>
      <c r="AB1298" s="4" t="str">
        <f t="shared" si="145"/>
        <v>no resolution</v>
      </c>
      <c r="AC1298" s="6" t="str">
        <f t="shared" si="146"/>
        <v/>
      </c>
    </row>
    <row r="1299" spans="1:29" x14ac:dyDescent="0.3">
      <c r="A1299" t="s">
        <v>32</v>
      </c>
      <c r="B1299">
        <v>2649</v>
      </c>
      <c r="C1299" t="s">
        <v>23</v>
      </c>
      <c r="D1299" t="s">
        <v>24</v>
      </c>
      <c r="E1299" t="s">
        <v>39</v>
      </c>
      <c r="F1299" t="s">
        <v>36</v>
      </c>
      <c r="G1299" t="s">
        <v>37</v>
      </c>
      <c r="H1299" s="1">
        <v>45125.219606481478</v>
      </c>
      <c r="I1299" s="1">
        <v>45127.219606481478</v>
      </c>
      <c r="J1299" s="1">
        <v>45125.261273148149</v>
      </c>
      <c r="K1299" s="2">
        <v>45125.228826076389</v>
      </c>
      <c r="L1299" t="s">
        <v>28</v>
      </c>
      <c r="N1299" t="s">
        <v>38</v>
      </c>
      <c r="P1299">
        <v>3</v>
      </c>
      <c r="R1299" t="s">
        <v>29</v>
      </c>
      <c r="S1299" t="s">
        <v>40</v>
      </c>
      <c r="T1299" t="s">
        <v>41</v>
      </c>
      <c r="U1299">
        <v>43.036776000000003</v>
      </c>
      <c r="V1299">
        <v>12.678565000000001</v>
      </c>
      <c r="W1299" t="str">
        <f t="shared" si="141"/>
        <v>ok</v>
      </c>
      <c r="X1299" t="str">
        <f t="shared" si="147"/>
        <v>ok</v>
      </c>
      <c r="Y1299" t="str">
        <f t="shared" si="142"/>
        <v>ok</v>
      </c>
      <c r="Z1299" t="str">
        <f t="shared" si="143"/>
        <v>ok</v>
      </c>
      <c r="AA1299" s="4" t="str">
        <f t="shared" si="144"/>
        <v>ok</v>
      </c>
      <c r="AB1299" s="4" t="str">
        <f t="shared" si="145"/>
        <v>no resolution</v>
      </c>
      <c r="AC1299" s="6" t="str">
        <f t="shared" si="146"/>
        <v/>
      </c>
    </row>
    <row r="1300" spans="1:29" x14ac:dyDescent="0.3">
      <c r="A1300" t="s">
        <v>22</v>
      </c>
      <c r="B1300">
        <v>2650</v>
      </c>
      <c r="C1300" t="s">
        <v>23</v>
      </c>
      <c r="D1300" t="s">
        <v>24</v>
      </c>
      <c r="E1300" t="s">
        <v>48</v>
      </c>
      <c r="F1300" t="s">
        <v>26</v>
      </c>
      <c r="G1300" t="s">
        <v>60</v>
      </c>
      <c r="H1300" s="1">
        <v>45125.304224537038</v>
      </c>
      <c r="I1300" s="1">
        <v>45127.304224537038</v>
      </c>
      <c r="J1300" s="1">
        <v>45125.345891203702</v>
      </c>
      <c r="K1300" s="2">
        <v>45125.324838831017</v>
      </c>
      <c r="L1300" t="s">
        <v>28</v>
      </c>
      <c r="M1300" s="2">
        <v>45126.586183587962</v>
      </c>
      <c r="N1300" t="s">
        <v>28</v>
      </c>
      <c r="O1300" s="2">
        <v>45127.256734259259</v>
      </c>
      <c r="P1300">
        <v>3</v>
      </c>
      <c r="Q1300">
        <v>5</v>
      </c>
      <c r="R1300" t="s">
        <v>50</v>
      </c>
      <c r="S1300" t="s">
        <v>30</v>
      </c>
      <c r="T1300" t="s">
        <v>31</v>
      </c>
      <c r="U1300">
        <v>53.094023999999997</v>
      </c>
      <c r="V1300">
        <v>-8.0196749999999994</v>
      </c>
      <c r="W1300" t="str">
        <f t="shared" si="141"/>
        <v>ok</v>
      </c>
      <c r="X1300" t="str">
        <f t="shared" si="147"/>
        <v>ok</v>
      </c>
      <c r="Y1300" t="str">
        <f t="shared" si="142"/>
        <v>ok</v>
      </c>
      <c r="Z1300" t="str">
        <f t="shared" si="143"/>
        <v>ok</v>
      </c>
      <c r="AA1300" s="4" t="str">
        <f t="shared" si="144"/>
        <v>ok</v>
      </c>
      <c r="AB1300" s="4" t="str">
        <f t="shared" si="145"/>
        <v>ok</v>
      </c>
      <c r="AC1300" s="6">
        <f t="shared" si="146"/>
        <v>30.767017222184222</v>
      </c>
    </row>
    <row r="1301" spans="1:29" x14ac:dyDescent="0.3">
      <c r="A1301" t="s">
        <v>32</v>
      </c>
      <c r="B1301">
        <v>2651</v>
      </c>
      <c r="C1301" t="s">
        <v>23</v>
      </c>
      <c r="D1301" t="s">
        <v>43</v>
      </c>
      <c r="E1301" t="s">
        <v>35</v>
      </c>
      <c r="F1301" t="s">
        <v>26</v>
      </c>
      <c r="G1301" t="s">
        <v>49</v>
      </c>
      <c r="H1301" s="1">
        <v>45126.850671296299</v>
      </c>
      <c r="I1301" s="1">
        <v>45127.850671296299</v>
      </c>
      <c r="J1301" s="1">
        <v>45126.852060185185</v>
      </c>
      <c r="K1301" s="2">
        <v>45126.851838622686</v>
      </c>
      <c r="L1301" t="s">
        <v>28</v>
      </c>
      <c r="N1301" t="s">
        <v>38</v>
      </c>
      <c r="P1301">
        <v>2</v>
      </c>
      <c r="R1301" t="s">
        <v>29</v>
      </c>
      <c r="S1301" t="s">
        <v>30</v>
      </c>
      <c r="T1301" t="s">
        <v>51</v>
      </c>
      <c r="U1301">
        <v>39.673369999999998</v>
      </c>
      <c r="V1301">
        <v>-4.7677259999999997</v>
      </c>
      <c r="W1301" t="str">
        <f t="shared" si="141"/>
        <v>ok</v>
      </c>
      <c r="X1301" t="str">
        <f t="shared" si="147"/>
        <v>ok</v>
      </c>
      <c r="Y1301" t="str">
        <f t="shared" si="142"/>
        <v>ok</v>
      </c>
      <c r="Z1301" t="str">
        <f t="shared" si="143"/>
        <v>ok</v>
      </c>
      <c r="AA1301" s="4" t="str">
        <f t="shared" si="144"/>
        <v>ok</v>
      </c>
      <c r="AB1301" s="4" t="str">
        <f t="shared" si="145"/>
        <v>no resolution</v>
      </c>
      <c r="AC1301" s="6" t="str">
        <f t="shared" si="146"/>
        <v/>
      </c>
    </row>
    <row r="1302" spans="1:29" x14ac:dyDescent="0.3">
      <c r="A1302" t="s">
        <v>22</v>
      </c>
      <c r="B1302">
        <v>2652</v>
      </c>
      <c r="C1302" t="s">
        <v>23</v>
      </c>
      <c r="D1302" t="s">
        <v>43</v>
      </c>
      <c r="E1302" t="s">
        <v>44</v>
      </c>
      <c r="F1302" t="s">
        <v>26</v>
      </c>
      <c r="G1302" t="s">
        <v>49</v>
      </c>
      <c r="H1302" s="1">
        <v>45126.160208333335</v>
      </c>
      <c r="I1302" s="1">
        <v>45127.160208333335</v>
      </c>
      <c r="J1302" s="1">
        <v>45126.161597222221</v>
      </c>
      <c r="K1302" s="2">
        <v>45126.161512465274</v>
      </c>
      <c r="L1302" t="s">
        <v>28</v>
      </c>
      <c r="M1302" s="2">
        <v>45128.83293989583</v>
      </c>
      <c r="N1302" t="s">
        <v>38</v>
      </c>
      <c r="O1302" s="2">
        <v>45129.527447210647</v>
      </c>
      <c r="P1302">
        <v>6</v>
      </c>
      <c r="Q1302">
        <v>3</v>
      </c>
      <c r="R1302" t="s">
        <v>39</v>
      </c>
      <c r="S1302" t="s">
        <v>30</v>
      </c>
      <c r="T1302" t="s">
        <v>57</v>
      </c>
      <c r="U1302">
        <v>51.165691000000002</v>
      </c>
      <c r="V1302">
        <v>10.451525999999999</v>
      </c>
      <c r="W1302" t="str">
        <f t="shared" si="141"/>
        <v>ok</v>
      </c>
      <c r="X1302" t="str">
        <f t="shared" si="147"/>
        <v>ok</v>
      </c>
      <c r="Y1302" t="str">
        <f t="shared" si="142"/>
        <v>ok</v>
      </c>
      <c r="Z1302" t="str">
        <f t="shared" si="143"/>
        <v>ok</v>
      </c>
      <c r="AA1302" s="4" t="str">
        <f t="shared" si="144"/>
        <v>ok</v>
      </c>
      <c r="AB1302" s="4" t="str">
        <f t="shared" si="145"/>
        <v>ok</v>
      </c>
      <c r="AC1302" s="6">
        <f t="shared" si="146"/>
        <v>64.145557499898132</v>
      </c>
    </row>
    <row r="1303" spans="1:29" x14ac:dyDescent="0.3">
      <c r="A1303" t="s">
        <v>22</v>
      </c>
      <c r="B1303">
        <v>2653</v>
      </c>
      <c r="C1303" t="s">
        <v>33</v>
      </c>
      <c r="D1303" t="s">
        <v>43</v>
      </c>
      <c r="E1303" t="s">
        <v>48</v>
      </c>
      <c r="F1303" t="s">
        <v>26</v>
      </c>
      <c r="G1303" t="s">
        <v>45</v>
      </c>
      <c r="H1303" s="1">
        <v>45126.026631944442</v>
      </c>
      <c r="I1303" s="1">
        <v>45127.026631944442</v>
      </c>
      <c r="J1303" s="1">
        <v>45126.028020833335</v>
      </c>
      <c r="K1303" s="2">
        <v>45126.029658182873</v>
      </c>
      <c r="L1303" t="s">
        <v>38</v>
      </c>
      <c r="M1303" s="2">
        <v>45131.159099039352</v>
      </c>
      <c r="N1303" t="s">
        <v>38</v>
      </c>
      <c r="O1303" s="2">
        <v>45132.518718622683</v>
      </c>
      <c r="P1303">
        <v>7</v>
      </c>
      <c r="Q1303">
        <v>5</v>
      </c>
      <c r="R1303" t="s">
        <v>39</v>
      </c>
      <c r="S1303" t="s">
        <v>30</v>
      </c>
      <c r="T1303" t="s">
        <v>46</v>
      </c>
      <c r="U1303">
        <v>47.696471899999999</v>
      </c>
      <c r="V1303">
        <v>13.3457347</v>
      </c>
      <c r="W1303" t="str">
        <f t="shared" si="141"/>
        <v>ok</v>
      </c>
      <c r="X1303" t="str">
        <f t="shared" si="147"/>
        <v>ok</v>
      </c>
      <c r="Y1303" t="str">
        <f t="shared" si="142"/>
        <v>ok</v>
      </c>
      <c r="Z1303" t="str">
        <f t="shared" si="143"/>
        <v>ok</v>
      </c>
      <c r="AA1303" s="4" t="str">
        <f t="shared" si="144"/>
        <v>ok</v>
      </c>
      <c r="AB1303" s="4" t="str">
        <f t="shared" si="145"/>
        <v>ok</v>
      </c>
      <c r="AC1303" s="6">
        <f t="shared" si="146"/>
        <v>123.17921027785633</v>
      </c>
    </row>
    <row r="1304" spans="1:29" x14ac:dyDescent="0.3">
      <c r="A1304" t="s">
        <v>22</v>
      </c>
      <c r="B1304">
        <v>2654</v>
      </c>
      <c r="C1304" t="s">
        <v>47</v>
      </c>
      <c r="D1304" t="s">
        <v>43</v>
      </c>
      <c r="E1304" t="s">
        <v>25</v>
      </c>
      <c r="F1304" t="s">
        <v>36</v>
      </c>
      <c r="G1304" t="s">
        <v>37</v>
      </c>
      <c r="H1304" s="1">
        <v>45126.207106481481</v>
      </c>
      <c r="I1304" s="1">
        <v>45127.207106481481</v>
      </c>
      <c r="J1304" s="1">
        <v>45126.208495370367</v>
      </c>
      <c r="K1304" s="2">
        <v>45126.209083368056</v>
      </c>
      <c r="L1304" t="s">
        <v>38</v>
      </c>
      <c r="M1304" s="2">
        <v>45126.408938113425</v>
      </c>
      <c r="N1304" t="s">
        <v>28</v>
      </c>
      <c r="O1304" s="2">
        <v>45127.245415266203</v>
      </c>
      <c r="P1304">
        <v>3</v>
      </c>
      <c r="Q1304">
        <v>3</v>
      </c>
      <c r="R1304" t="s">
        <v>29</v>
      </c>
      <c r="S1304" t="s">
        <v>40</v>
      </c>
      <c r="T1304" t="s">
        <v>41</v>
      </c>
      <c r="U1304">
        <v>43.036776000000003</v>
      </c>
      <c r="V1304">
        <v>12.678565000000001</v>
      </c>
      <c r="W1304" t="str">
        <f t="shared" si="141"/>
        <v>ok</v>
      </c>
      <c r="X1304" t="str">
        <f t="shared" si="147"/>
        <v>ok</v>
      </c>
      <c r="Y1304" t="str">
        <f t="shared" si="142"/>
        <v>ok</v>
      </c>
      <c r="Z1304" t="str">
        <f t="shared" si="143"/>
        <v>ok</v>
      </c>
      <c r="AA1304" s="4" t="str">
        <f t="shared" si="144"/>
        <v>ok</v>
      </c>
      <c r="AB1304" s="4" t="str">
        <f t="shared" si="145"/>
        <v>ok</v>
      </c>
      <c r="AC1304" s="6">
        <f t="shared" si="146"/>
        <v>4.8439591666683555</v>
      </c>
    </row>
    <row r="1305" spans="1:29" x14ac:dyDescent="0.3">
      <c r="A1305" t="s">
        <v>42</v>
      </c>
      <c r="B1305">
        <v>2655</v>
      </c>
      <c r="C1305" t="s">
        <v>33</v>
      </c>
      <c r="D1305" t="s">
        <v>24</v>
      </c>
      <c r="E1305" t="s">
        <v>35</v>
      </c>
      <c r="F1305" t="s">
        <v>26</v>
      </c>
      <c r="G1305" t="s">
        <v>27</v>
      </c>
      <c r="H1305" s="1">
        <v>45126.68577546296</v>
      </c>
      <c r="I1305" s="1">
        <v>45128.68577546296</v>
      </c>
      <c r="J1305" s="1">
        <v>45126.727442129632</v>
      </c>
      <c r="K1305" s="2">
        <v>45126.697501574075</v>
      </c>
      <c r="L1305" t="s">
        <v>28</v>
      </c>
      <c r="M1305" s="2">
        <v>45127.44136646991</v>
      </c>
      <c r="N1305" t="s">
        <v>28</v>
      </c>
      <c r="P1305">
        <v>10</v>
      </c>
      <c r="R1305" t="s">
        <v>50</v>
      </c>
      <c r="S1305" t="s">
        <v>30</v>
      </c>
      <c r="T1305" t="s">
        <v>58</v>
      </c>
      <c r="U1305">
        <v>49.8037633</v>
      </c>
      <c r="V1305">
        <v>15.4749126</v>
      </c>
      <c r="W1305" t="str">
        <f t="shared" si="141"/>
        <v>ok</v>
      </c>
      <c r="X1305" t="str">
        <f t="shared" si="147"/>
        <v>ok</v>
      </c>
      <c r="Y1305" t="str">
        <f t="shared" si="142"/>
        <v>ok</v>
      </c>
      <c r="Z1305" t="str">
        <f t="shared" si="143"/>
        <v>ok</v>
      </c>
      <c r="AA1305" s="4" t="str">
        <f t="shared" si="144"/>
        <v>ok</v>
      </c>
      <c r="AB1305" s="4" t="str">
        <f t="shared" si="145"/>
        <v>ok</v>
      </c>
      <c r="AC1305" s="6">
        <f t="shared" si="146"/>
        <v>18.134184166789055</v>
      </c>
    </row>
    <row r="1306" spans="1:29" x14ac:dyDescent="0.3">
      <c r="A1306" t="s">
        <v>22</v>
      </c>
      <c r="B1306">
        <v>2656</v>
      </c>
      <c r="C1306" t="s">
        <v>23</v>
      </c>
      <c r="D1306" t="s">
        <v>24</v>
      </c>
      <c r="E1306" t="s">
        <v>48</v>
      </c>
      <c r="F1306" t="s">
        <v>26</v>
      </c>
      <c r="G1306" t="s">
        <v>52</v>
      </c>
      <c r="H1306" s="1">
        <v>45126.080243055556</v>
      </c>
      <c r="I1306" s="1">
        <v>45128.080243055556</v>
      </c>
      <c r="J1306" s="1">
        <v>45126.12190972222</v>
      </c>
      <c r="K1306" s="2">
        <v>45126.121223541668</v>
      </c>
      <c r="L1306" t="s">
        <v>28</v>
      </c>
      <c r="M1306" s="2">
        <v>45127.938051574078</v>
      </c>
      <c r="N1306" t="s">
        <v>28</v>
      </c>
      <c r="O1306" s="2">
        <v>45131.464108981483</v>
      </c>
      <c r="P1306">
        <v>6</v>
      </c>
      <c r="Q1306">
        <v>3</v>
      </c>
      <c r="R1306" t="s">
        <v>50</v>
      </c>
      <c r="S1306" t="s">
        <v>30</v>
      </c>
      <c r="T1306" t="s">
        <v>41</v>
      </c>
      <c r="U1306">
        <v>43.036776000000003</v>
      </c>
      <c r="V1306">
        <v>12.678565000000001</v>
      </c>
      <c r="W1306" t="str">
        <f t="shared" si="141"/>
        <v>ok</v>
      </c>
      <c r="X1306" t="str">
        <f t="shared" si="147"/>
        <v>ok</v>
      </c>
      <c r="Y1306" t="str">
        <f t="shared" si="142"/>
        <v>ok</v>
      </c>
      <c r="Z1306" t="str">
        <f t="shared" si="143"/>
        <v>ok</v>
      </c>
      <c r="AA1306" s="4" t="str">
        <f t="shared" si="144"/>
        <v>ok</v>
      </c>
      <c r="AB1306" s="4" t="str">
        <f t="shared" si="145"/>
        <v>ok</v>
      </c>
      <c r="AC1306" s="6">
        <f t="shared" si="146"/>
        <v>44.58740444452269</v>
      </c>
    </row>
    <row r="1307" spans="1:29" x14ac:dyDescent="0.3">
      <c r="A1307" t="s">
        <v>22</v>
      </c>
      <c r="B1307">
        <v>2657</v>
      </c>
      <c r="C1307" t="s">
        <v>33</v>
      </c>
      <c r="D1307" t="s">
        <v>43</v>
      </c>
      <c r="E1307" t="s">
        <v>35</v>
      </c>
      <c r="F1307" t="s">
        <v>26</v>
      </c>
      <c r="G1307" t="s">
        <v>45</v>
      </c>
      <c r="H1307" s="1">
        <v>45126.486238425925</v>
      </c>
      <c r="I1307" s="1">
        <v>45127.486238425925</v>
      </c>
      <c r="J1307" s="1">
        <v>45126.487627314818</v>
      </c>
      <c r="K1307" s="2">
        <v>45126.48685898148</v>
      </c>
      <c r="L1307" t="s">
        <v>28</v>
      </c>
      <c r="M1307" s="2">
        <v>45128.40518253472</v>
      </c>
      <c r="N1307" t="s">
        <v>38</v>
      </c>
      <c r="O1307" s="2">
        <v>45128.587841712964</v>
      </c>
      <c r="P1307">
        <v>2</v>
      </c>
      <c r="Q1307">
        <v>5</v>
      </c>
      <c r="R1307" t="s">
        <v>50</v>
      </c>
      <c r="S1307" t="s">
        <v>30</v>
      </c>
      <c r="T1307" t="s">
        <v>41</v>
      </c>
      <c r="U1307">
        <v>43.036776000000003</v>
      </c>
      <c r="V1307">
        <v>12.678565000000001</v>
      </c>
      <c r="W1307" t="str">
        <f t="shared" si="141"/>
        <v>ok</v>
      </c>
      <c r="X1307" t="str">
        <f t="shared" si="147"/>
        <v>ok</v>
      </c>
      <c r="Y1307" t="str">
        <f t="shared" si="142"/>
        <v>ok</v>
      </c>
      <c r="Z1307" t="str">
        <f t="shared" si="143"/>
        <v>ok</v>
      </c>
      <c r="AA1307" s="4" t="str">
        <f t="shared" si="144"/>
        <v>ok</v>
      </c>
      <c r="AB1307" s="4" t="str">
        <f t="shared" si="145"/>
        <v>ok</v>
      </c>
      <c r="AC1307" s="6">
        <f t="shared" si="146"/>
        <v>46.054658611072227</v>
      </c>
    </row>
    <row r="1308" spans="1:29" x14ac:dyDescent="0.3">
      <c r="A1308" t="s">
        <v>42</v>
      </c>
      <c r="B1308">
        <v>2658</v>
      </c>
      <c r="C1308" t="s">
        <v>47</v>
      </c>
      <c r="D1308" t="s">
        <v>43</v>
      </c>
      <c r="E1308" t="s">
        <v>35</v>
      </c>
      <c r="F1308" t="s">
        <v>26</v>
      </c>
      <c r="G1308" t="s">
        <v>45</v>
      </c>
      <c r="H1308" s="1">
        <v>45126.292627314811</v>
      </c>
      <c r="I1308" s="1">
        <v>45127.292627314811</v>
      </c>
      <c r="J1308" s="1">
        <v>45126.294016203705</v>
      </c>
      <c r="K1308" s="2">
        <v>45126.29318064815</v>
      </c>
      <c r="L1308" t="s">
        <v>28</v>
      </c>
      <c r="M1308" s="2">
        <v>45126.46040708333</v>
      </c>
      <c r="N1308" t="s">
        <v>28</v>
      </c>
      <c r="P1308">
        <v>8</v>
      </c>
      <c r="R1308" t="s">
        <v>50</v>
      </c>
      <c r="S1308" t="s">
        <v>30</v>
      </c>
      <c r="T1308" t="s">
        <v>51</v>
      </c>
      <c r="U1308">
        <v>39.673369999999998</v>
      </c>
      <c r="V1308">
        <v>-4.7677259999999997</v>
      </c>
      <c r="W1308" t="str">
        <f t="shared" si="141"/>
        <v>ok</v>
      </c>
      <c r="X1308" t="str">
        <f t="shared" si="147"/>
        <v>ok</v>
      </c>
      <c r="Y1308" t="str">
        <f t="shared" si="142"/>
        <v>ok</v>
      </c>
      <c r="Z1308" t="str">
        <f t="shared" si="143"/>
        <v>ok</v>
      </c>
      <c r="AA1308" s="4" t="str">
        <f t="shared" si="144"/>
        <v>ok</v>
      </c>
      <c r="AB1308" s="4" t="str">
        <f t="shared" si="145"/>
        <v>ok</v>
      </c>
      <c r="AC1308" s="6">
        <f t="shared" si="146"/>
        <v>4.0267144444514997</v>
      </c>
    </row>
    <row r="1309" spans="1:29" x14ac:dyDescent="0.3">
      <c r="A1309" t="s">
        <v>22</v>
      </c>
      <c r="B1309">
        <v>2659</v>
      </c>
      <c r="C1309" t="s">
        <v>47</v>
      </c>
      <c r="D1309" t="s">
        <v>43</v>
      </c>
      <c r="E1309" t="s">
        <v>25</v>
      </c>
      <c r="F1309" t="s">
        <v>36</v>
      </c>
      <c r="G1309" t="s">
        <v>64</v>
      </c>
      <c r="H1309" s="1">
        <v>45126.895231481481</v>
      </c>
      <c r="I1309" s="1">
        <v>45127.895231481481</v>
      </c>
      <c r="J1309" s="1">
        <v>45126.896620370368</v>
      </c>
      <c r="K1309" s="2">
        <v>45126.896391863425</v>
      </c>
      <c r="L1309" t="s">
        <v>28</v>
      </c>
      <c r="M1309" s="2">
        <v>45127.12989640046</v>
      </c>
      <c r="N1309" t="s">
        <v>28</v>
      </c>
      <c r="O1309" s="2">
        <v>45130.494686307873</v>
      </c>
      <c r="P1309">
        <v>9</v>
      </c>
      <c r="Q1309">
        <v>4</v>
      </c>
      <c r="R1309" t="s">
        <v>50</v>
      </c>
      <c r="S1309" t="s">
        <v>40</v>
      </c>
      <c r="T1309" t="s">
        <v>66</v>
      </c>
      <c r="U1309">
        <v>48.864716000000001</v>
      </c>
      <c r="V1309">
        <v>2.3490139999999999</v>
      </c>
      <c r="W1309" t="str">
        <f t="shared" si="141"/>
        <v>ok</v>
      </c>
      <c r="X1309" t="str">
        <f t="shared" si="147"/>
        <v>ok</v>
      </c>
      <c r="Y1309" t="str">
        <f t="shared" si="142"/>
        <v>ok</v>
      </c>
      <c r="Z1309" t="str">
        <f t="shared" si="143"/>
        <v>ok</v>
      </c>
      <c r="AA1309" s="4" t="str">
        <f t="shared" si="144"/>
        <v>ok</v>
      </c>
      <c r="AB1309" s="4" t="str">
        <f t="shared" si="145"/>
        <v>ok</v>
      </c>
      <c r="AC1309" s="6">
        <f t="shared" si="146"/>
        <v>5.6319580554845743</v>
      </c>
    </row>
    <row r="1310" spans="1:29" x14ac:dyDescent="0.3">
      <c r="A1310" t="s">
        <v>42</v>
      </c>
      <c r="B1310">
        <v>2660</v>
      </c>
      <c r="C1310" t="s">
        <v>23</v>
      </c>
      <c r="D1310" t="s">
        <v>43</v>
      </c>
      <c r="E1310" t="s">
        <v>35</v>
      </c>
      <c r="F1310" t="s">
        <v>36</v>
      </c>
      <c r="G1310" t="s">
        <v>54</v>
      </c>
      <c r="H1310" s="1">
        <v>45126.858275462961</v>
      </c>
      <c r="I1310" s="1">
        <v>45127.858275462961</v>
      </c>
      <c r="J1310" s="1">
        <v>45126.859664351854</v>
      </c>
      <c r="K1310" s="2">
        <v>45126.859124675924</v>
      </c>
      <c r="L1310" t="s">
        <v>28</v>
      </c>
      <c r="M1310" s="2">
        <v>45127.138749722224</v>
      </c>
      <c r="N1310" t="s">
        <v>28</v>
      </c>
      <c r="P1310">
        <v>9</v>
      </c>
      <c r="R1310" t="s">
        <v>50</v>
      </c>
      <c r="S1310" t="s">
        <v>40</v>
      </c>
      <c r="T1310" t="s">
        <v>51</v>
      </c>
      <c r="U1310">
        <v>39.673369999999998</v>
      </c>
      <c r="V1310">
        <v>-4.7677259999999997</v>
      </c>
      <c r="W1310" t="str">
        <f t="shared" si="141"/>
        <v>ok</v>
      </c>
      <c r="X1310" t="str">
        <f t="shared" si="147"/>
        <v>ok</v>
      </c>
      <c r="Y1310" t="str">
        <f t="shared" si="142"/>
        <v>ok</v>
      </c>
      <c r="Z1310" t="str">
        <f t="shared" si="143"/>
        <v>ok</v>
      </c>
      <c r="AA1310" s="4" t="str">
        <f t="shared" si="144"/>
        <v>ok</v>
      </c>
      <c r="AB1310" s="4" t="str">
        <f t="shared" si="145"/>
        <v>ok</v>
      </c>
      <c r="AC1310" s="6">
        <f t="shared" si="146"/>
        <v>6.7313822223222815</v>
      </c>
    </row>
    <row r="1311" spans="1:29" x14ac:dyDescent="0.3">
      <c r="A1311" t="s">
        <v>22</v>
      </c>
      <c r="B1311">
        <v>2661</v>
      </c>
      <c r="C1311" t="s">
        <v>23</v>
      </c>
      <c r="D1311" t="s">
        <v>24</v>
      </c>
      <c r="E1311" t="s">
        <v>35</v>
      </c>
      <c r="F1311" t="s">
        <v>36</v>
      </c>
      <c r="G1311" t="s">
        <v>54</v>
      </c>
      <c r="H1311" s="1">
        <v>45126.428842592592</v>
      </c>
      <c r="I1311" s="1">
        <v>45128.428842592592</v>
      </c>
      <c r="J1311" s="1">
        <v>45126.470509259256</v>
      </c>
      <c r="K1311" s="2">
        <v>45126.433876041665</v>
      </c>
      <c r="L1311" t="s">
        <v>28</v>
      </c>
      <c r="M1311" s="2">
        <v>45127.863661828706</v>
      </c>
      <c r="N1311" t="s">
        <v>28</v>
      </c>
      <c r="O1311" s="2">
        <v>45127.983508379628</v>
      </c>
      <c r="P1311">
        <v>1</v>
      </c>
      <c r="Q1311">
        <v>1</v>
      </c>
      <c r="R1311" t="s">
        <v>50</v>
      </c>
      <c r="S1311" t="s">
        <v>40</v>
      </c>
      <c r="T1311" t="s">
        <v>56</v>
      </c>
      <c r="U1311">
        <v>52.536273000000001</v>
      </c>
      <c r="V1311">
        <v>19.050639</v>
      </c>
      <c r="W1311" t="str">
        <f t="shared" si="141"/>
        <v>ok</v>
      </c>
      <c r="X1311" t="str">
        <f t="shared" si="147"/>
        <v>ok</v>
      </c>
      <c r="Y1311" t="str">
        <f t="shared" si="142"/>
        <v>ok</v>
      </c>
      <c r="Z1311" t="str">
        <f t="shared" si="143"/>
        <v>ok</v>
      </c>
      <c r="AA1311" s="4" t="str">
        <f t="shared" si="144"/>
        <v>ok</v>
      </c>
      <c r="AB1311" s="4" t="str">
        <f t="shared" si="145"/>
        <v>ok</v>
      </c>
      <c r="AC1311" s="6">
        <f t="shared" si="146"/>
        <v>34.435661666735541</v>
      </c>
    </row>
    <row r="1312" spans="1:29" x14ac:dyDescent="0.3">
      <c r="A1312" t="s">
        <v>42</v>
      </c>
      <c r="B1312">
        <v>2662</v>
      </c>
      <c r="C1312" t="s">
        <v>23</v>
      </c>
      <c r="D1312" t="s">
        <v>43</v>
      </c>
      <c r="E1312" t="s">
        <v>48</v>
      </c>
      <c r="F1312" t="s">
        <v>36</v>
      </c>
      <c r="G1312" t="s">
        <v>37</v>
      </c>
      <c r="H1312" s="1">
        <v>45127.235243055555</v>
      </c>
      <c r="I1312" s="1">
        <v>45128.235243055555</v>
      </c>
      <c r="J1312" s="1">
        <v>45127.236631944441</v>
      </c>
      <c r="K1312" s="2">
        <v>45127.235495266206</v>
      </c>
      <c r="L1312" t="s">
        <v>28</v>
      </c>
      <c r="M1312" s="2">
        <v>45128.17900178241</v>
      </c>
      <c r="N1312" t="s">
        <v>28</v>
      </c>
      <c r="P1312">
        <v>2</v>
      </c>
      <c r="R1312" t="s">
        <v>50</v>
      </c>
      <c r="S1312" t="s">
        <v>40</v>
      </c>
      <c r="T1312" t="s">
        <v>56</v>
      </c>
      <c r="U1312">
        <v>52.536273000000001</v>
      </c>
      <c r="V1312">
        <v>19.050639</v>
      </c>
      <c r="W1312" t="str">
        <f t="shared" si="141"/>
        <v>ok</v>
      </c>
      <c r="X1312" t="str">
        <f t="shared" si="147"/>
        <v>ok</v>
      </c>
      <c r="Y1312" t="str">
        <f t="shared" si="142"/>
        <v>ok</v>
      </c>
      <c r="Z1312" t="str">
        <f t="shared" si="143"/>
        <v>ok</v>
      </c>
      <c r="AA1312" s="4" t="str">
        <f t="shared" si="144"/>
        <v>ok</v>
      </c>
      <c r="AB1312" s="4" t="str">
        <f t="shared" si="145"/>
        <v>ok</v>
      </c>
      <c r="AC1312" s="6">
        <f t="shared" si="146"/>
        <v>22.650209444516804</v>
      </c>
    </row>
    <row r="1313" spans="1:29" x14ac:dyDescent="0.3">
      <c r="A1313" t="s">
        <v>22</v>
      </c>
      <c r="B1313">
        <v>2663</v>
      </c>
      <c r="C1313" t="s">
        <v>23</v>
      </c>
      <c r="D1313" t="s">
        <v>24</v>
      </c>
      <c r="E1313" t="s">
        <v>62</v>
      </c>
      <c r="F1313" t="s">
        <v>26</v>
      </c>
      <c r="G1313" t="s">
        <v>45</v>
      </c>
      <c r="H1313" s="1">
        <v>45127.414652777778</v>
      </c>
      <c r="I1313" s="1">
        <v>45129.414652777778</v>
      </c>
      <c r="J1313" s="1">
        <v>45127.456319444442</v>
      </c>
      <c r="K1313" s="2">
        <v>45127.417704814812</v>
      </c>
      <c r="L1313" t="s">
        <v>28</v>
      </c>
      <c r="M1313" s="2">
        <v>45131.370811319444</v>
      </c>
      <c r="N1313" t="s">
        <v>38</v>
      </c>
      <c r="O1313" s="2">
        <v>45132.256330821758</v>
      </c>
      <c r="P1313">
        <v>1</v>
      </c>
      <c r="Q1313">
        <v>3</v>
      </c>
      <c r="R1313" t="s">
        <v>55</v>
      </c>
      <c r="S1313" t="s">
        <v>30</v>
      </c>
      <c r="T1313" t="s">
        <v>66</v>
      </c>
      <c r="U1313">
        <v>48.864716000000001</v>
      </c>
      <c r="V1313">
        <v>2.3490139999999999</v>
      </c>
      <c r="W1313" t="str">
        <f t="shared" si="141"/>
        <v>ok</v>
      </c>
      <c r="X1313" t="str">
        <f t="shared" si="147"/>
        <v>ok</v>
      </c>
      <c r="Y1313" t="str">
        <f t="shared" si="142"/>
        <v>ok</v>
      </c>
      <c r="Z1313" t="str">
        <f t="shared" si="143"/>
        <v>ok</v>
      </c>
      <c r="AA1313" s="4" t="str">
        <f t="shared" si="144"/>
        <v>ok</v>
      </c>
      <c r="AB1313" s="4" t="str">
        <f t="shared" si="145"/>
        <v>ok</v>
      </c>
      <c r="AC1313" s="6">
        <f t="shared" si="146"/>
        <v>94.947805000003427</v>
      </c>
    </row>
    <row r="1314" spans="1:29" x14ac:dyDescent="0.3">
      <c r="A1314" t="s">
        <v>42</v>
      </c>
      <c r="B1314">
        <v>2664</v>
      </c>
      <c r="C1314" t="s">
        <v>23</v>
      </c>
      <c r="D1314" t="s">
        <v>24</v>
      </c>
      <c r="E1314" t="s">
        <v>25</v>
      </c>
      <c r="F1314" t="s">
        <v>26</v>
      </c>
      <c r="G1314" t="s">
        <v>52</v>
      </c>
      <c r="H1314" s="1">
        <v>45127.328449074077</v>
      </c>
      <c r="I1314" s="1">
        <v>45129.328449074077</v>
      </c>
      <c r="J1314" s="1">
        <v>45127.370115740741</v>
      </c>
      <c r="K1314" s="2">
        <v>45127.360118344906</v>
      </c>
      <c r="L1314" t="s">
        <v>28</v>
      </c>
      <c r="M1314" s="2">
        <v>45127.811762824073</v>
      </c>
      <c r="N1314" t="s">
        <v>28</v>
      </c>
      <c r="P1314">
        <v>10</v>
      </c>
      <c r="R1314" t="s">
        <v>50</v>
      </c>
      <c r="S1314" t="s">
        <v>30</v>
      </c>
      <c r="T1314" t="s">
        <v>57</v>
      </c>
      <c r="U1314">
        <v>51.165691000000002</v>
      </c>
      <c r="V1314">
        <v>10.451525999999999</v>
      </c>
      <c r="W1314" t="str">
        <f t="shared" si="141"/>
        <v>ok</v>
      </c>
      <c r="X1314" t="str">
        <f t="shared" si="147"/>
        <v>ok</v>
      </c>
      <c r="Y1314" t="str">
        <f t="shared" si="142"/>
        <v>ok</v>
      </c>
      <c r="Z1314" t="str">
        <f t="shared" si="143"/>
        <v>ok</v>
      </c>
      <c r="AA1314" s="4" t="str">
        <f t="shared" si="144"/>
        <v>ok</v>
      </c>
      <c r="AB1314" s="4" t="str">
        <f t="shared" si="145"/>
        <v>ok</v>
      </c>
      <c r="AC1314" s="6">
        <f t="shared" si="146"/>
        <v>11.599529999890365</v>
      </c>
    </row>
    <row r="1315" spans="1:29" x14ac:dyDescent="0.3">
      <c r="A1315" t="s">
        <v>42</v>
      </c>
      <c r="B1315">
        <v>2665</v>
      </c>
      <c r="C1315" t="s">
        <v>23</v>
      </c>
      <c r="D1315" t="s">
        <v>24</v>
      </c>
      <c r="E1315" t="s">
        <v>25</v>
      </c>
      <c r="F1315" t="s">
        <v>36</v>
      </c>
      <c r="G1315" t="s">
        <v>54</v>
      </c>
      <c r="H1315" s="1">
        <v>45127.960023148145</v>
      </c>
      <c r="I1315" s="1">
        <v>45129.960023148145</v>
      </c>
      <c r="J1315" s="1">
        <v>45128.001689814817</v>
      </c>
      <c r="K1315" s="2">
        <v>45127.984627604164</v>
      </c>
      <c r="L1315" t="s">
        <v>28</v>
      </c>
      <c r="M1315" s="2">
        <v>45128.765948020831</v>
      </c>
      <c r="N1315" t="s">
        <v>28</v>
      </c>
      <c r="P1315">
        <v>6</v>
      </c>
      <c r="R1315" t="s">
        <v>39</v>
      </c>
      <c r="S1315" t="s">
        <v>40</v>
      </c>
      <c r="T1315" t="s">
        <v>56</v>
      </c>
      <c r="U1315">
        <v>52.536273000000001</v>
      </c>
      <c r="V1315">
        <v>19.050639</v>
      </c>
      <c r="W1315" t="str">
        <f t="shared" si="141"/>
        <v>ok</v>
      </c>
      <c r="X1315" t="str">
        <f t="shared" si="147"/>
        <v>ok</v>
      </c>
      <c r="Y1315" t="str">
        <f t="shared" si="142"/>
        <v>ok</v>
      </c>
      <c r="Z1315" t="str">
        <f t="shared" si="143"/>
        <v>ok</v>
      </c>
      <c r="AA1315" s="4" t="str">
        <f t="shared" si="144"/>
        <v>ok</v>
      </c>
      <c r="AB1315" s="4" t="str">
        <f t="shared" si="145"/>
        <v>ok</v>
      </c>
      <c r="AC1315" s="6">
        <f t="shared" si="146"/>
        <v>19.342196944460738</v>
      </c>
    </row>
    <row r="1316" spans="1:29" x14ac:dyDescent="0.3">
      <c r="A1316" t="s">
        <v>22</v>
      </c>
      <c r="B1316">
        <v>2667</v>
      </c>
      <c r="C1316" t="s">
        <v>47</v>
      </c>
      <c r="D1316" t="s">
        <v>24</v>
      </c>
      <c r="E1316" t="s">
        <v>48</v>
      </c>
      <c r="F1316" t="s">
        <v>36</v>
      </c>
      <c r="G1316" t="s">
        <v>64</v>
      </c>
      <c r="H1316" s="1">
        <v>45127.035960648151</v>
      </c>
      <c r="I1316" s="1">
        <v>45129.035960648151</v>
      </c>
      <c r="J1316" s="1">
        <v>45127.077627314815</v>
      </c>
      <c r="K1316" s="2">
        <v>45127.055991377318</v>
      </c>
      <c r="L1316" t="s">
        <v>28</v>
      </c>
      <c r="M1316" s="2">
        <v>45127.500575231483</v>
      </c>
      <c r="N1316" t="s">
        <v>28</v>
      </c>
      <c r="O1316" s="2">
        <v>45127.78013215278</v>
      </c>
      <c r="P1316">
        <v>4</v>
      </c>
      <c r="Q1316">
        <v>5</v>
      </c>
      <c r="R1316" t="s">
        <v>29</v>
      </c>
      <c r="S1316" t="s">
        <v>40</v>
      </c>
      <c r="T1316" t="s">
        <v>66</v>
      </c>
      <c r="U1316">
        <v>48.864716000000001</v>
      </c>
      <c r="V1316">
        <v>2.3490139999999999</v>
      </c>
      <c r="W1316" t="str">
        <f t="shared" si="141"/>
        <v>ok</v>
      </c>
      <c r="X1316" t="str">
        <f t="shared" si="147"/>
        <v>ok</v>
      </c>
      <c r="Y1316" t="str">
        <f t="shared" si="142"/>
        <v>ok</v>
      </c>
      <c r="Z1316" t="str">
        <f t="shared" si="143"/>
        <v>ok</v>
      </c>
      <c r="AA1316" s="4" t="str">
        <f t="shared" si="144"/>
        <v>ok</v>
      </c>
      <c r="AB1316" s="4" t="str">
        <f t="shared" si="145"/>
        <v>ok</v>
      </c>
      <c r="AC1316" s="6">
        <f t="shared" si="146"/>
        <v>11.150749999971595</v>
      </c>
    </row>
    <row r="1317" spans="1:29" x14ac:dyDescent="0.3">
      <c r="A1317" t="s">
        <v>42</v>
      </c>
      <c r="B1317">
        <v>2669</v>
      </c>
      <c r="C1317" t="s">
        <v>47</v>
      </c>
      <c r="D1317" t="s">
        <v>24</v>
      </c>
      <c r="E1317" t="s">
        <v>48</v>
      </c>
      <c r="F1317" t="s">
        <v>26</v>
      </c>
      <c r="G1317" t="s">
        <v>49</v>
      </c>
      <c r="H1317" s="1">
        <v>45127.230347222219</v>
      </c>
      <c r="I1317" s="1">
        <v>45129.230347222219</v>
      </c>
      <c r="J1317" s="1">
        <v>45127.272013888891</v>
      </c>
      <c r="K1317" s="2">
        <v>45127.462038124999</v>
      </c>
      <c r="L1317" t="s">
        <v>38</v>
      </c>
      <c r="M1317" s="2">
        <v>45127.442739375001</v>
      </c>
      <c r="N1317" t="s">
        <v>28</v>
      </c>
      <c r="P1317">
        <v>2</v>
      </c>
      <c r="R1317" t="s">
        <v>29</v>
      </c>
      <c r="S1317" t="s">
        <v>30</v>
      </c>
      <c r="T1317" t="s">
        <v>57</v>
      </c>
      <c r="U1317">
        <v>51.165691000000002</v>
      </c>
      <c r="V1317">
        <v>10.451525999999999</v>
      </c>
      <c r="W1317" t="str">
        <f t="shared" si="141"/>
        <v>ok</v>
      </c>
      <c r="X1317" t="str">
        <f t="shared" si="147"/>
        <v>ok</v>
      </c>
      <c r="Y1317" t="str">
        <f t="shared" si="142"/>
        <v>ok</v>
      </c>
      <c r="Z1317" t="str">
        <f t="shared" si="143"/>
        <v>ok</v>
      </c>
      <c r="AA1317" s="4" t="str">
        <f t="shared" si="144"/>
        <v>ok</v>
      </c>
      <c r="AB1317" s="4" t="str">
        <f t="shared" si="145"/>
        <v>ok</v>
      </c>
      <c r="AC1317" s="6">
        <f t="shared" si="146"/>
        <v>5.0974116667639464</v>
      </c>
    </row>
    <row r="1318" spans="1:29" x14ac:dyDescent="0.3">
      <c r="A1318" t="s">
        <v>32</v>
      </c>
      <c r="B1318">
        <v>2670</v>
      </c>
      <c r="C1318" t="s">
        <v>47</v>
      </c>
      <c r="D1318" t="s">
        <v>24</v>
      </c>
      <c r="E1318" t="s">
        <v>25</v>
      </c>
      <c r="F1318" t="s">
        <v>26</v>
      </c>
      <c r="G1318" t="s">
        <v>27</v>
      </c>
      <c r="H1318" s="1">
        <v>45127.353981481479</v>
      </c>
      <c r="I1318" s="1">
        <v>45129.353981481479</v>
      </c>
      <c r="J1318" s="1">
        <v>45127.395648148151</v>
      </c>
      <c r="K1318" s="2">
        <v>45127.392004328707</v>
      </c>
      <c r="L1318" t="s">
        <v>28</v>
      </c>
      <c r="N1318" t="s">
        <v>38</v>
      </c>
      <c r="P1318">
        <v>6</v>
      </c>
      <c r="R1318" t="s">
        <v>50</v>
      </c>
      <c r="S1318" t="s">
        <v>30</v>
      </c>
      <c r="T1318" t="s">
        <v>56</v>
      </c>
      <c r="U1318">
        <v>52.536273000000001</v>
      </c>
      <c r="V1318">
        <v>19.050639</v>
      </c>
      <c r="W1318" t="str">
        <f t="shared" si="141"/>
        <v>ok</v>
      </c>
      <c r="X1318" t="str">
        <f t="shared" si="147"/>
        <v>ok</v>
      </c>
      <c r="Y1318" t="str">
        <f t="shared" si="142"/>
        <v>ok</v>
      </c>
      <c r="Z1318" t="str">
        <f t="shared" si="143"/>
        <v>ok</v>
      </c>
      <c r="AA1318" s="4" t="str">
        <f t="shared" si="144"/>
        <v>ok</v>
      </c>
      <c r="AB1318" s="4" t="str">
        <f t="shared" si="145"/>
        <v>no resolution</v>
      </c>
      <c r="AC1318" s="6" t="str">
        <f t="shared" si="146"/>
        <v/>
      </c>
    </row>
    <row r="1319" spans="1:29" x14ac:dyDescent="0.3">
      <c r="A1319" t="s">
        <v>32</v>
      </c>
      <c r="B1319">
        <v>2671</v>
      </c>
      <c r="C1319" t="s">
        <v>23</v>
      </c>
      <c r="D1319" t="s">
        <v>43</v>
      </c>
      <c r="E1319" t="s">
        <v>35</v>
      </c>
      <c r="F1319" t="s">
        <v>26</v>
      </c>
      <c r="G1319" t="s">
        <v>27</v>
      </c>
      <c r="H1319" s="1">
        <v>45127.450243055559</v>
      </c>
      <c r="I1319" s="1">
        <v>45128.450243055559</v>
      </c>
      <c r="J1319" s="1">
        <v>45127.451631944445</v>
      </c>
      <c r="K1319" s="2">
        <v>45127.450763541667</v>
      </c>
      <c r="L1319" t="s">
        <v>28</v>
      </c>
      <c r="N1319" t="s">
        <v>38</v>
      </c>
      <c r="P1319">
        <v>4</v>
      </c>
      <c r="R1319" t="s">
        <v>39</v>
      </c>
      <c r="S1319" t="s">
        <v>30</v>
      </c>
      <c r="T1319" t="s">
        <v>53</v>
      </c>
      <c r="U1319">
        <v>39.368279000000001</v>
      </c>
      <c r="V1319">
        <v>21.863140999999999</v>
      </c>
      <c r="W1319" t="str">
        <f t="shared" si="141"/>
        <v>ok</v>
      </c>
      <c r="X1319" t="str">
        <f t="shared" si="147"/>
        <v>ok</v>
      </c>
      <c r="Y1319" t="str">
        <f t="shared" si="142"/>
        <v>ok</v>
      </c>
      <c r="Z1319" t="str">
        <f t="shared" si="143"/>
        <v>ok</v>
      </c>
      <c r="AA1319" s="4" t="str">
        <f t="shared" si="144"/>
        <v>ok</v>
      </c>
      <c r="AB1319" s="4" t="str">
        <f t="shared" si="145"/>
        <v>no resolution</v>
      </c>
      <c r="AC1319" s="6" t="str">
        <f t="shared" si="146"/>
        <v/>
      </c>
    </row>
    <row r="1320" spans="1:29" x14ac:dyDescent="0.3">
      <c r="A1320" t="s">
        <v>22</v>
      </c>
      <c r="B1320">
        <v>2672</v>
      </c>
      <c r="C1320" t="s">
        <v>23</v>
      </c>
      <c r="D1320" t="s">
        <v>43</v>
      </c>
      <c r="E1320" t="s">
        <v>35</v>
      </c>
      <c r="F1320" t="s">
        <v>26</v>
      </c>
      <c r="G1320" t="s">
        <v>27</v>
      </c>
      <c r="H1320" s="1">
        <v>45127.158553240741</v>
      </c>
      <c r="I1320" s="1">
        <v>45128.158553240741</v>
      </c>
      <c r="J1320" s="1">
        <v>45127.159942129627</v>
      </c>
      <c r="K1320" s="2">
        <v>45127.159878449071</v>
      </c>
      <c r="L1320" t="s">
        <v>28</v>
      </c>
      <c r="M1320" s="2">
        <v>45128.324683831015</v>
      </c>
      <c r="N1320" t="s">
        <v>38</v>
      </c>
      <c r="O1320" s="2">
        <v>45129.631665312503</v>
      </c>
      <c r="P1320">
        <v>5</v>
      </c>
      <c r="Q1320">
        <v>2</v>
      </c>
      <c r="R1320" t="s">
        <v>29</v>
      </c>
      <c r="S1320" t="s">
        <v>30</v>
      </c>
      <c r="T1320" t="s">
        <v>46</v>
      </c>
      <c r="U1320">
        <v>47.696471899999999</v>
      </c>
      <c r="V1320">
        <v>13.3457347</v>
      </c>
      <c r="W1320" t="str">
        <f t="shared" si="141"/>
        <v>ok</v>
      </c>
      <c r="X1320" t="str">
        <f t="shared" si="147"/>
        <v>ok</v>
      </c>
      <c r="Y1320" t="str">
        <f t="shared" si="142"/>
        <v>ok</v>
      </c>
      <c r="Z1320" t="str">
        <f t="shared" si="143"/>
        <v>ok</v>
      </c>
      <c r="AA1320" s="4" t="str">
        <f t="shared" si="144"/>
        <v>ok</v>
      </c>
      <c r="AB1320" s="4" t="str">
        <f t="shared" si="145"/>
        <v>ok</v>
      </c>
      <c r="AC1320" s="6">
        <f t="shared" si="146"/>
        <v>27.987134166585747</v>
      </c>
    </row>
    <row r="1321" spans="1:29" x14ac:dyDescent="0.3">
      <c r="A1321" t="s">
        <v>42</v>
      </c>
      <c r="B1321">
        <v>2673</v>
      </c>
      <c r="C1321" t="s">
        <v>47</v>
      </c>
      <c r="D1321" t="s">
        <v>24</v>
      </c>
      <c r="E1321" t="s">
        <v>48</v>
      </c>
      <c r="F1321" t="s">
        <v>36</v>
      </c>
      <c r="G1321" t="s">
        <v>64</v>
      </c>
      <c r="H1321" s="1">
        <v>45127.649594907409</v>
      </c>
      <c r="I1321" s="1">
        <v>45129.649594907409</v>
      </c>
      <c r="J1321" s="1">
        <v>45127.691261574073</v>
      </c>
      <c r="K1321" s="2">
        <v>45127.665003009257</v>
      </c>
      <c r="L1321" t="s">
        <v>28</v>
      </c>
      <c r="M1321" s="2">
        <v>45127.843831759259</v>
      </c>
      <c r="N1321" t="s">
        <v>28</v>
      </c>
      <c r="P1321">
        <v>1</v>
      </c>
      <c r="R1321" t="s">
        <v>50</v>
      </c>
      <c r="S1321" t="s">
        <v>40</v>
      </c>
      <c r="T1321" t="s">
        <v>41</v>
      </c>
      <c r="U1321">
        <v>43.036776000000003</v>
      </c>
      <c r="V1321">
        <v>12.678565000000001</v>
      </c>
      <c r="W1321" t="str">
        <f t="shared" si="141"/>
        <v>ok</v>
      </c>
      <c r="X1321" t="str">
        <f t="shared" si="147"/>
        <v>ok</v>
      </c>
      <c r="Y1321" t="str">
        <f t="shared" si="142"/>
        <v>ok</v>
      </c>
      <c r="Z1321" t="str">
        <f t="shared" si="143"/>
        <v>ok</v>
      </c>
      <c r="AA1321" s="4" t="str">
        <f t="shared" si="144"/>
        <v>ok</v>
      </c>
      <c r="AB1321" s="4" t="str">
        <f t="shared" si="145"/>
        <v>ok</v>
      </c>
      <c r="AC1321" s="6">
        <f t="shared" si="146"/>
        <v>4.6616844444070011</v>
      </c>
    </row>
    <row r="1322" spans="1:29" x14ac:dyDescent="0.3">
      <c r="A1322" t="s">
        <v>42</v>
      </c>
      <c r="B1322">
        <v>2674</v>
      </c>
      <c r="C1322" t="s">
        <v>47</v>
      </c>
      <c r="D1322" t="s">
        <v>24</v>
      </c>
      <c r="E1322" t="s">
        <v>39</v>
      </c>
      <c r="F1322" t="s">
        <v>26</v>
      </c>
      <c r="G1322" t="s">
        <v>60</v>
      </c>
      <c r="H1322" s="1">
        <v>45128.72074074074</v>
      </c>
      <c r="I1322" s="1">
        <v>45130.72074074074</v>
      </c>
      <c r="J1322" s="1">
        <v>45128.762407407405</v>
      </c>
      <c r="K1322" s="2">
        <v>45128.746523217589</v>
      </c>
      <c r="L1322" t="s">
        <v>28</v>
      </c>
      <c r="M1322" s="2">
        <v>45130.293450763886</v>
      </c>
      <c r="N1322" t="s">
        <v>28</v>
      </c>
      <c r="P1322">
        <v>4</v>
      </c>
      <c r="R1322" t="s">
        <v>55</v>
      </c>
      <c r="S1322" t="s">
        <v>30</v>
      </c>
      <c r="T1322" t="s">
        <v>53</v>
      </c>
      <c r="U1322">
        <v>39.368279000000001</v>
      </c>
      <c r="V1322">
        <v>21.863140999999999</v>
      </c>
      <c r="W1322" t="str">
        <f t="shared" si="141"/>
        <v>ok</v>
      </c>
      <c r="X1322" t="str">
        <f t="shared" si="147"/>
        <v>ok</v>
      </c>
      <c r="Y1322" t="str">
        <f t="shared" si="142"/>
        <v>ok</v>
      </c>
      <c r="Z1322" t="str">
        <f t="shared" si="143"/>
        <v>ok</v>
      </c>
      <c r="AA1322" s="4" t="str">
        <f t="shared" si="144"/>
        <v>ok</v>
      </c>
      <c r="AB1322" s="4" t="str">
        <f t="shared" si="145"/>
        <v>ok</v>
      </c>
      <c r="AC1322" s="6">
        <f t="shared" si="146"/>
        <v>37.745040555484593</v>
      </c>
    </row>
    <row r="1323" spans="1:29" x14ac:dyDescent="0.3">
      <c r="A1323" t="s">
        <v>22</v>
      </c>
      <c r="B1323">
        <v>2675</v>
      </c>
      <c r="C1323" t="s">
        <v>47</v>
      </c>
      <c r="D1323" t="s">
        <v>43</v>
      </c>
      <c r="E1323" t="s">
        <v>59</v>
      </c>
      <c r="F1323" t="s">
        <v>26</v>
      </c>
      <c r="G1323" t="s">
        <v>60</v>
      </c>
      <c r="H1323" s="1">
        <v>45128.177060185182</v>
      </c>
      <c r="I1323" s="1">
        <v>45129.177060185182</v>
      </c>
      <c r="J1323" s="1">
        <v>45128.178449074076</v>
      </c>
      <c r="K1323" s="2">
        <v>45128.17778755787</v>
      </c>
      <c r="L1323" t="s">
        <v>28</v>
      </c>
      <c r="M1323" s="2">
        <v>45130.717049143517</v>
      </c>
      <c r="N1323" t="s">
        <v>38</v>
      </c>
      <c r="O1323" s="2">
        <v>45132.340133483798</v>
      </c>
      <c r="P1323">
        <v>2</v>
      </c>
      <c r="Q1323">
        <v>4</v>
      </c>
      <c r="R1323" t="s">
        <v>50</v>
      </c>
      <c r="S1323" t="s">
        <v>30</v>
      </c>
      <c r="T1323" t="s">
        <v>56</v>
      </c>
      <c r="U1323">
        <v>52.536273000000001</v>
      </c>
      <c r="V1323">
        <v>19.050639</v>
      </c>
      <c r="W1323" t="str">
        <f t="shared" si="141"/>
        <v>ok</v>
      </c>
      <c r="X1323" t="str">
        <f t="shared" si="147"/>
        <v>ok</v>
      </c>
      <c r="Y1323" t="str">
        <f t="shared" si="142"/>
        <v>ok</v>
      </c>
      <c r="Z1323" t="str">
        <f t="shared" si="143"/>
        <v>ok</v>
      </c>
      <c r="AA1323" s="4" t="str">
        <f t="shared" si="144"/>
        <v>ok</v>
      </c>
      <c r="AB1323" s="4" t="str">
        <f t="shared" si="145"/>
        <v>ok</v>
      </c>
      <c r="AC1323" s="6">
        <f t="shared" si="146"/>
        <v>60.959735000040382</v>
      </c>
    </row>
    <row r="1324" spans="1:29" x14ac:dyDescent="0.3">
      <c r="A1324" t="s">
        <v>42</v>
      </c>
      <c r="B1324">
        <v>2676</v>
      </c>
      <c r="C1324" t="s">
        <v>47</v>
      </c>
      <c r="D1324" t="s">
        <v>24</v>
      </c>
      <c r="E1324" t="s">
        <v>35</v>
      </c>
      <c r="F1324" t="s">
        <v>26</v>
      </c>
      <c r="G1324" t="s">
        <v>27</v>
      </c>
      <c r="H1324" s="1">
        <v>45128.915717592594</v>
      </c>
      <c r="I1324" s="1">
        <v>45130.915717592594</v>
      </c>
      <c r="J1324" s="1">
        <v>45128.957384259258</v>
      </c>
      <c r="K1324" s="2">
        <v>45128.934582650465</v>
      </c>
      <c r="L1324" t="s">
        <v>28</v>
      </c>
      <c r="M1324" s="2">
        <v>45128.992686284721</v>
      </c>
      <c r="N1324" t="s">
        <v>28</v>
      </c>
      <c r="P1324">
        <v>3</v>
      </c>
      <c r="R1324" t="s">
        <v>29</v>
      </c>
      <c r="S1324" t="s">
        <v>30</v>
      </c>
      <c r="T1324" t="s">
        <v>57</v>
      </c>
      <c r="U1324">
        <v>51.165691000000002</v>
      </c>
      <c r="V1324">
        <v>10.451525999999999</v>
      </c>
      <c r="W1324" t="str">
        <f t="shared" si="141"/>
        <v>ok</v>
      </c>
      <c r="X1324" t="str">
        <f t="shared" si="147"/>
        <v>ok</v>
      </c>
      <c r="Y1324" t="str">
        <f t="shared" si="142"/>
        <v>ok</v>
      </c>
      <c r="Z1324" t="str">
        <f t="shared" si="143"/>
        <v>ok</v>
      </c>
      <c r="AA1324" s="4" t="str">
        <f t="shared" si="144"/>
        <v>ok</v>
      </c>
      <c r="AB1324" s="4" t="str">
        <f t="shared" si="145"/>
        <v>ok</v>
      </c>
      <c r="AC1324" s="6">
        <f t="shared" si="146"/>
        <v>1.8472486110404134</v>
      </c>
    </row>
    <row r="1325" spans="1:29" x14ac:dyDescent="0.3">
      <c r="A1325" t="s">
        <v>42</v>
      </c>
      <c r="B1325">
        <v>2677</v>
      </c>
      <c r="C1325" t="s">
        <v>23</v>
      </c>
      <c r="D1325" t="s">
        <v>43</v>
      </c>
      <c r="E1325" t="s">
        <v>25</v>
      </c>
      <c r="F1325" t="s">
        <v>36</v>
      </c>
      <c r="G1325" t="s">
        <v>37</v>
      </c>
      <c r="H1325" s="1">
        <v>45128.999293981484</v>
      </c>
      <c r="I1325" s="1">
        <v>45129.999293981484</v>
      </c>
      <c r="J1325" s="1">
        <v>45129.00068287037</v>
      </c>
      <c r="K1325" s="2">
        <v>45129.003264618055</v>
      </c>
      <c r="L1325" t="s">
        <v>38</v>
      </c>
      <c r="M1325" s="2">
        <v>45129.950345636571</v>
      </c>
      <c r="N1325" t="s">
        <v>28</v>
      </c>
      <c r="P1325">
        <v>2</v>
      </c>
      <c r="R1325" t="s">
        <v>39</v>
      </c>
      <c r="S1325" t="s">
        <v>40</v>
      </c>
      <c r="T1325" t="s">
        <v>57</v>
      </c>
      <c r="U1325">
        <v>51.165691000000002</v>
      </c>
      <c r="V1325">
        <v>10.451525999999999</v>
      </c>
      <c r="W1325" t="str">
        <f t="shared" si="141"/>
        <v>ok</v>
      </c>
      <c r="X1325" t="str">
        <f t="shared" si="147"/>
        <v>ok</v>
      </c>
      <c r="Y1325" t="str">
        <f t="shared" si="142"/>
        <v>ok</v>
      </c>
      <c r="Z1325" t="str">
        <f t="shared" si="143"/>
        <v>ok</v>
      </c>
      <c r="AA1325" s="4" t="str">
        <f t="shared" si="144"/>
        <v>ok</v>
      </c>
      <c r="AB1325" s="4" t="str">
        <f t="shared" si="145"/>
        <v>ok</v>
      </c>
      <c r="AC1325" s="6">
        <f t="shared" si="146"/>
        <v>22.825239722093102</v>
      </c>
    </row>
    <row r="1326" spans="1:29" x14ac:dyDescent="0.3">
      <c r="A1326" t="s">
        <v>22</v>
      </c>
      <c r="B1326">
        <v>2678</v>
      </c>
      <c r="C1326" t="s">
        <v>47</v>
      </c>
      <c r="D1326" t="s">
        <v>24</v>
      </c>
      <c r="E1326" t="s">
        <v>48</v>
      </c>
      <c r="F1326" t="s">
        <v>26</v>
      </c>
      <c r="G1326" t="s">
        <v>60</v>
      </c>
      <c r="H1326" s="1">
        <v>45128.078020833331</v>
      </c>
      <c r="I1326" s="1">
        <v>45130.078020833331</v>
      </c>
      <c r="J1326" s="1">
        <v>45128.119687500002</v>
      </c>
      <c r="K1326" s="2">
        <v>45128.109531238428</v>
      </c>
      <c r="L1326" t="s">
        <v>28</v>
      </c>
      <c r="M1326" s="2">
        <v>45129.861000011573</v>
      </c>
      <c r="N1326" t="s">
        <v>28</v>
      </c>
      <c r="O1326" s="2">
        <v>45134.767175590277</v>
      </c>
      <c r="P1326">
        <v>2</v>
      </c>
      <c r="Q1326">
        <v>5</v>
      </c>
      <c r="R1326" t="s">
        <v>39</v>
      </c>
      <c r="S1326" t="s">
        <v>30</v>
      </c>
      <c r="T1326" t="s">
        <v>63</v>
      </c>
      <c r="U1326">
        <v>55.378051999999997</v>
      </c>
      <c r="V1326">
        <v>-3.4359730000000002</v>
      </c>
      <c r="W1326" t="str">
        <f t="shared" si="141"/>
        <v>ok</v>
      </c>
      <c r="X1326" t="str">
        <f t="shared" si="147"/>
        <v>ok</v>
      </c>
      <c r="Y1326" t="str">
        <f t="shared" si="142"/>
        <v>ok</v>
      </c>
      <c r="Z1326" t="str">
        <f t="shared" si="143"/>
        <v>ok</v>
      </c>
      <c r="AA1326" s="4" t="str">
        <f t="shared" si="144"/>
        <v>ok</v>
      </c>
      <c r="AB1326" s="4" t="str">
        <f t="shared" si="145"/>
        <v>ok</v>
      </c>
      <c r="AC1326" s="6">
        <f t="shared" si="146"/>
        <v>42.791500277817249</v>
      </c>
    </row>
    <row r="1327" spans="1:29" x14ac:dyDescent="0.3">
      <c r="A1327" t="s">
        <v>42</v>
      </c>
      <c r="B1327">
        <v>2680</v>
      </c>
      <c r="C1327" t="s">
        <v>47</v>
      </c>
      <c r="D1327" t="s">
        <v>43</v>
      </c>
      <c r="E1327" t="s">
        <v>35</v>
      </c>
      <c r="F1327" t="s">
        <v>36</v>
      </c>
      <c r="G1327" t="s">
        <v>54</v>
      </c>
      <c r="H1327" s="1">
        <v>45128.374918981484</v>
      </c>
      <c r="I1327" s="1">
        <v>45129.374918981484</v>
      </c>
      <c r="J1327" s="1">
        <v>45128.376307870371</v>
      </c>
      <c r="K1327" s="2">
        <v>45128.375199606482</v>
      </c>
      <c r="L1327" t="s">
        <v>28</v>
      </c>
      <c r="M1327" s="2">
        <v>45128.861637326387</v>
      </c>
      <c r="N1327" t="s">
        <v>28</v>
      </c>
      <c r="P1327">
        <v>9</v>
      </c>
      <c r="R1327" t="s">
        <v>50</v>
      </c>
      <c r="S1327" t="s">
        <v>40</v>
      </c>
      <c r="T1327" t="s">
        <v>58</v>
      </c>
      <c r="U1327">
        <v>49.8037633</v>
      </c>
      <c r="V1327">
        <v>15.4749126</v>
      </c>
      <c r="W1327" t="str">
        <f t="shared" si="141"/>
        <v>ok</v>
      </c>
      <c r="X1327" t="str">
        <f t="shared" si="147"/>
        <v>ok</v>
      </c>
      <c r="Y1327" t="str">
        <f t="shared" si="142"/>
        <v>ok</v>
      </c>
      <c r="Z1327" t="str">
        <f t="shared" si="143"/>
        <v>ok</v>
      </c>
      <c r="AA1327" s="4" t="str">
        <f t="shared" si="144"/>
        <v>ok</v>
      </c>
      <c r="AB1327" s="4" t="str">
        <f t="shared" si="145"/>
        <v>ok</v>
      </c>
      <c r="AC1327" s="6">
        <f t="shared" si="146"/>
        <v>11.681240277655888</v>
      </c>
    </row>
    <row r="1328" spans="1:29" x14ac:dyDescent="0.3">
      <c r="A1328" t="s">
        <v>22</v>
      </c>
      <c r="B1328">
        <v>2681</v>
      </c>
      <c r="C1328" t="s">
        <v>33</v>
      </c>
      <c r="D1328" t="s">
        <v>43</v>
      </c>
      <c r="E1328" t="s">
        <v>35</v>
      </c>
      <c r="F1328" t="s">
        <v>26</v>
      </c>
      <c r="G1328" t="s">
        <v>60</v>
      </c>
      <c r="H1328" s="1">
        <v>45129.413877314815</v>
      </c>
      <c r="I1328" s="1">
        <v>45130.413877314815</v>
      </c>
      <c r="J1328" s="1">
        <v>45129.415266203701</v>
      </c>
      <c r="K1328" s="2">
        <v>45129.415088379632</v>
      </c>
      <c r="L1328" t="s">
        <v>28</v>
      </c>
      <c r="M1328" s="2">
        <v>45134.010350659722</v>
      </c>
      <c r="N1328" t="s">
        <v>38</v>
      </c>
      <c r="O1328" s="2">
        <v>45135.679857719908</v>
      </c>
      <c r="P1328">
        <v>4</v>
      </c>
      <c r="Q1328">
        <v>4</v>
      </c>
      <c r="R1328" t="s">
        <v>29</v>
      </c>
      <c r="S1328" t="s">
        <v>30</v>
      </c>
      <c r="T1328" t="s">
        <v>57</v>
      </c>
      <c r="U1328">
        <v>51.165691000000002</v>
      </c>
      <c r="V1328">
        <v>10.451525999999999</v>
      </c>
      <c r="W1328" t="str">
        <f t="shared" si="141"/>
        <v>ok</v>
      </c>
      <c r="X1328" t="str">
        <f t="shared" si="147"/>
        <v>ok</v>
      </c>
      <c r="Y1328" t="str">
        <f t="shared" si="142"/>
        <v>ok</v>
      </c>
      <c r="Z1328" t="str">
        <f t="shared" si="143"/>
        <v>ok</v>
      </c>
      <c r="AA1328" s="4" t="str">
        <f t="shared" si="144"/>
        <v>ok</v>
      </c>
      <c r="AB1328" s="4" t="str">
        <f t="shared" si="145"/>
        <v>ok</v>
      </c>
      <c r="AC1328" s="6">
        <f t="shared" si="146"/>
        <v>110.31536027777474</v>
      </c>
    </row>
    <row r="1329" spans="1:29" x14ac:dyDescent="0.3">
      <c r="A1329" t="s">
        <v>22</v>
      </c>
      <c r="B1329">
        <v>2682</v>
      </c>
      <c r="C1329" t="s">
        <v>23</v>
      </c>
      <c r="D1329" t="s">
        <v>24</v>
      </c>
      <c r="E1329" t="s">
        <v>35</v>
      </c>
      <c r="F1329" t="s">
        <v>36</v>
      </c>
      <c r="G1329" t="s">
        <v>54</v>
      </c>
      <c r="H1329" s="1">
        <v>45129.311550925922</v>
      </c>
      <c r="I1329" s="1">
        <v>45131.311550925922</v>
      </c>
      <c r="J1329" s="1">
        <v>45129.353217592594</v>
      </c>
      <c r="K1329" s="2">
        <v>45129.34054258102</v>
      </c>
      <c r="L1329" t="s">
        <v>28</v>
      </c>
      <c r="M1329" s="2">
        <v>45133.91301103009</v>
      </c>
      <c r="N1329" t="s">
        <v>38</v>
      </c>
      <c r="O1329" s="2">
        <v>45134.341462731485</v>
      </c>
      <c r="P1329">
        <v>1</v>
      </c>
      <c r="Q1329">
        <v>2</v>
      </c>
      <c r="R1329" t="s">
        <v>50</v>
      </c>
      <c r="S1329" t="s">
        <v>40</v>
      </c>
      <c r="T1329" t="s">
        <v>53</v>
      </c>
      <c r="U1329">
        <v>39.368279000000001</v>
      </c>
      <c r="V1329">
        <v>21.863140999999999</v>
      </c>
      <c r="W1329" t="str">
        <f t="shared" si="141"/>
        <v>ok</v>
      </c>
      <c r="X1329" t="str">
        <f t="shared" si="147"/>
        <v>ok</v>
      </c>
      <c r="Y1329" t="str">
        <f t="shared" si="142"/>
        <v>ok</v>
      </c>
      <c r="Z1329" t="str">
        <f t="shared" si="143"/>
        <v>ok</v>
      </c>
      <c r="AA1329" s="4" t="str">
        <f t="shared" si="144"/>
        <v>ok</v>
      </c>
      <c r="AB1329" s="4" t="str">
        <f t="shared" si="145"/>
        <v>ok</v>
      </c>
      <c r="AC1329" s="6">
        <f t="shared" si="146"/>
        <v>110.43504250003025</v>
      </c>
    </row>
    <row r="1330" spans="1:29" x14ac:dyDescent="0.3">
      <c r="A1330" t="s">
        <v>22</v>
      </c>
      <c r="B1330">
        <v>2683</v>
      </c>
      <c r="C1330" t="s">
        <v>23</v>
      </c>
      <c r="D1330" t="s">
        <v>43</v>
      </c>
      <c r="E1330" t="s">
        <v>25</v>
      </c>
      <c r="F1330" t="s">
        <v>26</v>
      </c>
      <c r="G1330" t="s">
        <v>52</v>
      </c>
      <c r="H1330" s="1">
        <v>45129.084745370368</v>
      </c>
      <c r="I1330" s="1">
        <v>45130.084745370368</v>
      </c>
      <c r="J1330" s="1">
        <v>45129.086134259262</v>
      </c>
      <c r="K1330" s="2">
        <v>45129.084884502314</v>
      </c>
      <c r="L1330" t="s">
        <v>28</v>
      </c>
      <c r="M1330" s="2">
        <v>45129.698835277777</v>
      </c>
      <c r="N1330" t="s">
        <v>28</v>
      </c>
      <c r="O1330" s="2">
        <v>45131.288363217594</v>
      </c>
      <c r="P1330">
        <v>9</v>
      </c>
      <c r="Q1330">
        <v>3</v>
      </c>
      <c r="R1330" t="s">
        <v>50</v>
      </c>
      <c r="S1330" t="s">
        <v>30</v>
      </c>
      <c r="T1330" t="s">
        <v>41</v>
      </c>
      <c r="U1330">
        <v>43.036776000000003</v>
      </c>
      <c r="V1330">
        <v>12.678565000000001</v>
      </c>
      <c r="W1330" t="str">
        <f t="shared" si="141"/>
        <v>ok</v>
      </c>
      <c r="X1330" t="str">
        <f t="shared" si="147"/>
        <v>ok</v>
      </c>
      <c r="Y1330" t="str">
        <f t="shared" si="142"/>
        <v>ok</v>
      </c>
      <c r="Z1330" t="str">
        <f t="shared" si="143"/>
        <v>ok</v>
      </c>
      <c r="AA1330" s="4" t="str">
        <f t="shared" si="144"/>
        <v>ok</v>
      </c>
      <c r="AB1330" s="4" t="str">
        <f t="shared" si="145"/>
        <v>ok</v>
      </c>
      <c r="AC1330" s="6">
        <f t="shared" si="146"/>
        <v>14.738157777814195</v>
      </c>
    </row>
    <row r="1331" spans="1:29" x14ac:dyDescent="0.3">
      <c r="A1331" t="s">
        <v>22</v>
      </c>
      <c r="B1331">
        <v>2694</v>
      </c>
      <c r="C1331" t="s">
        <v>47</v>
      </c>
      <c r="D1331" t="s">
        <v>43</v>
      </c>
      <c r="E1331" t="s">
        <v>35</v>
      </c>
      <c r="F1331" t="s">
        <v>26</v>
      </c>
      <c r="G1331" t="s">
        <v>27</v>
      </c>
      <c r="H1331" s="1">
        <v>45130.368148148147</v>
      </c>
      <c r="I1331" s="1">
        <v>45131.368148148147</v>
      </c>
      <c r="J1331" s="1">
        <v>45130.369537037041</v>
      </c>
      <c r="K1331" s="2">
        <v>45130.368527280094</v>
      </c>
      <c r="L1331" t="s">
        <v>28</v>
      </c>
      <c r="M1331" s="2">
        <v>45130.939601655089</v>
      </c>
      <c r="N1331" t="s">
        <v>28</v>
      </c>
      <c r="O1331" s="2">
        <v>45131.785230335649</v>
      </c>
      <c r="P1331">
        <v>2</v>
      </c>
      <c r="Q1331">
        <v>5</v>
      </c>
      <c r="R1331" t="s">
        <v>50</v>
      </c>
      <c r="S1331" t="s">
        <v>30</v>
      </c>
      <c r="T1331" t="s">
        <v>41</v>
      </c>
      <c r="U1331">
        <v>43.036776000000003</v>
      </c>
      <c r="V1331">
        <v>12.678565000000001</v>
      </c>
      <c r="W1331" t="str">
        <f t="shared" si="141"/>
        <v>ok</v>
      </c>
      <c r="X1331" t="str">
        <f t="shared" si="147"/>
        <v>ok</v>
      </c>
      <c r="Y1331" t="str">
        <f t="shared" si="142"/>
        <v>ok</v>
      </c>
      <c r="Z1331" t="str">
        <f t="shared" si="143"/>
        <v>ok</v>
      </c>
      <c r="AA1331" s="4" t="str">
        <f t="shared" si="144"/>
        <v>ok</v>
      </c>
      <c r="AB1331" s="4" t="str">
        <f t="shared" si="145"/>
        <v>ok</v>
      </c>
      <c r="AC1331" s="6">
        <f t="shared" si="146"/>
        <v>13.714884166605771</v>
      </c>
    </row>
    <row r="1332" spans="1:29" x14ac:dyDescent="0.3">
      <c r="A1332" t="s">
        <v>32</v>
      </c>
      <c r="B1332">
        <v>2695</v>
      </c>
      <c r="C1332" t="s">
        <v>47</v>
      </c>
      <c r="D1332" t="s">
        <v>43</v>
      </c>
      <c r="E1332" t="s">
        <v>35</v>
      </c>
      <c r="F1332" t="s">
        <v>26</v>
      </c>
      <c r="G1332" t="s">
        <v>60</v>
      </c>
      <c r="H1332" s="1">
        <v>45130.15662037037</v>
      </c>
      <c r="I1332" s="1">
        <v>45131.15662037037</v>
      </c>
      <c r="J1332" s="1">
        <v>45130.158009259256</v>
      </c>
      <c r="K1332" s="2">
        <v>45130.156710810188</v>
      </c>
      <c r="L1332" t="s">
        <v>28</v>
      </c>
      <c r="N1332" t="s">
        <v>38</v>
      </c>
      <c r="P1332">
        <v>5</v>
      </c>
      <c r="R1332" t="s">
        <v>50</v>
      </c>
      <c r="S1332" t="s">
        <v>30</v>
      </c>
      <c r="T1332" t="s">
        <v>31</v>
      </c>
      <c r="U1332">
        <v>53.094023999999997</v>
      </c>
      <c r="V1332">
        <v>-8.0196749999999994</v>
      </c>
      <c r="W1332" t="str">
        <f t="shared" si="141"/>
        <v>ok</v>
      </c>
      <c r="X1332" t="str">
        <f t="shared" si="147"/>
        <v>ok</v>
      </c>
      <c r="Y1332" t="str">
        <f t="shared" si="142"/>
        <v>ok</v>
      </c>
      <c r="Z1332" t="str">
        <f t="shared" si="143"/>
        <v>ok</v>
      </c>
      <c r="AA1332" s="4" t="str">
        <f t="shared" si="144"/>
        <v>ok</v>
      </c>
      <c r="AB1332" s="4" t="str">
        <f t="shared" si="145"/>
        <v>no resolution</v>
      </c>
      <c r="AC1332" s="6" t="str">
        <f t="shared" si="146"/>
        <v/>
      </c>
    </row>
    <row r="1333" spans="1:29" x14ac:dyDescent="0.3">
      <c r="A1333" t="s">
        <v>42</v>
      </c>
      <c r="B1333">
        <v>2696</v>
      </c>
      <c r="C1333" t="s">
        <v>23</v>
      </c>
      <c r="D1333" t="s">
        <v>24</v>
      </c>
      <c r="E1333" t="s">
        <v>59</v>
      </c>
      <c r="F1333" t="s">
        <v>36</v>
      </c>
      <c r="G1333" t="s">
        <v>64</v>
      </c>
      <c r="H1333" s="1">
        <v>45130.955057870371</v>
      </c>
      <c r="I1333" s="1">
        <v>45132.955057870371</v>
      </c>
      <c r="J1333" s="1">
        <v>45130.996724537035</v>
      </c>
      <c r="K1333" s="2">
        <v>45130.973528333336</v>
      </c>
      <c r="L1333" t="s">
        <v>28</v>
      </c>
      <c r="M1333" s="2">
        <v>45131.395061377312</v>
      </c>
      <c r="N1333" t="s">
        <v>28</v>
      </c>
      <c r="P1333">
        <v>10</v>
      </c>
      <c r="R1333" t="s">
        <v>39</v>
      </c>
      <c r="S1333" t="s">
        <v>40</v>
      </c>
      <c r="T1333" t="s">
        <v>58</v>
      </c>
      <c r="U1333">
        <v>49.8037633</v>
      </c>
      <c r="V1333">
        <v>15.4749126</v>
      </c>
      <c r="W1333" t="str">
        <f t="shared" si="141"/>
        <v>ok</v>
      </c>
      <c r="X1333" t="str">
        <f t="shared" si="147"/>
        <v>ok</v>
      </c>
      <c r="Y1333" t="str">
        <f t="shared" si="142"/>
        <v>ok</v>
      </c>
      <c r="Z1333" t="str">
        <f t="shared" si="143"/>
        <v>ok</v>
      </c>
      <c r="AA1333" s="4" t="str">
        <f t="shared" si="144"/>
        <v>ok</v>
      </c>
      <c r="AB1333" s="4" t="str">
        <f t="shared" si="145"/>
        <v>ok</v>
      </c>
      <c r="AC1333" s="6">
        <f t="shared" si="146"/>
        <v>10.56008416658733</v>
      </c>
    </row>
    <row r="1334" spans="1:29" x14ac:dyDescent="0.3">
      <c r="A1334" t="s">
        <v>22</v>
      </c>
      <c r="B1334">
        <v>2697</v>
      </c>
      <c r="C1334" t="s">
        <v>33</v>
      </c>
      <c r="D1334" t="s">
        <v>24</v>
      </c>
      <c r="E1334" t="s">
        <v>35</v>
      </c>
      <c r="F1334" t="s">
        <v>26</v>
      </c>
      <c r="G1334" t="s">
        <v>52</v>
      </c>
      <c r="H1334" s="1">
        <v>45131.866018518522</v>
      </c>
      <c r="I1334" s="1">
        <v>45133.866018518522</v>
      </c>
      <c r="J1334" s="1">
        <v>45131.907685185186</v>
      </c>
      <c r="K1334" s="2">
        <v>45131.891016805559</v>
      </c>
      <c r="L1334" t="s">
        <v>28</v>
      </c>
      <c r="M1334" s="2">
        <v>45132.642100023149</v>
      </c>
      <c r="N1334" t="s">
        <v>28</v>
      </c>
      <c r="O1334" s="2">
        <v>45136.473457893517</v>
      </c>
      <c r="P1334">
        <v>1</v>
      </c>
      <c r="Q1334">
        <v>4</v>
      </c>
      <c r="R1334" t="s">
        <v>50</v>
      </c>
      <c r="S1334" t="s">
        <v>30</v>
      </c>
      <c r="T1334" t="s">
        <v>41</v>
      </c>
      <c r="U1334">
        <v>43.036776000000003</v>
      </c>
      <c r="V1334">
        <v>12.678565000000001</v>
      </c>
      <c r="W1334" t="str">
        <f t="shared" si="141"/>
        <v>ok</v>
      </c>
      <c r="X1334" t="str">
        <f t="shared" si="147"/>
        <v>ok</v>
      </c>
      <c r="Y1334" t="str">
        <f t="shared" si="142"/>
        <v>ok</v>
      </c>
      <c r="Z1334" t="str">
        <f t="shared" si="143"/>
        <v>ok</v>
      </c>
      <c r="AA1334" s="4" t="str">
        <f t="shared" si="144"/>
        <v>ok</v>
      </c>
      <c r="AB1334" s="4" t="str">
        <f t="shared" si="145"/>
        <v>ok</v>
      </c>
      <c r="AC1334" s="6">
        <f t="shared" si="146"/>
        <v>18.625956111063715</v>
      </c>
    </row>
    <row r="1335" spans="1:29" x14ac:dyDescent="0.3">
      <c r="A1335" t="s">
        <v>42</v>
      </c>
      <c r="B1335">
        <v>2698</v>
      </c>
      <c r="C1335" t="s">
        <v>47</v>
      </c>
      <c r="D1335" t="s">
        <v>24</v>
      </c>
      <c r="E1335" t="s">
        <v>39</v>
      </c>
      <c r="F1335" t="s">
        <v>26</v>
      </c>
      <c r="G1335" t="s">
        <v>49</v>
      </c>
      <c r="H1335" s="1">
        <v>45131.965983796297</v>
      </c>
      <c r="I1335" s="1">
        <v>45133.965983796297</v>
      </c>
      <c r="J1335" s="1">
        <v>45132.007650462961</v>
      </c>
      <c r="K1335" s="2">
        <v>45131.998100636571</v>
      </c>
      <c r="L1335" t="s">
        <v>28</v>
      </c>
      <c r="M1335" s="2">
        <v>45133.404155706019</v>
      </c>
      <c r="N1335" t="s">
        <v>28</v>
      </c>
      <c r="P1335">
        <v>6</v>
      </c>
      <c r="R1335" t="s">
        <v>29</v>
      </c>
      <c r="S1335" t="s">
        <v>30</v>
      </c>
      <c r="T1335" t="s">
        <v>61</v>
      </c>
      <c r="U1335">
        <v>42.724992499999999</v>
      </c>
      <c r="V1335">
        <v>25.483303899999999</v>
      </c>
      <c r="W1335" t="str">
        <f t="shared" si="141"/>
        <v>ok</v>
      </c>
      <c r="X1335" t="str">
        <f t="shared" si="147"/>
        <v>ok</v>
      </c>
      <c r="Y1335" t="str">
        <f t="shared" si="142"/>
        <v>ok</v>
      </c>
      <c r="Z1335" t="str">
        <f t="shared" si="143"/>
        <v>ok</v>
      </c>
      <c r="AA1335" s="4" t="str">
        <f t="shared" si="144"/>
        <v>ok</v>
      </c>
      <c r="AB1335" s="4" t="str">
        <f t="shared" si="145"/>
        <v>ok</v>
      </c>
      <c r="AC1335" s="6">
        <f t="shared" si="146"/>
        <v>34.516125833324622</v>
      </c>
    </row>
    <row r="1336" spans="1:29" x14ac:dyDescent="0.3">
      <c r="A1336" t="s">
        <v>32</v>
      </c>
      <c r="B1336">
        <v>2699</v>
      </c>
      <c r="C1336" t="s">
        <v>47</v>
      </c>
      <c r="D1336" t="s">
        <v>34</v>
      </c>
      <c r="E1336" t="s">
        <v>44</v>
      </c>
      <c r="F1336" t="s">
        <v>26</v>
      </c>
      <c r="G1336" t="s">
        <v>60</v>
      </c>
      <c r="H1336" s="1">
        <v>45131.342314814814</v>
      </c>
      <c r="I1336" s="1">
        <v>45133.342314814814</v>
      </c>
      <c r="J1336" s="1">
        <v>45131.3437037037</v>
      </c>
      <c r="K1336" s="2">
        <v>45131.342420092595</v>
      </c>
      <c r="L1336" t="s">
        <v>28</v>
      </c>
      <c r="N1336" t="s">
        <v>38</v>
      </c>
      <c r="P1336">
        <v>3</v>
      </c>
      <c r="R1336" t="s">
        <v>39</v>
      </c>
      <c r="S1336" t="s">
        <v>30</v>
      </c>
      <c r="T1336" t="s">
        <v>53</v>
      </c>
      <c r="U1336">
        <v>39.368279000000001</v>
      </c>
      <c r="V1336">
        <v>21.863140999999999</v>
      </c>
      <c r="W1336" t="str">
        <f t="shared" si="141"/>
        <v>ok</v>
      </c>
      <c r="X1336" t="str">
        <f t="shared" si="147"/>
        <v>ok</v>
      </c>
      <c r="Y1336" t="str">
        <f t="shared" si="142"/>
        <v>ok</v>
      </c>
      <c r="Z1336" t="str">
        <f t="shared" si="143"/>
        <v>ok</v>
      </c>
      <c r="AA1336" s="4" t="str">
        <f t="shared" si="144"/>
        <v>ok</v>
      </c>
      <c r="AB1336" s="4" t="str">
        <f t="shared" si="145"/>
        <v>no resolution</v>
      </c>
      <c r="AC1336" s="6" t="str">
        <f t="shared" si="146"/>
        <v/>
      </c>
    </row>
    <row r="1337" spans="1:29" x14ac:dyDescent="0.3">
      <c r="A1337" t="s">
        <v>32</v>
      </c>
      <c r="B1337">
        <v>2700</v>
      </c>
      <c r="C1337" t="s">
        <v>47</v>
      </c>
      <c r="D1337" t="s">
        <v>43</v>
      </c>
      <c r="E1337" t="s">
        <v>35</v>
      </c>
      <c r="F1337" t="s">
        <v>26</v>
      </c>
      <c r="G1337" t="s">
        <v>27</v>
      </c>
      <c r="H1337" s="1">
        <v>45131.217013888891</v>
      </c>
      <c r="I1337" s="1">
        <v>45132.217013888891</v>
      </c>
      <c r="J1337" s="1">
        <v>45131.218402777777</v>
      </c>
      <c r="K1337" s="2">
        <v>45131.218143136575</v>
      </c>
      <c r="L1337" t="s">
        <v>28</v>
      </c>
      <c r="N1337" t="s">
        <v>38</v>
      </c>
      <c r="P1337">
        <v>6</v>
      </c>
      <c r="R1337" t="s">
        <v>39</v>
      </c>
      <c r="S1337" t="s">
        <v>30</v>
      </c>
      <c r="T1337" t="s">
        <v>41</v>
      </c>
      <c r="U1337">
        <v>43.036776000000003</v>
      </c>
      <c r="V1337">
        <v>12.678565000000001</v>
      </c>
      <c r="W1337" t="str">
        <f t="shared" si="141"/>
        <v>ok</v>
      </c>
      <c r="X1337" t="str">
        <f t="shared" si="147"/>
        <v>ok</v>
      </c>
      <c r="Y1337" t="str">
        <f t="shared" si="142"/>
        <v>ok</v>
      </c>
      <c r="Z1337" t="str">
        <f t="shared" si="143"/>
        <v>ok</v>
      </c>
      <c r="AA1337" s="4" t="str">
        <f t="shared" si="144"/>
        <v>ok</v>
      </c>
      <c r="AB1337" s="4" t="str">
        <f t="shared" si="145"/>
        <v>no resolution</v>
      </c>
      <c r="AC1337" s="6" t="str">
        <f t="shared" si="146"/>
        <v/>
      </c>
    </row>
    <row r="1338" spans="1:29" x14ac:dyDescent="0.3">
      <c r="A1338" t="s">
        <v>22</v>
      </c>
      <c r="B1338">
        <v>2701</v>
      </c>
      <c r="C1338" t="s">
        <v>33</v>
      </c>
      <c r="D1338" t="s">
        <v>24</v>
      </c>
      <c r="E1338" t="s">
        <v>35</v>
      </c>
      <c r="F1338" t="s">
        <v>26</v>
      </c>
      <c r="G1338" t="s">
        <v>52</v>
      </c>
      <c r="H1338" s="1">
        <v>45131.95590277778</v>
      </c>
      <c r="I1338" s="1">
        <v>45133.95590277778</v>
      </c>
      <c r="J1338" s="1">
        <v>45131.997569444444</v>
      </c>
      <c r="K1338" s="2">
        <v>45131.987776770831</v>
      </c>
      <c r="L1338" t="s">
        <v>28</v>
      </c>
      <c r="M1338" s="2">
        <v>45132.444513101851</v>
      </c>
      <c r="N1338" t="s">
        <v>28</v>
      </c>
      <c r="O1338" s="2">
        <v>45133.308402812501</v>
      </c>
      <c r="P1338">
        <v>4</v>
      </c>
      <c r="Q1338">
        <v>4</v>
      </c>
      <c r="R1338" t="s">
        <v>29</v>
      </c>
      <c r="S1338" t="s">
        <v>30</v>
      </c>
      <c r="T1338" t="s">
        <v>56</v>
      </c>
      <c r="U1338">
        <v>52.536273000000001</v>
      </c>
      <c r="V1338">
        <v>19.050639</v>
      </c>
      <c r="W1338" t="str">
        <f t="shared" si="141"/>
        <v>ok</v>
      </c>
      <c r="X1338" t="str">
        <f t="shared" si="147"/>
        <v>ok</v>
      </c>
      <c r="Y1338" t="str">
        <f t="shared" si="142"/>
        <v>ok</v>
      </c>
      <c r="Z1338" t="str">
        <f t="shared" si="143"/>
        <v>ok</v>
      </c>
      <c r="AA1338" s="4" t="str">
        <f t="shared" si="144"/>
        <v>ok</v>
      </c>
      <c r="AB1338" s="4" t="str">
        <f t="shared" si="145"/>
        <v>ok</v>
      </c>
      <c r="AC1338" s="6">
        <f t="shared" si="146"/>
        <v>11.726647777715698</v>
      </c>
    </row>
    <row r="1339" spans="1:29" x14ac:dyDescent="0.3">
      <c r="A1339" t="s">
        <v>22</v>
      </c>
      <c r="B1339">
        <v>2702</v>
      </c>
      <c r="C1339" t="s">
        <v>23</v>
      </c>
      <c r="D1339" t="s">
        <v>43</v>
      </c>
      <c r="E1339" t="s">
        <v>44</v>
      </c>
      <c r="F1339" t="s">
        <v>26</v>
      </c>
      <c r="G1339" t="s">
        <v>60</v>
      </c>
      <c r="H1339" s="1">
        <v>45131.274363425924</v>
      </c>
      <c r="I1339" s="1">
        <v>45132.274363425924</v>
      </c>
      <c r="J1339" s="1">
        <v>45131.275752314818</v>
      </c>
      <c r="K1339" s="2">
        <v>45131.274602997684</v>
      </c>
      <c r="L1339" t="s">
        <v>28</v>
      </c>
      <c r="M1339" s="2">
        <v>45136.840657187502</v>
      </c>
      <c r="N1339" t="s">
        <v>38</v>
      </c>
      <c r="O1339" s="2">
        <v>45138.524719039349</v>
      </c>
      <c r="P1339">
        <v>2</v>
      </c>
      <c r="Q1339">
        <v>4</v>
      </c>
      <c r="R1339" t="s">
        <v>50</v>
      </c>
      <c r="S1339" t="s">
        <v>30</v>
      </c>
      <c r="T1339" t="s">
        <v>57</v>
      </c>
      <c r="U1339">
        <v>51.165691000000002</v>
      </c>
      <c r="V1339">
        <v>10.451525999999999</v>
      </c>
      <c r="W1339" t="str">
        <f t="shared" si="141"/>
        <v>ok</v>
      </c>
      <c r="X1339" t="str">
        <f t="shared" si="147"/>
        <v>ok</v>
      </c>
      <c r="Y1339" t="str">
        <f t="shared" si="142"/>
        <v>ok</v>
      </c>
      <c r="Z1339" t="str">
        <f t="shared" si="143"/>
        <v>ok</v>
      </c>
      <c r="AA1339" s="4" t="str">
        <f t="shared" si="144"/>
        <v>ok</v>
      </c>
      <c r="AB1339" s="4" t="str">
        <f t="shared" si="145"/>
        <v>ok</v>
      </c>
      <c r="AC1339" s="6">
        <f t="shared" si="146"/>
        <v>133.59105027787155</v>
      </c>
    </row>
    <row r="1340" spans="1:29" x14ac:dyDescent="0.3">
      <c r="A1340" t="s">
        <v>22</v>
      </c>
      <c r="B1340">
        <v>2703</v>
      </c>
      <c r="C1340" t="s">
        <v>47</v>
      </c>
      <c r="D1340" t="s">
        <v>43</v>
      </c>
      <c r="E1340" t="s">
        <v>44</v>
      </c>
      <c r="F1340" t="s">
        <v>36</v>
      </c>
      <c r="G1340" t="s">
        <v>64</v>
      </c>
      <c r="H1340" s="1">
        <v>45131.220208333332</v>
      </c>
      <c r="I1340" s="1">
        <v>45132.220208333332</v>
      </c>
      <c r="J1340" s="1">
        <v>45131.221597222226</v>
      </c>
      <c r="K1340" s="2">
        <v>45131.220281851849</v>
      </c>
      <c r="L1340" t="s">
        <v>28</v>
      </c>
      <c r="M1340" s="2">
        <v>45135.923244131947</v>
      </c>
      <c r="N1340" t="s">
        <v>38</v>
      </c>
      <c r="O1340" s="2">
        <v>45137.389784282408</v>
      </c>
      <c r="P1340">
        <v>4</v>
      </c>
      <c r="Q1340">
        <v>1</v>
      </c>
      <c r="R1340" t="s">
        <v>50</v>
      </c>
      <c r="S1340" t="s">
        <v>40</v>
      </c>
      <c r="T1340" t="s">
        <v>65</v>
      </c>
      <c r="U1340">
        <v>46.149166399999999</v>
      </c>
      <c r="V1340">
        <v>14.9860106</v>
      </c>
      <c r="W1340" t="str">
        <f t="shared" si="141"/>
        <v>ok</v>
      </c>
      <c r="X1340" t="str">
        <f t="shared" si="147"/>
        <v>ok</v>
      </c>
      <c r="Y1340" t="str">
        <f t="shared" si="142"/>
        <v>ok</v>
      </c>
      <c r="Z1340" t="str">
        <f t="shared" si="143"/>
        <v>ok</v>
      </c>
      <c r="AA1340" s="4" t="str">
        <f t="shared" si="144"/>
        <v>ok</v>
      </c>
      <c r="AB1340" s="4" t="str">
        <f t="shared" si="145"/>
        <v>ok</v>
      </c>
      <c r="AC1340" s="6">
        <f t="shared" si="146"/>
        <v>112.87285916676046</v>
      </c>
    </row>
    <row r="1341" spans="1:29" x14ac:dyDescent="0.3">
      <c r="A1341" t="s">
        <v>22</v>
      </c>
      <c r="B1341">
        <v>2704</v>
      </c>
      <c r="C1341" t="s">
        <v>23</v>
      </c>
      <c r="D1341" t="s">
        <v>24</v>
      </c>
      <c r="E1341" t="s">
        <v>44</v>
      </c>
      <c r="F1341" t="s">
        <v>26</v>
      </c>
      <c r="G1341" t="s">
        <v>60</v>
      </c>
      <c r="H1341" s="1">
        <v>45131.807395833333</v>
      </c>
      <c r="I1341" s="1">
        <v>45133.807395833333</v>
      </c>
      <c r="J1341" s="1">
        <v>45131.849062499998</v>
      </c>
      <c r="K1341" s="2">
        <v>45131.842467569448</v>
      </c>
      <c r="L1341" t="s">
        <v>28</v>
      </c>
      <c r="M1341" s="2">
        <v>45133.429465370369</v>
      </c>
      <c r="N1341" t="s">
        <v>28</v>
      </c>
      <c r="O1341" s="2">
        <v>45137.889584444441</v>
      </c>
      <c r="P1341">
        <v>10</v>
      </c>
      <c r="Q1341">
        <v>5</v>
      </c>
      <c r="R1341" t="s">
        <v>39</v>
      </c>
      <c r="S1341" t="s">
        <v>30</v>
      </c>
      <c r="T1341" t="s">
        <v>58</v>
      </c>
      <c r="U1341">
        <v>49.8037633</v>
      </c>
      <c r="V1341">
        <v>15.4749126</v>
      </c>
      <c r="W1341" t="str">
        <f t="shared" si="141"/>
        <v>ok</v>
      </c>
      <c r="X1341" t="str">
        <f t="shared" si="147"/>
        <v>ok</v>
      </c>
      <c r="Y1341" t="str">
        <f t="shared" si="142"/>
        <v>ok</v>
      </c>
      <c r="Z1341" t="str">
        <f t="shared" si="143"/>
        <v>ok</v>
      </c>
      <c r="AA1341" s="4" t="str">
        <f t="shared" si="144"/>
        <v>ok</v>
      </c>
      <c r="AB1341" s="4" t="str">
        <f t="shared" si="145"/>
        <v>ok</v>
      </c>
      <c r="AC1341" s="6">
        <f t="shared" si="146"/>
        <v>38.929668888857123</v>
      </c>
    </row>
    <row r="1342" spans="1:29" x14ac:dyDescent="0.3">
      <c r="A1342" t="s">
        <v>22</v>
      </c>
      <c r="B1342">
        <v>2705</v>
      </c>
      <c r="C1342" t="s">
        <v>33</v>
      </c>
      <c r="D1342" t="s">
        <v>24</v>
      </c>
      <c r="E1342" t="s">
        <v>25</v>
      </c>
      <c r="F1342" t="s">
        <v>36</v>
      </c>
      <c r="G1342" t="s">
        <v>64</v>
      </c>
      <c r="H1342" s="1">
        <v>45132.792372685188</v>
      </c>
      <c r="I1342" s="1">
        <v>45134.792372685188</v>
      </c>
      <c r="J1342" s="1">
        <v>45132.834039351852</v>
      </c>
      <c r="K1342" s="2">
        <v>45132.828268113422</v>
      </c>
      <c r="L1342" t="s">
        <v>28</v>
      </c>
      <c r="M1342" s="2">
        <v>45133.095408506946</v>
      </c>
      <c r="N1342" t="s">
        <v>28</v>
      </c>
      <c r="O1342" s="2">
        <v>45134.451397326389</v>
      </c>
      <c r="P1342">
        <v>1</v>
      </c>
      <c r="Q1342">
        <v>5</v>
      </c>
      <c r="R1342" t="s">
        <v>50</v>
      </c>
      <c r="S1342" t="s">
        <v>40</v>
      </c>
      <c r="T1342" t="s">
        <v>56</v>
      </c>
      <c r="U1342">
        <v>52.536273000000001</v>
      </c>
      <c r="V1342">
        <v>19.050639</v>
      </c>
      <c r="W1342" t="str">
        <f t="shared" si="141"/>
        <v>ok</v>
      </c>
      <c r="X1342" t="str">
        <f t="shared" si="147"/>
        <v>ok</v>
      </c>
      <c r="Y1342" t="str">
        <f t="shared" si="142"/>
        <v>ok</v>
      </c>
      <c r="Z1342" t="str">
        <f t="shared" si="143"/>
        <v>ok</v>
      </c>
      <c r="AA1342" s="4" t="str">
        <f t="shared" si="144"/>
        <v>ok</v>
      </c>
      <c r="AB1342" s="4" t="str">
        <f t="shared" si="145"/>
        <v>ok</v>
      </c>
      <c r="AC1342" s="6">
        <f t="shared" si="146"/>
        <v>7.2728597222012468</v>
      </c>
    </row>
    <row r="1343" spans="1:29" x14ac:dyDescent="0.3">
      <c r="A1343" t="s">
        <v>32</v>
      </c>
      <c r="B1343">
        <v>2706</v>
      </c>
      <c r="C1343" t="s">
        <v>47</v>
      </c>
      <c r="D1343" t="s">
        <v>34</v>
      </c>
      <c r="E1343" t="s">
        <v>48</v>
      </c>
      <c r="F1343" t="s">
        <v>26</v>
      </c>
      <c r="G1343" t="s">
        <v>45</v>
      </c>
      <c r="H1343" s="1">
        <v>45132.221805555557</v>
      </c>
      <c r="I1343" s="1">
        <v>45134.221805555557</v>
      </c>
      <c r="J1343" s="1">
        <v>45132.223194444443</v>
      </c>
      <c r="K1343" s="2">
        <v>45132.222286585646</v>
      </c>
      <c r="L1343" t="s">
        <v>28</v>
      </c>
      <c r="N1343" t="s">
        <v>38</v>
      </c>
      <c r="P1343">
        <v>5</v>
      </c>
      <c r="R1343" t="s">
        <v>50</v>
      </c>
      <c r="S1343" t="s">
        <v>30</v>
      </c>
      <c r="T1343" t="s">
        <v>56</v>
      </c>
      <c r="U1343">
        <v>52.536273000000001</v>
      </c>
      <c r="V1343">
        <v>19.050639</v>
      </c>
      <c r="W1343" t="str">
        <f t="shared" si="141"/>
        <v>ok</v>
      </c>
      <c r="X1343" t="str">
        <f t="shared" si="147"/>
        <v>ok</v>
      </c>
      <c r="Y1343" t="str">
        <f t="shared" si="142"/>
        <v>ok</v>
      </c>
      <c r="Z1343" t="str">
        <f t="shared" si="143"/>
        <v>ok</v>
      </c>
      <c r="AA1343" s="4" t="str">
        <f t="shared" si="144"/>
        <v>ok</v>
      </c>
      <c r="AB1343" s="4" t="str">
        <f t="shared" si="145"/>
        <v>no resolution</v>
      </c>
      <c r="AC1343" s="6" t="str">
        <f t="shared" si="146"/>
        <v/>
      </c>
    </row>
    <row r="1344" spans="1:29" x14ac:dyDescent="0.3">
      <c r="A1344" t="s">
        <v>32</v>
      </c>
      <c r="B1344">
        <v>2707</v>
      </c>
      <c r="C1344" t="s">
        <v>33</v>
      </c>
      <c r="D1344" t="s">
        <v>43</v>
      </c>
      <c r="E1344" t="s">
        <v>39</v>
      </c>
      <c r="F1344" t="s">
        <v>26</v>
      </c>
      <c r="G1344" t="s">
        <v>60</v>
      </c>
      <c r="H1344" s="1">
        <v>45132.350439814814</v>
      </c>
      <c r="I1344" s="1">
        <v>45133.350439814814</v>
      </c>
      <c r="J1344" s="1">
        <v>45132.3518287037</v>
      </c>
      <c r="K1344" s="2">
        <v>45132.350568923612</v>
      </c>
      <c r="L1344" t="s">
        <v>28</v>
      </c>
      <c r="N1344" t="s">
        <v>38</v>
      </c>
      <c r="P1344">
        <v>5</v>
      </c>
      <c r="R1344" t="s">
        <v>29</v>
      </c>
      <c r="S1344" t="s">
        <v>30</v>
      </c>
      <c r="T1344" t="s">
        <v>51</v>
      </c>
      <c r="U1344">
        <v>39.673369999999998</v>
      </c>
      <c r="V1344">
        <v>-4.7677259999999997</v>
      </c>
      <c r="W1344" t="str">
        <f t="shared" si="141"/>
        <v>ok</v>
      </c>
      <c r="X1344" t="str">
        <f t="shared" si="147"/>
        <v>ok</v>
      </c>
      <c r="Y1344" t="str">
        <f t="shared" si="142"/>
        <v>ok</v>
      </c>
      <c r="Z1344" t="str">
        <f t="shared" si="143"/>
        <v>ok</v>
      </c>
      <c r="AA1344" s="4" t="str">
        <f t="shared" si="144"/>
        <v>ok</v>
      </c>
      <c r="AB1344" s="4" t="str">
        <f t="shared" si="145"/>
        <v>no resolution</v>
      </c>
      <c r="AC1344" s="6" t="str">
        <f t="shared" si="146"/>
        <v/>
      </c>
    </row>
    <row r="1345" spans="1:29" x14ac:dyDescent="0.3">
      <c r="A1345" t="s">
        <v>42</v>
      </c>
      <c r="B1345">
        <v>2708</v>
      </c>
      <c r="C1345" t="s">
        <v>47</v>
      </c>
      <c r="D1345" t="s">
        <v>43</v>
      </c>
      <c r="E1345" t="s">
        <v>25</v>
      </c>
      <c r="F1345" t="s">
        <v>26</v>
      </c>
      <c r="G1345" t="s">
        <v>49</v>
      </c>
      <c r="H1345" s="1">
        <v>45132.423506944448</v>
      </c>
      <c r="I1345" s="1">
        <v>45133.423506944448</v>
      </c>
      <c r="J1345" s="1">
        <v>45132.424895833334</v>
      </c>
      <c r="K1345" s="2">
        <v>45132.42440596065</v>
      </c>
      <c r="L1345" t="s">
        <v>28</v>
      </c>
      <c r="M1345" s="2">
        <v>45138.156005277779</v>
      </c>
      <c r="N1345" t="s">
        <v>38</v>
      </c>
      <c r="P1345">
        <v>8</v>
      </c>
      <c r="R1345" t="s">
        <v>50</v>
      </c>
      <c r="S1345" t="s">
        <v>30</v>
      </c>
      <c r="T1345" t="s">
        <v>31</v>
      </c>
      <c r="U1345">
        <v>53.094023999999997</v>
      </c>
      <c r="V1345">
        <v>-8.0196749999999994</v>
      </c>
      <c r="W1345" t="str">
        <f t="shared" si="141"/>
        <v>ok</v>
      </c>
      <c r="X1345" t="str">
        <f t="shared" si="147"/>
        <v>ok</v>
      </c>
      <c r="Y1345" t="str">
        <f t="shared" si="142"/>
        <v>ok</v>
      </c>
      <c r="Z1345" t="str">
        <f t="shared" si="143"/>
        <v>ok</v>
      </c>
      <c r="AA1345" s="4" t="str">
        <f t="shared" si="144"/>
        <v>ok</v>
      </c>
      <c r="AB1345" s="4" t="str">
        <f t="shared" si="145"/>
        <v>ok</v>
      </c>
      <c r="AC1345" s="6">
        <f t="shared" si="146"/>
        <v>137.57995999994455</v>
      </c>
    </row>
    <row r="1346" spans="1:29" x14ac:dyDescent="0.3">
      <c r="A1346" t="s">
        <v>42</v>
      </c>
      <c r="B1346">
        <v>2709</v>
      </c>
      <c r="C1346" t="s">
        <v>47</v>
      </c>
      <c r="D1346" t="s">
        <v>24</v>
      </c>
      <c r="E1346" t="s">
        <v>44</v>
      </c>
      <c r="F1346" t="s">
        <v>26</v>
      </c>
      <c r="G1346" t="s">
        <v>52</v>
      </c>
      <c r="H1346" s="1">
        <v>45132.529120370367</v>
      </c>
      <c r="I1346" s="1">
        <v>45134.529120370367</v>
      </c>
      <c r="J1346" s="1">
        <v>45132.570787037039</v>
      </c>
      <c r="K1346" s="2">
        <v>45132.550955555555</v>
      </c>
      <c r="L1346" t="s">
        <v>28</v>
      </c>
      <c r="M1346" s="2">
        <v>45133.870947905096</v>
      </c>
      <c r="N1346" t="s">
        <v>28</v>
      </c>
      <c r="P1346">
        <v>5</v>
      </c>
      <c r="R1346" t="s">
        <v>50</v>
      </c>
      <c r="S1346" t="s">
        <v>30</v>
      </c>
      <c r="T1346" t="s">
        <v>57</v>
      </c>
      <c r="U1346">
        <v>51.165691000000002</v>
      </c>
      <c r="V1346">
        <v>10.451525999999999</v>
      </c>
      <c r="W1346" t="str">
        <f t="shared" ref="W1346:W1409" si="148">IF(K1346&lt;H1346,"check","ok")</f>
        <v>ok</v>
      </c>
      <c r="X1346" t="str">
        <f t="shared" si="147"/>
        <v>ok</v>
      </c>
      <c r="Y1346" t="str">
        <f t="shared" ref="Y1346:Y1409" si="149">IF(AND(M1346&lt;&gt;"",O1346&lt;&gt;"",O1346&lt;M1346),"check","ok")</f>
        <v>ok</v>
      </c>
      <c r="Z1346" t="str">
        <f t="shared" ref="Z1346:Z1409" si="150">IF(AND(OR(CA1346="Closed",A1346="Resolved"),M1346=""),"check","ok")</f>
        <v>ok</v>
      </c>
      <c r="AA1346" s="4" t="str">
        <f t="shared" ref="AA1346:AA1409" si="151">IF(K1346="","no response",IF(OR(AND(K1346&lt;=J1346,L1346="Within SLA"),AND(K1346&gt;J1346,L1346="SLA Violated")),"ok","check"))</f>
        <v>ok</v>
      </c>
      <c r="AB1346" s="4" t="str">
        <f t="shared" ref="AB1346:AB1409" si="152">IF(M1346="","no resolution",IF(OR(AND(M1346&lt;=I1346,N1346="Within SLA"),AND(M1346&gt;I1346,N1346="SLA Violated")),"ok","check"))</f>
        <v>ok</v>
      </c>
      <c r="AC1346" s="6">
        <f t="shared" ref="AC1346:AC1409" si="153">IF(M1346="","",(M1346-H1346)*24)</f>
        <v>32.203860833484214</v>
      </c>
    </row>
    <row r="1347" spans="1:29" x14ac:dyDescent="0.3">
      <c r="A1347" t="s">
        <v>22</v>
      </c>
      <c r="B1347">
        <v>2710</v>
      </c>
      <c r="C1347" t="s">
        <v>23</v>
      </c>
      <c r="D1347" t="s">
        <v>43</v>
      </c>
      <c r="E1347" t="s">
        <v>59</v>
      </c>
      <c r="F1347" t="s">
        <v>26</v>
      </c>
      <c r="G1347" t="s">
        <v>52</v>
      </c>
      <c r="H1347" s="1">
        <v>45132.669421296298</v>
      </c>
      <c r="I1347" s="1">
        <v>45133.669421296298</v>
      </c>
      <c r="J1347" s="1">
        <v>45132.670810185184</v>
      </c>
      <c r="K1347" s="2">
        <v>45132.670468368058</v>
      </c>
      <c r="L1347" t="s">
        <v>28</v>
      </c>
      <c r="M1347" s="2">
        <v>45132.708700150462</v>
      </c>
      <c r="N1347" t="s">
        <v>28</v>
      </c>
      <c r="O1347" s="2">
        <v>45139.156871724539</v>
      </c>
      <c r="P1347">
        <v>2</v>
      </c>
      <c r="Q1347">
        <v>3</v>
      </c>
      <c r="R1347" t="s">
        <v>50</v>
      </c>
      <c r="S1347" t="s">
        <v>30</v>
      </c>
      <c r="T1347" t="s">
        <v>57</v>
      </c>
      <c r="U1347">
        <v>51.165691000000002</v>
      </c>
      <c r="V1347">
        <v>10.451525999999999</v>
      </c>
      <c r="W1347" t="str">
        <f t="shared" si="148"/>
        <v>ok</v>
      </c>
      <c r="X1347" t="str">
        <f t="shared" ref="X1347:X1410" si="154">IF(AND(M1347&lt;&gt;"",M1347&lt;H1347),"check","ok")</f>
        <v>ok</v>
      </c>
      <c r="Y1347" t="str">
        <f t="shared" si="149"/>
        <v>ok</v>
      </c>
      <c r="Z1347" t="str">
        <f t="shared" si="150"/>
        <v>ok</v>
      </c>
      <c r="AA1347" s="4" t="str">
        <f t="shared" si="151"/>
        <v>ok</v>
      </c>
      <c r="AB1347" s="4" t="str">
        <f t="shared" si="152"/>
        <v>ok</v>
      </c>
      <c r="AC1347" s="6">
        <f t="shared" si="153"/>
        <v>0.9426924999570474</v>
      </c>
    </row>
    <row r="1348" spans="1:29" x14ac:dyDescent="0.3">
      <c r="A1348" t="s">
        <v>22</v>
      </c>
      <c r="B1348">
        <v>2711</v>
      </c>
      <c r="C1348" t="s">
        <v>47</v>
      </c>
      <c r="D1348" t="s">
        <v>43</v>
      </c>
      <c r="E1348" t="s">
        <v>62</v>
      </c>
      <c r="F1348" t="s">
        <v>26</v>
      </c>
      <c r="G1348" t="s">
        <v>27</v>
      </c>
      <c r="H1348" s="1">
        <v>45132.916678240741</v>
      </c>
      <c r="I1348" s="1">
        <v>45133.916678240741</v>
      </c>
      <c r="J1348" s="1">
        <v>45132.918067129627</v>
      </c>
      <c r="K1348" s="2">
        <v>45132.917812384258</v>
      </c>
      <c r="L1348" t="s">
        <v>28</v>
      </c>
      <c r="M1348" s="2">
        <v>45133.833516412036</v>
      </c>
      <c r="N1348" t="s">
        <v>28</v>
      </c>
      <c r="O1348" s="2">
        <v>45139.0304903125</v>
      </c>
      <c r="P1348">
        <v>5</v>
      </c>
      <c r="Q1348">
        <v>1</v>
      </c>
      <c r="R1348" t="s">
        <v>55</v>
      </c>
      <c r="S1348" t="s">
        <v>30</v>
      </c>
      <c r="T1348" t="s">
        <v>63</v>
      </c>
      <c r="U1348">
        <v>55.378051999999997</v>
      </c>
      <c r="V1348">
        <v>-3.4359730000000002</v>
      </c>
      <c r="W1348" t="str">
        <f t="shared" si="148"/>
        <v>ok</v>
      </c>
      <c r="X1348" t="str">
        <f t="shared" si="154"/>
        <v>ok</v>
      </c>
      <c r="Y1348" t="str">
        <f t="shared" si="149"/>
        <v>ok</v>
      </c>
      <c r="Z1348" t="str">
        <f t="shared" si="150"/>
        <v>ok</v>
      </c>
      <c r="AA1348" s="4" t="str">
        <f t="shared" si="151"/>
        <v>ok</v>
      </c>
      <c r="AB1348" s="4" t="str">
        <f t="shared" si="152"/>
        <v>ok</v>
      </c>
      <c r="AC1348" s="6">
        <f t="shared" si="153"/>
        <v>22.00411611108575</v>
      </c>
    </row>
    <row r="1349" spans="1:29" x14ac:dyDescent="0.3">
      <c r="A1349" t="s">
        <v>22</v>
      </c>
      <c r="B1349">
        <v>2712</v>
      </c>
      <c r="C1349" t="s">
        <v>47</v>
      </c>
      <c r="D1349" t="s">
        <v>34</v>
      </c>
      <c r="E1349" t="s">
        <v>48</v>
      </c>
      <c r="F1349" t="s">
        <v>36</v>
      </c>
      <c r="G1349" t="s">
        <v>64</v>
      </c>
      <c r="H1349" s="1">
        <v>45133.220358796294</v>
      </c>
      <c r="I1349" s="1">
        <v>45135.220358796294</v>
      </c>
      <c r="J1349" s="1">
        <v>45133.221747685187</v>
      </c>
      <c r="K1349" s="2">
        <v>45133.222669236115</v>
      </c>
      <c r="L1349" t="s">
        <v>38</v>
      </c>
      <c r="M1349" s="2">
        <v>45136.844269976849</v>
      </c>
      <c r="N1349" t="s">
        <v>38</v>
      </c>
      <c r="O1349" s="2">
        <v>45137.697066203706</v>
      </c>
      <c r="P1349">
        <v>1</v>
      </c>
      <c r="Q1349">
        <v>5</v>
      </c>
      <c r="R1349" t="s">
        <v>50</v>
      </c>
      <c r="S1349" t="s">
        <v>40</v>
      </c>
      <c r="T1349" t="s">
        <v>65</v>
      </c>
      <c r="U1349">
        <v>46.149166399999999</v>
      </c>
      <c r="V1349">
        <v>14.9860106</v>
      </c>
      <c r="W1349" t="str">
        <f t="shared" si="148"/>
        <v>ok</v>
      </c>
      <c r="X1349" t="str">
        <f t="shared" si="154"/>
        <v>ok</v>
      </c>
      <c r="Y1349" t="str">
        <f t="shared" si="149"/>
        <v>ok</v>
      </c>
      <c r="Z1349" t="str">
        <f t="shared" si="150"/>
        <v>ok</v>
      </c>
      <c r="AA1349" s="4" t="str">
        <f t="shared" si="151"/>
        <v>ok</v>
      </c>
      <c r="AB1349" s="4" t="str">
        <f t="shared" si="152"/>
        <v>ok</v>
      </c>
      <c r="AC1349" s="6">
        <f t="shared" si="153"/>
        <v>86.973868333327118</v>
      </c>
    </row>
    <row r="1350" spans="1:29" x14ac:dyDescent="0.3">
      <c r="A1350" t="s">
        <v>42</v>
      </c>
      <c r="B1350">
        <v>2713</v>
      </c>
      <c r="C1350" t="s">
        <v>23</v>
      </c>
      <c r="D1350" t="s">
        <v>43</v>
      </c>
      <c r="E1350" t="s">
        <v>39</v>
      </c>
      <c r="F1350" t="s">
        <v>26</v>
      </c>
      <c r="G1350" t="s">
        <v>45</v>
      </c>
      <c r="H1350" s="1">
        <v>45133.741782407407</v>
      </c>
      <c r="I1350" s="1">
        <v>45134.741782407407</v>
      </c>
      <c r="J1350" s="1">
        <v>45133.743171296293</v>
      </c>
      <c r="K1350" s="2">
        <v>45133.742374965281</v>
      </c>
      <c r="L1350" t="s">
        <v>28</v>
      </c>
      <c r="M1350" s="2">
        <v>45134.667192766203</v>
      </c>
      <c r="N1350" t="s">
        <v>28</v>
      </c>
      <c r="P1350">
        <v>9</v>
      </c>
      <c r="R1350" t="s">
        <v>29</v>
      </c>
      <c r="S1350" t="s">
        <v>30</v>
      </c>
      <c r="T1350" t="s">
        <v>65</v>
      </c>
      <c r="U1350">
        <v>46.149166399999999</v>
      </c>
      <c r="V1350">
        <v>14.9860106</v>
      </c>
      <c r="W1350" t="str">
        <f t="shared" si="148"/>
        <v>ok</v>
      </c>
      <c r="X1350" t="str">
        <f t="shared" si="154"/>
        <v>ok</v>
      </c>
      <c r="Y1350" t="str">
        <f t="shared" si="149"/>
        <v>ok</v>
      </c>
      <c r="Z1350" t="str">
        <f t="shared" si="150"/>
        <v>ok</v>
      </c>
      <c r="AA1350" s="4" t="str">
        <f t="shared" si="151"/>
        <v>ok</v>
      </c>
      <c r="AB1350" s="4" t="str">
        <f t="shared" si="152"/>
        <v>ok</v>
      </c>
      <c r="AC1350" s="6">
        <f t="shared" si="153"/>
        <v>22.209848611091729</v>
      </c>
    </row>
    <row r="1351" spans="1:29" x14ac:dyDescent="0.3">
      <c r="A1351" t="s">
        <v>32</v>
      </c>
      <c r="B1351">
        <v>2714</v>
      </c>
      <c r="C1351" t="s">
        <v>47</v>
      </c>
      <c r="D1351" t="s">
        <v>24</v>
      </c>
      <c r="E1351" t="s">
        <v>48</v>
      </c>
      <c r="F1351" t="s">
        <v>26</v>
      </c>
      <c r="G1351" t="s">
        <v>60</v>
      </c>
      <c r="H1351" s="1">
        <v>45133.734675925924</v>
      </c>
      <c r="I1351" s="1">
        <v>45135.734675925924</v>
      </c>
      <c r="J1351" s="1">
        <v>45133.776342592595</v>
      </c>
      <c r="K1351" s="2">
        <v>45133.775169386572</v>
      </c>
      <c r="L1351" t="s">
        <v>28</v>
      </c>
      <c r="N1351" t="s">
        <v>38</v>
      </c>
      <c r="P1351">
        <v>6</v>
      </c>
      <c r="R1351" t="s">
        <v>55</v>
      </c>
      <c r="S1351" t="s">
        <v>30</v>
      </c>
      <c r="T1351" t="s">
        <v>63</v>
      </c>
      <c r="U1351">
        <v>55.378051999999997</v>
      </c>
      <c r="V1351">
        <v>-3.4359730000000002</v>
      </c>
      <c r="W1351" t="str">
        <f t="shared" si="148"/>
        <v>ok</v>
      </c>
      <c r="X1351" t="str">
        <f t="shared" si="154"/>
        <v>ok</v>
      </c>
      <c r="Y1351" t="str">
        <f t="shared" si="149"/>
        <v>ok</v>
      </c>
      <c r="Z1351" t="str">
        <f t="shared" si="150"/>
        <v>ok</v>
      </c>
      <c r="AA1351" s="4" t="str">
        <f t="shared" si="151"/>
        <v>ok</v>
      </c>
      <c r="AB1351" s="4" t="str">
        <f t="shared" si="152"/>
        <v>no resolution</v>
      </c>
      <c r="AC1351" s="6" t="str">
        <f t="shared" si="153"/>
        <v/>
      </c>
    </row>
    <row r="1352" spans="1:29" x14ac:dyDescent="0.3">
      <c r="A1352" t="s">
        <v>22</v>
      </c>
      <c r="B1352">
        <v>2715</v>
      </c>
      <c r="C1352" t="s">
        <v>23</v>
      </c>
      <c r="D1352" t="s">
        <v>43</v>
      </c>
      <c r="E1352" t="s">
        <v>48</v>
      </c>
      <c r="F1352" t="s">
        <v>26</v>
      </c>
      <c r="G1352" t="s">
        <v>60</v>
      </c>
      <c r="H1352" s="1">
        <v>45133.497824074075</v>
      </c>
      <c r="I1352" s="1">
        <v>45134.497824074075</v>
      </c>
      <c r="J1352" s="1">
        <v>45133.499212962961</v>
      </c>
      <c r="K1352" s="2">
        <v>45133.499338703703</v>
      </c>
      <c r="L1352" t="s">
        <v>38</v>
      </c>
      <c r="M1352" s="2">
        <v>45134.485066770831</v>
      </c>
      <c r="N1352" t="s">
        <v>28</v>
      </c>
      <c r="O1352" s="2">
        <v>45135.629781261574</v>
      </c>
      <c r="P1352">
        <v>2</v>
      </c>
      <c r="Q1352">
        <v>5</v>
      </c>
      <c r="R1352" t="s">
        <v>39</v>
      </c>
      <c r="S1352" t="s">
        <v>30</v>
      </c>
      <c r="T1352" t="s">
        <v>57</v>
      </c>
      <c r="U1352">
        <v>51.165691000000002</v>
      </c>
      <c r="V1352">
        <v>10.451525999999999</v>
      </c>
      <c r="W1352" t="str">
        <f t="shared" si="148"/>
        <v>ok</v>
      </c>
      <c r="X1352" t="str">
        <f t="shared" si="154"/>
        <v>ok</v>
      </c>
      <c r="Y1352" t="str">
        <f t="shared" si="149"/>
        <v>ok</v>
      </c>
      <c r="Z1352" t="str">
        <f t="shared" si="150"/>
        <v>ok</v>
      </c>
      <c r="AA1352" s="4" t="str">
        <f t="shared" si="151"/>
        <v>ok</v>
      </c>
      <c r="AB1352" s="4" t="str">
        <f t="shared" si="152"/>
        <v>ok</v>
      </c>
      <c r="AC1352" s="6">
        <f t="shared" si="153"/>
        <v>23.693824722140562</v>
      </c>
    </row>
    <row r="1353" spans="1:29" x14ac:dyDescent="0.3">
      <c r="A1353" t="s">
        <v>32</v>
      </c>
      <c r="B1353">
        <v>2716</v>
      </c>
      <c r="C1353" t="s">
        <v>23</v>
      </c>
      <c r="D1353" t="s">
        <v>24</v>
      </c>
      <c r="E1353" t="s">
        <v>35</v>
      </c>
      <c r="F1353" t="s">
        <v>26</v>
      </c>
      <c r="G1353" t="s">
        <v>45</v>
      </c>
      <c r="H1353" s="1">
        <v>45133.266076388885</v>
      </c>
      <c r="I1353" s="1">
        <v>45135.266076388885</v>
      </c>
      <c r="J1353" s="1">
        <v>45133.307743055557</v>
      </c>
      <c r="K1353" s="2">
        <v>45133.269727974533</v>
      </c>
      <c r="L1353" t="s">
        <v>28</v>
      </c>
      <c r="N1353" t="s">
        <v>38</v>
      </c>
      <c r="P1353">
        <v>3</v>
      </c>
      <c r="R1353" t="s">
        <v>55</v>
      </c>
      <c r="S1353" t="s">
        <v>30</v>
      </c>
      <c r="T1353" t="s">
        <v>56</v>
      </c>
      <c r="U1353">
        <v>52.536273000000001</v>
      </c>
      <c r="V1353">
        <v>19.050639</v>
      </c>
      <c r="W1353" t="str">
        <f t="shared" si="148"/>
        <v>ok</v>
      </c>
      <c r="X1353" t="str">
        <f t="shared" si="154"/>
        <v>ok</v>
      </c>
      <c r="Y1353" t="str">
        <f t="shared" si="149"/>
        <v>ok</v>
      </c>
      <c r="Z1353" t="str">
        <f t="shared" si="150"/>
        <v>ok</v>
      </c>
      <c r="AA1353" s="4" t="str">
        <f t="shared" si="151"/>
        <v>ok</v>
      </c>
      <c r="AB1353" s="4" t="str">
        <f t="shared" si="152"/>
        <v>no resolution</v>
      </c>
      <c r="AC1353" s="6" t="str">
        <f t="shared" si="153"/>
        <v/>
      </c>
    </row>
    <row r="1354" spans="1:29" x14ac:dyDescent="0.3">
      <c r="A1354" t="s">
        <v>22</v>
      </c>
      <c r="B1354">
        <v>2717</v>
      </c>
      <c r="C1354" t="s">
        <v>23</v>
      </c>
      <c r="D1354" t="s">
        <v>24</v>
      </c>
      <c r="E1354" t="s">
        <v>35</v>
      </c>
      <c r="F1354" t="s">
        <v>36</v>
      </c>
      <c r="G1354" t="s">
        <v>64</v>
      </c>
      <c r="H1354" s="1">
        <v>45133.425393518519</v>
      </c>
      <c r="I1354" s="1">
        <v>45135.425393518519</v>
      </c>
      <c r="J1354" s="1">
        <v>45133.467060185183</v>
      </c>
      <c r="K1354" s="2">
        <v>45133.456595474534</v>
      </c>
      <c r="L1354" t="s">
        <v>28</v>
      </c>
      <c r="M1354" s="2">
        <v>45133.713050243059</v>
      </c>
      <c r="N1354" t="s">
        <v>28</v>
      </c>
      <c r="O1354" s="2">
        <v>45134.895716921295</v>
      </c>
      <c r="P1354">
        <v>2</v>
      </c>
      <c r="Q1354">
        <v>3</v>
      </c>
      <c r="R1354" t="s">
        <v>29</v>
      </c>
      <c r="S1354" t="s">
        <v>40</v>
      </c>
      <c r="T1354" t="s">
        <v>63</v>
      </c>
      <c r="U1354">
        <v>55.378051999999997</v>
      </c>
      <c r="V1354">
        <v>-3.4359730000000002</v>
      </c>
      <c r="W1354" t="str">
        <f t="shared" si="148"/>
        <v>ok</v>
      </c>
      <c r="X1354" t="str">
        <f t="shared" si="154"/>
        <v>ok</v>
      </c>
      <c r="Y1354" t="str">
        <f t="shared" si="149"/>
        <v>ok</v>
      </c>
      <c r="Z1354" t="str">
        <f t="shared" si="150"/>
        <v>ok</v>
      </c>
      <c r="AA1354" s="4" t="str">
        <f t="shared" si="151"/>
        <v>ok</v>
      </c>
      <c r="AB1354" s="4" t="str">
        <f t="shared" si="152"/>
        <v>ok</v>
      </c>
      <c r="AC1354" s="6">
        <f t="shared" si="153"/>
        <v>6.9037613889668137</v>
      </c>
    </row>
    <row r="1355" spans="1:29" x14ac:dyDescent="0.3">
      <c r="A1355" t="s">
        <v>42</v>
      </c>
      <c r="B1355">
        <v>2718</v>
      </c>
      <c r="C1355" t="s">
        <v>47</v>
      </c>
      <c r="D1355" t="s">
        <v>24</v>
      </c>
      <c r="E1355" t="s">
        <v>44</v>
      </c>
      <c r="F1355" t="s">
        <v>26</v>
      </c>
      <c r="G1355" t="s">
        <v>52</v>
      </c>
      <c r="H1355" s="1">
        <v>45133.432685185187</v>
      </c>
      <c r="I1355" s="1">
        <v>45135.432685185187</v>
      </c>
      <c r="J1355" s="1">
        <v>45133.474351851852</v>
      </c>
      <c r="K1355" s="2">
        <v>45133.474214907408</v>
      </c>
      <c r="L1355" t="s">
        <v>28</v>
      </c>
      <c r="M1355" s="2">
        <v>45138.976789282409</v>
      </c>
      <c r="N1355" t="s">
        <v>38</v>
      </c>
      <c r="P1355">
        <v>1</v>
      </c>
      <c r="R1355" t="s">
        <v>50</v>
      </c>
      <c r="S1355" t="s">
        <v>30</v>
      </c>
      <c r="T1355" t="s">
        <v>61</v>
      </c>
      <c r="U1355">
        <v>42.724992499999999</v>
      </c>
      <c r="V1355">
        <v>25.483303899999999</v>
      </c>
      <c r="W1355" t="str">
        <f t="shared" si="148"/>
        <v>ok</v>
      </c>
      <c r="X1355" t="str">
        <f t="shared" si="154"/>
        <v>ok</v>
      </c>
      <c r="Y1355" t="str">
        <f t="shared" si="149"/>
        <v>ok</v>
      </c>
      <c r="Z1355" t="str">
        <f t="shared" si="150"/>
        <v>ok</v>
      </c>
      <c r="AA1355" s="4" t="str">
        <f t="shared" si="151"/>
        <v>ok</v>
      </c>
      <c r="AB1355" s="4" t="str">
        <f t="shared" si="152"/>
        <v>ok</v>
      </c>
      <c r="AC1355" s="6">
        <f t="shared" si="153"/>
        <v>133.05849833332468</v>
      </c>
    </row>
    <row r="1356" spans="1:29" x14ac:dyDescent="0.3">
      <c r="A1356" t="s">
        <v>32</v>
      </c>
      <c r="B1356">
        <v>2719</v>
      </c>
      <c r="C1356" t="s">
        <v>23</v>
      </c>
      <c r="D1356" t="s">
        <v>24</v>
      </c>
      <c r="E1356" t="s">
        <v>44</v>
      </c>
      <c r="F1356" t="s">
        <v>36</v>
      </c>
      <c r="G1356" t="s">
        <v>64</v>
      </c>
      <c r="H1356" s="1">
        <v>45133.600370370368</v>
      </c>
      <c r="I1356" s="1">
        <v>45135.600370370368</v>
      </c>
      <c r="J1356" s="1">
        <v>45133.64203703704</v>
      </c>
      <c r="K1356" s="2">
        <v>45133.617326493055</v>
      </c>
      <c r="L1356" t="s">
        <v>28</v>
      </c>
      <c r="N1356" t="s">
        <v>38</v>
      </c>
      <c r="P1356">
        <v>1</v>
      </c>
      <c r="R1356" t="s">
        <v>29</v>
      </c>
      <c r="S1356" t="s">
        <v>40</v>
      </c>
      <c r="T1356" t="s">
        <v>51</v>
      </c>
      <c r="U1356">
        <v>39.673369999999998</v>
      </c>
      <c r="V1356">
        <v>-4.7677259999999997</v>
      </c>
      <c r="W1356" t="str">
        <f t="shared" si="148"/>
        <v>ok</v>
      </c>
      <c r="X1356" t="str">
        <f t="shared" si="154"/>
        <v>ok</v>
      </c>
      <c r="Y1356" t="str">
        <f t="shared" si="149"/>
        <v>ok</v>
      </c>
      <c r="Z1356" t="str">
        <f t="shared" si="150"/>
        <v>ok</v>
      </c>
      <c r="AA1356" s="4" t="str">
        <f t="shared" si="151"/>
        <v>ok</v>
      </c>
      <c r="AB1356" s="4" t="str">
        <f t="shared" si="152"/>
        <v>no resolution</v>
      </c>
      <c r="AC1356" s="6" t="str">
        <f t="shared" si="153"/>
        <v/>
      </c>
    </row>
    <row r="1357" spans="1:29" x14ac:dyDescent="0.3">
      <c r="A1357" t="s">
        <v>42</v>
      </c>
      <c r="B1357">
        <v>2720</v>
      </c>
      <c r="C1357" t="s">
        <v>47</v>
      </c>
      <c r="D1357" t="s">
        <v>24</v>
      </c>
      <c r="E1357" t="s">
        <v>35</v>
      </c>
      <c r="F1357" t="s">
        <v>26</v>
      </c>
      <c r="G1357" t="s">
        <v>60</v>
      </c>
      <c r="H1357" s="1">
        <v>45134.536435185182</v>
      </c>
      <c r="I1357" s="1">
        <v>45136.536435185182</v>
      </c>
      <c r="J1357" s="1">
        <v>45134.578101851854</v>
      </c>
      <c r="K1357" s="2">
        <v>45134.57525465278</v>
      </c>
      <c r="L1357" t="s">
        <v>28</v>
      </c>
      <c r="M1357" s="2">
        <v>45134.550922766204</v>
      </c>
      <c r="N1357" t="s">
        <v>28</v>
      </c>
      <c r="P1357">
        <v>1</v>
      </c>
      <c r="R1357" t="s">
        <v>50</v>
      </c>
      <c r="S1357" t="s">
        <v>30</v>
      </c>
      <c r="T1357" t="s">
        <v>53</v>
      </c>
      <c r="U1357">
        <v>39.368279000000001</v>
      </c>
      <c r="V1357">
        <v>21.863140999999999</v>
      </c>
      <c r="W1357" t="str">
        <f t="shared" si="148"/>
        <v>ok</v>
      </c>
      <c r="X1357" t="str">
        <f t="shared" si="154"/>
        <v>ok</v>
      </c>
      <c r="Y1357" t="str">
        <f t="shared" si="149"/>
        <v>ok</v>
      </c>
      <c r="Z1357" t="str">
        <f t="shared" si="150"/>
        <v>ok</v>
      </c>
      <c r="AA1357" s="4" t="str">
        <f t="shared" si="151"/>
        <v>ok</v>
      </c>
      <c r="AB1357" s="4" t="str">
        <f t="shared" si="152"/>
        <v>ok</v>
      </c>
      <c r="AC1357" s="6">
        <f t="shared" si="153"/>
        <v>0.34770194452721626</v>
      </c>
    </row>
    <row r="1358" spans="1:29" x14ac:dyDescent="0.3">
      <c r="A1358" t="s">
        <v>22</v>
      </c>
      <c r="B1358">
        <v>2721</v>
      </c>
      <c r="C1358" t="s">
        <v>23</v>
      </c>
      <c r="D1358" t="s">
        <v>34</v>
      </c>
      <c r="E1358" t="s">
        <v>35</v>
      </c>
      <c r="F1358" t="s">
        <v>26</v>
      </c>
      <c r="G1358" t="s">
        <v>52</v>
      </c>
      <c r="H1358" s="1">
        <v>45134.718958333331</v>
      </c>
      <c r="I1358" s="1">
        <v>45136.718958333331</v>
      </c>
      <c r="J1358" s="1">
        <v>45134.720347222225</v>
      </c>
      <c r="K1358" s="2">
        <v>45134.71899681713</v>
      </c>
      <c r="L1358" t="s">
        <v>28</v>
      </c>
      <c r="M1358" s="2">
        <v>45136.341688842593</v>
      </c>
      <c r="N1358" t="s">
        <v>28</v>
      </c>
      <c r="O1358" s="2">
        <v>45139.457276423615</v>
      </c>
      <c r="P1358">
        <v>4</v>
      </c>
      <c r="Q1358">
        <v>2</v>
      </c>
      <c r="R1358" t="s">
        <v>29</v>
      </c>
      <c r="S1358" t="s">
        <v>30</v>
      </c>
      <c r="T1358" t="s">
        <v>61</v>
      </c>
      <c r="U1358">
        <v>42.724992499999999</v>
      </c>
      <c r="V1358">
        <v>25.483303899999999</v>
      </c>
      <c r="W1358" t="str">
        <f t="shared" si="148"/>
        <v>ok</v>
      </c>
      <c r="X1358" t="str">
        <f t="shared" si="154"/>
        <v>ok</v>
      </c>
      <c r="Y1358" t="str">
        <f t="shared" si="149"/>
        <v>ok</v>
      </c>
      <c r="Z1358" t="str">
        <f t="shared" si="150"/>
        <v>ok</v>
      </c>
      <c r="AA1358" s="4" t="str">
        <f t="shared" si="151"/>
        <v>ok</v>
      </c>
      <c r="AB1358" s="4" t="str">
        <f t="shared" si="152"/>
        <v>ok</v>
      </c>
      <c r="AC1358" s="6">
        <f t="shared" si="153"/>
        <v>38.945532222278416</v>
      </c>
    </row>
    <row r="1359" spans="1:29" x14ac:dyDescent="0.3">
      <c r="A1359" t="s">
        <v>22</v>
      </c>
      <c r="B1359">
        <v>2722</v>
      </c>
      <c r="C1359" t="s">
        <v>23</v>
      </c>
      <c r="D1359" t="s">
        <v>43</v>
      </c>
      <c r="E1359" t="s">
        <v>62</v>
      </c>
      <c r="F1359" t="s">
        <v>26</v>
      </c>
      <c r="G1359" t="s">
        <v>49</v>
      </c>
      <c r="H1359" s="1">
        <v>45134.948553240742</v>
      </c>
      <c r="I1359" s="1">
        <v>45135.948553240742</v>
      </c>
      <c r="J1359" s="1">
        <v>45134.949942129628</v>
      </c>
      <c r="K1359" s="2">
        <v>45134.95167855324</v>
      </c>
      <c r="L1359" t="s">
        <v>38</v>
      </c>
      <c r="M1359" s="2">
        <v>45134.951310381941</v>
      </c>
      <c r="N1359" t="s">
        <v>28</v>
      </c>
      <c r="O1359" s="2">
        <v>45139.620132719909</v>
      </c>
      <c r="P1359">
        <v>5</v>
      </c>
      <c r="Q1359">
        <v>4</v>
      </c>
      <c r="R1359" t="s">
        <v>55</v>
      </c>
      <c r="S1359" t="s">
        <v>30</v>
      </c>
      <c r="T1359" t="s">
        <v>56</v>
      </c>
      <c r="U1359">
        <v>52.536273000000001</v>
      </c>
      <c r="V1359">
        <v>19.050639</v>
      </c>
      <c r="W1359" t="str">
        <f t="shared" si="148"/>
        <v>ok</v>
      </c>
      <c r="X1359" t="str">
        <f t="shared" si="154"/>
        <v>ok</v>
      </c>
      <c r="Y1359" t="str">
        <f t="shared" si="149"/>
        <v>ok</v>
      </c>
      <c r="Z1359" t="str">
        <f t="shared" si="150"/>
        <v>ok</v>
      </c>
      <c r="AA1359" s="4" t="str">
        <f t="shared" si="151"/>
        <v>ok</v>
      </c>
      <c r="AB1359" s="4" t="str">
        <f t="shared" si="152"/>
        <v>ok</v>
      </c>
      <c r="AC1359" s="6">
        <f t="shared" si="153"/>
        <v>6.6171388782095164E-2</v>
      </c>
    </row>
    <row r="1360" spans="1:29" x14ac:dyDescent="0.3">
      <c r="A1360" t="s">
        <v>42</v>
      </c>
      <c r="B1360">
        <v>2723</v>
      </c>
      <c r="C1360" t="s">
        <v>47</v>
      </c>
      <c r="D1360" t="s">
        <v>24</v>
      </c>
      <c r="E1360" t="s">
        <v>59</v>
      </c>
      <c r="F1360" t="s">
        <v>26</v>
      </c>
      <c r="G1360" t="s">
        <v>52</v>
      </c>
      <c r="H1360" s="1">
        <v>45134.902800925927</v>
      </c>
      <c r="I1360" s="1">
        <v>45136.902800925927</v>
      </c>
      <c r="J1360" s="1">
        <v>45134.944467592592</v>
      </c>
      <c r="K1360" s="2">
        <v>45134.914996192128</v>
      </c>
      <c r="L1360" t="s">
        <v>28</v>
      </c>
      <c r="M1360" s="2">
        <v>45135.584924756942</v>
      </c>
      <c r="N1360" t="s">
        <v>28</v>
      </c>
      <c r="P1360">
        <v>1</v>
      </c>
      <c r="R1360" t="s">
        <v>55</v>
      </c>
      <c r="S1360" t="s">
        <v>30</v>
      </c>
      <c r="T1360" t="s">
        <v>41</v>
      </c>
      <c r="U1360">
        <v>43.036776000000003</v>
      </c>
      <c r="V1360">
        <v>12.678565000000001</v>
      </c>
      <c r="W1360" t="str">
        <f t="shared" si="148"/>
        <v>ok</v>
      </c>
      <c r="X1360" t="str">
        <f t="shared" si="154"/>
        <v>ok</v>
      </c>
      <c r="Y1360" t="str">
        <f t="shared" si="149"/>
        <v>ok</v>
      </c>
      <c r="Z1360" t="str">
        <f t="shared" si="150"/>
        <v>ok</v>
      </c>
      <c r="AA1360" s="4" t="str">
        <f t="shared" si="151"/>
        <v>ok</v>
      </c>
      <c r="AB1360" s="4" t="str">
        <f t="shared" si="152"/>
        <v>ok</v>
      </c>
      <c r="AC1360" s="6">
        <f t="shared" si="153"/>
        <v>16.370971944357734</v>
      </c>
    </row>
    <row r="1361" spans="1:29" x14ac:dyDescent="0.3">
      <c r="A1361" t="s">
        <v>22</v>
      </c>
      <c r="B1361">
        <v>2724</v>
      </c>
      <c r="C1361" t="s">
        <v>33</v>
      </c>
      <c r="D1361" t="s">
        <v>43</v>
      </c>
      <c r="E1361" t="s">
        <v>48</v>
      </c>
      <c r="F1361" t="s">
        <v>26</v>
      </c>
      <c r="G1361" t="s">
        <v>60</v>
      </c>
      <c r="H1361" s="1">
        <v>45134.046226851853</v>
      </c>
      <c r="I1361" s="1">
        <v>45135.046226851853</v>
      </c>
      <c r="J1361" s="1">
        <v>45134.047615740739</v>
      </c>
      <c r="K1361" s="2">
        <v>45134.047174548614</v>
      </c>
      <c r="L1361" t="s">
        <v>28</v>
      </c>
      <c r="M1361" s="2">
        <v>45134.999302407407</v>
      </c>
      <c r="N1361" t="s">
        <v>28</v>
      </c>
      <c r="O1361" s="2">
        <v>45140.461659166664</v>
      </c>
      <c r="P1361">
        <v>6</v>
      </c>
      <c r="Q1361">
        <v>3</v>
      </c>
      <c r="R1361" t="s">
        <v>29</v>
      </c>
      <c r="S1361" t="s">
        <v>30</v>
      </c>
      <c r="T1361" t="s">
        <v>41</v>
      </c>
      <c r="U1361">
        <v>43.036776000000003</v>
      </c>
      <c r="V1361">
        <v>12.678565000000001</v>
      </c>
      <c r="W1361" t="str">
        <f t="shared" si="148"/>
        <v>ok</v>
      </c>
      <c r="X1361" t="str">
        <f t="shared" si="154"/>
        <v>ok</v>
      </c>
      <c r="Y1361" t="str">
        <f t="shared" si="149"/>
        <v>ok</v>
      </c>
      <c r="Z1361" t="str">
        <f t="shared" si="150"/>
        <v>ok</v>
      </c>
      <c r="AA1361" s="4" t="str">
        <f t="shared" si="151"/>
        <v>ok</v>
      </c>
      <c r="AB1361" s="4" t="str">
        <f t="shared" si="152"/>
        <v>ok</v>
      </c>
      <c r="AC1361" s="6">
        <f t="shared" si="153"/>
        <v>22.87381333328085</v>
      </c>
    </row>
    <row r="1362" spans="1:29" x14ac:dyDescent="0.3">
      <c r="A1362" t="s">
        <v>42</v>
      </c>
      <c r="B1362">
        <v>2725</v>
      </c>
      <c r="C1362" t="s">
        <v>23</v>
      </c>
      <c r="D1362" t="s">
        <v>24</v>
      </c>
      <c r="E1362" t="s">
        <v>25</v>
      </c>
      <c r="F1362" t="s">
        <v>26</v>
      </c>
      <c r="G1362" t="s">
        <v>52</v>
      </c>
      <c r="H1362" s="1">
        <v>45135.428680555553</v>
      </c>
      <c r="I1362" s="1">
        <v>45137.428680555553</v>
      </c>
      <c r="J1362" s="1">
        <v>45135.470347222225</v>
      </c>
      <c r="K1362" s="2">
        <v>45135.430124618055</v>
      </c>
      <c r="L1362" t="s">
        <v>28</v>
      </c>
      <c r="M1362" s="2">
        <v>45139.975197627318</v>
      </c>
      <c r="N1362" t="s">
        <v>38</v>
      </c>
      <c r="P1362">
        <v>3</v>
      </c>
      <c r="R1362" t="s">
        <v>29</v>
      </c>
      <c r="S1362" t="s">
        <v>30</v>
      </c>
      <c r="T1362" t="s">
        <v>63</v>
      </c>
      <c r="U1362">
        <v>55.378051999999997</v>
      </c>
      <c r="V1362">
        <v>-3.4359730000000002</v>
      </c>
      <c r="W1362" t="str">
        <f t="shared" si="148"/>
        <v>ok</v>
      </c>
      <c r="X1362" t="str">
        <f t="shared" si="154"/>
        <v>ok</v>
      </c>
      <c r="Y1362" t="str">
        <f t="shared" si="149"/>
        <v>ok</v>
      </c>
      <c r="Z1362" t="str">
        <f t="shared" si="150"/>
        <v>ok</v>
      </c>
      <c r="AA1362" s="4" t="str">
        <f t="shared" si="151"/>
        <v>ok</v>
      </c>
      <c r="AB1362" s="4" t="str">
        <f t="shared" si="152"/>
        <v>ok</v>
      </c>
      <c r="AC1362" s="6">
        <f t="shared" si="153"/>
        <v>109.11640972236637</v>
      </c>
    </row>
    <row r="1363" spans="1:29" x14ac:dyDescent="0.3">
      <c r="A1363" t="s">
        <v>22</v>
      </c>
      <c r="B1363">
        <v>2726</v>
      </c>
      <c r="C1363" t="s">
        <v>33</v>
      </c>
      <c r="D1363" t="s">
        <v>24</v>
      </c>
      <c r="E1363" t="s">
        <v>35</v>
      </c>
      <c r="F1363" t="s">
        <v>26</v>
      </c>
      <c r="G1363" t="s">
        <v>52</v>
      </c>
      <c r="H1363" s="1">
        <v>45135.681875000002</v>
      </c>
      <c r="I1363" s="1">
        <v>45137.681875000002</v>
      </c>
      <c r="J1363" s="1">
        <v>45135.723541666666</v>
      </c>
      <c r="K1363" s="2">
        <v>45135.69067246528</v>
      </c>
      <c r="L1363" t="s">
        <v>28</v>
      </c>
      <c r="M1363" s="2">
        <v>45136.693554780089</v>
      </c>
      <c r="N1363" t="s">
        <v>28</v>
      </c>
      <c r="O1363" s="2">
        <v>45142.183352129628</v>
      </c>
      <c r="P1363">
        <v>8</v>
      </c>
      <c r="Q1363">
        <v>5</v>
      </c>
      <c r="R1363" t="s">
        <v>29</v>
      </c>
      <c r="S1363" t="s">
        <v>30</v>
      </c>
      <c r="T1363" t="s">
        <v>57</v>
      </c>
      <c r="U1363">
        <v>51.165691000000002</v>
      </c>
      <c r="V1363">
        <v>10.451525999999999</v>
      </c>
      <c r="W1363" t="str">
        <f t="shared" si="148"/>
        <v>ok</v>
      </c>
      <c r="X1363" t="str">
        <f t="shared" si="154"/>
        <v>ok</v>
      </c>
      <c r="Y1363" t="str">
        <f t="shared" si="149"/>
        <v>ok</v>
      </c>
      <c r="Z1363" t="str">
        <f t="shared" si="150"/>
        <v>ok</v>
      </c>
      <c r="AA1363" s="4" t="str">
        <f t="shared" si="151"/>
        <v>ok</v>
      </c>
      <c r="AB1363" s="4" t="str">
        <f t="shared" si="152"/>
        <v>ok</v>
      </c>
      <c r="AC1363" s="6">
        <f t="shared" si="153"/>
        <v>24.28031472209841</v>
      </c>
    </row>
    <row r="1364" spans="1:29" x14ac:dyDescent="0.3">
      <c r="A1364" t="s">
        <v>42</v>
      </c>
      <c r="B1364">
        <v>2728</v>
      </c>
      <c r="C1364" t="s">
        <v>23</v>
      </c>
      <c r="D1364" t="s">
        <v>24</v>
      </c>
      <c r="E1364" t="s">
        <v>35</v>
      </c>
      <c r="F1364" t="s">
        <v>26</v>
      </c>
      <c r="G1364" t="s">
        <v>60</v>
      </c>
      <c r="H1364" s="1">
        <v>45135.205428240741</v>
      </c>
      <c r="I1364" s="1">
        <v>45137.205428240741</v>
      </c>
      <c r="J1364" s="1">
        <v>45135.247094907405</v>
      </c>
      <c r="K1364" s="2">
        <v>45135.381999791665</v>
      </c>
      <c r="L1364" t="s">
        <v>38</v>
      </c>
      <c r="M1364" s="2">
        <v>45136.777205520833</v>
      </c>
      <c r="N1364" t="s">
        <v>28</v>
      </c>
      <c r="P1364">
        <v>8</v>
      </c>
      <c r="R1364" t="s">
        <v>29</v>
      </c>
      <c r="S1364" t="s">
        <v>30</v>
      </c>
      <c r="T1364" t="s">
        <v>66</v>
      </c>
      <c r="U1364">
        <v>48.864716000000001</v>
      </c>
      <c r="V1364">
        <v>2.3490139999999999</v>
      </c>
      <c r="W1364" t="str">
        <f t="shared" si="148"/>
        <v>ok</v>
      </c>
      <c r="X1364" t="str">
        <f t="shared" si="154"/>
        <v>ok</v>
      </c>
      <c r="Y1364" t="str">
        <f t="shared" si="149"/>
        <v>ok</v>
      </c>
      <c r="Z1364" t="str">
        <f t="shared" si="150"/>
        <v>ok</v>
      </c>
      <c r="AA1364" s="4" t="str">
        <f t="shared" si="151"/>
        <v>ok</v>
      </c>
      <c r="AB1364" s="4" t="str">
        <f t="shared" si="152"/>
        <v>ok</v>
      </c>
      <c r="AC1364" s="6">
        <f t="shared" si="153"/>
        <v>37.722654722223524</v>
      </c>
    </row>
    <row r="1365" spans="1:29" x14ac:dyDescent="0.3">
      <c r="A1365" t="s">
        <v>22</v>
      </c>
      <c r="B1365">
        <v>2729</v>
      </c>
      <c r="C1365" t="s">
        <v>47</v>
      </c>
      <c r="D1365" t="s">
        <v>43</v>
      </c>
      <c r="E1365" t="s">
        <v>25</v>
      </c>
      <c r="F1365" t="s">
        <v>26</v>
      </c>
      <c r="G1365" t="s">
        <v>49</v>
      </c>
      <c r="H1365" s="1">
        <v>45135.213692129626</v>
      </c>
      <c r="I1365" s="1">
        <v>45136.213692129626</v>
      </c>
      <c r="J1365" s="1">
        <v>45135.215081018519</v>
      </c>
      <c r="K1365" s="2">
        <v>45135.214537627318</v>
      </c>
      <c r="L1365" t="s">
        <v>28</v>
      </c>
      <c r="M1365" s="2">
        <v>45140.831286828703</v>
      </c>
      <c r="N1365" t="s">
        <v>38</v>
      </c>
      <c r="O1365" s="2">
        <v>45141.420725972224</v>
      </c>
      <c r="P1365">
        <v>5</v>
      </c>
      <c r="Q1365">
        <v>3</v>
      </c>
      <c r="R1365" t="s">
        <v>50</v>
      </c>
      <c r="S1365" t="s">
        <v>30</v>
      </c>
      <c r="T1365" t="s">
        <v>65</v>
      </c>
      <c r="U1365">
        <v>46.149166399999999</v>
      </c>
      <c r="V1365">
        <v>14.9860106</v>
      </c>
      <c r="W1365" t="str">
        <f t="shared" si="148"/>
        <v>ok</v>
      </c>
      <c r="X1365" t="str">
        <f t="shared" si="154"/>
        <v>ok</v>
      </c>
      <c r="Y1365" t="str">
        <f t="shared" si="149"/>
        <v>ok</v>
      </c>
      <c r="Z1365" t="str">
        <f t="shared" si="150"/>
        <v>ok</v>
      </c>
      <c r="AA1365" s="4" t="str">
        <f t="shared" si="151"/>
        <v>ok</v>
      </c>
      <c r="AB1365" s="4" t="str">
        <f t="shared" si="152"/>
        <v>ok</v>
      </c>
      <c r="AC1365" s="6">
        <f t="shared" si="153"/>
        <v>134.82227277784841</v>
      </c>
    </row>
    <row r="1366" spans="1:29" x14ac:dyDescent="0.3">
      <c r="A1366" t="s">
        <v>42</v>
      </c>
      <c r="B1366">
        <v>2730</v>
      </c>
      <c r="C1366" t="s">
        <v>23</v>
      </c>
      <c r="D1366" t="s">
        <v>43</v>
      </c>
      <c r="E1366" t="s">
        <v>44</v>
      </c>
      <c r="F1366" t="s">
        <v>26</v>
      </c>
      <c r="G1366" t="s">
        <v>27</v>
      </c>
      <c r="H1366" s="1">
        <v>45135.127233796295</v>
      </c>
      <c r="I1366" s="1">
        <v>45136.127233796295</v>
      </c>
      <c r="J1366" s="1">
        <v>45135.128622685188</v>
      </c>
      <c r="K1366" s="2">
        <v>45135.12857763889</v>
      </c>
      <c r="L1366" t="s">
        <v>28</v>
      </c>
      <c r="M1366" s="2">
        <v>45135.683993206017</v>
      </c>
      <c r="N1366" t="s">
        <v>28</v>
      </c>
      <c r="P1366">
        <v>6</v>
      </c>
      <c r="R1366" t="s">
        <v>39</v>
      </c>
      <c r="S1366" t="s">
        <v>30</v>
      </c>
      <c r="T1366" t="s">
        <v>66</v>
      </c>
      <c r="U1366">
        <v>48.864716000000001</v>
      </c>
      <c r="V1366">
        <v>2.3490139999999999</v>
      </c>
      <c r="W1366" t="str">
        <f t="shared" si="148"/>
        <v>ok</v>
      </c>
      <c r="X1366" t="str">
        <f t="shared" si="154"/>
        <v>ok</v>
      </c>
      <c r="Y1366" t="str">
        <f t="shared" si="149"/>
        <v>ok</v>
      </c>
      <c r="Z1366" t="str">
        <f t="shared" si="150"/>
        <v>ok</v>
      </c>
      <c r="AA1366" s="4" t="str">
        <f t="shared" si="151"/>
        <v>ok</v>
      </c>
      <c r="AB1366" s="4" t="str">
        <f t="shared" si="152"/>
        <v>ok</v>
      </c>
      <c r="AC1366" s="6">
        <f t="shared" si="153"/>
        <v>13.36222583334893</v>
      </c>
    </row>
    <row r="1367" spans="1:29" x14ac:dyDescent="0.3">
      <c r="A1367" t="s">
        <v>42</v>
      </c>
      <c r="B1367">
        <v>2731</v>
      </c>
      <c r="C1367" t="s">
        <v>33</v>
      </c>
      <c r="D1367" t="s">
        <v>24</v>
      </c>
      <c r="E1367" t="s">
        <v>44</v>
      </c>
      <c r="F1367" t="s">
        <v>26</v>
      </c>
      <c r="G1367" t="s">
        <v>27</v>
      </c>
      <c r="H1367" s="1">
        <v>45136.690995370373</v>
      </c>
      <c r="I1367" s="1">
        <v>45138.690995370373</v>
      </c>
      <c r="J1367" s="1">
        <v>45136.732662037037</v>
      </c>
      <c r="K1367" s="2">
        <v>45136.700644618053</v>
      </c>
      <c r="L1367" t="s">
        <v>28</v>
      </c>
      <c r="M1367" s="2">
        <v>45137.724836215275</v>
      </c>
      <c r="N1367" t="s">
        <v>28</v>
      </c>
      <c r="P1367">
        <v>3</v>
      </c>
      <c r="R1367" t="s">
        <v>50</v>
      </c>
      <c r="S1367" t="s">
        <v>30</v>
      </c>
      <c r="T1367" t="s">
        <v>41</v>
      </c>
      <c r="U1367">
        <v>43.036776000000003</v>
      </c>
      <c r="V1367">
        <v>12.678565000000001</v>
      </c>
      <c r="W1367" t="str">
        <f t="shared" si="148"/>
        <v>ok</v>
      </c>
      <c r="X1367" t="str">
        <f t="shared" si="154"/>
        <v>ok</v>
      </c>
      <c r="Y1367" t="str">
        <f t="shared" si="149"/>
        <v>ok</v>
      </c>
      <c r="Z1367" t="str">
        <f t="shared" si="150"/>
        <v>ok</v>
      </c>
      <c r="AA1367" s="4" t="str">
        <f t="shared" si="151"/>
        <v>ok</v>
      </c>
      <c r="AB1367" s="4" t="str">
        <f t="shared" si="152"/>
        <v>ok</v>
      </c>
      <c r="AC1367" s="6">
        <f t="shared" si="153"/>
        <v>24.812180277658626</v>
      </c>
    </row>
    <row r="1368" spans="1:29" x14ac:dyDescent="0.3">
      <c r="A1368" t="s">
        <v>22</v>
      </c>
      <c r="B1368">
        <v>2732</v>
      </c>
      <c r="C1368" t="s">
        <v>47</v>
      </c>
      <c r="D1368" t="s">
        <v>24</v>
      </c>
      <c r="E1368" t="s">
        <v>48</v>
      </c>
      <c r="F1368" t="s">
        <v>26</v>
      </c>
      <c r="G1368" t="s">
        <v>60</v>
      </c>
      <c r="H1368" s="1">
        <v>45136.685104166667</v>
      </c>
      <c r="I1368" s="1">
        <v>45138.685104166667</v>
      </c>
      <c r="J1368" s="1">
        <v>45136.726770833331</v>
      </c>
      <c r="K1368" s="2">
        <v>45136.694253217589</v>
      </c>
      <c r="L1368" t="s">
        <v>28</v>
      </c>
      <c r="M1368" s="2">
        <v>45138.454160694448</v>
      </c>
      <c r="N1368" t="s">
        <v>28</v>
      </c>
      <c r="O1368" s="2">
        <v>45143.007249282404</v>
      </c>
      <c r="P1368">
        <v>5</v>
      </c>
      <c r="Q1368">
        <v>5</v>
      </c>
      <c r="R1368" t="s">
        <v>29</v>
      </c>
      <c r="S1368" t="s">
        <v>30</v>
      </c>
      <c r="T1368" t="s">
        <v>31</v>
      </c>
      <c r="U1368">
        <v>53.094023999999997</v>
      </c>
      <c r="V1368">
        <v>-8.0196749999999994</v>
      </c>
      <c r="W1368" t="str">
        <f t="shared" si="148"/>
        <v>ok</v>
      </c>
      <c r="X1368" t="str">
        <f t="shared" si="154"/>
        <v>ok</v>
      </c>
      <c r="Y1368" t="str">
        <f t="shared" si="149"/>
        <v>ok</v>
      </c>
      <c r="Z1368" t="str">
        <f t="shared" si="150"/>
        <v>ok</v>
      </c>
      <c r="AA1368" s="4" t="str">
        <f t="shared" si="151"/>
        <v>ok</v>
      </c>
      <c r="AB1368" s="4" t="str">
        <f t="shared" si="152"/>
        <v>ok</v>
      </c>
      <c r="AC1368" s="6">
        <f t="shared" si="153"/>
        <v>42.457356666738633</v>
      </c>
    </row>
    <row r="1369" spans="1:29" x14ac:dyDescent="0.3">
      <c r="A1369" t="s">
        <v>22</v>
      </c>
      <c r="B1369">
        <v>2734</v>
      </c>
      <c r="C1369" t="s">
        <v>23</v>
      </c>
      <c r="D1369" t="s">
        <v>43</v>
      </c>
      <c r="E1369" t="s">
        <v>39</v>
      </c>
      <c r="F1369" t="s">
        <v>26</v>
      </c>
      <c r="G1369" t="s">
        <v>45</v>
      </c>
      <c r="H1369" s="1">
        <v>45136.505474537036</v>
      </c>
      <c r="I1369" s="1">
        <v>45137.505474537036</v>
      </c>
      <c r="J1369" s="1">
        <v>45136.506863425922</v>
      </c>
      <c r="K1369" s="2">
        <v>45136.505744270835</v>
      </c>
      <c r="L1369" t="s">
        <v>28</v>
      </c>
      <c r="M1369" s="2">
        <v>45136.815763321756</v>
      </c>
      <c r="N1369" t="s">
        <v>28</v>
      </c>
      <c r="O1369" s="2">
        <v>45138.380881018522</v>
      </c>
      <c r="P1369">
        <v>6</v>
      </c>
      <c r="Q1369">
        <v>4</v>
      </c>
      <c r="R1369" t="s">
        <v>39</v>
      </c>
      <c r="S1369" t="s">
        <v>30</v>
      </c>
      <c r="T1369" t="s">
        <v>65</v>
      </c>
      <c r="U1369">
        <v>46.149166399999999</v>
      </c>
      <c r="V1369">
        <v>14.9860106</v>
      </c>
      <c r="W1369" t="str">
        <f t="shared" si="148"/>
        <v>ok</v>
      </c>
      <c r="X1369" t="str">
        <f t="shared" si="154"/>
        <v>ok</v>
      </c>
      <c r="Y1369" t="str">
        <f t="shared" si="149"/>
        <v>ok</v>
      </c>
      <c r="Z1369" t="str">
        <f t="shared" si="150"/>
        <v>ok</v>
      </c>
      <c r="AA1369" s="4" t="str">
        <f t="shared" si="151"/>
        <v>ok</v>
      </c>
      <c r="AB1369" s="4" t="str">
        <f t="shared" si="152"/>
        <v>ok</v>
      </c>
      <c r="AC1369" s="6">
        <f t="shared" si="153"/>
        <v>7.4469308332772925</v>
      </c>
    </row>
    <row r="1370" spans="1:29" x14ac:dyDescent="0.3">
      <c r="A1370" t="s">
        <v>42</v>
      </c>
      <c r="B1370">
        <v>2746</v>
      </c>
      <c r="C1370" t="s">
        <v>33</v>
      </c>
      <c r="D1370" t="s">
        <v>43</v>
      </c>
      <c r="E1370" t="s">
        <v>39</v>
      </c>
      <c r="F1370" t="s">
        <v>26</v>
      </c>
      <c r="G1370" t="s">
        <v>45</v>
      </c>
      <c r="H1370" s="1">
        <v>45137.030138888891</v>
      </c>
      <c r="I1370" s="1">
        <v>45138.030138888891</v>
      </c>
      <c r="J1370" s="1">
        <v>45137.031527777777</v>
      </c>
      <c r="K1370" s="2">
        <v>45137.030763136572</v>
      </c>
      <c r="L1370" t="s">
        <v>28</v>
      </c>
      <c r="M1370" s="2">
        <v>45137.324615104168</v>
      </c>
      <c r="N1370" t="s">
        <v>28</v>
      </c>
      <c r="P1370">
        <v>5</v>
      </c>
      <c r="R1370" t="s">
        <v>39</v>
      </c>
      <c r="S1370" t="s">
        <v>30</v>
      </c>
      <c r="T1370" t="s">
        <v>66</v>
      </c>
      <c r="U1370">
        <v>48.864716000000001</v>
      </c>
      <c r="V1370">
        <v>2.3490139999999999</v>
      </c>
      <c r="W1370" t="str">
        <f t="shared" si="148"/>
        <v>ok</v>
      </c>
      <c r="X1370" t="str">
        <f t="shared" si="154"/>
        <v>ok</v>
      </c>
      <c r="Y1370" t="str">
        <f t="shared" si="149"/>
        <v>ok</v>
      </c>
      <c r="Z1370" t="str">
        <f t="shared" si="150"/>
        <v>ok</v>
      </c>
      <c r="AA1370" s="4" t="str">
        <f t="shared" si="151"/>
        <v>ok</v>
      </c>
      <c r="AB1370" s="4" t="str">
        <f t="shared" si="152"/>
        <v>ok</v>
      </c>
      <c r="AC1370" s="6">
        <f t="shared" si="153"/>
        <v>7.0674291666364297</v>
      </c>
    </row>
    <row r="1371" spans="1:29" x14ac:dyDescent="0.3">
      <c r="A1371" t="s">
        <v>22</v>
      </c>
      <c r="B1371">
        <v>2748</v>
      </c>
      <c r="C1371" t="s">
        <v>23</v>
      </c>
      <c r="D1371" t="s">
        <v>24</v>
      </c>
      <c r="E1371" t="s">
        <v>39</v>
      </c>
      <c r="F1371" t="s">
        <v>26</v>
      </c>
      <c r="G1371" t="s">
        <v>52</v>
      </c>
      <c r="H1371" s="1">
        <v>45137.902777777781</v>
      </c>
      <c r="I1371" s="1">
        <v>45139.902777777781</v>
      </c>
      <c r="J1371" s="1">
        <v>45137.944444444445</v>
      </c>
      <c r="K1371" s="2">
        <v>45137.910639953705</v>
      </c>
      <c r="L1371" t="s">
        <v>28</v>
      </c>
      <c r="M1371" s="2">
        <v>45137.958738981484</v>
      </c>
      <c r="N1371" t="s">
        <v>28</v>
      </c>
      <c r="O1371" s="2">
        <v>45140.391685358794</v>
      </c>
      <c r="P1371">
        <v>3</v>
      </c>
      <c r="Q1371">
        <v>1</v>
      </c>
      <c r="R1371" t="s">
        <v>50</v>
      </c>
      <c r="S1371" t="s">
        <v>30</v>
      </c>
      <c r="T1371" t="s">
        <v>65</v>
      </c>
      <c r="U1371">
        <v>46.149166399999999</v>
      </c>
      <c r="V1371">
        <v>14.9860106</v>
      </c>
      <c r="W1371" t="str">
        <f t="shared" si="148"/>
        <v>ok</v>
      </c>
      <c r="X1371" t="str">
        <f t="shared" si="154"/>
        <v>ok</v>
      </c>
      <c r="Y1371" t="str">
        <f t="shared" si="149"/>
        <v>ok</v>
      </c>
      <c r="Z1371" t="str">
        <f t="shared" si="150"/>
        <v>ok</v>
      </c>
      <c r="AA1371" s="4" t="str">
        <f t="shared" si="151"/>
        <v>ok</v>
      </c>
      <c r="AB1371" s="4" t="str">
        <f t="shared" si="152"/>
        <v>ok</v>
      </c>
      <c r="AC1371" s="6">
        <f t="shared" si="153"/>
        <v>1.3430688888765872</v>
      </c>
    </row>
    <row r="1372" spans="1:29" x14ac:dyDescent="0.3">
      <c r="A1372" t="s">
        <v>22</v>
      </c>
      <c r="B1372">
        <v>2749</v>
      </c>
      <c r="C1372" t="s">
        <v>23</v>
      </c>
      <c r="D1372" t="s">
        <v>24</v>
      </c>
      <c r="E1372" t="s">
        <v>59</v>
      </c>
      <c r="F1372" t="s">
        <v>26</v>
      </c>
      <c r="G1372" t="s">
        <v>27</v>
      </c>
      <c r="H1372" s="1">
        <v>45137.494756944441</v>
      </c>
      <c r="I1372" s="1">
        <v>45139.494756944441</v>
      </c>
      <c r="J1372" s="1">
        <v>45137.536423611113</v>
      </c>
      <c r="K1372" s="2">
        <v>45137.507000925929</v>
      </c>
      <c r="L1372" t="s">
        <v>28</v>
      </c>
      <c r="M1372" s="2">
        <v>45138.195526643518</v>
      </c>
      <c r="N1372" t="s">
        <v>28</v>
      </c>
      <c r="O1372" s="2">
        <v>45139.415457905096</v>
      </c>
      <c r="P1372">
        <v>1</v>
      </c>
      <c r="Q1372">
        <v>4</v>
      </c>
      <c r="R1372" t="s">
        <v>29</v>
      </c>
      <c r="S1372" t="s">
        <v>30</v>
      </c>
      <c r="T1372" t="s">
        <v>65</v>
      </c>
      <c r="U1372">
        <v>46.149166399999999</v>
      </c>
      <c r="V1372">
        <v>14.9860106</v>
      </c>
      <c r="W1372" t="str">
        <f t="shared" si="148"/>
        <v>ok</v>
      </c>
      <c r="X1372" t="str">
        <f t="shared" si="154"/>
        <v>ok</v>
      </c>
      <c r="Y1372" t="str">
        <f t="shared" si="149"/>
        <v>ok</v>
      </c>
      <c r="Z1372" t="str">
        <f t="shared" si="150"/>
        <v>ok</v>
      </c>
      <c r="AA1372" s="4" t="str">
        <f t="shared" si="151"/>
        <v>ok</v>
      </c>
      <c r="AB1372" s="4" t="str">
        <f t="shared" si="152"/>
        <v>ok</v>
      </c>
      <c r="AC1372" s="6">
        <f t="shared" si="153"/>
        <v>16.818472777842544</v>
      </c>
    </row>
    <row r="1373" spans="1:29" x14ac:dyDescent="0.3">
      <c r="A1373" t="s">
        <v>32</v>
      </c>
      <c r="B1373">
        <v>2750</v>
      </c>
      <c r="C1373" t="s">
        <v>47</v>
      </c>
      <c r="D1373" t="s">
        <v>24</v>
      </c>
      <c r="E1373" t="s">
        <v>35</v>
      </c>
      <c r="F1373" t="s">
        <v>36</v>
      </c>
      <c r="G1373" t="s">
        <v>54</v>
      </c>
      <c r="H1373" s="1">
        <v>45138.88958333333</v>
      </c>
      <c r="I1373" s="1">
        <v>45140.88958333333</v>
      </c>
      <c r="J1373" s="1">
        <v>45138.931250000001</v>
      </c>
      <c r="K1373" s="2">
        <v>45139.16089900463</v>
      </c>
      <c r="L1373" t="s">
        <v>38</v>
      </c>
      <c r="N1373" t="s">
        <v>38</v>
      </c>
      <c r="P1373">
        <v>7</v>
      </c>
      <c r="R1373" t="s">
        <v>39</v>
      </c>
      <c r="S1373" t="s">
        <v>40</v>
      </c>
      <c r="T1373" t="s">
        <v>65</v>
      </c>
      <c r="U1373">
        <v>46.149166399999999</v>
      </c>
      <c r="V1373">
        <v>14.9860106</v>
      </c>
      <c r="W1373" t="str">
        <f t="shared" si="148"/>
        <v>ok</v>
      </c>
      <c r="X1373" t="str">
        <f t="shared" si="154"/>
        <v>ok</v>
      </c>
      <c r="Y1373" t="str">
        <f t="shared" si="149"/>
        <v>ok</v>
      </c>
      <c r="Z1373" t="str">
        <f t="shared" si="150"/>
        <v>ok</v>
      </c>
      <c r="AA1373" s="4" t="str">
        <f t="shared" si="151"/>
        <v>ok</v>
      </c>
      <c r="AB1373" s="4" t="str">
        <f t="shared" si="152"/>
        <v>no resolution</v>
      </c>
      <c r="AC1373" s="6" t="str">
        <f t="shared" si="153"/>
        <v/>
      </c>
    </row>
    <row r="1374" spans="1:29" x14ac:dyDescent="0.3">
      <c r="A1374" t="s">
        <v>42</v>
      </c>
      <c r="B1374">
        <v>2751</v>
      </c>
      <c r="C1374" t="s">
        <v>47</v>
      </c>
      <c r="D1374" t="s">
        <v>43</v>
      </c>
      <c r="E1374" t="s">
        <v>48</v>
      </c>
      <c r="F1374" t="s">
        <v>26</v>
      </c>
      <c r="G1374" t="s">
        <v>60</v>
      </c>
      <c r="H1374" s="1">
        <v>45138.010289351849</v>
      </c>
      <c r="I1374" s="1">
        <v>45139.010289351849</v>
      </c>
      <c r="J1374" s="1">
        <v>45138.011678240742</v>
      </c>
      <c r="K1374" s="2">
        <v>45138.010358067128</v>
      </c>
      <c r="L1374" t="s">
        <v>28</v>
      </c>
      <c r="M1374" s="2">
        <v>45139.483469155093</v>
      </c>
      <c r="N1374" t="s">
        <v>38</v>
      </c>
      <c r="P1374">
        <v>6</v>
      </c>
      <c r="R1374" t="s">
        <v>29</v>
      </c>
      <c r="S1374" t="s">
        <v>30</v>
      </c>
      <c r="T1374" t="s">
        <v>58</v>
      </c>
      <c r="U1374">
        <v>49.8037633</v>
      </c>
      <c r="V1374">
        <v>15.4749126</v>
      </c>
      <c r="W1374" t="str">
        <f t="shared" si="148"/>
        <v>ok</v>
      </c>
      <c r="X1374" t="str">
        <f t="shared" si="154"/>
        <v>ok</v>
      </c>
      <c r="Y1374" t="str">
        <f t="shared" si="149"/>
        <v>ok</v>
      </c>
      <c r="Z1374" t="str">
        <f t="shared" si="150"/>
        <v>ok</v>
      </c>
      <c r="AA1374" s="4" t="str">
        <f t="shared" si="151"/>
        <v>ok</v>
      </c>
      <c r="AB1374" s="4" t="str">
        <f t="shared" si="152"/>
        <v>ok</v>
      </c>
      <c r="AC1374" s="6">
        <f t="shared" si="153"/>
        <v>35.356315277866088</v>
      </c>
    </row>
    <row r="1375" spans="1:29" x14ac:dyDescent="0.3">
      <c r="A1375" t="s">
        <v>22</v>
      </c>
      <c r="B1375">
        <v>2752</v>
      </c>
      <c r="C1375" t="s">
        <v>33</v>
      </c>
      <c r="D1375" t="s">
        <v>43</v>
      </c>
      <c r="E1375" t="s">
        <v>62</v>
      </c>
      <c r="F1375" t="s">
        <v>26</v>
      </c>
      <c r="G1375" t="s">
        <v>49</v>
      </c>
      <c r="H1375" s="1">
        <v>45138.407233796293</v>
      </c>
      <c r="I1375" s="1">
        <v>45139.407233796293</v>
      </c>
      <c r="J1375" s="1">
        <v>45138.408622685187</v>
      </c>
      <c r="K1375" s="2">
        <v>45138.408259270836</v>
      </c>
      <c r="L1375" t="s">
        <v>28</v>
      </c>
      <c r="M1375" s="2">
        <v>45139.215081562499</v>
      </c>
      <c r="N1375" t="s">
        <v>28</v>
      </c>
      <c r="O1375" s="2">
        <v>45139.904877013891</v>
      </c>
      <c r="P1375">
        <v>6</v>
      </c>
      <c r="Q1375">
        <v>4</v>
      </c>
      <c r="R1375" t="s">
        <v>55</v>
      </c>
      <c r="S1375" t="s">
        <v>30</v>
      </c>
      <c r="T1375" t="s">
        <v>65</v>
      </c>
      <c r="U1375">
        <v>46.149166399999999</v>
      </c>
      <c r="V1375">
        <v>14.9860106</v>
      </c>
      <c r="W1375" t="str">
        <f t="shared" si="148"/>
        <v>ok</v>
      </c>
      <c r="X1375" t="str">
        <f t="shared" si="154"/>
        <v>ok</v>
      </c>
      <c r="Y1375" t="str">
        <f t="shared" si="149"/>
        <v>ok</v>
      </c>
      <c r="Z1375" t="str">
        <f t="shared" si="150"/>
        <v>ok</v>
      </c>
      <c r="AA1375" s="4" t="str">
        <f t="shared" si="151"/>
        <v>ok</v>
      </c>
      <c r="AB1375" s="4" t="str">
        <f t="shared" si="152"/>
        <v>ok</v>
      </c>
      <c r="AC1375" s="6">
        <f t="shared" si="153"/>
        <v>19.388346388936043</v>
      </c>
    </row>
    <row r="1376" spans="1:29" x14ac:dyDescent="0.3">
      <c r="A1376" t="s">
        <v>42</v>
      </c>
      <c r="B1376">
        <v>2753</v>
      </c>
      <c r="C1376" t="s">
        <v>23</v>
      </c>
      <c r="D1376" t="s">
        <v>43</v>
      </c>
      <c r="E1376" t="s">
        <v>35</v>
      </c>
      <c r="F1376" t="s">
        <v>26</v>
      </c>
      <c r="G1376" t="s">
        <v>49</v>
      </c>
      <c r="H1376" s="1">
        <v>45138.826458333337</v>
      </c>
      <c r="I1376" s="1">
        <v>45139.826458333337</v>
      </c>
      <c r="J1376" s="1">
        <v>45138.827847222223</v>
      </c>
      <c r="K1376" s="2">
        <v>45138.829058819443</v>
      </c>
      <c r="L1376" t="s">
        <v>38</v>
      </c>
      <c r="M1376" s="2">
        <v>45139.463250300927</v>
      </c>
      <c r="N1376" t="s">
        <v>28</v>
      </c>
      <c r="P1376">
        <v>9</v>
      </c>
      <c r="R1376" t="s">
        <v>50</v>
      </c>
      <c r="S1376" t="s">
        <v>30</v>
      </c>
      <c r="T1376" t="s">
        <v>58</v>
      </c>
      <c r="U1376">
        <v>49.8037633</v>
      </c>
      <c r="V1376">
        <v>15.4749126</v>
      </c>
      <c r="W1376" t="str">
        <f t="shared" si="148"/>
        <v>ok</v>
      </c>
      <c r="X1376" t="str">
        <f t="shared" si="154"/>
        <v>ok</v>
      </c>
      <c r="Y1376" t="str">
        <f t="shared" si="149"/>
        <v>ok</v>
      </c>
      <c r="Z1376" t="str">
        <f t="shared" si="150"/>
        <v>ok</v>
      </c>
      <c r="AA1376" s="4" t="str">
        <f t="shared" si="151"/>
        <v>ok</v>
      </c>
      <c r="AB1376" s="4" t="str">
        <f t="shared" si="152"/>
        <v>ok</v>
      </c>
      <c r="AC1376" s="6">
        <f t="shared" si="153"/>
        <v>15.283007222169545</v>
      </c>
    </row>
    <row r="1377" spans="1:29" x14ac:dyDescent="0.3">
      <c r="A1377" t="s">
        <v>22</v>
      </c>
      <c r="B1377">
        <v>2754</v>
      </c>
      <c r="C1377" t="s">
        <v>47</v>
      </c>
      <c r="D1377" t="s">
        <v>24</v>
      </c>
      <c r="E1377" t="s">
        <v>35</v>
      </c>
      <c r="F1377" t="s">
        <v>36</v>
      </c>
      <c r="G1377" t="s">
        <v>64</v>
      </c>
      <c r="H1377" s="1">
        <v>45138.187037037038</v>
      </c>
      <c r="I1377" s="1">
        <v>45140.187037037038</v>
      </c>
      <c r="J1377" s="1">
        <v>45138.228703703702</v>
      </c>
      <c r="K1377" s="2">
        <v>45138.194324155091</v>
      </c>
      <c r="L1377" t="s">
        <v>28</v>
      </c>
      <c r="M1377" s="2">
        <v>45138.323712013887</v>
      </c>
      <c r="N1377" t="s">
        <v>28</v>
      </c>
      <c r="O1377" s="2">
        <v>45138.873179641203</v>
      </c>
      <c r="P1377">
        <v>6</v>
      </c>
      <c r="Q1377">
        <v>4</v>
      </c>
      <c r="R1377" t="s">
        <v>29</v>
      </c>
      <c r="S1377" t="s">
        <v>40</v>
      </c>
      <c r="T1377" t="s">
        <v>51</v>
      </c>
      <c r="U1377">
        <v>39.673369999999998</v>
      </c>
      <c r="V1377">
        <v>-4.7677259999999997</v>
      </c>
      <c r="W1377" t="str">
        <f t="shared" si="148"/>
        <v>ok</v>
      </c>
      <c r="X1377" t="str">
        <f t="shared" si="154"/>
        <v>ok</v>
      </c>
      <c r="Y1377" t="str">
        <f t="shared" si="149"/>
        <v>ok</v>
      </c>
      <c r="Z1377" t="str">
        <f t="shared" si="150"/>
        <v>ok</v>
      </c>
      <c r="AA1377" s="4" t="str">
        <f t="shared" si="151"/>
        <v>ok</v>
      </c>
      <c r="AB1377" s="4" t="str">
        <f t="shared" si="152"/>
        <v>ok</v>
      </c>
      <c r="AC1377" s="6">
        <f t="shared" si="153"/>
        <v>3.2801994443871081</v>
      </c>
    </row>
    <row r="1378" spans="1:29" x14ac:dyDescent="0.3">
      <c r="A1378" t="s">
        <v>22</v>
      </c>
      <c r="B1378">
        <v>2755</v>
      </c>
      <c r="C1378" t="s">
        <v>23</v>
      </c>
      <c r="D1378" t="s">
        <v>24</v>
      </c>
      <c r="E1378" t="s">
        <v>44</v>
      </c>
      <c r="F1378" t="s">
        <v>26</v>
      </c>
      <c r="G1378" t="s">
        <v>52</v>
      </c>
      <c r="H1378" s="1">
        <v>45138.818726851852</v>
      </c>
      <c r="I1378" s="1">
        <v>45140.818726851852</v>
      </c>
      <c r="J1378" s="1">
        <v>45138.860393518517</v>
      </c>
      <c r="K1378" s="2">
        <v>45138.848151712962</v>
      </c>
      <c r="L1378" t="s">
        <v>28</v>
      </c>
      <c r="M1378" s="2">
        <v>45139.753596793984</v>
      </c>
      <c r="N1378" t="s">
        <v>28</v>
      </c>
      <c r="O1378" s="2">
        <v>45145.365854432872</v>
      </c>
      <c r="P1378">
        <v>1</v>
      </c>
      <c r="Q1378">
        <v>4</v>
      </c>
      <c r="R1378" t="s">
        <v>50</v>
      </c>
      <c r="S1378" t="s">
        <v>30</v>
      </c>
      <c r="T1378" t="s">
        <v>46</v>
      </c>
      <c r="U1378">
        <v>47.696471899999999</v>
      </c>
      <c r="V1378">
        <v>13.3457347</v>
      </c>
      <c r="W1378" t="str">
        <f t="shared" si="148"/>
        <v>ok</v>
      </c>
      <c r="X1378" t="str">
        <f t="shared" si="154"/>
        <v>ok</v>
      </c>
      <c r="Y1378" t="str">
        <f t="shared" si="149"/>
        <v>ok</v>
      </c>
      <c r="Z1378" t="str">
        <f t="shared" si="150"/>
        <v>ok</v>
      </c>
      <c r="AA1378" s="4" t="str">
        <f t="shared" si="151"/>
        <v>ok</v>
      </c>
      <c r="AB1378" s="4" t="str">
        <f t="shared" si="152"/>
        <v>ok</v>
      </c>
      <c r="AC1378" s="6">
        <f t="shared" si="153"/>
        <v>22.436878611159045</v>
      </c>
    </row>
    <row r="1379" spans="1:29" x14ac:dyDescent="0.3">
      <c r="A1379" t="s">
        <v>22</v>
      </c>
      <c r="B1379">
        <v>2756</v>
      </c>
      <c r="C1379" t="s">
        <v>33</v>
      </c>
      <c r="D1379" t="s">
        <v>24</v>
      </c>
      <c r="E1379" t="s">
        <v>35</v>
      </c>
      <c r="F1379" t="s">
        <v>26</v>
      </c>
      <c r="G1379" t="s">
        <v>60</v>
      </c>
      <c r="H1379" s="1">
        <v>45138.662719907406</v>
      </c>
      <c r="I1379" s="1">
        <v>45140.662719907406</v>
      </c>
      <c r="J1379" s="1">
        <v>45138.704386574071</v>
      </c>
      <c r="K1379" s="2">
        <v>45138.701378773148</v>
      </c>
      <c r="L1379" t="s">
        <v>28</v>
      </c>
      <c r="M1379" s="2">
        <v>45140.234630567131</v>
      </c>
      <c r="N1379" t="s">
        <v>28</v>
      </c>
      <c r="O1379" s="2">
        <v>45144.389807384257</v>
      </c>
      <c r="P1379">
        <v>3</v>
      </c>
      <c r="Q1379">
        <v>3</v>
      </c>
      <c r="R1379" t="s">
        <v>55</v>
      </c>
      <c r="S1379" t="s">
        <v>30</v>
      </c>
      <c r="T1379" t="s">
        <v>53</v>
      </c>
      <c r="U1379">
        <v>39.368279000000001</v>
      </c>
      <c r="V1379">
        <v>21.863140999999999</v>
      </c>
      <c r="W1379" t="str">
        <f t="shared" si="148"/>
        <v>ok</v>
      </c>
      <c r="X1379" t="str">
        <f t="shared" si="154"/>
        <v>ok</v>
      </c>
      <c r="Y1379" t="str">
        <f t="shared" si="149"/>
        <v>ok</v>
      </c>
      <c r="Z1379" t="str">
        <f t="shared" si="150"/>
        <v>ok</v>
      </c>
      <c r="AA1379" s="4" t="str">
        <f t="shared" si="151"/>
        <v>ok</v>
      </c>
      <c r="AB1379" s="4" t="str">
        <f t="shared" si="152"/>
        <v>ok</v>
      </c>
      <c r="AC1379" s="6">
        <f t="shared" si="153"/>
        <v>37.72585583338514</v>
      </c>
    </row>
    <row r="1380" spans="1:29" x14ac:dyDescent="0.3">
      <c r="A1380" t="s">
        <v>22</v>
      </c>
      <c r="B1380">
        <v>2757</v>
      </c>
      <c r="C1380" t="s">
        <v>47</v>
      </c>
      <c r="D1380" t="s">
        <v>43</v>
      </c>
      <c r="E1380" t="s">
        <v>39</v>
      </c>
      <c r="F1380" t="s">
        <v>26</v>
      </c>
      <c r="G1380" t="s">
        <v>45</v>
      </c>
      <c r="H1380" s="1">
        <v>45138.630057870374</v>
      </c>
      <c r="I1380" s="1">
        <v>45139.630057870374</v>
      </c>
      <c r="J1380" s="1">
        <v>45138.63144675926</v>
      </c>
      <c r="K1380" s="2">
        <v>45138.630247256944</v>
      </c>
      <c r="L1380" t="s">
        <v>28</v>
      </c>
      <c r="M1380" s="2">
        <v>45139.02222392361</v>
      </c>
      <c r="N1380" t="s">
        <v>28</v>
      </c>
      <c r="O1380" s="2">
        <v>45142.288688125001</v>
      </c>
      <c r="P1380">
        <v>2</v>
      </c>
      <c r="Q1380">
        <v>2</v>
      </c>
      <c r="R1380" t="s">
        <v>29</v>
      </c>
      <c r="S1380" t="s">
        <v>30</v>
      </c>
      <c r="T1380" t="s">
        <v>57</v>
      </c>
      <c r="U1380">
        <v>51.165691000000002</v>
      </c>
      <c r="V1380">
        <v>10.451525999999999</v>
      </c>
      <c r="W1380" t="str">
        <f t="shared" si="148"/>
        <v>ok</v>
      </c>
      <c r="X1380" t="str">
        <f t="shared" si="154"/>
        <v>ok</v>
      </c>
      <c r="Y1380" t="str">
        <f t="shared" si="149"/>
        <v>ok</v>
      </c>
      <c r="Z1380" t="str">
        <f t="shared" si="150"/>
        <v>ok</v>
      </c>
      <c r="AA1380" s="4" t="str">
        <f t="shared" si="151"/>
        <v>ok</v>
      </c>
      <c r="AB1380" s="4" t="str">
        <f t="shared" si="152"/>
        <v>ok</v>
      </c>
      <c r="AC1380" s="6">
        <f t="shared" si="153"/>
        <v>9.4119852776639163</v>
      </c>
    </row>
    <row r="1381" spans="1:29" x14ac:dyDescent="0.3">
      <c r="A1381" t="s">
        <v>22</v>
      </c>
      <c r="B1381">
        <v>2758</v>
      </c>
      <c r="C1381" t="s">
        <v>23</v>
      </c>
      <c r="D1381" t="s">
        <v>43</v>
      </c>
      <c r="E1381" t="s">
        <v>48</v>
      </c>
      <c r="F1381" t="s">
        <v>26</v>
      </c>
      <c r="G1381" t="s">
        <v>27</v>
      </c>
      <c r="H1381" s="1">
        <v>45138.804189814815</v>
      </c>
      <c r="I1381" s="1">
        <v>45139.804189814815</v>
      </c>
      <c r="J1381" s="1">
        <v>45138.805578703701</v>
      </c>
      <c r="K1381" s="2">
        <v>45138.80528119213</v>
      </c>
      <c r="L1381" t="s">
        <v>28</v>
      </c>
      <c r="M1381" s="2">
        <v>45139.752402280094</v>
      </c>
      <c r="N1381" t="s">
        <v>28</v>
      </c>
      <c r="O1381" s="2">
        <v>45140.116711226852</v>
      </c>
      <c r="P1381">
        <v>2</v>
      </c>
      <c r="Q1381">
        <v>2</v>
      </c>
      <c r="R1381" t="s">
        <v>50</v>
      </c>
      <c r="S1381" t="s">
        <v>30</v>
      </c>
      <c r="T1381" t="s">
        <v>56</v>
      </c>
      <c r="U1381">
        <v>52.536273000000001</v>
      </c>
      <c r="V1381">
        <v>19.050639</v>
      </c>
      <c r="W1381" t="str">
        <f t="shared" si="148"/>
        <v>ok</v>
      </c>
      <c r="X1381" t="str">
        <f t="shared" si="154"/>
        <v>ok</v>
      </c>
      <c r="Y1381" t="str">
        <f t="shared" si="149"/>
        <v>ok</v>
      </c>
      <c r="Z1381" t="str">
        <f t="shared" si="150"/>
        <v>ok</v>
      </c>
      <c r="AA1381" s="4" t="str">
        <f t="shared" si="151"/>
        <v>ok</v>
      </c>
      <c r="AB1381" s="4" t="str">
        <f t="shared" si="152"/>
        <v>ok</v>
      </c>
      <c r="AC1381" s="6">
        <f t="shared" si="153"/>
        <v>22.757099166687112</v>
      </c>
    </row>
    <row r="1382" spans="1:29" x14ac:dyDescent="0.3">
      <c r="A1382" t="s">
        <v>42</v>
      </c>
      <c r="B1382">
        <v>2759</v>
      </c>
      <c r="C1382" t="s">
        <v>23</v>
      </c>
      <c r="D1382" t="s">
        <v>24</v>
      </c>
      <c r="E1382" t="s">
        <v>59</v>
      </c>
      <c r="F1382" t="s">
        <v>26</v>
      </c>
      <c r="G1382" t="s">
        <v>60</v>
      </c>
      <c r="H1382" s="1">
        <v>45138.790891203702</v>
      </c>
      <c r="I1382" s="1">
        <v>45140.790891203702</v>
      </c>
      <c r="J1382" s="1">
        <v>45138.832557870373</v>
      </c>
      <c r="K1382" s="2">
        <v>45138.80445048611</v>
      </c>
      <c r="L1382" t="s">
        <v>28</v>
      </c>
      <c r="M1382" s="2">
        <v>45139.542889131946</v>
      </c>
      <c r="N1382" t="s">
        <v>28</v>
      </c>
      <c r="P1382">
        <v>8</v>
      </c>
      <c r="R1382" t="s">
        <v>50</v>
      </c>
      <c r="S1382" t="s">
        <v>30</v>
      </c>
      <c r="T1382" t="s">
        <v>63</v>
      </c>
      <c r="U1382">
        <v>55.378051999999997</v>
      </c>
      <c r="V1382">
        <v>-3.4359730000000002</v>
      </c>
      <c r="W1382" t="str">
        <f t="shared" si="148"/>
        <v>ok</v>
      </c>
      <c r="X1382" t="str">
        <f t="shared" si="154"/>
        <v>ok</v>
      </c>
      <c r="Y1382" t="str">
        <f t="shared" si="149"/>
        <v>ok</v>
      </c>
      <c r="Z1382" t="str">
        <f t="shared" si="150"/>
        <v>ok</v>
      </c>
      <c r="AA1382" s="4" t="str">
        <f t="shared" si="151"/>
        <v>ok</v>
      </c>
      <c r="AB1382" s="4" t="str">
        <f t="shared" si="152"/>
        <v>ok</v>
      </c>
      <c r="AC1382" s="6">
        <f t="shared" si="153"/>
        <v>18.047950277861673</v>
      </c>
    </row>
    <row r="1383" spans="1:29" x14ac:dyDescent="0.3">
      <c r="A1383" t="s">
        <v>22</v>
      </c>
      <c r="B1383">
        <v>2760</v>
      </c>
      <c r="C1383" t="s">
        <v>47</v>
      </c>
      <c r="D1383" t="s">
        <v>43</v>
      </c>
      <c r="E1383" t="s">
        <v>48</v>
      </c>
      <c r="F1383" t="s">
        <v>26</v>
      </c>
      <c r="G1383" t="s">
        <v>52</v>
      </c>
      <c r="H1383" s="1">
        <v>45138.372627314813</v>
      </c>
      <c r="I1383" s="1">
        <v>45139.372627314813</v>
      </c>
      <c r="J1383" s="1">
        <v>45138.374016203707</v>
      </c>
      <c r="K1383" s="2">
        <v>45138.373326550929</v>
      </c>
      <c r="L1383" t="s">
        <v>28</v>
      </c>
      <c r="M1383" s="2">
        <v>45140.163338530096</v>
      </c>
      <c r="N1383" t="s">
        <v>38</v>
      </c>
      <c r="O1383" s="2">
        <v>45140.583652881942</v>
      </c>
      <c r="P1383">
        <v>6</v>
      </c>
      <c r="Q1383">
        <v>5</v>
      </c>
      <c r="R1383" t="s">
        <v>50</v>
      </c>
      <c r="S1383" t="s">
        <v>30</v>
      </c>
      <c r="T1383" t="s">
        <v>56</v>
      </c>
      <c r="U1383">
        <v>52.536273000000001</v>
      </c>
      <c r="V1383">
        <v>19.050639</v>
      </c>
      <c r="W1383" t="str">
        <f t="shared" si="148"/>
        <v>ok</v>
      </c>
      <c r="X1383" t="str">
        <f t="shared" si="154"/>
        <v>ok</v>
      </c>
      <c r="Y1383" t="str">
        <f t="shared" si="149"/>
        <v>ok</v>
      </c>
      <c r="Z1383" t="str">
        <f t="shared" si="150"/>
        <v>ok</v>
      </c>
      <c r="AA1383" s="4" t="str">
        <f t="shared" si="151"/>
        <v>ok</v>
      </c>
      <c r="AB1383" s="4" t="str">
        <f t="shared" si="152"/>
        <v>ok</v>
      </c>
      <c r="AC1383" s="6">
        <f t="shared" si="153"/>
        <v>42.977069166779984</v>
      </c>
    </row>
    <row r="1384" spans="1:29" x14ac:dyDescent="0.3">
      <c r="A1384" t="s">
        <v>22</v>
      </c>
      <c r="B1384">
        <v>2761</v>
      </c>
      <c r="C1384" t="s">
        <v>23</v>
      </c>
      <c r="D1384" t="s">
        <v>24</v>
      </c>
      <c r="E1384" t="s">
        <v>44</v>
      </c>
      <c r="F1384" t="s">
        <v>26</v>
      </c>
      <c r="G1384" t="s">
        <v>49</v>
      </c>
      <c r="H1384" s="1">
        <v>45138.40525462963</v>
      </c>
      <c r="I1384" s="1">
        <v>45140.40525462963</v>
      </c>
      <c r="J1384" s="1">
        <v>45138.446921296294</v>
      </c>
      <c r="K1384" s="2">
        <v>45138.407691504632</v>
      </c>
      <c r="L1384" t="s">
        <v>28</v>
      </c>
      <c r="M1384" s="2">
        <v>45139.499412303237</v>
      </c>
      <c r="N1384" t="s">
        <v>28</v>
      </c>
      <c r="O1384" s="2">
        <v>45140.44135789352</v>
      </c>
      <c r="P1384">
        <v>8</v>
      </c>
      <c r="Q1384">
        <v>4</v>
      </c>
      <c r="R1384" t="s">
        <v>39</v>
      </c>
      <c r="S1384" t="s">
        <v>30</v>
      </c>
      <c r="T1384" t="s">
        <v>61</v>
      </c>
      <c r="U1384">
        <v>42.724992499999999</v>
      </c>
      <c r="V1384">
        <v>25.483303899999999</v>
      </c>
      <c r="W1384" t="str">
        <f t="shared" si="148"/>
        <v>ok</v>
      </c>
      <c r="X1384" t="str">
        <f t="shared" si="154"/>
        <v>ok</v>
      </c>
      <c r="Y1384" t="str">
        <f t="shared" si="149"/>
        <v>ok</v>
      </c>
      <c r="Z1384" t="str">
        <f t="shared" si="150"/>
        <v>ok</v>
      </c>
      <c r="AA1384" s="4" t="str">
        <f t="shared" si="151"/>
        <v>ok</v>
      </c>
      <c r="AB1384" s="4" t="str">
        <f t="shared" si="152"/>
        <v>ok</v>
      </c>
      <c r="AC1384" s="6">
        <f t="shared" si="153"/>
        <v>26.259784166584723</v>
      </c>
    </row>
    <row r="1385" spans="1:29" x14ac:dyDescent="0.3">
      <c r="A1385" t="s">
        <v>22</v>
      </c>
      <c r="B1385">
        <v>2762</v>
      </c>
      <c r="C1385" t="s">
        <v>23</v>
      </c>
      <c r="D1385" t="s">
        <v>43</v>
      </c>
      <c r="E1385" t="s">
        <v>25</v>
      </c>
      <c r="F1385" t="s">
        <v>26</v>
      </c>
      <c r="G1385" t="s">
        <v>60</v>
      </c>
      <c r="H1385" s="1">
        <v>45139.190937500003</v>
      </c>
      <c r="I1385" s="1">
        <v>45140.190937500003</v>
      </c>
      <c r="J1385" s="1">
        <v>45139.192326388889</v>
      </c>
      <c r="K1385" s="2">
        <v>45139.191821562497</v>
      </c>
      <c r="L1385" t="s">
        <v>28</v>
      </c>
      <c r="M1385" s="2">
        <v>45140.067190046298</v>
      </c>
      <c r="N1385" t="s">
        <v>28</v>
      </c>
      <c r="O1385" s="2">
        <v>45145.232627731479</v>
      </c>
      <c r="P1385">
        <v>2</v>
      </c>
      <c r="Q1385">
        <v>5</v>
      </c>
      <c r="R1385" t="s">
        <v>50</v>
      </c>
      <c r="S1385" t="s">
        <v>30</v>
      </c>
      <c r="T1385" t="s">
        <v>63</v>
      </c>
      <c r="U1385">
        <v>55.378051999999997</v>
      </c>
      <c r="V1385">
        <v>-3.4359730000000002</v>
      </c>
      <c r="W1385" t="str">
        <f t="shared" si="148"/>
        <v>ok</v>
      </c>
      <c r="X1385" t="str">
        <f t="shared" si="154"/>
        <v>ok</v>
      </c>
      <c r="Y1385" t="str">
        <f t="shared" si="149"/>
        <v>ok</v>
      </c>
      <c r="Z1385" t="str">
        <f t="shared" si="150"/>
        <v>ok</v>
      </c>
      <c r="AA1385" s="4" t="str">
        <f t="shared" si="151"/>
        <v>ok</v>
      </c>
      <c r="AB1385" s="4" t="str">
        <f t="shared" si="152"/>
        <v>ok</v>
      </c>
      <c r="AC1385" s="6">
        <f t="shared" si="153"/>
        <v>21.03006111108698</v>
      </c>
    </row>
    <row r="1386" spans="1:29" x14ac:dyDescent="0.3">
      <c r="A1386" t="s">
        <v>42</v>
      </c>
      <c r="B1386">
        <v>2763</v>
      </c>
      <c r="C1386" t="s">
        <v>47</v>
      </c>
      <c r="D1386" t="s">
        <v>43</v>
      </c>
      <c r="E1386" t="s">
        <v>25</v>
      </c>
      <c r="F1386" t="s">
        <v>36</v>
      </c>
      <c r="G1386" t="s">
        <v>64</v>
      </c>
      <c r="H1386" s="1">
        <v>45139.645277777781</v>
      </c>
      <c r="I1386" s="1">
        <v>45140.645277777781</v>
      </c>
      <c r="J1386" s="1">
        <v>45139.646666666667</v>
      </c>
      <c r="K1386" s="2">
        <v>45139.646485462959</v>
      </c>
      <c r="L1386" t="s">
        <v>28</v>
      </c>
      <c r="M1386" s="2">
        <v>45139.893026400459</v>
      </c>
      <c r="N1386" t="s">
        <v>28</v>
      </c>
      <c r="P1386">
        <v>7</v>
      </c>
      <c r="R1386" t="s">
        <v>39</v>
      </c>
      <c r="S1386" t="s">
        <v>40</v>
      </c>
      <c r="T1386" t="s">
        <v>56</v>
      </c>
      <c r="U1386">
        <v>52.536273000000001</v>
      </c>
      <c r="V1386">
        <v>19.050639</v>
      </c>
      <c r="W1386" t="str">
        <f t="shared" si="148"/>
        <v>ok</v>
      </c>
      <c r="X1386" t="str">
        <f t="shared" si="154"/>
        <v>ok</v>
      </c>
      <c r="Y1386" t="str">
        <f t="shared" si="149"/>
        <v>ok</v>
      </c>
      <c r="Z1386" t="str">
        <f t="shared" si="150"/>
        <v>ok</v>
      </c>
      <c r="AA1386" s="4" t="str">
        <f t="shared" si="151"/>
        <v>ok</v>
      </c>
      <c r="AB1386" s="4" t="str">
        <f t="shared" si="152"/>
        <v>ok</v>
      </c>
      <c r="AC1386" s="6">
        <f t="shared" si="153"/>
        <v>5.9459669442730956</v>
      </c>
    </row>
    <row r="1387" spans="1:29" x14ac:dyDescent="0.3">
      <c r="A1387" t="s">
        <v>42</v>
      </c>
      <c r="B1387">
        <v>2764</v>
      </c>
      <c r="C1387" t="s">
        <v>23</v>
      </c>
      <c r="D1387" t="s">
        <v>24</v>
      </c>
      <c r="E1387" t="s">
        <v>35</v>
      </c>
      <c r="F1387" t="s">
        <v>26</v>
      </c>
      <c r="G1387" t="s">
        <v>60</v>
      </c>
      <c r="H1387" s="1">
        <v>45139.834606481483</v>
      </c>
      <c r="I1387" s="1">
        <v>45141.834606481483</v>
      </c>
      <c r="J1387" s="1">
        <v>45139.876273148147</v>
      </c>
      <c r="K1387" s="2">
        <v>45139.864857106484</v>
      </c>
      <c r="L1387" t="s">
        <v>28</v>
      </c>
      <c r="M1387" s="2">
        <v>45140.006464363425</v>
      </c>
      <c r="N1387" t="s">
        <v>28</v>
      </c>
      <c r="P1387">
        <v>1</v>
      </c>
      <c r="R1387" t="s">
        <v>39</v>
      </c>
      <c r="S1387" t="s">
        <v>30</v>
      </c>
      <c r="T1387" t="s">
        <v>66</v>
      </c>
      <c r="U1387">
        <v>48.864716000000001</v>
      </c>
      <c r="V1387">
        <v>2.3490139999999999</v>
      </c>
      <c r="W1387" t="str">
        <f t="shared" si="148"/>
        <v>ok</v>
      </c>
      <c r="X1387" t="str">
        <f t="shared" si="154"/>
        <v>ok</v>
      </c>
      <c r="Y1387" t="str">
        <f t="shared" si="149"/>
        <v>ok</v>
      </c>
      <c r="Z1387" t="str">
        <f t="shared" si="150"/>
        <v>ok</v>
      </c>
      <c r="AA1387" s="4" t="str">
        <f t="shared" si="151"/>
        <v>ok</v>
      </c>
      <c r="AB1387" s="4" t="str">
        <f t="shared" si="152"/>
        <v>ok</v>
      </c>
      <c r="AC1387" s="6">
        <f t="shared" si="153"/>
        <v>4.1245891666039824</v>
      </c>
    </row>
    <row r="1388" spans="1:29" x14ac:dyDescent="0.3">
      <c r="A1388" t="s">
        <v>32</v>
      </c>
      <c r="B1388">
        <v>2765</v>
      </c>
      <c r="C1388" t="s">
        <v>33</v>
      </c>
      <c r="D1388" t="s">
        <v>24</v>
      </c>
      <c r="E1388" t="s">
        <v>35</v>
      </c>
      <c r="F1388" t="s">
        <v>26</v>
      </c>
      <c r="G1388" t="s">
        <v>60</v>
      </c>
      <c r="H1388" s="1">
        <v>45139.497002314813</v>
      </c>
      <c r="I1388" s="1">
        <v>45141.497002314813</v>
      </c>
      <c r="J1388" s="1">
        <v>45139.538668981484</v>
      </c>
      <c r="K1388" s="2">
        <v>45139.499431331016</v>
      </c>
      <c r="L1388" t="s">
        <v>28</v>
      </c>
      <c r="N1388" t="s">
        <v>38</v>
      </c>
      <c r="P1388">
        <v>1</v>
      </c>
      <c r="R1388" t="s">
        <v>39</v>
      </c>
      <c r="S1388" t="s">
        <v>30</v>
      </c>
      <c r="T1388" t="s">
        <v>41</v>
      </c>
      <c r="U1388">
        <v>43.036776000000003</v>
      </c>
      <c r="V1388">
        <v>12.678565000000001</v>
      </c>
      <c r="W1388" t="str">
        <f t="shared" si="148"/>
        <v>ok</v>
      </c>
      <c r="X1388" t="str">
        <f t="shared" si="154"/>
        <v>ok</v>
      </c>
      <c r="Y1388" t="str">
        <f t="shared" si="149"/>
        <v>ok</v>
      </c>
      <c r="Z1388" t="str">
        <f t="shared" si="150"/>
        <v>ok</v>
      </c>
      <c r="AA1388" s="4" t="str">
        <f t="shared" si="151"/>
        <v>ok</v>
      </c>
      <c r="AB1388" s="4" t="str">
        <f t="shared" si="152"/>
        <v>no resolution</v>
      </c>
      <c r="AC1388" s="6" t="str">
        <f t="shared" si="153"/>
        <v/>
      </c>
    </row>
    <row r="1389" spans="1:29" x14ac:dyDescent="0.3">
      <c r="A1389" t="s">
        <v>42</v>
      </c>
      <c r="B1389">
        <v>2766</v>
      </c>
      <c r="C1389" t="s">
        <v>23</v>
      </c>
      <c r="D1389" t="s">
        <v>24</v>
      </c>
      <c r="E1389" t="s">
        <v>48</v>
      </c>
      <c r="F1389" t="s">
        <v>26</v>
      </c>
      <c r="G1389" t="s">
        <v>45</v>
      </c>
      <c r="H1389" s="1">
        <v>45139.140185185184</v>
      </c>
      <c r="I1389" s="1">
        <v>45141.140185185184</v>
      </c>
      <c r="J1389" s="1">
        <v>45139.181851851848</v>
      </c>
      <c r="K1389" s="2">
        <v>45139.172717476853</v>
      </c>
      <c r="L1389" t="s">
        <v>28</v>
      </c>
      <c r="M1389" s="2">
        <v>45139.18590921296</v>
      </c>
      <c r="N1389" t="s">
        <v>28</v>
      </c>
      <c r="P1389">
        <v>4</v>
      </c>
      <c r="R1389" t="s">
        <v>29</v>
      </c>
      <c r="S1389" t="s">
        <v>30</v>
      </c>
      <c r="T1389" t="s">
        <v>53</v>
      </c>
      <c r="U1389">
        <v>39.368279000000001</v>
      </c>
      <c r="V1389">
        <v>21.863140999999999</v>
      </c>
      <c r="W1389" t="str">
        <f t="shared" si="148"/>
        <v>ok</v>
      </c>
      <c r="X1389" t="str">
        <f t="shared" si="154"/>
        <v>ok</v>
      </c>
      <c r="Y1389" t="str">
        <f t="shared" si="149"/>
        <v>ok</v>
      </c>
      <c r="Z1389" t="str">
        <f t="shared" si="150"/>
        <v>ok</v>
      </c>
      <c r="AA1389" s="4" t="str">
        <f t="shared" si="151"/>
        <v>ok</v>
      </c>
      <c r="AB1389" s="4" t="str">
        <f t="shared" si="152"/>
        <v>ok</v>
      </c>
      <c r="AC1389" s="6">
        <f t="shared" si="153"/>
        <v>1.0973766666138545</v>
      </c>
    </row>
    <row r="1390" spans="1:29" x14ac:dyDescent="0.3">
      <c r="A1390" t="s">
        <v>22</v>
      </c>
      <c r="B1390">
        <v>2768</v>
      </c>
      <c r="C1390" t="s">
        <v>47</v>
      </c>
      <c r="D1390" t="s">
        <v>24</v>
      </c>
      <c r="E1390" t="s">
        <v>25</v>
      </c>
      <c r="F1390" t="s">
        <v>36</v>
      </c>
      <c r="G1390" t="s">
        <v>37</v>
      </c>
      <c r="H1390" s="1">
        <v>45139.197847222225</v>
      </c>
      <c r="I1390" s="1">
        <v>45141.197847222225</v>
      </c>
      <c r="J1390" s="1">
        <v>45139.23951388889</v>
      </c>
      <c r="K1390" s="2">
        <v>45139.232441666667</v>
      </c>
      <c r="L1390" t="s">
        <v>28</v>
      </c>
      <c r="M1390" s="2">
        <v>45144.823115081017</v>
      </c>
      <c r="N1390" t="s">
        <v>38</v>
      </c>
      <c r="O1390" s="2">
        <v>45146.757306412037</v>
      </c>
      <c r="P1390">
        <v>8</v>
      </c>
      <c r="Q1390">
        <v>3</v>
      </c>
      <c r="R1390" t="s">
        <v>29</v>
      </c>
      <c r="S1390" t="s">
        <v>40</v>
      </c>
      <c r="T1390" t="s">
        <v>46</v>
      </c>
      <c r="U1390">
        <v>47.696471899999999</v>
      </c>
      <c r="V1390">
        <v>13.3457347</v>
      </c>
      <c r="W1390" t="str">
        <f t="shared" si="148"/>
        <v>ok</v>
      </c>
      <c r="X1390" t="str">
        <f t="shared" si="154"/>
        <v>ok</v>
      </c>
      <c r="Y1390" t="str">
        <f t="shared" si="149"/>
        <v>ok</v>
      </c>
      <c r="Z1390" t="str">
        <f t="shared" si="150"/>
        <v>ok</v>
      </c>
      <c r="AA1390" s="4" t="str">
        <f t="shared" si="151"/>
        <v>ok</v>
      </c>
      <c r="AB1390" s="4" t="str">
        <f t="shared" si="152"/>
        <v>ok</v>
      </c>
      <c r="AC1390" s="6">
        <f t="shared" si="153"/>
        <v>135.00642861099914</v>
      </c>
    </row>
    <row r="1391" spans="1:29" x14ac:dyDescent="0.3">
      <c r="A1391" t="s">
        <v>22</v>
      </c>
      <c r="B1391">
        <v>2769</v>
      </c>
      <c r="C1391" t="s">
        <v>47</v>
      </c>
      <c r="D1391" t="s">
        <v>24</v>
      </c>
      <c r="E1391" t="s">
        <v>59</v>
      </c>
      <c r="F1391" t="s">
        <v>36</v>
      </c>
      <c r="G1391" t="s">
        <v>37</v>
      </c>
      <c r="H1391" s="1">
        <v>45140.320208333331</v>
      </c>
      <c r="I1391" s="1">
        <v>45142.320208333331</v>
      </c>
      <c r="J1391" s="1">
        <v>45140.361875000002</v>
      </c>
      <c r="K1391" s="2">
        <v>45140.324145138889</v>
      </c>
      <c r="L1391" t="s">
        <v>28</v>
      </c>
      <c r="M1391" s="2">
        <v>45140.517496076391</v>
      </c>
      <c r="N1391" t="s">
        <v>28</v>
      </c>
      <c r="O1391" s="2">
        <v>45143.654409849536</v>
      </c>
      <c r="P1391">
        <v>2</v>
      </c>
      <c r="Q1391">
        <v>3</v>
      </c>
      <c r="R1391" t="s">
        <v>29</v>
      </c>
      <c r="S1391" t="s">
        <v>40</v>
      </c>
      <c r="T1391" t="s">
        <v>56</v>
      </c>
      <c r="U1391">
        <v>52.536273000000001</v>
      </c>
      <c r="V1391">
        <v>19.050639</v>
      </c>
      <c r="W1391" t="str">
        <f t="shared" si="148"/>
        <v>ok</v>
      </c>
      <c r="X1391" t="str">
        <f t="shared" si="154"/>
        <v>ok</v>
      </c>
      <c r="Y1391" t="str">
        <f t="shared" si="149"/>
        <v>ok</v>
      </c>
      <c r="Z1391" t="str">
        <f t="shared" si="150"/>
        <v>ok</v>
      </c>
      <c r="AA1391" s="4" t="str">
        <f t="shared" si="151"/>
        <v>ok</v>
      </c>
      <c r="AB1391" s="4" t="str">
        <f t="shared" si="152"/>
        <v>ok</v>
      </c>
      <c r="AC1391" s="6">
        <f t="shared" si="153"/>
        <v>4.7349058334366418</v>
      </c>
    </row>
    <row r="1392" spans="1:29" x14ac:dyDescent="0.3">
      <c r="A1392" t="s">
        <v>42</v>
      </c>
      <c r="B1392">
        <v>2771</v>
      </c>
      <c r="C1392" t="s">
        <v>47</v>
      </c>
      <c r="D1392" t="s">
        <v>24</v>
      </c>
      <c r="E1392" t="s">
        <v>48</v>
      </c>
      <c r="F1392" t="s">
        <v>36</v>
      </c>
      <c r="G1392" t="s">
        <v>54</v>
      </c>
      <c r="H1392" s="1">
        <v>45140.470949074072</v>
      </c>
      <c r="I1392" s="1">
        <v>45142.470949074072</v>
      </c>
      <c r="J1392" s="1">
        <v>45140.512615740743</v>
      </c>
      <c r="K1392" s="2">
        <v>45140.480657962966</v>
      </c>
      <c r="L1392" t="s">
        <v>28</v>
      </c>
      <c r="M1392" s="2">
        <v>45142.401249155089</v>
      </c>
      <c r="N1392" t="s">
        <v>28</v>
      </c>
      <c r="P1392">
        <v>3</v>
      </c>
      <c r="R1392" t="s">
        <v>50</v>
      </c>
      <c r="S1392" t="s">
        <v>40</v>
      </c>
      <c r="T1392" t="s">
        <v>31</v>
      </c>
      <c r="U1392">
        <v>53.094023999999997</v>
      </c>
      <c r="V1392">
        <v>-8.0196749999999994</v>
      </c>
      <c r="W1392" t="str">
        <f t="shared" si="148"/>
        <v>ok</v>
      </c>
      <c r="X1392" t="str">
        <f t="shared" si="154"/>
        <v>ok</v>
      </c>
      <c r="Y1392" t="str">
        <f t="shared" si="149"/>
        <v>ok</v>
      </c>
      <c r="Z1392" t="str">
        <f t="shared" si="150"/>
        <v>ok</v>
      </c>
      <c r="AA1392" s="4" t="str">
        <f t="shared" si="151"/>
        <v>ok</v>
      </c>
      <c r="AB1392" s="4" t="str">
        <f t="shared" si="152"/>
        <v>ok</v>
      </c>
      <c r="AC1392" s="6">
        <f t="shared" si="153"/>
        <v>46.327201944426633</v>
      </c>
    </row>
    <row r="1393" spans="1:29" x14ac:dyDescent="0.3">
      <c r="A1393" t="s">
        <v>22</v>
      </c>
      <c r="B1393">
        <v>2772</v>
      </c>
      <c r="C1393" t="s">
        <v>23</v>
      </c>
      <c r="D1393" t="s">
        <v>24</v>
      </c>
      <c r="E1393" t="s">
        <v>48</v>
      </c>
      <c r="F1393" t="s">
        <v>26</v>
      </c>
      <c r="G1393" t="s">
        <v>27</v>
      </c>
      <c r="H1393" s="1">
        <v>45140.31355324074</v>
      </c>
      <c r="I1393" s="1">
        <v>45142.31355324074</v>
      </c>
      <c r="J1393" s="1">
        <v>45140.355219907404</v>
      </c>
      <c r="K1393" s="2">
        <v>45140.352812777775</v>
      </c>
      <c r="L1393" t="s">
        <v>28</v>
      </c>
      <c r="M1393" s="2">
        <v>45142.24052240741</v>
      </c>
      <c r="N1393" t="s">
        <v>28</v>
      </c>
      <c r="O1393" s="2">
        <v>45143.605313888889</v>
      </c>
      <c r="P1393">
        <v>5</v>
      </c>
      <c r="Q1393">
        <v>4</v>
      </c>
      <c r="R1393" t="s">
        <v>50</v>
      </c>
      <c r="S1393" t="s">
        <v>30</v>
      </c>
      <c r="T1393" t="s">
        <v>51</v>
      </c>
      <c r="U1393">
        <v>39.673369999999998</v>
      </c>
      <c r="V1393">
        <v>-4.7677259999999997</v>
      </c>
      <c r="W1393" t="str">
        <f t="shared" si="148"/>
        <v>ok</v>
      </c>
      <c r="X1393" t="str">
        <f t="shared" si="154"/>
        <v>ok</v>
      </c>
      <c r="Y1393" t="str">
        <f t="shared" si="149"/>
        <v>ok</v>
      </c>
      <c r="Z1393" t="str">
        <f t="shared" si="150"/>
        <v>ok</v>
      </c>
      <c r="AA1393" s="4" t="str">
        <f t="shared" si="151"/>
        <v>ok</v>
      </c>
      <c r="AB1393" s="4" t="str">
        <f t="shared" si="152"/>
        <v>ok</v>
      </c>
      <c r="AC1393" s="6">
        <f t="shared" si="153"/>
        <v>46.247260000091046</v>
      </c>
    </row>
    <row r="1394" spans="1:29" x14ac:dyDescent="0.3">
      <c r="A1394" t="s">
        <v>22</v>
      </c>
      <c r="B1394">
        <v>2774</v>
      </c>
      <c r="C1394" t="s">
        <v>23</v>
      </c>
      <c r="D1394" t="s">
        <v>24</v>
      </c>
      <c r="E1394" t="s">
        <v>35</v>
      </c>
      <c r="F1394" t="s">
        <v>36</v>
      </c>
      <c r="G1394" t="s">
        <v>54</v>
      </c>
      <c r="H1394" s="1">
        <v>45140.75476851852</v>
      </c>
      <c r="I1394" s="1">
        <v>45142.75476851852</v>
      </c>
      <c r="J1394" s="1">
        <v>45140.796435185184</v>
      </c>
      <c r="K1394" s="2">
        <v>45141.052293576387</v>
      </c>
      <c r="L1394" t="s">
        <v>38</v>
      </c>
      <c r="M1394" s="2">
        <v>45145.292521446761</v>
      </c>
      <c r="N1394" t="s">
        <v>38</v>
      </c>
      <c r="O1394" s="2">
        <v>45146.434595462961</v>
      </c>
      <c r="P1394">
        <v>1</v>
      </c>
      <c r="Q1394">
        <v>4</v>
      </c>
      <c r="R1394" t="s">
        <v>29</v>
      </c>
      <c r="S1394" t="s">
        <v>40</v>
      </c>
      <c r="T1394" t="s">
        <v>51</v>
      </c>
      <c r="U1394">
        <v>39.673369999999998</v>
      </c>
      <c r="V1394">
        <v>-4.7677259999999997</v>
      </c>
      <c r="W1394" t="str">
        <f t="shared" si="148"/>
        <v>ok</v>
      </c>
      <c r="X1394" t="str">
        <f t="shared" si="154"/>
        <v>ok</v>
      </c>
      <c r="Y1394" t="str">
        <f t="shared" si="149"/>
        <v>ok</v>
      </c>
      <c r="Z1394" t="str">
        <f t="shared" si="150"/>
        <v>ok</v>
      </c>
      <c r="AA1394" s="4" t="str">
        <f t="shared" si="151"/>
        <v>ok</v>
      </c>
      <c r="AB1394" s="4" t="str">
        <f t="shared" si="152"/>
        <v>ok</v>
      </c>
      <c r="AC1394" s="6">
        <f t="shared" si="153"/>
        <v>108.90607027779333</v>
      </c>
    </row>
    <row r="1395" spans="1:29" x14ac:dyDescent="0.3">
      <c r="A1395" t="s">
        <v>22</v>
      </c>
      <c r="B1395">
        <v>2775</v>
      </c>
      <c r="C1395" t="s">
        <v>23</v>
      </c>
      <c r="D1395" t="s">
        <v>34</v>
      </c>
      <c r="E1395" t="s">
        <v>48</v>
      </c>
      <c r="F1395" t="s">
        <v>26</v>
      </c>
      <c r="G1395" t="s">
        <v>45</v>
      </c>
      <c r="H1395" s="1">
        <v>45140.912303240744</v>
      </c>
      <c r="I1395" s="1">
        <v>45142.912303240744</v>
      </c>
      <c r="J1395" s="1">
        <v>45140.91369212963</v>
      </c>
      <c r="K1395" s="2">
        <v>45140.912996481478</v>
      </c>
      <c r="L1395" t="s">
        <v>28</v>
      </c>
      <c r="M1395" s="2">
        <v>45145.159885763889</v>
      </c>
      <c r="N1395" t="s">
        <v>38</v>
      </c>
      <c r="O1395" s="2">
        <v>45147.011479664354</v>
      </c>
      <c r="P1395">
        <v>6</v>
      </c>
      <c r="Q1395">
        <v>4</v>
      </c>
      <c r="R1395" t="s">
        <v>50</v>
      </c>
      <c r="S1395" t="s">
        <v>30</v>
      </c>
      <c r="T1395" t="s">
        <v>65</v>
      </c>
      <c r="U1395">
        <v>46.149166399999999</v>
      </c>
      <c r="V1395">
        <v>14.9860106</v>
      </c>
      <c r="W1395" t="str">
        <f t="shared" si="148"/>
        <v>ok</v>
      </c>
      <c r="X1395" t="str">
        <f t="shared" si="154"/>
        <v>ok</v>
      </c>
      <c r="Y1395" t="str">
        <f t="shared" si="149"/>
        <v>ok</v>
      </c>
      <c r="Z1395" t="str">
        <f t="shared" si="150"/>
        <v>ok</v>
      </c>
      <c r="AA1395" s="4" t="str">
        <f t="shared" si="151"/>
        <v>ok</v>
      </c>
      <c r="AB1395" s="4" t="str">
        <f t="shared" si="152"/>
        <v>ok</v>
      </c>
      <c r="AC1395" s="6">
        <f t="shared" si="153"/>
        <v>101.94198055547895</v>
      </c>
    </row>
    <row r="1396" spans="1:29" x14ac:dyDescent="0.3">
      <c r="A1396" t="s">
        <v>22</v>
      </c>
      <c r="B1396">
        <v>2776</v>
      </c>
      <c r="C1396" t="s">
        <v>47</v>
      </c>
      <c r="D1396" t="s">
        <v>43</v>
      </c>
      <c r="E1396" t="s">
        <v>59</v>
      </c>
      <c r="F1396" t="s">
        <v>26</v>
      </c>
      <c r="G1396" t="s">
        <v>52</v>
      </c>
      <c r="H1396" s="1">
        <v>45140.109201388892</v>
      </c>
      <c r="I1396" s="1">
        <v>45141.109201388892</v>
      </c>
      <c r="J1396" s="1">
        <v>45140.110590277778</v>
      </c>
      <c r="K1396" s="2">
        <v>45140.112603252317</v>
      </c>
      <c r="L1396" t="s">
        <v>38</v>
      </c>
      <c r="M1396" s="2">
        <v>45140.355304386576</v>
      </c>
      <c r="N1396" t="s">
        <v>28</v>
      </c>
      <c r="O1396" s="2">
        <v>45140.602457870373</v>
      </c>
      <c r="P1396">
        <v>4</v>
      </c>
      <c r="Q1396">
        <v>4</v>
      </c>
      <c r="R1396" t="s">
        <v>55</v>
      </c>
      <c r="S1396" t="s">
        <v>30</v>
      </c>
      <c r="T1396" t="s">
        <v>63</v>
      </c>
      <c r="U1396">
        <v>55.378051999999997</v>
      </c>
      <c r="V1396">
        <v>-3.4359730000000002</v>
      </c>
      <c r="W1396" t="str">
        <f t="shared" si="148"/>
        <v>ok</v>
      </c>
      <c r="X1396" t="str">
        <f t="shared" si="154"/>
        <v>ok</v>
      </c>
      <c r="Y1396" t="str">
        <f t="shared" si="149"/>
        <v>ok</v>
      </c>
      <c r="Z1396" t="str">
        <f t="shared" si="150"/>
        <v>ok</v>
      </c>
      <c r="AA1396" s="4" t="str">
        <f t="shared" si="151"/>
        <v>ok</v>
      </c>
      <c r="AB1396" s="4" t="str">
        <f t="shared" si="152"/>
        <v>ok</v>
      </c>
      <c r="AC1396" s="6">
        <f t="shared" si="153"/>
        <v>5.9064719444140792</v>
      </c>
    </row>
    <row r="1397" spans="1:29" x14ac:dyDescent="0.3">
      <c r="A1397" t="s">
        <v>42</v>
      </c>
      <c r="B1397">
        <v>2777</v>
      </c>
      <c r="C1397" t="s">
        <v>47</v>
      </c>
      <c r="D1397" t="s">
        <v>24</v>
      </c>
      <c r="E1397" t="s">
        <v>48</v>
      </c>
      <c r="F1397" t="s">
        <v>26</v>
      </c>
      <c r="G1397" t="s">
        <v>60</v>
      </c>
      <c r="H1397" s="1">
        <v>45140.68105324074</v>
      </c>
      <c r="I1397" s="1">
        <v>45142.68105324074</v>
      </c>
      <c r="J1397" s="1">
        <v>45140.722719907404</v>
      </c>
      <c r="K1397" s="2">
        <v>45140.708911898146</v>
      </c>
      <c r="L1397" t="s">
        <v>28</v>
      </c>
      <c r="M1397" s="2">
        <v>45142.373390115739</v>
      </c>
      <c r="N1397" t="s">
        <v>28</v>
      </c>
      <c r="P1397">
        <v>1</v>
      </c>
      <c r="R1397" t="s">
        <v>50</v>
      </c>
      <c r="S1397" t="s">
        <v>30</v>
      </c>
      <c r="T1397" t="s">
        <v>41</v>
      </c>
      <c r="U1397">
        <v>43.036776000000003</v>
      </c>
      <c r="V1397">
        <v>12.678565000000001</v>
      </c>
      <c r="W1397" t="str">
        <f t="shared" si="148"/>
        <v>ok</v>
      </c>
      <c r="X1397" t="str">
        <f t="shared" si="154"/>
        <v>ok</v>
      </c>
      <c r="Y1397" t="str">
        <f t="shared" si="149"/>
        <v>ok</v>
      </c>
      <c r="Z1397" t="str">
        <f t="shared" si="150"/>
        <v>ok</v>
      </c>
      <c r="AA1397" s="4" t="str">
        <f t="shared" si="151"/>
        <v>ok</v>
      </c>
      <c r="AB1397" s="4" t="str">
        <f t="shared" si="152"/>
        <v>ok</v>
      </c>
      <c r="AC1397" s="6">
        <f t="shared" si="153"/>
        <v>40.616084999986924</v>
      </c>
    </row>
    <row r="1398" spans="1:29" x14ac:dyDescent="0.3">
      <c r="A1398" t="s">
        <v>42</v>
      </c>
      <c r="B1398">
        <v>2778</v>
      </c>
      <c r="C1398" t="s">
        <v>33</v>
      </c>
      <c r="D1398" t="s">
        <v>24</v>
      </c>
      <c r="E1398" t="s">
        <v>44</v>
      </c>
      <c r="F1398" t="s">
        <v>26</v>
      </c>
      <c r="G1398" t="s">
        <v>45</v>
      </c>
      <c r="H1398" s="1">
        <v>45140.661828703705</v>
      </c>
      <c r="I1398" s="1">
        <v>45142.661828703705</v>
      </c>
      <c r="J1398" s="1">
        <v>45140.70349537037</v>
      </c>
      <c r="K1398" s="2">
        <v>45140.689390081017</v>
      </c>
      <c r="L1398" t="s">
        <v>28</v>
      </c>
      <c r="M1398" s="2">
        <v>45146.434903900466</v>
      </c>
      <c r="N1398" t="s">
        <v>38</v>
      </c>
      <c r="P1398">
        <v>7</v>
      </c>
      <c r="R1398" t="s">
        <v>39</v>
      </c>
      <c r="S1398" t="s">
        <v>30</v>
      </c>
      <c r="T1398" t="s">
        <v>41</v>
      </c>
      <c r="U1398">
        <v>43.036776000000003</v>
      </c>
      <c r="V1398">
        <v>12.678565000000001</v>
      </c>
      <c r="W1398" t="str">
        <f t="shared" si="148"/>
        <v>ok</v>
      </c>
      <c r="X1398" t="str">
        <f t="shared" si="154"/>
        <v>ok</v>
      </c>
      <c r="Y1398" t="str">
        <f t="shared" si="149"/>
        <v>ok</v>
      </c>
      <c r="Z1398" t="str">
        <f t="shared" si="150"/>
        <v>ok</v>
      </c>
      <c r="AA1398" s="4" t="str">
        <f t="shared" si="151"/>
        <v>ok</v>
      </c>
      <c r="AB1398" s="4" t="str">
        <f t="shared" si="152"/>
        <v>ok</v>
      </c>
      <c r="AC1398" s="6">
        <f t="shared" si="153"/>
        <v>138.55380472226534</v>
      </c>
    </row>
    <row r="1399" spans="1:29" x14ac:dyDescent="0.3">
      <c r="A1399" t="s">
        <v>32</v>
      </c>
      <c r="B1399">
        <v>2779</v>
      </c>
      <c r="C1399" t="s">
        <v>47</v>
      </c>
      <c r="D1399" t="s">
        <v>34</v>
      </c>
      <c r="E1399" t="s">
        <v>35</v>
      </c>
      <c r="F1399" t="s">
        <v>26</v>
      </c>
      <c r="G1399" t="s">
        <v>49</v>
      </c>
      <c r="H1399" s="1">
        <v>45141.944085648145</v>
      </c>
      <c r="I1399" s="1">
        <v>45143.944085648145</v>
      </c>
      <c r="J1399" s="1">
        <v>45141.945474537039</v>
      </c>
      <c r="K1399" s="2">
        <v>45141.946187766203</v>
      </c>
      <c r="L1399" t="s">
        <v>38</v>
      </c>
      <c r="N1399" t="s">
        <v>38</v>
      </c>
      <c r="P1399">
        <v>1</v>
      </c>
      <c r="R1399" t="s">
        <v>50</v>
      </c>
      <c r="S1399" t="s">
        <v>30</v>
      </c>
      <c r="T1399" t="s">
        <v>46</v>
      </c>
      <c r="U1399">
        <v>47.696471899999999</v>
      </c>
      <c r="V1399">
        <v>13.3457347</v>
      </c>
      <c r="W1399" t="str">
        <f t="shared" si="148"/>
        <v>ok</v>
      </c>
      <c r="X1399" t="str">
        <f t="shared" si="154"/>
        <v>ok</v>
      </c>
      <c r="Y1399" t="str">
        <f t="shared" si="149"/>
        <v>ok</v>
      </c>
      <c r="Z1399" t="str">
        <f t="shared" si="150"/>
        <v>ok</v>
      </c>
      <c r="AA1399" s="4" t="str">
        <f t="shared" si="151"/>
        <v>ok</v>
      </c>
      <c r="AB1399" s="4" t="str">
        <f t="shared" si="152"/>
        <v>no resolution</v>
      </c>
      <c r="AC1399" s="6" t="str">
        <f t="shared" si="153"/>
        <v/>
      </c>
    </row>
    <row r="1400" spans="1:29" x14ac:dyDescent="0.3">
      <c r="A1400" t="s">
        <v>22</v>
      </c>
      <c r="B1400">
        <v>2780</v>
      </c>
      <c r="C1400" t="s">
        <v>33</v>
      </c>
      <c r="D1400" t="s">
        <v>24</v>
      </c>
      <c r="E1400" t="s">
        <v>25</v>
      </c>
      <c r="F1400" t="s">
        <v>36</v>
      </c>
      <c r="G1400" t="s">
        <v>37</v>
      </c>
      <c r="H1400" s="1">
        <v>45141.782361111109</v>
      </c>
      <c r="I1400" s="1">
        <v>45143.782361111109</v>
      </c>
      <c r="J1400" s="1">
        <v>45141.82402777778</v>
      </c>
      <c r="K1400" s="2">
        <v>45141.792972303243</v>
      </c>
      <c r="L1400" t="s">
        <v>28</v>
      </c>
      <c r="M1400" s="2">
        <v>45143.499781550927</v>
      </c>
      <c r="N1400" t="s">
        <v>28</v>
      </c>
      <c r="O1400" s="2">
        <v>45147.869677268522</v>
      </c>
      <c r="P1400">
        <v>7</v>
      </c>
      <c r="Q1400">
        <v>2</v>
      </c>
      <c r="R1400" t="s">
        <v>50</v>
      </c>
      <c r="S1400" t="s">
        <v>40</v>
      </c>
      <c r="T1400" t="s">
        <v>56</v>
      </c>
      <c r="U1400">
        <v>52.536273000000001</v>
      </c>
      <c r="V1400">
        <v>19.050639</v>
      </c>
      <c r="W1400" t="str">
        <f t="shared" si="148"/>
        <v>ok</v>
      </c>
      <c r="X1400" t="str">
        <f t="shared" si="154"/>
        <v>ok</v>
      </c>
      <c r="Y1400" t="str">
        <f t="shared" si="149"/>
        <v>ok</v>
      </c>
      <c r="Z1400" t="str">
        <f t="shared" si="150"/>
        <v>ok</v>
      </c>
      <c r="AA1400" s="4" t="str">
        <f t="shared" si="151"/>
        <v>ok</v>
      </c>
      <c r="AB1400" s="4" t="str">
        <f t="shared" si="152"/>
        <v>ok</v>
      </c>
      <c r="AC1400" s="6">
        <f t="shared" si="153"/>
        <v>41.218090555630624</v>
      </c>
    </row>
    <row r="1401" spans="1:29" x14ac:dyDescent="0.3">
      <c r="A1401" t="s">
        <v>42</v>
      </c>
      <c r="B1401">
        <v>2781</v>
      </c>
      <c r="C1401" t="s">
        <v>33</v>
      </c>
      <c r="D1401" t="s">
        <v>43</v>
      </c>
      <c r="E1401" t="s">
        <v>59</v>
      </c>
      <c r="F1401" t="s">
        <v>36</v>
      </c>
      <c r="G1401" t="s">
        <v>54</v>
      </c>
      <c r="H1401" s="1">
        <v>45141.010208333333</v>
      </c>
      <c r="I1401" s="1">
        <v>45142.010208333333</v>
      </c>
      <c r="J1401" s="1">
        <v>45141.011597222219</v>
      </c>
      <c r="K1401" s="2">
        <v>45141.010666898146</v>
      </c>
      <c r="L1401" t="s">
        <v>28</v>
      </c>
      <c r="M1401" s="2">
        <v>45145.802421018518</v>
      </c>
      <c r="N1401" t="s">
        <v>38</v>
      </c>
      <c r="P1401">
        <v>6</v>
      </c>
      <c r="R1401" t="s">
        <v>29</v>
      </c>
      <c r="S1401" t="s">
        <v>40</v>
      </c>
      <c r="T1401" t="s">
        <v>57</v>
      </c>
      <c r="U1401">
        <v>51.165691000000002</v>
      </c>
      <c r="V1401">
        <v>10.451525999999999</v>
      </c>
      <c r="W1401" t="str">
        <f t="shared" si="148"/>
        <v>ok</v>
      </c>
      <c r="X1401" t="str">
        <f t="shared" si="154"/>
        <v>ok</v>
      </c>
      <c r="Y1401" t="str">
        <f t="shared" si="149"/>
        <v>ok</v>
      </c>
      <c r="Z1401" t="str">
        <f t="shared" si="150"/>
        <v>ok</v>
      </c>
      <c r="AA1401" s="4" t="str">
        <f t="shared" si="151"/>
        <v>ok</v>
      </c>
      <c r="AB1401" s="4" t="str">
        <f t="shared" si="152"/>
        <v>ok</v>
      </c>
      <c r="AC1401" s="6">
        <f t="shared" si="153"/>
        <v>115.01310444442788</v>
      </c>
    </row>
    <row r="1402" spans="1:29" x14ac:dyDescent="0.3">
      <c r="A1402" t="s">
        <v>42</v>
      </c>
      <c r="B1402">
        <v>2782</v>
      </c>
      <c r="C1402" t="s">
        <v>33</v>
      </c>
      <c r="D1402" t="s">
        <v>34</v>
      </c>
      <c r="E1402" t="s">
        <v>35</v>
      </c>
      <c r="F1402" t="s">
        <v>36</v>
      </c>
      <c r="G1402" t="s">
        <v>37</v>
      </c>
      <c r="H1402" s="1">
        <v>45141.647210648145</v>
      </c>
      <c r="I1402" s="1">
        <v>45143.647210648145</v>
      </c>
      <c r="J1402" s="1">
        <v>45141.648599537039</v>
      </c>
      <c r="K1402" s="2">
        <v>45141.647310590277</v>
      </c>
      <c r="L1402" t="s">
        <v>28</v>
      </c>
      <c r="M1402" s="2">
        <v>45142.952109837963</v>
      </c>
      <c r="N1402" t="s">
        <v>28</v>
      </c>
      <c r="P1402">
        <v>1</v>
      </c>
      <c r="R1402" t="s">
        <v>29</v>
      </c>
      <c r="S1402" t="s">
        <v>40</v>
      </c>
      <c r="T1402" t="s">
        <v>66</v>
      </c>
      <c r="U1402">
        <v>48.864716000000001</v>
      </c>
      <c r="V1402">
        <v>2.3490139999999999</v>
      </c>
      <c r="W1402" t="str">
        <f t="shared" si="148"/>
        <v>ok</v>
      </c>
      <c r="X1402" t="str">
        <f t="shared" si="154"/>
        <v>ok</v>
      </c>
      <c r="Y1402" t="str">
        <f t="shared" si="149"/>
        <v>ok</v>
      </c>
      <c r="Z1402" t="str">
        <f t="shared" si="150"/>
        <v>ok</v>
      </c>
      <c r="AA1402" s="4" t="str">
        <f t="shared" si="151"/>
        <v>ok</v>
      </c>
      <c r="AB1402" s="4" t="str">
        <f t="shared" si="152"/>
        <v>ok</v>
      </c>
      <c r="AC1402" s="6">
        <f t="shared" si="153"/>
        <v>31.317580555623863</v>
      </c>
    </row>
    <row r="1403" spans="1:29" x14ac:dyDescent="0.3">
      <c r="A1403" t="s">
        <v>42</v>
      </c>
      <c r="B1403">
        <v>2783</v>
      </c>
      <c r="C1403" t="s">
        <v>23</v>
      </c>
      <c r="D1403" t="s">
        <v>24</v>
      </c>
      <c r="E1403" t="s">
        <v>44</v>
      </c>
      <c r="F1403" t="s">
        <v>26</v>
      </c>
      <c r="G1403" t="s">
        <v>60</v>
      </c>
      <c r="H1403" s="1">
        <v>45141.619849537034</v>
      </c>
      <c r="I1403" s="1">
        <v>45143.619849537034</v>
      </c>
      <c r="J1403" s="1">
        <v>45141.661516203705</v>
      </c>
      <c r="K1403" s="2">
        <v>45141.649081620373</v>
      </c>
      <c r="L1403" t="s">
        <v>28</v>
      </c>
      <c r="M1403" s="2">
        <v>45142.177984548609</v>
      </c>
      <c r="N1403" t="s">
        <v>28</v>
      </c>
      <c r="P1403">
        <v>1</v>
      </c>
      <c r="R1403" t="s">
        <v>29</v>
      </c>
      <c r="S1403" t="s">
        <v>30</v>
      </c>
      <c r="T1403" t="s">
        <v>66</v>
      </c>
      <c r="U1403">
        <v>48.864716000000001</v>
      </c>
      <c r="V1403">
        <v>2.3490139999999999</v>
      </c>
      <c r="W1403" t="str">
        <f t="shared" si="148"/>
        <v>ok</v>
      </c>
      <c r="X1403" t="str">
        <f t="shared" si="154"/>
        <v>ok</v>
      </c>
      <c r="Y1403" t="str">
        <f t="shared" si="149"/>
        <v>ok</v>
      </c>
      <c r="Z1403" t="str">
        <f t="shared" si="150"/>
        <v>ok</v>
      </c>
      <c r="AA1403" s="4" t="str">
        <f t="shared" si="151"/>
        <v>ok</v>
      </c>
      <c r="AB1403" s="4" t="str">
        <f t="shared" si="152"/>
        <v>ok</v>
      </c>
      <c r="AC1403" s="6">
        <f t="shared" si="153"/>
        <v>13.395240277808625</v>
      </c>
    </row>
    <row r="1404" spans="1:29" x14ac:dyDescent="0.3">
      <c r="A1404" t="s">
        <v>22</v>
      </c>
      <c r="B1404">
        <v>2784</v>
      </c>
      <c r="C1404" t="s">
        <v>47</v>
      </c>
      <c r="D1404" t="s">
        <v>43</v>
      </c>
      <c r="E1404" t="s">
        <v>25</v>
      </c>
      <c r="F1404" t="s">
        <v>36</v>
      </c>
      <c r="G1404" t="s">
        <v>54</v>
      </c>
      <c r="H1404" s="1">
        <v>45141.525914351849</v>
      </c>
      <c r="I1404" s="1">
        <v>45142.525914351849</v>
      </c>
      <c r="J1404" s="1">
        <v>45141.527303240742</v>
      </c>
      <c r="K1404" s="2">
        <v>45141.527004699077</v>
      </c>
      <c r="L1404" t="s">
        <v>28</v>
      </c>
      <c r="M1404" s="2">
        <v>45142.199845081021</v>
      </c>
      <c r="N1404" t="s">
        <v>28</v>
      </c>
      <c r="O1404" s="2">
        <v>45145.51155476852</v>
      </c>
      <c r="P1404">
        <v>6</v>
      </c>
      <c r="Q1404">
        <v>4</v>
      </c>
      <c r="R1404" t="s">
        <v>50</v>
      </c>
      <c r="S1404" t="s">
        <v>40</v>
      </c>
      <c r="T1404" t="s">
        <v>41</v>
      </c>
      <c r="U1404">
        <v>43.036776000000003</v>
      </c>
      <c r="V1404">
        <v>12.678565000000001</v>
      </c>
      <c r="W1404" t="str">
        <f t="shared" si="148"/>
        <v>ok</v>
      </c>
      <c r="X1404" t="str">
        <f t="shared" si="154"/>
        <v>ok</v>
      </c>
      <c r="Y1404" t="str">
        <f t="shared" si="149"/>
        <v>ok</v>
      </c>
      <c r="Z1404" t="str">
        <f t="shared" si="150"/>
        <v>ok</v>
      </c>
      <c r="AA1404" s="4" t="str">
        <f t="shared" si="151"/>
        <v>ok</v>
      </c>
      <c r="AB1404" s="4" t="str">
        <f t="shared" si="152"/>
        <v>ok</v>
      </c>
      <c r="AC1404" s="6">
        <f t="shared" si="153"/>
        <v>16.174337500124238</v>
      </c>
    </row>
    <row r="1405" spans="1:29" x14ac:dyDescent="0.3">
      <c r="A1405" t="s">
        <v>22</v>
      </c>
      <c r="B1405">
        <v>2785</v>
      </c>
      <c r="C1405" t="s">
        <v>47</v>
      </c>
      <c r="D1405" t="s">
        <v>34</v>
      </c>
      <c r="E1405" t="s">
        <v>35</v>
      </c>
      <c r="F1405" t="s">
        <v>36</v>
      </c>
      <c r="G1405" t="s">
        <v>54</v>
      </c>
      <c r="H1405" s="1">
        <v>45141.901689814818</v>
      </c>
      <c r="I1405" s="1">
        <v>45143.901689814818</v>
      </c>
      <c r="J1405" s="1">
        <v>45141.903078703705</v>
      </c>
      <c r="K1405" s="2">
        <v>45141.902657303239</v>
      </c>
      <c r="L1405" t="s">
        <v>28</v>
      </c>
      <c r="M1405" s="2">
        <v>45143.619815312501</v>
      </c>
      <c r="N1405" t="s">
        <v>28</v>
      </c>
      <c r="O1405" s="2">
        <v>45143.966509583333</v>
      </c>
      <c r="P1405">
        <v>1</v>
      </c>
      <c r="Q1405">
        <v>4</v>
      </c>
      <c r="R1405" t="s">
        <v>29</v>
      </c>
      <c r="S1405" t="s">
        <v>40</v>
      </c>
      <c r="T1405" t="s">
        <v>63</v>
      </c>
      <c r="U1405">
        <v>55.378051999999997</v>
      </c>
      <c r="V1405">
        <v>-3.4359730000000002</v>
      </c>
      <c r="W1405" t="str">
        <f t="shared" si="148"/>
        <v>ok</v>
      </c>
      <c r="X1405" t="str">
        <f t="shared" si="154"/>
        <v>ok</v>
      </c>
      <c r="Y1405" t="str">
        <f t="shared" si="149"/>
        <v>ok</v>
      </c>
      <c r="Z1405" t="str">
        <f t="shared" si="150"/>
        <v>ok</v>
      </c>
      <c r="AA1405" s="4" t="str">
        <f t="shared" si="151"/>
        <v>ok</v>
      </c>
      <c r="AB1405" s="4" t="str">
        <f t="shared" si="152"/>
        <v>ok</v>
      </c>
      <c r="AC1405" s="6">
        <f t="shared" si="153"/>
        <v>41.235011944372673</v>
      </c>
    </row>
    <row r="1406" spans="1:29" x14ac:dyDescent="0.3">
      <c r="A1406" t="s">
        <v>32</v>
      </c>
      <c r="B1406">
        <v>2786</v>
      </c>
      <c r="C1406" t="s">
        <v>47</v>
      </c>
      <c r="D1406" t="s">
        <v>43</v>
      </c>
      <c r="E1406" t="s">
        <v>48</v>
      </c>
      <c r="F1406" t="s">
        <v>26</v>
      </c>
      <c r="G1406" t="s">
        <v>52</v>
      </c>
      <c r="H1406" s="1">
        <v>45141.8984375</v>
      </c>
      <c r="I1406" s="1">
        <v>45142.8984375</v>
      </c>
      <c r="J1406" s="1">
        <v>45141.899826388886</v>
      </c>
      <c r="K1406" s="2">
        <v>45141.899358472219</v>
      </c>
      <c r="L1406" t="s">
        <v>28</v>
      </c>
      <c r="N1406" t="s">
        <v>38</v>
      </c>
      <c r="P1406">
        <v>60</v>
      </c>
      <c r="R1406" t="s">
        <v>50</v>
      </c>
      <c r="S1406" t="s">
        <v>30</v>
      </c>
      <c r="T1406" t="s">
        <v>57</v>
      </c>
      <c r="U1406">
        <v>51.165691000000002</v>
      </c>
      <c r="V1406">
        <v>10.451525999999999</v>
      </c>
      <c r="W1406" t="str">
        <f t="shared" si="148"/>
        <v>ok</v>
      </c>
      <c r="X1406" t="str">
        <f t="shared" si="154"/>
        <v>ok</v>
      </c>
      <c r="Y1406" t="str">
        <f t="shared" si="149"/>
        <v>ok</v>
      </c>
      <c r="Z1406" t="str">
        <f t="shared" si="150"/>
        <v>ok</v>
      </c>
      <c r="AA1406" s="4" t="str">
        <f t="shared" si="151"/>
        <v>ok</v>
      </c>
      <c r="AB1406" s="4" t="str">
        <f t="shared" si="152"/>
        <v>no resolution</v>
      </c>
      <c r="AC1406" s="6" t="str">
        <f t="shared" si="153"/>
        <v/>
      </c>
    </row>
    <row r="1407" spans="1:29" x14ac:dyDescent="0.3">
      <c r="A1407" t="s">
        <v>42</v>
      </c>
      <c r="B1407">
        <v>2787</v>
      </c>
      <c r="C1407" t="s">
        <v>23</v>
      </c>
      <c r="D1407" t="s">
        <v>34</v>
      </c>
      <c r="E1407" t="s">
        <v>25</v>
      </c>
      <c r="F1407" t="s">
        <v>26</v>
      </c>
      <c r="G1407" t="s">
        <v>60</v>
      </c>
      <c r="H1407" s="1">
        <v>45142.530335648145</v>
      </c>
      <c r="I1407" s="1">
        <v>45144.530335648145</v>
      </c>
      <c r="J1407" s="1">
        <v>45142.531724537039</v>
      </c>
      <c r="K1407" s="2">
        <v>45142.530569085648</v>
      </c>
      <c r="L1407" t="s">
        <v>28</v>
      </c>
      <c r="M1407" s="2">
        <v>45145.090732557874</v>
      </c>
      <c r="N1407" t="s">
        <v>38</v>
      </c>
      <c r="P1407">
        <v>1</v>
      </c>
      <c r="R1407" t="s">
        <v>50</v>
      </c>
      <c r="S1407" t="s">
        <v>30</v>
      </c>
      <c r="T1407" t="s">
        <v>66</v>
      </c>
      <c r="U1407">
        <v>48.864716000000001</v>
      </c>
      <c r="V1407">
        <v>2.3490139999999999</v>
      </c>
      <c r="W1407" t="str">
        <f t="shared" si="148"/>
        <v>ok</v>
      </c>
      <c r="X1407" t="str">
        <f t="shared" si="154"/>
        <v>ok</v>
      </c>
      <c r="Y1407" t="str">
        <f t="shared" si="149"/>
        <v>ok</v>
      </c>
      <c r="Z1407" t="str">
        <f t="shared" si="150"/>
        <v>ok</v>
      </c>
      <c r="AA1407" s="4" t="str">
        <f t="shared" si="151"/>
        <v>ok</v>
      </c>
      <c r="AB1407" s="4" t="str">
        <f t="shared" si="152"/>
        <v>ok</v>
      </c>
      <c r="AC1407" s="6">
        <f t="shared" si="153"/>
        <v>61.449525833479129</v>
      </c>
    </row>
    <row r="1408" spans="1:29" x14ac:dyDescent="0.3">
      <c r="A1408" t="s">
        <v>22</v>
      </c>
      <c r="B1408">
        <v>2788</v>
      </c>
      <c r="C1408" t="s">
        <v>23</v>
      </c>
      <c r="D1408" t="s">
        <v>43</v>
      </c>
      <c r="E1408" t="s">
        <v>25</v>
      </c>
      <c r="F1408" t="s">
        <v>36</v>
      </c>
      <c r="G1408" t="s">
        <v>54</v>
      </c>
      <c r="H1408" s="1">
        <v>45142.192731481482</v>
      </c>
      <c r="I1408" s="1">
        <v>45143.192731481482</v>
      </c>
      <c r="J1408" s="1">
        <v>45142.194120370368</v>
      </c>
      <c r="K1408" s="2">
        <v>45142.193312523152</v>
      </c>
      <c r="L1408" t="s">
        <v>28</v>
      </c>
      <c r="M1408" s="2">
        <v>45142.588692708334</v>
      </c>
      <c r="N1408" t="s">
        <v>28</v>
      </c>
      <c r="O1408" s="2">
        <v>45144.216425694445</v>
      </c>
      <c r="P1408">
        <v>4</v>
      </c>
      <c r="Q1408">
        <v>1</v>
      </c>
      <c r="R1408" t="s">
        <v>50</v>
      </c>
      <c r="S1408" t="s">
        <v>40</v>
      </c>
      <c r="T1408" t="s">
        <v>41</v>
      </c>
      <c r="U1408">
        <v>43.036776000000003</v>
      </c>
      <c r="V1408">
        <v>12.678565000000001</v>
      </c>
      <c r="W1408" t="str">
        <f t="shared" si="148"/>
        <v>ok</v>
      </c>
      <c r="X1408" t="str">
        <f t="shared" si="154"/>
        <v>ok</v>
      </c>
      <c r="Y1408" t="str">
        <f t="shared" si="149"/>
        <v>ok</v>
      </c>
      <c r="Z1408" t="str">
        <f t="shared" si="150"/>
        <v>ok</v>
      </c>
      <c r="AA1408" s="4" t="str">
        <f t="shared" si="151"/>
        <v>ok</v>
      </c>
      <c r="AB1408" s="4" t="str">
        <f t="shared" si="152"/>
        <v>ok</v>
      </c>
      <c r="AC1408" s="6">
        <f t="shared" si="153"/>
        <v>9.5030694444430992</v>
      </c>
    </row>
    <row r="1409" spans="1:29" x14ac:dyDescent="0.3">
      <c r="A1409" t="s">
        <v>32</v>
      </c>
      <c r="B1409">
        <v>2789</v>
      </c>
      <c r="C1409" t="s">
        <v>33</v>
      </c>
      <c r="D1409" t="s">
        <v>24</v>
      </c>
      <c r="E1409" t="s">
        <v>35</v>
      </c>
      <c r="F1409" t="s">
        <v>26</v>
      </c>
      <c r="G1409" t="s">
        <v>52</v>
      </c>
      <c r="H1409" s="1">
        <v>45142.760833333334</v>
      </c>
      <c r="I1409" s="1">
        <v>45144.760833333334</v>
      </c>
      <c r="J1409" s="1">
        <v>45142.802499999998</v>
      </c>
      <c r="K1409" s="2">
        <v>45142.785393773149</v>
      </c>
      <c r="L1409" t="s">
        <v>28</v>
      </c>
      <c r="N1409" t="s">
        <v>38</v>
      </c>
      <c r="P1409">
        <v>6</v>
      </c>
      <c r="R1409" t="s">
        <v>39</v>
      </c>
      <c r="S1409" t="s">
        <v>30</v>
      </c>
      <c r="T1409" t="s">
        <v>53</v>
      </c>
      <c r="U1409">
        <v>39.368279000000001</v>
      </c>
      <c r="V1409">
        <v>21.863140999999999</v>
      </c>
      <c r="W1409" t="str">
        <f t="shared" si="148"/>
        <v>ok</v>
      </c>
      <c r="X1409" t="str">
        <f t="shared" si="154"/>
        <v>ok</v>
      </c>
      <c r="Y1409" t="str">
        <f t="shared" si="149"/>
        <v>ok</v>
      </c>
      <c r="Z1409" t="str">
        <f t="shared" si="150"/>
        <v>ok</v>
      </c>
      <c r="AA1409" s="4" t="str">
        <f t="shared" si="151"/>
        <v>ok</v>
      </c>
      <c r="AB1409" s="4" t="str">
        <f t="shared" si="152"/>
        <v>no resolution</v>
      </c>
      <c r="AC1409" s="6" t="str">
        <f t="shared" si="153"/>
        <v/>
      </c>
    </row>
    <row r="1410" spans="1:29" x14ac:dyDescent="0.3">
      <c r="A1410" t="s">
        <v>22</v>
      </c>
      <c r="B1410">
        <v>2790</v>
      </c>
      <c r="C1410" t="s">
        <v>47</v>
      </c>
      <c r="D1410" t="s">
        <v>24</v>
      </c>
      <c r="E1410" t="s">
        <v>35</v>
      </c>
      <c r="F1410" t="s">
        <v>26</v>
      </c>
      <c r="G1410" t="s">
        <v>45</v>
      </c>
      <c r="H1410" s="1">
        <v>45142.139097222222</v>
      </c>
      <c r="I1410" s="1">
        <v>45144.139097222222</v>
      </c>
      <c r="J1410" s="1">
        <v>45142.180763888886</v>
      </c>
      <c r="K1410" s="2">
        <v>45142.178760428244</v>
      </c>
      <c r="L1410" t="s">
        <v>28</v>
      </c>
      <c r="M1410" s="2">
        <v>45143.89924111111</v>
      </c>
      <c r="N1410" t="s">
        <v>28</v>
      </c>
      <c r="O1410" s="2">
        <v>45144.290950046299</v>
      </c>
      <c r="P1410">
        <v>8</v>
      </c>
      <c r="Q1410">
        <v>1</v>
      </c>
      <c r="R1410" t="s">
        <v>50</v>
      </c>
      <c r="S1410" t="s">
        <v>30</v>
      </c>
      <c r="T1410" t="s">
        <v>41</v>
      </c>
      <c r="U1410">
        <v>43.036776000000003</v>
      </c>
      <c r="V1410">
        <v>12.678565000000001</v>
      </c>
      <c r="W1410" t="str">
        <f t="shared" ref="W1410:W1473" si="155">IF(K1410&lt;H1410,"check","ok")</f>
        <v>ok</v>
      </c>
      <c r="X1410" t="str">
        <f t="shared" si="154"/>
        <v>ok</v>
      </c>
      <c r="Y1410" t="str">
        <f t="shared" ref="Y1410:Y1473" si="156">IF(AND(M1410&lt;&gt;"",O1410&lt;&gt;"",O1410&lt;M1410),"check","ok")</f>
        <v>ok</v>
      </c>
      <c r="Z1410" t="str">
        <f t="shared" ref="Z1410:Z1473" si="157">IF(AND(OR(CA1410="Closed",A1410="Resolved"),M1410=""),"check","ok")</f>
        <v>ok</v>
      </c>
      <c r="AA1410" s="4" t="str">
        <f t="shared" ref="AA1410:AA1473" si="158">IF(K1410="","no response",IF(OR(AND(K1410&lt;=J1410,L1410="Within SLA"),AND(K1410&gt;J1410,L1410="SLA Violated")),"ok","check"))</f>
        <v>ok</v>
      </c>
      <c r="AB1410" s="4" t="str">
        <f t="shared" ref="AB1410:AB1473" si="159">IF(M1410="","no resolution",IF(OR(AND(M1410&lt;=I1410,N1410="Within SLA"),AND(M1410&gt;I1410,N1410="SLA Violated")),"ok","check"))</f>
        <v>ok</v>
      </c>
      <c r="AC1410" s="6">
        <f t="shared" ref="AC1410:AC1473" si="160">IF(M1410="","",(M1410-H1410)*24)</f>
        <v>42.243453333328944</v>
      </c>
    </row>
    <row r="1411" spans="1:29" x14ac:dyDescent="0.3">
      <c r="A1411" t="s">
        <v>42</v>
      </c>
      <c r="B1411">
        <v>2791</v>
      </c>
      <c r="C1411" t="s">
        <v>33</v>
      </c>
      <c r="D1411" t="s">
        <v>24</v>
      </c>
      <c r="E1411" t="s">
        <v>48</v>
      </c>
      <c r="F1411" t="s">
        <v>26</v>
      </c>
      <c r="G1411" t="s">
        <v>45</v>
      </c>
      <c r="H1411" s="1">
        <v>45142.076793981483</v>
      </c>
      <c r="I1411" s="1">
        <v>45144.076793981483</v>
      </c>
      <c r="J1411" s="1">
        <v>45142.118460648147</v>
      </c>
      <c r="K1411" s="2">
        <v>45142.079925868056</v>
      </c>
      <c r="L1411" t="s">
        <v>28</v>
      </c>
      <c r="M1411" s="2">
        <v>45143.85543974537</v>
      </c>
      <c r="N1411" t="s">
        <v>28</v>
      </c>
      <c r="P1411">
        <v>4</v>
      </c>
      <c r="R1411" t="s">
        <v>55</v>
      </c>
      <c r="S1411" t="s">
        <v>30</v>
      </c>
      <c r="T1411" t="s">
        <v>66</v>
      </c>
      <c r="U1411">
        <v>48.864716000000001</v>
      </c>
      <c r="V1411">
        <v>2.3490139999999999</v>
      </c>
      <c r="W1411" t="str">
        <f t="shared" si="155"/>
        <v>ok</v>
      </c>
      <c r="X1411" t="str">
        <f t="shared" ref="X1411:X1474" si="161">IF(AND(M1411&lt;&gt;"",M1411&lt;H1411),"check","ok")</f>
        <v>ok</v>
      </c>
      <c r="Y1411" t="str">
        <f t="shared" si="156"/>
        <v>ok</v>
      </c>
      <c r="Z1411" t="str">
        <f t="shared" si="157"/>
        <v>ok</v>
      </c>
      <c r="AA1411" s="4" t="str">
        <f t="shared" si="158"/>
        <v>ok</v>
      </c>
      <c r="AB1411" s="4" t="str">
        <f t="shared" si="159"/>
        <v>ok</v>
      </c>
      <c r="AC1411" s="6">
        <f t="shared" si="160"/>
        <v>42.687498333281837</v>
      </c>
    </row>
    <row r="1412" spans="1:29" x14ac:dyDescent="0.3">
      <c r="A1412" t="s">
        <v>22</v>
      </c>
      <c r="B1412">
        <v>2792</v>
      </c>
      <c r="C1412" t="s">
        <v>23</v>
      </c>
      <c r="D1412" t="s">
        <v>34</v>
      </c>
      <c r="E1412" t="s">
        <v>59</v>
      </c>
      <c r="F1412" t="s">
        <v>26</v>
      </c>
      <c r="G1412" t="s">
        <v>27</v>
      </c>
      <c r="H1412" s="1">
        <v>45143.028749999998</v>
      </c>
      <c r="I1412" s="1">
        <v>45145.028749999998</v>
      </c>
      <c r="J1412" s="1">
        <v>45143.030138888891</v>
      </c>
      <c r="K1412" s="2">
        <v>45143.029434201388</v>
      </c>
      <c r="L1412" t="s">
        <v>28</v>
      </c>
      <c r="M1412" s="2">
        <v>45145.208405555553</v>
      </c>
      <c r="N1412" t="s">
        <v>38</v>
      </c>
      <c r="O1412" s="2">
        <v>45146.427169722221</v>
      </c>
      <c r="P1412">
        <v>3</v>
      </c>
      <c r="Q1412">
        <v>1</v>
      </c>
      <c r="R1412" t="s">
        <v>50</v>
      </c>
      <c r="S1412" t="s">
        <v>30</v>
      </c>
      <c r="T1412" t="s">
        <v>41</v>
      </c>
      <c r="U1412">
        <v>43.036776000000003</v>
      </c>
      <c r="V1412">
        <v>12.678565000000001</v>
      </c>
      <c r="W1412" t="str">
        <f t="shared" si="155"/>
        <v>ok</v>
      </c>
      <c r="X1412" t="str">
        <f t="shared" si="161"/>
        <v>ok</v>
      </c>
      <c r="Y1412" t="str">
        <f t="shared" si="156"/>
        <v>ok</v>
      </c>
      <c r="Z1412" t="str">
        <f t="shared" si="157"/>
        <v>ok</v>
      </c>
      <c r="AA1412" s="4" t="str">
        <f t="shared" si="158"/>
        <v>ok</v>
      </c>
      <c r="AB1412" s="4" t="str">
        <f t="shared" si="159"/>
        <v>ok</v>
      </c>
      <c r="AC1412" s="6">
        <f t="shared" si="160"/>
        <v>52.311733333335724</v>
      </c>
    </row>
    <row r="1413" spans="1:29" x14ac:dyDescent="0.3">
      <c r="A1413" t="s">
        <v>22</v>
      </c>
      <c r="B1413">
        <v>2793</v>
      </c>
      <c r="C1413" t="s">
        <v>47</v>
      </c>
      <c r="D1413" t="s">
        <v>24</v>
      </c>
      <c r="E1413" t="s">
        <v>39</v>
      </c>
      <c r="F1413" t="s">
        <v>26</v>
      </c>
      <c r="G1413" t="s">
        <v>60</v>
      </c>
      <c r="H1413" s="1">
        <v>45143.100081018521</v>
      </c>
      <c r="I1413" s="1">
        <v>45145.100081018521</v>
      </c>
      <c r="J1413" s="1">
        <v>45143.141747685186</v>
      </c>
      <c r="K1413" s="2">
        <v>45143.348158993052</v>
      </c>
      <c r="L1413" t="s">
        <v>38</v>
      </c>
      <c r="M1413" s="2">
        <v>45143.412983009257</v>
      </c>
      <c r="N1413" t="s">
        <v>28</v>
      </c>
      <c r="O1413" s="2">
        <v>45147.12888178241</v>
      </c>
      <c r="P1413">
        <v>9</v>
      </c>
      <c r="Q1413">
        <v>4</v>
      </c>
      <c r="R1413" t="s">
        <v>29</v>
      </c>
      <c r="S1413" t="s">
        <v>30</v>
      </c>
      <c r="T1413" t="s">
        <v>63</v>
      </c>
      <c r="U1413">
        <v>55.378051999999997</v>
      </c>
      <c r="V1413">
        <v>-3.4359730000000002</v>
      </c>
      <c r="W1413" t="str">
        <f t="shared" si="155"/>
        <v>ok</v>
      </c>
      <c r="X1413" t="str">
        <f t="shared" si="161"/>
        <v>ok</v>
      </c>
      <c r="Y1413" t="str">
        <f t="shared" si="156"/>
        <v>ok</v>
      </c>
      <c r="Z1413" t="str">
        <f t="shared" si="157"/>
        <v>ok</v>
      </c>
      <c r="AA1413" s="4" t="str">
        <f t="shared" si="158"/>
        <v>ok</v>
      </c>
      <c r="AB1413" s="4" t="str">
        <f t="shared" si="159"/>
        <v>ok</v>
      </c>
      <c r="AC1413" s="6">
        <f t="shared" si="160"/>
        <v>7.5096477776532993</v>
      </c>
    </row>
    <row r="1414" spans="1:29" x14ac:dyDescent="0.3">
      <c r="A1414" t="s">
        <v>22</v>
      </c>
      <c r="B1414">
        <v>2794</v>
      </c>
      <c r="C1414" t="s">
        <v>47</v>
      </c>
      <c r="D1414" t="s">
        <v>43</v>
      </c>
      <c r="E1414" t="s">
        <v>35</v>
      </c>
      <c r="F1414" t="s">
        <v>26</v>
      </c>
      <c r="G1414" t="s">
        <v>60</v>
      </c>
      <c r="H1414" s="1">
        <v>45143.082604166666</v>
      </c>
      <c r="I1414" s="1">
        <v>45144.082604166666</v>
      </c>
      <c r="J1414" s="1">
        <v>45143.083993055552</v>
      </c>
      <c r="K1414" s="2">
        <v>45143.083141550924</v>
      </c>
      <c r="L1414" t="s">
        <v>28</v>
      </c>
      <c r="M1414" s="2">
        <v>45143.433151469908</v>
      </c>
      <c r="N1414" t="s">
        <v>28</v>
      </c>
      <c r="O1414" s="2">
        <v>45145.023061574073</v>
      </c>
      <c r="P1414">
        <v>5</v>
      </c>
      <c r="Q1414">
        <v>5</v>
      </c>
      <c r="R1414" t="s">
        <v>55</v>
      </c>
      <c r="S1414" t="s">
        <v>30</v>
      </c>
      <c r="T1414" t="s">
        <v>56</v>
      </c>
      <c r="U1414">
        <v>52.536273000000001</v>
      </c>
      <c r="V1414">
        <v>19.050639</v>
      </c>
      <c r="W1414" t="str">
        <f t="shared" si="155"/>
        <v>ok</v>
      </c>
      <c r="X1414" t="str">
        <f t="shared" si="161"/>
        <v>ok</v>
      </c>
      <c r="Y1414" t="str">
        <f t="shared" si="156"/>
        <v>ok</v>
      </c>
      <c r="Z1414" t="str">
        <f t="shared" si="157"/>
        <v>ok</v>
      </c>
      <c r="AA1414" s="4" t="str">
        <f t="shared" si="158"/>
        <v>ok</v>
      </c>
      <c r="AB1414" s="4" t="str">
        <f t="shared" si="159"/>
        <v>ok</v>
      </c>
      <c r="AC1414" s="6">
        <f t="shared" si="160"/>
        <v>8.4131352778058499</v>
      </c>
    </row>
    <row r="1415" spans="1:29" x14ac:dyDescent="0.3">
      <c r="A1415" t="s">
        <v>22</v>
      </c>
      <c r="B1415">
        <v>2806</v>
      </c>
      <c r="C1415" t="s">
        <v>23</v>
      </c>
      <c r="D1415" t="s">
        <v>24</v>
      </c>
      <c r="E1415" t="s">
        <v>25</v>
      </c>
      <c r="F1415" t="s">
        <v>26</v>
      </c>
      <c r="G1415" t="s">
        <v>60</v>
      </c>
      <c r="H1415" s="1">
        <v>45144.46465277778</v>
      </c>
      <c r="I1415" s="1">
        <v>45146.46465277778</v>
      </c>
      <c r="J1415" s="1">
        <v>45144.506319444445</v>
      </c>
      <c r="K1415" s="2">
        <v>45144.488662372685</v>
      </c>
      <c r="L1415" t="s">
        <v>28</v>
      </c>
      <c r="M1415" s="2">
        <v>45144.649091481479</v>
      </c>
      <c r="N1415" t="s">
        <v>28</v>
      </c>
      <c r="O1415" s="2">
        <v>45149.338611932872</v>
      </c>
      <c r="P1415">
        <v>8</v>
      </c>
      <c r="Q1415">
        <v>5</v>
      </c>
      <c r="R1415" t="s">
        <v>50</v>
      </c>
      <c r="S1415" t="s">
        <v>30</v>
      </c>
      <c r="T1415" t="s">
        <v>41</v>
      </c>
      <c r="U1415">
        <v>43.036776000000003</v>
      </c>
      <c r="V1415">
        <v>12.678565000000001</v>
      </c>
      <c r="W1415" t="str">
        <f t="shared" si="155"/>
        <v>ok</v>
      </c>
      <c r="X1415" t="str">
        <f t="shared" si="161"/>
        <v>ok</v>
      </c>
      <c r="Y1415" t="str">
        <f t="shared" si="156"/>
        <v>ok</v>
      </c>
      <c r="Z1415" t="str">
        <f t="shared" si="157"/>
        <v>ok</v>
      </c>
      <c r="AA1415" s="4" t="str">
        <f t="shared" si="158"/>
        <v>ok</v>
      </c>
      <c r="AB1415" s="4" t="str">
        <f t="shared" si="159"/>
        <v>ok</v>
      </c>
      <c r="AC1415" s="6">
        <f t="shared" si="160"/>
        <v>4.4265288887545466</v>
      </c>
    </row>
    <row r="1416" spans="1:29" x14ac:dyDescent="0.3">
      <c r="A1416" t="s">
        <v>42</v>
      </c>
      <c r="B1416">
        <v>2807</v>
      </c>
      <c r="C1416" t="s">
        <v>33</v>
      </c>
      <c r="D1416" t="s">
        <v>24</v>
      </c>
      <c r="E1416" t="s">
        <v>39</v>
      </c>
      <c r="F1416" t="s">
        <v>26</v>
      </c>
      <c r="G1416" t="s">
        <v>49</v>
      </c>
      <c r="H1416" s="1">
        <v>45144.535104166665</v>
      </c>
      <c r="I1416" s="1">
        <v>45146.535104166665</v>
      </c>
      <c r="J1416" s="1">
        <v>45144.576770833337</v>
      </c>
      <c r="K1416" s="2">
        <v>45144.553889363429</v>
      </c>
      <c r="L1416" t="s">
        <v>28</v>
      </c>
      <c r="M1416" s="2">
        <v>45145.626125659721</v>
      </c>
      <c r="N1416" t="s">
        <v>28</v>
      </c>
      <c r="P1416">
        <v>1</v>
      </c>
      <c r="R1416" t="s">
        <v>29</v>
      </c>
      <c r="S1416" t="s">
        <v>30</v>
      </c>
      <c r="T1416" t="s">
        <v>65</v>
      </c>
      <c r="U1416">
        <v>46.149166399999999</v>
      </c>
      <c r="V1416">
        <v>14.9860106</v>
      </c>
      <c r="W1416" t="str">
        <f t="shared" si="155"/>
        <v>ok</v>
      </c>
      <c r="X1416" t="str">
        <f t="shared" si="161"/>
        <v>ok</v>
      </c>
      <c r="Y1416" t="str">
        <f t="shared" si="156"/>
        <v>ok</v>
      </c>
      <c r="Z1416" t="str">
        <f t="shared" si="157"/>
        <v>ok</v>
      </c>
      <c r="AA1416" s="4" t="str">
        <f t="shared" si="158"/>
        <v>ok</v>
      </c>
      <c r="AB1416" s="4" t="str">
        <f t="shared" si="159"/>
        <v>ok</v>
      </c>
      <c r="AC1416" s="6">
        <f t="shared" si="160"/>
        <v>26.184515833330806</v>
      </c>
    </row>
    <row r="1417" spans="1:29" x14ac:dyDescent="0.3">
      <c r="A1417" t="s">
        <v>42</v>
      </c>
      <c r="B1417">
        <v>2808</v>
      </c>
      <c r="C1417" t="s">
        <v>33</v>
      </c>
      <c r="D1417" t="s">
        <v>24</v>
      </c>
      <c r="E1417" t="s">
        <v>59</v>
      </c>
      <c r="F1417" t="s">
        <v>26</v>
      </c>
      <c r="G1417" t="s">
        <v>49</v>
      </c>
      <c r="H1417" s="1">
        <v>45144.442824074074</v>
      </c>
      <c r="I1417" s="1">
        <v>45146.442824074074</v>
      </c>
      <c r="J1417" s="1">
        <v>45144.484490740739</v>
      </c>
      <c r="K1417" s="2">
        <v>45144.474759490739</v>
      </c>
      <c r="L1417" t="s">
        <v>28</v>
      </c>
      <c r="M1417" s="2">
        <v>45149.73501340278</v>
      </c>
      <c r="N1417" t="s">
        <v>38</v>
      </c>
      <c r="P1417">
        <v>10</v>
      </c>
      <c r="R1417" t="s">
        <v>29</v>
      </c>
      <c r="S1417" t="s">
        <v>30</v>
      </c>
      <c r="T1417" t="s">
        <v>63</v>
      </c>
      <c r="U1417">
        <v>55.378051999999997</v>
      </c>
      <c r="V1417">
        <v>-3.4359730000000002</v>
      </c>
      <c r="W1417" t="str">
        <f t="shared" si="155"/>
        <v>ok</v>
      </c>
      <c r="X1417" t="str">
        <f t="shared" si="161"/>
        <v>ok</v>
      </c>
      <c r="Y1417" t="str">
        <f t="shared" si="156"/>
        <v>ok</v>
      </c>
      <c r="Z1417" t="str">
        <f t="shared" si="157"/>
        <v>ok</v>
      </c>
      <c r="AA1417" s="4" t="str">
        <f t="shared" si="158"/>
        <v>ok</v>
      </c>
      <c r="AB1417" s="4" t="str">
        <f t="shared" si="159"/>
        <v>ok</v>
      </c>
      <c r="AC1417" s="6">
        <f t="shared" si="160"/>
        <v>127.01254388893722</v>
      </c>
    </row>
    <row r="1418" spans="1:29" x14ac:dyDescent="0.3">
      <c r="A1418" t="s">
        <v>22</v>
      </c>
      <c r="B1418">
        <v>2809</v>
      </c>
      <c r="C1418" t="s">
        <v>23</v>
      </c>
      <c r="D1418" t="s">
        <v>24</v>
      </c>
      <c r="E1418" t="s">
        <v>44</v>
      </c>
      <c r="F1418" t="s">
        <v>26</v>
      </c>
      <c r="G1418" t="s">
        <v>60</v>
      </c>
      <c r="H1418" s="1">
        <v>45144.577905092592</v>
      </c>
      <c r="I1418" s="1">
        <v>45146.577905092592</v>
      </c>
      <c r="J1418" s="1">
        <v>45144.619571759256</v>
      </c>
      <c r="K1418" s="2">
        <v>45144.598244768516</v>
      </c>
      <c r="L1418" t="s">
        <v>28</v>
      </c>
      <c r="M1418" s="2">
        <v>45146.331749699071</v>
      </c>
      <c r="N1418" t="s">
        <v>28</v>
      </c>
      <c r="O1418" s="2">
        <v>45146.962741423609</v>
      </c>
      <c r="P1418">
        <v>3</v>
      </c>
      <c r="Q1418">
        <v>5</v>
      </c>
      <c r="R1418" t="s">
        <v>50</v>
      </c>
      <c r="S1418" t="s">
        <v>30</v>
      </c>
      <c r="T1418" t="s">
        <v>58</v>
      </c>
      <c r="U1418">
        <v>49.8037633</v>
      </c>
      <c r="V1418">
        <v>15.4749126</v>
      </c>
      <c r="W1418" t="str">
        <f t="shared" si="155"/>
        <v>ok</v>
      </c>
      <c r="X1418" t="str">
        <f t="shared" si="161"/>
        <v>ok</v>
      </c>
      <c r="Y1418" t="str">
        <f t="shared" si="156"/>
        <v>ok</v>
      </c>
      <c r="Z1418" t="str">
        <f t="shared" si="157"/>
        <v>ok</v>
      </c>
      <c r="AA1418" s="4" t="str">
        <f t="shared" si="158"/>
        <v>ok</v>
      </c>
      <c r="AB1418" s="4" t="str">
        <f t="shared" si="159"/>
        <v>ok</v>
      </c>
      <c r="AC1418" s="6">
        <f t="shared" si="160"/>
        <v>42.092270555498544</v>
      </c>
    </row>
    <row r="1419" spans="1:29" x14ac:dyDescent="0.3">
      <c r="A1419" t="s">
        <v>22</v>
      </c>
      <c r="B1419">
        <v>2810</v>
      </c>
      <c r="C1419" t="s">
        <v>23</v>
      </c>
      <c r="D1419" t="s">
        <v>24</v>
      </c>
      <c r="E1419" t="s">
        <v>35</v>
      </c>
      <c r="F1419" t="s">
        <v>26</v>
      </c>
      <c r="G1419" t="s">
        <v>60</v>
      </c>
      <c r="H1419" s="1">
        <v>45144.74895833333</v>
      </c>
      <c r="I1419" s="1">
        <v>45146.74895833333</v>
      </c>
      <c r="J1419" s="1">
        <v>45144.790625000001</v>
      </c>
      <c r="K1419" s="2">
        <v>45144.775820347226</v>
      </c>
      <c r="L1419" t="s">
        <v>28</v>
      </c>
      <c r="M1419" s="2">
        <v>45144.896248460645</v>
      </c>
      <c r="N1419" t="s">
        <v>28</v>
      </c>
      <c r="O1419" s="2">
        <v>45150.279959722226</v>
      </c>
      <c r="P1419">
        <v>2</v>
      </c>
      <c r="Q1419">
        <v>5</v>
      </c>
      <c r="R1419" t="s">
        <v>39</v>
      </c>
      <c r="S1419" t="s">
        <v>30</v>
      </c>
      <c r="T1419" t="s">
        <v>58</v>
      </c>
      <c r="U1419">
        <v>49.8037633</v>
      </c>
      <c r="V1419">
        <v>15.4749126</v>
      </c>
      <c r="W1419" t="str">
        <f t="shared" si="155"/>
        <v>ok</v>
      </c>
      <c r="X1419" t="str">
        <f t="shared" si="161"/>
        <v>ok</v>
      </c>
      <c r="Y1419" t="str">
        <f t="shared" si="156"/>
        <v>ok</v>
      </c>
      <c r="Z1419" t="str">
        <f t="shared" si="157"/>
        <v>ok</v>
      </c>
      <c r="AA1419" s="4" t="str">
        <f t="shared" si="158"/>
        <v>ok</v>
      </c>
      <c r="AB1419" s="4" t="str">
        <f t="shared" si="159"/>
        <v>ok</v>
      </c>
      <c r="AC1419" s="6">
        <f t="shared" si="160"/>
        <v>3.5349630555720069</v>
      </c>
    </row>
    <row r="1420" spans="1:29" x14ac:dyDescent="0.3">
      <c r="A1420" t="s">
        <v>22</v>
      </c>
      <c r="B1420">
        <v>2811</v>
      </c>
      <c r="C1420" t="s">
        <v>23</v>
      </c>
      <c r="D1420" t="s">
        <v>24</v>
      </c>
      <c r="E1420" t="s">
        <v>48</v>
      </c>
      <c r="F1420" t="s">
        <v>26</v>
      </c>
      <c r="G1420" t="s">
        <v>45</v>
      </c>
      <c r="H1420" s="1">
        <v>45144.568229166667</v>
      </c>
      <c r="I1420" s="1">
        <v>45146.568229166667</v>
      </c>
      <c r="J1420" s="1">
        <v>45144.609895833331</v>
      </c>
      <c r="K1420" s="2">
        <v>45144.573035717593</v>
      </c>
      <c r="L1420" t="s">
        <v>28</v>
      </c>
      <c r="M1420" s="2">
        <v>45149.571860138887</v>
      </c>
      <c r="N1420" t="s">
        <v>38</v>
      </c>
      <c r="O1420" s="2">
        <v>45150.007541030092</v>
      </c>
      <c r="P1420">
        <v>2</v>
      </c>
      <c r="Q1420">
        <v>5</v>
      </c>
      <c r="R1420" t="s">
        <v>50</v>
      </c>
      <c r="S1420" t="s">
        <v>30</v>
      </c>
      <c r="T1420" t="s">
        <v>66</v>
      </c>
      <c r="U1420">
        <v>48.864716000000001</v>
      </c>
      <c r="V1420">
        <v>2.3490139999999999</v>
      </c>
      <c r="W1420" t="str">
        <f t="shared" si="155"/>
        <v>ok</v>
      </c>
      <c r="X1420" t="str">
        <f t="shared" si="161"/>
        <v>ok</v>
      </c>
      <c r="Y1420" t="str">
        <f t="shared" si="156"/>
        <v>ok</v>
      </c>
      <c r="Z1420" t="str">
        <f t="shared" si="157"/>
        <v>ok</v>
      </c>
      <c r="AA1420" s="4" t="str">
        <f t="shared" si="158"/>
        <v>ok</v>
      </c>
      <c r="AB1420" s="4" t="str">
        <f t="shared" si="159"/>
        <v>ok</v>
      </c>
      <c r="AC1420" s="6">
        <f t="shared" si="160"/>
        <v>120.08714333327953</v>
      </c>
    </row>
    <row r="1421" spans="1:29" x14ac:dyDescent="0.3">
      <c r="A1421" t="s">
        <v>42</v>
      </c>
      <c r="B1421">
        <v>2812</v>
      </c>
      <c r="C1421" t="s">
        <v>33</v>
      </c>
      <c r="D1421" t="s">
        <v>24</v>
      </c>
      <c r="E1421" t="s">
        <v>44</v>
      </c>
      <c r="F1421" t="s">
        <v>26</v>
      </c>
      <c r="G1421" t="s">
        <v>49</v>
      </c>
      <c r="H1421" s="1">
        <v>45145.532453703701</v>
      </c>
      <c r="I1421" s="1">
        <v>45147.532453703701</v>
      </c>
      <c r="J1421" s="1">
        <v>45145.574120370373</v>
      </c>
      <c r="K1421" s="2">
        <v>45145.800547916668</v>
      </c>
      <c r="L1421" t="s">
        <v>38</v>
      </c>
      <c r="M1421" s="2">
        <v>45145.859008113424</v>
      </c>
      <c r="N1421" t="s">
        <v>28</v>
      </c>
      <c r="P1421">
        <v>1</v>
      </c>
      <c r="R1421" t="s">
        <v>39</v>
      </c>
      <c r="S1421" t="s">
        <v>30</v>
      </c>
      <c r="T1421" t="s">
        <v>61</v>
      </c>
      <c r="U1421">
        <v>42.724992499999999</v>
      </c>
      <c r="V1421">
        <v>25.483303899999999</v>
      </c>
      <c r="W1421" t="str">
        <f t="shared" si="155"/>
        <v>ok</v>
      </c>
      <c r="X1421" t="str">
        <f t="shared" si="161"/>
        <v>ok</v>
      </c>
      <c r="Y1421" t="str">
        <f t="shared" si="156"/>
        <v>ok</v>
      </c>
      <c r="Z1421" t="str">
        <f t="shared" si="157"/>
        <v>ok</v>
      </c>
      <c r="AA1421" s="4" t="str">
        <f t="shared" si="158"/>
        <v>ok</v>
      </c>
      <c r="AB1421" s="4" t="str">
        <f t="shared" si="159"/>
        <v>ok</v>
      </c>
      <c r="AC1421" s="6">
        <f t="shared" si="160"/>
        <v>7.8373058333527297</v>
      </c>
    </row>
    <row r="1422" spans="1:29" x14ac:dyDescent="0.3">
      <c r="A1422" t="s">
        <v>32</v>
      </c>
      <c r="B1422">
        <v>2813</v>
      </c>
      <c r="C1422" t="s">
        <v>23</v>
      </c>
      <c r="D1422" t="s">
        <v>24</v>
      </c>
      <c r="E1422" t="s">
        <v>59</v>
      </c>
      <c r="F1422" t="s">
        <v>36</v>
      </c>
      <c r="G1422" t="s">
        <v>54</v>
      </c>
      <c r="H1422" s="1">
        <v>45145.46912037037</v>
      </c>
      <c r="I1422" s="1">
        <v>45147.46912037037</v>
      </c>
      <c r="J1422" s="1">
        <v>45145.510787037034</v>
      </c>
      <c r="K1422" s="2">
        <v>45145.474676817132</v>
      </c>
      <c r="L1422" t="s">
        <v>28</v>
      </c>
      <c r="N1422" t="s">
        <v>38</v>
      </c>
      <c r="P1422">
        <v>10</v>
      </c>
      <c r="R1422" t="s">
        <v>39</v>
      </c>
      <c r="S1422" t="s">
        <v>40</v>
      </c>
      <c r="T1422" t="s">
        <v>57</v>
      </c>
      <c r="U1422">
        <v>51.165691000000002</v>
      </c>
      <c r="V1422">
        <v>10.451525999999999</v>
      </c>
      <c r="W1422" t="str">
        <f t="shared" si="155"/>
        <v>ok</v>
      </c>
      <c r="X1422" t="str">
        <f t="shared" si="161"/>
        <v>ok</v>
      </c>
      <c r="Y1422" t="str">
        <f t="shared" si="156"/>
        <v>ok</v>
      </c>
      <c r="Z1422" t="str">
        <f t="shared" si="157"/>
        <v>ok</v>
      </c>
      <c r="AA1422" s="4" t="str">
        <f t="shared" si="158"/>
        <v>ok</v>
      </c>
      <c r="AB1422" s="4" t="str">
        <f t="shared" si="159"/>
        <v>no resolution</v>
      </c>
      <c r="AC1422" s="6" t="str">
        <f t="shared" si="160"/>
        <v/>
      </c>
    </row>
    <row r="1423" spans="1:29" x14ac:dyDescent="0.3">
      <c r="A1423" t="s">
        <v>42</v>
      </c>
      <c r="B1423">
        <v>2814</v>
      </c>
      <c r="C1423" t="s">
        <v>23</v>
      </c>
      <c r="D1423" t="s">
        <v>24</v>
      </c>
      <c r="E1423" t="s">
        <v>62</v>
      </c>
      <c r="F1423" t="s">
        <v>26</v>
      </c>
      <c r="G1423" t="s">
        <v>27</v>
      </c>
      <c r="H1423" s="1">
        <v>45145.82236111111</v>
      </c>
      <c r="I1423" s="1">
        <v>45147.82236111111</v>
      </c>
      <c r="J1423" s="1">
        <v>45145.864027777781</v>
      </c>
      <c r="K1423" s="2">
        <v>45145.85923170139</v>
      </c>
      <c r="L1423" t="s">
        <v>28</v>
      </c>
      <c r="M1423" s="2">
        <v>45147.159267407405</v>
      </c>
      <c r="N1423" t="s">
        <v>28</v>
      </c>
      <c r="P1423">
        <v>2</v>
      </c>
      <c r="R1423" t="s">
        <v>55</v>
      </c>
      <c r="S1423" t="s">
        <v>30</v>
      </c>
      <c r="T1423" t="s">
        <v>57</v>
      </c>
      <c r="U1423">
        <v>51.165691000000002</v>
      </c>
      <c r="V1423">
        <v>10.451525999999999</v>
      </c>
      <c r="W1423" t="str">
        <f t="shared" si="155"/>
        <v>ok</v>
      </c>
      <c r="X1423" t="str">
        <f t="shared" si="161"/>
        <v>ok</v>
      </c>
      <c r="Y1423" t="str">
        <f t="shared" si="156"/>
        <v>ok</v>
      </c>
      <c r="Z1423" t="str">
        <f t="shared" si="157"/>
        <v>ok</v>
      </c>
      <c r="AA1423" s="4" t="str">
        <f t="shared" si="158"/>
        <v>ok</v>
      </c>
      <c r="AB1423" s="4" t="str">
        <f t="shared" si="159"/>
        <v>ok</v>
      </c>
      <c r="AC1423" s="6">
        <f t="shared" si="160"/>
        <v>32.085751111095306</v>
      </c>
    </row>
    <row r="1424" spans="1:29" x14ac:dyDescent="0.3">
      <c r="A1424" t="s">
        <v>22</v>
      </c>
      <c r="B1424">
        <v>2815</v>
      </c>
      <c r="C1424" t="s">
        <v>23</v>
      </c>
      <c r="D1424" t="s">
        <v>24</v>
      </c>
      <c r="E1424" t="s">
        <v>25</v>
      </c>
      <c r="F1424" t="s">
        <v>26</v>
      </c>
      <c r="G1424" t="s">
        <v>60</v>
      </c>
      <c r="H1424" s="1">
        <v>45145.98196759259</v>
      </c>
      <c r="I1424" s="1">
        <v>45147.98196759259</v>
      </c>
      <c r="J1424" s="1">
        <v>45146.023634259262</v>
      </c>
      <c r="K1424" s="2">
        <v>45145.984996435189</v>
      </c>
      <c r="L1424" t="s">
        <v>28</v>
      </c>
      <c r="M1424" s="2">
        <v>45146.294847407407</v>
      </c>
      <c r="N1424" t="s">
        <v>28</v>
      </c>
      <c r="O1424" s="2">
        <v>45152.004605092596</v>
      </c>
      <c r="P1424">
        <v>1</v>
      </c>
      <c r="Q1424">
        <v>3</v>
      </c>
      <c r="R1424" t="s">
        <v>50</v>
      </c>
      <c r="S1424" t="s">
        <v>30</v>
      </c>
      <c r="T1424" t="s">
        <v>56</v>
      </c>
      <c r="U1424">
        <v>52.536273000000001</v>
      </c>
      <c r="V1424">
        <v>19.050639</v>
      </c>
      <c r="W1424" t="str">
        <f t="shared" si="155"/>
        <v>ok</v>
      </c>
      <c r="X1424" t="str">
        <f t="shared" si="161"/>
        <v>ok</v>
      </c>
      <c r="Y1424" t="str">
        <f t="shared" si="156"/>
        <v>ok</v>
      </c>
      <c r="Z1424" t="str">
        <f t="shared" si="157"/>
        <v>ok</v>
      </c>
      <c r="AA1424" s="4" t="str">
        <f t="shared" si="158"/>
        <v>ok</v>
      </c>
      <c r="AB1424" s="4" t="str">
        <f t="shared" si="159"/>
        <v>ok</v>
      </c>
      <c r="AC1424" s="6">
        <f t="shared" si="160"/>
        <v>7.5091155556146987</v>
      </c>
    </row>
    <row r="1425" spans="1:29" x14ac:dyDescent="0.3">
      <c r="A1425" t="s">
        <v>32</v>
      </c>
      <c r="B1425">
        <v>2816</v>
      </c>
      <c r="C1425" t="s">
        <v>47</v>
      </c>
      <c r="D1425" t="s">
        <v>43</v>
      </c>
      <c r="E1425" t="s">
        <v>59</v>
      </c>
      <c r="F1425" t="s">
        <v>26</v>
      </c>
      <c r="G1425" t="s">
        <v>52</v>
      </c>
      <c r="H1425" s="1">
        <v>45145.632581018515</v>
      </c>
      <c r="I1425" s="1">
        <v>45146.632581018515</v>
      </c>
      <c r="J1425" s="1">
        <v>45145.633969907409</v>
      </c>
      <c r="K1425" s="2">
        <v>45145.634119421295</v>
      </c>
      <c r="L1425" t="s">
        <v>38</v>
      </c>
      <c r="N1425" t="s">
        <v>38</v>
      </c>
      <c r="P1425">
        <v>6</v>
      </c>
      <c r="R1425" t="s">
        <v>29</v>
      </c>
      <c r="S1425" t="s">
        <v>30</v>
      </c>
      <c r="T1425" t="s">
        <v>65</v>
      </c>
      <c r="U1425">
        <v>46.149166399999999</v>
      </c>
      <c r="V1425">
        <v>14.9860106</v>
      </c>
      <c r="W1425" t="str">
        <f t="shared" si="155"/>
        <v>ok</v>
      </c>
      <c r="X1425" t="str">
        <f t="shared" si="161"/>
        <v>ok</v>
      </c>
      <c r="Y1425" t="str">
        <f t="shared" si="156"/>
        <v>ok</v>
      </c>
      <c r="Z1425" t="str">
        <f t="shared" si="157"/>
        <v>ok</v>
      </c>
      <c r="AA1425" s="4" t="str">
        <f t="shared" si="158"/>
        <v>ok</v>
      </c>
      <c r="AB1425" s="4" t="str">
        <f t="shared" si="159"/>
        <v>no resolution</v>
      </c>
      <c r="AC1425" s="6" t="str">
        <f t="shared" si="160"/>
        <v/>
      </c>
    </row>
    <row r="1426" spans="1:29" x14ac:dyDescent="0.3">
      <c r="A1426" t="s">
        <v>22</v>
      </c>
      <c r="B1426">
        <v>2817</v>
      </c>
      <c r="C1426" t="s">
        <v>47</v>
      </c>
      <c r="D1426" t="s">
        <v>24</v>
      </c>
      <c r="E1426" t="s">
        <v>44</v>
      </c>
      <c r="F1426" t="s">
        <v>26</v>
      </c>
      <c r="G1426" t="s">
        <v>52</v>
      </c>
      <c r="H1426" s="1">
        <v>45145.936805555553</v>
      </c>
      <c r="I1426" s="1">
        <v>45147.936805555553</v>
      </c>
      <c r="J1426" s="1">
        <v>45145.978472222225</v>
      </c>
      <c r="K1426" s="2">
        <v>45145.966885381946</v>
      </c>
      <c r="L1426" t="s">
        <v>28</v>
      </c>
      <c r="M1426" s="2">
        <v>45149.674565486108</v>
      </c>
      <c r="N1426" t="s">
        <v>38</v>
      </c>
      <c r="O1426" s="2">
        <v>45150.95362537037</v>
      </c>
      <c r="P1426">
        <v>4</v>
      </c>
      <c r="Q1426">
        <v>5</v>
      </c>
      <c r="R1426" t="s">
        <v>50</v>
      </c>
      <c r="S1426" t="s">
        <v>30</v>
      </c>
      <c r="T1426" t="s">
        <v>66</v>
      </c>
      <c r="U1426">
        <v>48.864716000000001</v>
      </c>
      <c r="V1426">
        <v>2.3490139999999999</v>
      </c>
      <c r="W1426" t="str">
        <f t="shared" si="155"/>
        <v>ok</v>
      </c>
      <c r="X1426" t="str">
        <f t="shared" si="161"/>
        <v>ok</v>
      </c>
      <c r="Y1426" t="str">
        <f t="shared" si="156"/>
        <v>ok</v>
      </c>
      <c r="Z1426" t="str">
        <f t="shared" si="157"/>
        <v>ok</v>
      </c>
      <c r="AA1426" s="4" t="str">
        <f t="shared" si="158"/>
        <v>ok</v>
      </c>
      <c r="AB1426" s="4" t="str">
        <f t="shared" si="159"/>
        <v>ok</v>
      </c>
      <c r="AC1426" s="6">
        <f t="shared" si="160"/>
        <v>89.706238333310466</v>
      </c>
    </row>
    <row r="1427" spans="1:29" x14ac:dyDescent="0.3">
      <c r="A1427" t="s">
        <v>22</v>
      </c>
      <c r="B1427">
        <v>2818</v>
      </c>
      <c r="C1427" t="s">
        <v>23</v>
      </c>
      <c r="D1427" t="s">
        <v>24</v>
      </c>
      <c r="E1427" t="s">
        <v>44</v>
      </c>
      <c r="F1427" t="s">
        <v>26</v>
      </c>
      <c r="G1427" t="s">
        <v>52</v>
      </c>
      <c r="H1427" s="1">
        <v>45146.403356481482</v>
      </c>
      <c r="I1427" s="1">
        <v>45148.403356481482</v>
      </c>
      <c r="J1427" s="1">
        <v>45146.445023148146</v>
      </c>
      <c r="K1427" s="2">
        <v>45146.428177581016</v>
      </c>
      <c r="L1427" t="s">
        <v>28</v>
      </c>
      <c r="M1427" s="2">
        <v>45148.036089606481</v>
      </c>
      <c r="N1427" t="s">
        <v>28</v>
      </c>
      <c r="O1427" s="2">
        <v>45149.867304502317</v>
      </c>
      <c r="P1427">
        <v>3</v>
      </c>
      <c r="Q1427">
        <v>5</v>
      </c>
      <c r="R1427" t="s">
        <v>55</v>
      </c>
      <c r="S1427" t="s">
        <v>30</v>
      </c>
      <c r="T1427" t="s">
        <v>56</v>
      </c>
      <c r="U1427">
        <v>52.536273000000001</v>
      </c>
      <c r="V1427">
        <v>19.050639</v>
      </c>
      <c r="W1427" t="str">
        <f t="shared" si="155"/>
        <v>ok</v>
      </c>
      <c r="X1427" t="str">
        <f t="shared" si="161"/>
        <v>ok</v>
      </c>
      <c r="Y1427" t="str">
        <f t="shared" si="156"/>
        <v>ok</v>
      </c>
      <c r="Z1427" t="str">
        <f t="shared" si="157"/>
        <v>ok</v>
      </c>
      <c r="AA1427" s="4" t="str">
        <f t="shared" si="158"/>
        <v>ok</v>
      </c>
      <c r="AB1427" s="4" t="str">
        <f t="shared" si="159"/>
        <v>ok</v>
      </c>
      <c r="AC1427" s="6">
        <f t="shared" si="160"/>
        <v>39.185594999988098</v>
      </c>
    </row>
    <row r="1428" spans="1:29" x14ac:dyDescent="0.3">
      <c r="A1428" t="s">
        <v>42</v>
      </c>
      <c r="B1428">
        <v>2819</v>
      </c>
      <c r="C1428" t="s">
        <v>23</v>
      </c>
      <c r="D1428" t="s">
        <v>34</v>
      </c>
      <c r="E1428" t="s">
        <v>44</v>
      </c>
      <c r="F1428" t="s">
        <v>26</v>
      </c>
      <c r="G1428" t="s">
        <v>49</v>
      </c>
      <c r="H1428" s="1">
        <v>45146.881550925929</v>
      </c>
      <c r="I1428" s="1">
        <v>45148.881550925929</v>
      </c>
      <c r="J1428" s="1">
        <v>45146.882939814815</v>
      </c>
      <c r="K1428" s="2">
        <v>45146.882828553244</v>
      </c>
      <c r="L1428" t="s">
        <v>28</v>
      </c>
      <c r="M1428" s="2">
        <v>45148.750371759263</v>
      </c>
      <c r="N1428" t="s">
        <v>28</v>
      </c>
      <c r="P1428">
        <v>1</v>
      </c>
      <c r="R1428" t="s">
        <v>50</v>
      </c>
      <c r="S1428" t="s">
        <v>30</v>
      </c>
      <c r="T1428" t="s">
        <v>61</v>
      </c>
      <c r="U1428">
        <v>42.724992499999999</v>
      </c>
      <c r="V1428">
        <v>25.483303899999999</v>
      </c>
      <c r="W1428" t="str">
        <f t="shared" si="155"/>
        <v>ok</v>
      </c>
      <c r="X1428" t="str">
        <f t="shared" si="161"/>
        <v>ok</v>
      </c>
      <c r="Y1428" t="str">
        <f t="shared" si="156"/>
        <v>ok</v>
      </c>
      <c r="Z1428" t="str">
        <f t="shared" si="157"/>
        <v>ok</v>
      </c>
      <c r="AA1428" s="4" t="str">
        <f t="shared" si="158"/>
        <v>ok</v>
      </c>
      <c r="AB1428" s="4" t="str">
        <f t="shared" si="159"/>
        <v>ok</v>
      </c>
      <c r="AC1428" s="6">
        <f t="shared" si="160"/>
        <v>44.851699999999255</v>
      </c>
    </row>
    <row r="1429" spans="1:29" x14ac:dyDescent="0.3">
      <c r="A1429" t="s">
        <v>42</v>
      </c>
      <c r="B1429">
        <v>2820</v>
      </c>
      <c r="C1429" t="s">
        <v>47</v>
      </c>
      <c r="D1429" t="s">
        <v>43</v>
      </c>
      <c r="E1429" t="s">
        <v>39</v>
      </c>
      <c r="F1429" t="s">
        <v>26</v>
      </c>
      <c r="G1429" t="s">
        <v>45</v>
      </c>
      <c r="H1429" s="1">
        <v>45146.941296296296</v>
      </c>
      <c r="I1429" s="1">
        <v>45147.941296296296</v>
      </c>
      <c r="J1429" s="1">
        <v>45146.942685185182</v>
      </c>
      <c r="K1429" s="2">
        <v>45146.942381527777</v>
      </c>
      <c r="L1429" t="s">
        <v>28</v>
      </c>
      <c r="M1429" s="2">
        <v>45147.699391875001</v>
      </c>
      <c r="N1429" t="s">
        <v>28</v>
      </c>
      <c r="P1429">
        <v>6</v>
      </c>
      <c r="R1429" t="s">
        <v>29</v>
      </c>
      <c r="S1429" t="s">
        <v>30</v>
      </c>
      <c r="T1429" t="s">
        <v>61</v>
      </c>
      <c r="U1429">
        <v>42.724992499999999</v>
      </c>
      <c r="V1429">
        <v>25.483303899999999</v>
      </c>
      <c r="W1429" t="str">
        <f t="shared" si="155"/>
        <v>ok</v>
      </c>
      <c r="X1429" t="str">
        <f t="shared" si="161"/>
        <v>ok</v>
      </c>
      <c r="Y1429" t="str">
        <f t="shared" si="156"/>
        <v>ok</v>
      </c>
      <c r="Z1429" t="str">
        <f t="shared" si="157"/>
        <v>ok</v>
      </c>
      <c r="AA1429" s="4" t="str">
        <f t="shared" si="158"/>
        <v>ok</v>
      </c>
      <c r="AB1429" s="4" t="str">
        <f t="shared" si="159"/>
        <v>ok</v>
      </c>
      <c r="AC1429" s="6">
        <f t="shared" si="160"/>
        <v>18.19429388892604</v>
      </c>
    </row>
    <row r="1430" spans="1:29" x14ac:dyDescent="0.3">
      <c r="A1430" t="s">
        <v>22</v>
      </c>
      <c r="B1430">
        <v>2821</v>
      </c>
      <c r="C1430" t="s">
        <v>47</v>
      </c>
      <c r="D1430" t="s">
        <v>43</v>
      </c>
      <c r="E1430" t="s">
        <v>62</v>
      </c>
      <c r="F1430" t="s">
        <v>26</v>
      </c>
      <c r="G1430" t="s">
        <v>27</v>
      </c>
      <c r="H1430" s="1">
        <v>45146.035381944443</v>
      </c>
      <c r="I1430" s="1">
        <v>45147.035381944443</v>
      </c>
      <c r="J1430" s="1">
        <v>45146.036770833336</v>
      </c>
      <c r="K1430" s="2">
        <v>45146.036429594904</v>
      </c>
      <c r="L1430" t="s">
        <v>28</v>
      </c>
      <c r="M1430" s="2">
        <v>45146.768923483796</v>
      </c>
      <c r="N1430" t="s">
        <v>28</v>
      </c>
      <c r="O1430" s="2">
        <v>45150.282886377317</v>
      </c>
      <c r="P1430">
        <v>6</v>
      </c>
      <c r="Q1430">
        <v>4</v>
      </c>
      <c r="R1430" t="s">
        <v>55</v>
      </c>
      <c r="S1430" t="s">
        <v>30</v>
      </c>
      <c r="T1430" t="s">
        <v>56</v>
      </c>
      <c r="U1430">
        <v>52.536273000000001</v>
      </c>
      <c r="V1430">
        <v>19.050639</v>
      </c>
      <c r="W1430" t="str">
        <f t="shared" si="155"/>
        <v>ok</v>
      </c>
      <c r="X1430" t="str">
        <f t="shared" si="161"/>
        <v>ok</v>
      </c>
      <c r="Y1430" t="str">
        <f t="shared" si="156"/>
        <v>ok</v>
      </c>
      <c r="Z1430" t="str">
        <f t="shared" si="157"/>
        <v>ok</v>
      </c>
      <c r="AA1430" s="4" t="str">
        <f t="shared" si="158"/>
        <v>ok</v>
      </c>
      <c r="AB1430" s="4" t="str">
        <f t="shared" si="159"/>
        <v>ok</v>
      </c>
      <c r="AC1430" s="6">
        <f t="shared" si="160"/>
        <v>17.604996944486629</v>
      </c>
    </row>
    <row r="1431" spans="1:29" x14ac:dyDescent="0.3">
      <c r="A1431" t="s">
        <v>22</v>
      </c>
      <c r="B1431">
        <v>2822</v>
      </c>
      <c r="C1431" t="s">
        <v>23</v>
      </c>
      <c r="D1431" t="s">
        <v>34</v>
      </c>
      <c r="E1431" t="s">
        <v>35</v>
      </c>
      <c r="F1431" t="s">
        <v>26</v>
      </c>
      <c r="G1431" t="s">
        <v>60</v>
      </c>
      <c r="H1431" s="1">
        <v>45146.327615740738</v>
      </c>
      <c r="I1431" s="1">
        <v>45148.327615740738</v>
      </c>
      <c r="J1431" s="1">
        <v>45146.329004629632</v>
      </c>
      <c r="K1431" s="2">
        <v>45146.328796203707</v>
      </c>
      <c r="L1431" t="s">
        <v>28</v>
      </c>
      <c r="M1431" s="2">
        <v>45149.86173193287</v>
      </c>
      <c r="N1431" t="s">
        <v>38</v>
      </c>
      <c r="O1431" s="2">
        <v>45150.055075277778</v>
      </c>
      <c r="P1431">
        <v>4</v>
      </c>
      <c r="Q1431">
        <v>1</v>
      </c>
      <c r="R1431" t="s">
        <v>55</v>
      </c>
      <c r="S1431" t="s">
        <v>30</v>
      </c>
      <c r="T1431" t="s">
        <v>41</v>
      </c>
      <c r="U1431">
        <v>43.036776000000003</v>
      </c>
      <c r="V1431">
        <v>12.678565000000001</v>
      </c>
      <c r="W1431" t="str">
        <f t="shared" si="155"/>
        <v>ok</v>
      </c>
      <c r="X1431" t="str">
        <f t="shared" si="161"/>
        <v>ok</v>
      </c>
      <c r="Y1431" t="str">
        <f t="shared" si="156"/>
        <v>ok</v>
      </c>
      <c r="Z1431" t="str">
        <f t="shared" si="157"/>
        <v>ok</v>
      </c>
      <c r="AA1431" s="4" t="str">
        <f t="shared" si="158"/>
        <v>ok</v>
      </c>
      <c r="AB1431" s="4" t="str">
        <f t="shared" si="159"/>
        <v>ok</v>
      </c>
      <c r="AC1431" s="6">
        <f t="shared" si="160"/>
        <v>84.818788611155469</v>
      </c>
    </row>
    <row r="1432" spans="1:29" x14ac:dyDescent="0.3">
      <c r="A1432" t="s">
        <v>22</v>
      </c>
      <c r="B1432">
        <v>2823</v>
      </c>
      <c r="C1432" t="s">
        <v>33</v>
      </c>
      <c r="D1432" t="s">
        <v>24</v>
      </c>
      <c r="E1432" t="s">
        <v>25</v>
      </c>
      <c r="F1432" t="s">
        <v>36</v>
      </c>
      <c r="G1432" t="s">
        <v>37</v>
      </c>
      <c r="H1432" s="1">
        <v>45146.057337962964</v>
      </c>
      <c r="I1432" s="1">
        <v>45148.057337962964</v>
      </c>
      <c r="J1432" s="1">
        <v>45146.099004629628</v>
      </c>
      <c r="K1432" s="2">
        <v>45146.073165729169</v>
      </c>
      <c r="L1432" t="s">
        <v>28</v>
      </c>
      <c r="M1432" s="2">
        <v>45147.025515856483</v>
      </c>
      <c r="N1432" t="s">
        <v>28</v>
      </c>
      <c r="O1432" s="2">
        <v>45147.43748818287</v>
      </c>
      <c r="P1432">
        <v>1</v>
      </c>
      <c r="Q1432">
        <v>3</v>
      </c>
      <c r="R1432" t="s">
        <v>50</v>
      </c>
      <c r="S1432" t="s">
        <v>40</v>
      </c>
      <c r="T1432" t="s">
        <v>57</v>
      </c>
      <c r="U1432">
        <v>51.165691000000002</v>
      </c>
      <c r="V1432">
        <v>10.451525999999999</v>
      </c>
      <c r="W1432" t="str">
        <f t="shared" si="155"/>
        <v>ok</v>
      </c>
      <c r="X1432" t="str">
        <f t="shared" si="161"/>
        <v>ok</v>
      </c>
      <c r="Y1432" t="str">
        <f t="shared" si="156"/>
        <v>ok</v>
      </c>
      <c r="Z1432" t="str">
        <f t="shared" si="157"/>
        <v>ok</v>
      </c>
      <c r="AA1432" s="4" t="str">
        <f t="shared" si="158"/>
        <v>ok</v>
      </c>
      <c r="AB1432" s="4" t="str">
        <f t="shared" si="159"/>
        <v>ok</v>
      </c>
      <c r="AC1432" s="6">
        <f t="shared" si="160"/>
        <v>23.236269444460049</v>
      </c>
    </row>
    <row r="1433" spans="1:29" x14ac:dyDescent="0.3">
      <c r="A1433" t="s">
        <v>22</v>
      </c>
      <c r="B1433">
        <v>2824</v>
      </c>
      <c r="C1433" t="s">
        <v>23</v>
      </c>
      <c r="D1433" t="s">
        <v>24</v>
      </c>
      <c r="E1433" t="s">
        <v>44</v>
      </c>
      <c r="F1433" t="s">
        <v>26</v>
      </c>
      <c r="G1433" t="s">
        <v>45</v>
      </c>
      <c r="H1433" s="1">
        <v>45146.237928240742</v>
      </c>
      <c r="I1433" s="1">
        <v>45148.237928240742</v>
      </c>
      <c r="J1433" s="1">
        <v>45146.279594907406</v>
      </c>
      <c r="K1433" s="2">
        <v>45146.242619189812</v>
      </c>
      <c r="L1433" t="s">
        <v>28</v>
      </c>
      <c r="M1433" s="2">
        <v>45147.286925266206</v>
      </c>
      <c r="N1433" t="s">
        <v>28</v>
      </c>
      <c r="O1433" s="2">
        <v>45148.517665381944</v>
      </c>
      <c r="P1433">
        <v>2</v>
      </c>
      <c r="Q1433">
        <v>5</v>
      </c>
      <c r="R1433" t="s">
        <v>50</v>
      </c>
      <c r="S1433" t="s">
        <v>30</v>
      </c>
      <c r="T1433" t="s">
        <v>65</v>
      </c>
      <c r="U1433">
        <v>46.149166399999999</v>
      </c>
      <c r="V1433">
        <v>14.9860106</v>
      </c>
      <c r="W1433" t="str">
        <f t="shared" si="155"/>
        <v>ok</v>
      </c>
      <c r="X1433" t="str">
        <f t="shared" si="161"/>
        <v>ok</v>
      </c>
      <c r="Y1433" t="str">
        <f t="shared" si="156"/>
        <v>ok</v>
      </c>
      <c r="Z1433" t="str">
        <f t="shared" si="157"/>
        <v>ok</v>
      </c>
      <c r="AA1433" s="4" t="str">
        <f t="shared" si="158"/>
        <v>ok</v>
      </c>
      <c r="AB1433" s="4" t="str">
        <f t="shared" si="159"/>
        <v>ok</v>
      </c>
      <c r="AC1433" s="6">
        <f t="shared" si="160"/>
        <v>25.175928611133713</v>
      </c>
    </row>
    <row r="1434" spans="1:29" x14ac:dyDescent="0.3">
      <c r="A1434" t="s">
        <v>42</v>
      </c>
      <c r="B1434">
        <v>2825</v>
      </c>
      <c r="C1434" t="s">
        <v>47</v>
      </c>
      <c r="D1434" t="s">
        <v>43</v>
      </c>
      <c r="E1434" t="s">
        <v>35</v>
      </c>
      <c r="F1434" t="s">
        <v>26</v>
      </c>
      <c r="G1434" t="s">
        <v>49</v>
      </c>
      <c r="H1434" s="1">
        <v>45147.85565972222</v>
      </c>
      <c r="I1434" s="1">
        <v>45148.85565972222</v>
      </c>
      <c r="J1434" s="1">
        <v>45147.857048611113</v>
      </c>
      <c r="K1434" s="2">
        <v>45147.855963703703</v>
      </c>
      <c r="L1434" t="s">
        <v>28</v>
      </c>
      <c r="M1434" s="2">
        <v>45147.961979537038</v>
      </c>
      <c r="N1434" t="s">
        <v>28</v>
      </c>
      <c r="P1434">
        <v>8</v>
      </c>
      <c r="R1434" t="s">
        <v>50</v>
      </c>
      <c r="S1434" t="s">
        <v>30</v>
      </c>
      <c r="T1434" t="s">
        <v>41</v>
      </c>
      <c r="U1434">
        <v>43.036776000000003</v>
      </c>
      <c r="V1434">
        <v>12.678565000000001</v>
      </c>
      <c r="W1434" t="str">
        <f t="shared" si="155"/>
        <v>ok</v>
      </c>
      <c r="X1434" t="str">
        <f t="shared" si="161"/>
        <v>ok</v>
      </c>
      <c r="Y1434" t="str">
        <f t="shared" si="156"/>
        <v>ok</v>
      </c>
      <c r="Z1434" t="str">
        <f t="shared" si="157"/>
        <v>ok</v>
      </c>
      <c r="AA1434" s="4" t="str">
        <f t="shared" si="158"/>
        <v>ok</v>
      </c>
      <c r="AB1434" s="4" t="str">
        <f t="shared" si="159"/>
        <v>ok</v>
      </c>
      <c r="AC1434" s="6">
        <f t="shared" si="160"/>
        <v>2.5516755556454882</v>
      </c>
    </row>
    <row r="1435" spans="1:29" x14ac:dyDescent="0.3">
      <c r="A1435" t="s">
        <v>32</v>
      </c>
      <c r="B1435">
        <v>2826</v>
      </c>
      <c r="C1435" t="s">
        <v>47</v>
      </c>
      <c r="D1435" t="s">
        <v>24</v>
      </c>
      <c r="E1435" t="s">
        <v>48</v>
      </c>
      <c r="F1435" t="s">
        <v>26</v>
      </c>
      <c r="G1435" t="s">
        <v>49</v>
      </c>
      <c r="H1435" s="1">
        <v>45147.371932870374</v>
      </c>
      <c r="I1435" s="1">
        <v>45149.371932870374</v>
      </c>
      <c r="J1435" s="1">
        <v>45147.413599537038</v>
      </c>
      <c r="K1435" s="2">
        <v>45147.384323703707</v>
      </c>
      <c r="L1435" t="s">
        <v>28</v>
      </c>
      <c r="N1435" t="s">
        <v>38</v>
      </c>
      <c r="P1435">
        <v>3</v>
      </c>
      <c r="R1435" t="s">
        <v>29</v>
      </c>
      <c r="S1435" t="s">
        <v>30</v>
      </c>
      <c r="T1435" t="s">
        <v>65</v>
      </c>
      <c r="U1435">
        <v>46.149166399999999</v>
      </c>
      <c r="V1435">
        <v>14.9860106</v>
      </c>
      <c r="W1435" t="str">
        <f t="shared" si="155"/>
        <v>ok</v>
      </c>
      <c r="X1435" t="str">
        <f t="shared" si="161"/>
        <v>ok</v>
      </c>
      <c r="Y1435" t="str">
        <f t="shared" si="156"/>
        <v>ok</v>
      </c>
      <c r="Z1435" t="str">
        <f t="shared" si="157"/>
        <v>ok</v>
      </c>
      <c r="AA1435" s="4" t="str">
        <f t="shared" si="158"/>
        <v>ok</v>
      </c>
      <c r="AB1435" s="4" t="str">
        <f t="shared" si="159"/>
        <v>no resolution</v>
      </c>
      <c r="AC1435" s="6" t="str">
        <f t="shared" si="160"/>
        <v/>
      </c>
    </row>
    <row r="1436" spans="1:29" x14ac:dyDescent="0.3">
      <c r="A1436" t="s">
        <v>42</v>
      </c>
      <c r="B1436">
        <v>2827</v>
      </c>
      <c r="C1436" t="s">
        <v>33</v>
      </c>
      <c r="D1436" t="s">
        <v>24</v>
      </c>
      <c r="E1436" t="s">
        <v>59</v>
      </c>
      <c r="F1436" t="s">
        <v>26</v>
      </c>
      <c r="G1436" t="s">
        <v>45</v>
      </c>
      <c r="H1436" s="1">
        <v>45147.462465277778</v>
      </c>
      <c r="I1436" s="1">
        <v>45149.462465277778</v>
      </c>
      <c r="J1436" s="1">
        <v>45147.504131944443</v>
      </c>
      <c r="K1436" s="2">
        <v>45147.503230312497</v>
      </c>
      <c r="L1436" t="s">
        <v>28</v>
      </c>
      <c r="M1436" s="2">
        <v>45151.495115277779</v>
      </c>
      <c r="N1436" t="s">
        <v>38</v>
      </c>
      <c r="P1436">
        <v>2</v>
      </c>
      <c r="R1436" t="s">
        <v>29</v>
      </c>
      <c r="S1436" t="s">
        <v>30</v>
      </c>
      <c r="T1436" t="s">
        <v>51</v>
      </c>
      <c r="U1436">
        <v>39.673369999999998</v>
      </c>
      <c r="V1436">
        <v>-4.7677259999999997</v>
      </c>
      <c r="W1436" t="str">
        <f t="shared" si="155"/>
        <v>ok</v>
      </c>
      <c r="X1436" t="str">
        <f t="shared" si="161"/>
        <v>ok</v>
      </c>
      <c r="Y1436" t="str">
        <f t="shared" si="156"/>
        <v>ok</v>
      </c>
      <c r="Z1436" t="str">
        <f t="shared" si="157"/>
        <v>ok</v>
      </c>
      <c r="AA1436" s="4" t="str">
        <f t="shared" si="158"/>
        <v>ok</v>
      </c>
      <c r="AB1436" s="4" t="str">
        <f t="shared" si="159"/>
        <v>ok</v>
      </c>
      <c r="AC1436" s="6">
        <f t="shared" si="160"/>
        <v>96.783600000024308</v>
      </c>
    </row>
    <row r="1437" spans="1:29" x14ac:dyDescent="0.3">
      <c r="A1437" t="s">
        <v>22</v>
      </c>
      <c r="B1437">
        <v>2828</v>
      </c>
      <c r="C1437" t="s">
        <v>23</v>
      </c>
      <c r="D1437" t="s">
        <v>24</v>
      </c>
      <c r="E1437" t="s">
        <v>25</v>
      </c>
      <c r="F1437" t="s">
        <v>36</v>
      </c>
      <c r="G1437" t="s">
        <v>54</v>
      </c>
      <c r="H1437" s="1">
        <v>45147.726168981484</v>
      </c>
      <c r="I1437" s="1">
        <v>45149.726168981484</v>
      </c>
      <c r="J1437" s="1">
        <v>45147.767835648148</v>
      </c>
      <c r="K1437" s="2">
        <v>45147.733806365737</v>
      </c>
      <c r="L1437" t="s">
        <v>28</v>
      </c>
      <c r="M1437" s="2">
        <v>45152.663215601853</v>
      </c>
      <c r="N1437" t="s">
        <v>38</v>
      </c>
      <c r="O1437" s="2">
        <v>45154.646843865739</v>
      </c>
      <c r="P1437">
        <v>4</v>
      </c>
      <c r="Q1437">
        <v>3</v>
      </c>
      <c r="R1437" t="s">
        <v>39</v>
      </c>
      <c r="S1437" t="s">
        <v>40</v>
      </c>
      <c r="T1437" t="s">
        <v>41</v>
      </c>
      <c r="U1437">
        <v>43.036776000000003</v>
      </c>
      <c r="V1437">
        <v>12.678565000000001</v>
      </c>
      <c r="W1437" t="str">
        <f t="shared" si="155"/>
        <v>ok</v>
      </c>
      <c r="X1437" t="str">
        <f t="shared" si="161"/>
        <v>ok</v>
      </c>
      <c r="Y1437" t="str">
        <f t="shared" si="156"/>
        <v>ok</v>
      </c>
      <c r="Z1437" t="str">
        <f t="shared" si="157"/>
        <v>ok</v>
      </c>
      <c r="AA1437" s="4" t="str">
        <f t="shared" si="158"/>
        <v>ok</v>
      </c>
      <c r="AB1437" s="4" t="str">
        <f t="shared" si="159"/>
        <v>ok</v>
      </c>
      <c r="AC1437" s="6">
        <f t="shared" si="160"/>
        <v>118.48911888885777</v>
      </c>
    </row>
    <row r="1438" spans="1:29" x14ac:dyDescent="0.3">
      <c r="A1438" t="s">
        <v>42</v>
      </c>
      <c r="B1438">
        <v>2829</v>
      </c>
      <c r="C1438" t="s">
        <v>33</v>
      </c>
      <c r="D1438" t="s">
        <v>43</v>
      </c>
      <c r="E1438" t="s">
        <v>48</v>
      </c>
      <c r="F1438" t="s">
        <v>26</v>
      </c>
      <c r="G1438" t="s">
        <v>60</v>
      </c>
      <c r="H1438" s="1">
        <v>45147.290937500002</v>
      </c>
      <c r="I1438" s="1">
        <v>45148.290937500002</v>
      </c>
      <c r="J1438" s="1">
        <v>45147.292326388888</v>
      </c>
      <c r="K1438" s="2">
        <v>45147.291099386573</v>
      </c>
      <c r="L1438" t="s">
        <v>28</v>
      </c>
      <c r="M1438" s="2">
        <v>45147.799678888892</v>
      </c>
      <c r="N1438" t="s">
        <v>28</v>
      </c>
      <c r="P1438">
        <v>6</v>
      </c>
      <c r="R1438" t="s">
        <v>50</v>
      </c>
      <c r="S1438" t="s">
        <v>30</v>
      </c>
      <c r="T1438" t="s">
        <v>31</v>
      </c>
      <c r="U1438">
        <v>53.094023999999997</v>
      </c>
      <c r="V1438">
        <v>-8.0196749999999994</v>
      </c>
      <c r="W1438" t="str">
        <f t="shared" si="155"/>
        <v>ok</v>
      </c>
      <c r="X1438" t="str">
        <f t="shared" si="161"/>
        <v>ok</v>
      </c>
      <c r="Y1438" t="str">
        <f t="shared" si="156"/>
        <v>ok</v>
      </c>
      <c r="Z1438" t="str">
        <f t="shared" si="157"/>
        <v>ok</v>
      </c>
      <c r="AA1438" s="4" t="str">
        <f t="shared" si="158"/>
        <v>ok</v>
      </c>
      <c r="AB1438" s="4" t="str">
        <f t="shared" si="159"/>
        <v>ok</v>
      </c>
      <c r="AC1438" s="6">
        <f t="shared" si="160"/>
        <v>12.209793333371636</v>
      </c>
    </row>
    <row r="1439" spans="1:29" x14ac:dyDescent="0.3">
      <c r="A1439" t="s">
        <v>22</v>
      </c>
      <c r="B1439">
        <v>2830</v>
      </c>
      <c r="C1439" t="s">
        <v>23</v>
      </c>
      <c r="D1439" t="s">
        <v>43</v>
      </c>
      <c r="E1439" t="s">
        <v>25</v>
      </c>
      <c r="F1439" t="s">
        <v>26</v>
      </c>
      <c r="G1439" t="s">
        <v>52</v>
      </c>
      <c r="H1439" s="1">
        <v>45147.382731481484</v>
      </c>
      <c r="I1439" s="1">
        <v>45148.382731481484</v>
      </c>
      <c r="J1439" s="1">
        <v>45147.384120370371</v>
      </c>
      <c r="K1439" s="2">
        <v>45147.385435902775</v>
      </c>
      <c r="L1439" t="s">
        <v>38</v>
      </c>
      <c r="M1439" s="2">
        <v>45147.585588217589</v>
      </c>
      <c r="N1439" t="s">
        <v>28</v>
      </c>
      <c r="O1439" s="2">
        <v>45149.789092824074</v>
      </c>
      <c r="P1439">
        <v>6</v>
      </c>
      <c r="Q1439">
        <v>3</v>
      </c>
      <c r="R1439" t="s">
        <v>29</v>
      </c>
      <c r="S1439" t="s">
        <v>30</v>
      </c>
      <c r="T1439" t="s">
        <v>66</v>
      </c>
      <c r="U1439">
        <v>48.864716000000001</v>
      </c>
      <c r="V1439">
        <v>2.3490139999999999</v>
      </c>
      <c r="W1439" t="str">
        <f t="shared" si="155"/>
        <v>ok</v>
      </c>
      <c r="X1439" t="str">
        <f t="shared" si="161"/>
        <v>ok</v>
      </c>
      <c r="Y1439" t="str">
        <f t="shared" si="156"/>
        <v>ok</v>
      </c>
      <c r="Z1439" t="str">
        <f t="shared" si="157"/>
        <v>ok</v>
      </c>
      <c r="AA1439" s="4" t="str">
        <f t="shared" si="158"/>
        <v>ok</v>
      </c>
      <c r="AB1439" s="4" t="str">
        <f t="shared" si="159"/>
        <v>ok</v>
      </c>
      <c r="AC1439" s="6">
        <f t="shared" si="160"/>
        <v>4.8685616665170528</v>
      </c>
    </row>
    <row r="1440" spans="1:29" x14ac:dyDescent="0.3">
      <c r="A1440" t="s">
        <v>42</v>
      </c>
      <c r="B1440">
        <v>2831</v>
      </c>
      <c r="C1440" t="s">
        <v>33</v>
      </c>
      <c r="D1440" t="s">
        <v>43</v>
      </c>
      <c r="E1440" t="s">
        <v>59</v>
      </c>
      <c r="F1440" t="s">
        <v>36</v>
      </c>
      <c r="G1440" t="s">
        <v>37</v>
      </c>
      <c r="H1440" s="1">
        <v>45147.716168981482</v>
      </c>
      <c r="I1440" s="1">
        <v>45148.716168981482</v>
      </c>
      <c r="J1440" s="1">
        <v>45147.717557870368</v>
      </c>
      <c r="K1440" s="2">
        <v>45147.716646747685</v>
      </c>
      <c r="L1440" t="s">
        <v>28</v>
      </c>
      <c r="M1440" s="2">
        <v>45148.370368194446</v>
      </c>
      <c r="N1440" t="s">
        <v>28</v>
      </c>
      <c r="P1440">
        <v>6</v>
      </c>
      <c r="R1440" t="s">
        <v>29</v>
      </c>
      <c r="S1440" t="s">
        <v>40</v>
      </c>
      <c r="T1440" t="s">
        <v>61</v>
      </c>
      <c r="U1440">
        <v>42.724992499999999</v>
      </c>
      <c r="V1440">
        <v>25.483303899999999</v>
      </c>
      <c r="W1440" t="str">
        <f t="shared" si="155"/>
        <v>ok</v>
      </c>
      <c r="X1440" t="str">
        <f t="shared" si="161"/>
        <v>ok</v>
      </c>
      <c r="Y1440" t="str">
        <f t="shared" si="156"/>
        <v>ok</v>
      </c>
      <c r="Z1440" t="str">
        <f t="shared" si="157"/>
        <v>ok</v>
      </c>
      <c r="AA1440" s="4" t="str">
        <f t="shared" si="158"/>
        <v>ok</v>
      </c>
      <c r="AB1440" s="4" t="str">
        <f t="shared" si="159"/>
        <v>ok</v>
      </c>
      <c r="AC1440" s="6">
        <f t="shared" si="160"/>
        <v>15.700781111139804</v>
      </c>
    </row>
    <row r="1441" spans="1:29" x14ac:dyDescent="0.3">
      <c r="A1441" t="s">
        <v>32</v>
      </c>
      <c r="B1441">
        <v>2832</v>
      </c>
      <c r="C1441" t="s">
        <v>23</v>
      </c>
      <c r="D1441" t="s">
        <v>24</v>
      </c>
      <c r="E1441" t="s">
        <v>59</v>
      </c>
      <c r="F1441" t="s">
        <v>36</v>
      </c>
      <c r="G1441" t="s">
        <v>64</v>
      </c>
      <c r="H1441" s="1">
        <v>45147.160046296296</v>
      </c>
      <c r="I1441" s="1">
        <v>45149.160046296296</v>
      </c>
      <c r="J1441" s="1">
        <v>45147.20171296296</v>
      </c>
      <c r="K1441" s="2">
        <v>45147.181555810188</v>
      </c>
      <c r="L1441" t="s">
        <v>28</v>
      </c>
      <c r="N1441" t="s">
        <v>38</v>
      </c>
      <c r="P1441">
        <v>10</v>
      </c>
      <c r="R1441" t="s">
        <v>29</v>
      </c>
      <c r="S1441" t="s">
        <v>40</v>
      </c>
      <c r="T1441" t="s">
        <v>63</v>
      </c>
      <c r="U1441">
        <v>55.378051999999997</v>
      </c>
      <c r="V1441">
        <v>-3.4359730000000002</v>
      </c>
      <c r="W1441" t="str">
        <f t="shared" si="155"/>
        <v>ok</v>
      </c>
      <c r="X1441" t="str">
        <f t="shared" si="161"/>
        <v>ok</v>
      </c>
      <c r="Y1441" t="str">
        <f t="shared" si="156"/>
        <v>ok</v>
      </c>
      <c r="Z1441" t="str">
        <f t="shared" si="157"/>
        <v>ok</v>
      </c>
      <c r="AA1441" s="4" t="str">
        <f t="shared" si="158"/>
        <v>ok</v>
      </c>
      <c r="AB1441" s="4" t="str">
        <f t="shared" si="159"/>
        <v>no resolution</v>
      </c>
      <c r="AC1441" s="6" t="str">
        <f t="shared" si="160"/>
        <v/>
      </c>
    </row>
    <row r="1442" spans="1:29" x14ac:dyDescent="0.3">
      <c r="A1442" t="s">
        <v>22</v>
      </c>
      <c r="B1442">
        <v>2833</v>
      </c>
      <c r="C1442" t="s">
        <v>23</v>
      </c>
      <c r="D1442" t="s">
        <v>24</v>
      </c>
      <c r="E1442" t="s">
        <v>35</v>
      </c>
      <c r="F1442" t="s">
        <v>36</v>
      </c>
      <c r="G1442" t="s">
        <v>54</v>
      </c>
      <c r="H1442" s="1">
        <v>45147.020138888889</v>
      </c>
      <c r="I1442" s="1">
        <v>45149.020138888889</v>
      </c>
      <c r="J1442" s="1">
        <v>45147.061805555553</v>
      </c>
      <c r="K1442" s="2">
        <v>45147.044290335645</v>
      </c>
      <c r="L1442" t="s">
        <v>28</v>
      </c>
      <c r="M1442" s="2">
        <v>45147.915543958334</v>
      </c>
      <c r="N1442" t="s">
        <v>28</v>
      </c>
      <c r="O1442" s="2">
        <v>45153.366575995373</v>
      </c>
      <c r="P1442">
        <v>5</v>
      </c>
      <c r="Q1442">
        <v>4</v>
      </c>
      <c r="R1442" t="s">
        <v>50</v>
      </c>
      <c r="S1442" t="s">
        <v>40</v>
      </c>
      <c r="T1442" t="s">
        <v>58</v>
      </c>
      <c r="U1442">
        <v>49.8037633</v>
      </c>
      <c r="V1442">
        <v>15.4749126</v>
      </c>
      <c r="W1442" t="str">
        <f t="shared" si="155"/>
        <v>ok</v>
      </c>
      <c r="X1442" t="str">
        <f t="shared" si="161"/>
        <v>ok</v>
      </c>
      <c r="Y1442" t="str">
        <f t="shared" si="156"/>
        <v>ok</v>
      </c>
      <c r="Z1442" t="str">
        <f t="shared" si="157"/>
        <v>ok</v>
      </c>
      <c r="AA1442" s="4" t="str">
        <f t="shared" si="158"/>
        <v>ok</v>
      </c>
      <c r="AB1442" s="4" t="str">
        <f t="shared" si="159"/>
        <v>ok</v>
      </c>
      <c r="AC1442" s="6">
        <f t="shared" si="160"/>
        <v>21.489721666672267</v>
      </c>
    </row>
    <row r="1443" spans="1:29" x14ac:dyDescent="0.3">
      <c r="A1443" t="s">
        <v>22</v>
      </c>
      <c r="B1443">
        <v>2834</v>
      </c>
      <c r="C1443" t="s">
        <v>23</v>
      </c>
      <c r="D1443" t="s">
        <v>34</v>
      </c>
      <c r="E1443" t="s">
        <v>39</v>
      </c>
      <c r="F1443" t="s">
        <v>36</v>
      </c>
      <c r="G1443" t="s">
        <v>64</v>
      </c>
      <c r="H1443" s="1">
        <v>45148.786296296297</v>
      </c>
      <c r="I1443" s="1">
        <v>45150.786296296297</v>
      </c>
      <c r="J1443" s="1">
        <v>45148.787685185183</v>
      </c>
      <c r="K1443" s="2">
        <v>45148.787150613425</v>
      </c>
      <c r="L1443" t="s">
        <v>28</v>
      </c>
      <c r="M1443" s="2">
        <v>45152.731871307871</v>
      </c>
      <c r="N1443" t="s">
        <v>38</v>
      </c>
      <c r="O1443" s="2">
        <v>45153.911814618055</v>
      </c>
      <c r="P1443">
        <v>2</v>
      </c>
      <c r="Q1443">
        <v>4</v>
      </c>
      <c r="R1443" t="s">
        <v>50</v>
      </c>
      <c r="S1443" t="s">
        <v>40</v>
      </c>
      <c r="T1443" t="s">
        <v>51</v>
      </c>
      <c r="U1443">
        <v>39.673369999999998</v>
      </c>
      <c r="V1443">
        <v>-4.7677259999999997</v>
      </c>
      <c r="W1443" t="str">
        <f t="shared" si="155"/>
        <v>ok</v>
      </c>
      <c r="X1443" t="str">
        <f t="shared" si="161"/>
        <v>ok</v>
      </c>
      <c r="Y1443" t="str">
        <f t="shared" si="156"/>
        <v>ok</v>
      </c>
      <c r="Z1443" t="str">
        <f t="shared" si="157"/>
        <v>ok</v>
      </c>
      <c r="AA1443" s="4" t="str">
        <f t="shared" si="158"/>
        <v>ok</v>
      </c>
      <c r="AB1443" s="4" t="str">
        <f t="shared" si="159"/>
        <v>ok</v>
      </c>
      <c r="AC1443" s="6">
        <f t="shared" si="160"/>
        <v>94.693800277775154</v>
      </c>
    </row>
    <row r="1444" spans="1:29" x14ac:dyDescent="0.3">
      <c r="A1444" t="s">
        <v>32</v>
      </c>
      <c r="B1444">
        <v>2835</v>
      </c>
      <c r="C1444" t="s">
        <v>33</v>
      </c>
      <c r="D1444" t="s">
        <v>24</v>
      </c>
      <c r="E1444" t="s">
        <v>39</v>
      </c>
      <c r="F1444" t="s">
        <v>36</v>
      </c>
      <c r="G1444" t="s">
        <v>37</v>
      </c>
      <c r="H1444" s="1">
        <v>45148.84574074074</v>
      </c>
      <c r="I1444" s="1">
        <v>45150.84574074074</v>
      </c>
      <c r="J1444" s="1">
        <v>45148.887407407405</v>
      </c>
      <c r="K1444" s="2">
        <v>45148.846914907408</v>
      </c>
      <c r="L1444" t="s">
        <v>28</v>
      </c>
      <c r="N1444" t="s">
        <v>38</v>
      </c>
      <c r="P1444">
        <v>6</v>
      </c>
      <c r="R1444" t="s">
        <v>50</v>
      </c>
      <c r="S1444" t="s">
        <v>40</v>
      </c>
      <c r="T1444" t="s">
        <v>61</v>
      </c>
      <c r="U1444">
        <v>42.724992499999999</v>
      </c>
      <c r="V1444">
        <v>25.483303899999999</v>
      </c>
      <c r="W1444" t="str">
        <f t="shared" si="155"/>
        <v>ok</v>
      </c>
      <c r="X1444" t="str">
        <f t="shared" si="161"/>
        <v>ok</v>
      </c>
      <c r="Y1444" t="str">
        <f t="shared" si="156"/>
        <v>ok</v>
      </c>
      <c r="Z1444" t="str">
        <f t="shared" si="157"/>
        <v>ok</v>
      </c>
      <c r="AA1444" s="4" t="str">
        <f t="shared" si="158"/>
        <v>ok</v>
      </c>
      <c r="AB1444" s="4" t="str">
        <f t="shared" si="159"/>
        <v>no resolution</v>
      </c>
      <c r="AC1444" s="6" t="str">
        <f t="shared" si="160"/>
        <v/>
      </c>
    </row>
    <row r="1445" spans="1:29" x14ac:dyDescent="0.3">
      <c r="A1445" t="s">
        <v>22</v>
      </c>
      <c r="B1445">
        <v>2836</v>
      </c>
      <c r="C1445" t="s">
        <v>23</v>
      </c>
      <c r="D1445" t="s">
        <v>24</v>
      </c>
      <c r="E1445" t="s">
        <v>44</v>
      </c>
      <c r="F1445" t="s">
        <v>26</v>
      </c>
      <c r="G1445" t="s">
        <v>27</v>
      </c>
      <c r="H1445" s="1">
        <v>45148.927106481482</v>
      </c>
      <c r="I1445" s="1">
        <v>45150.927106481482</v>
      </c>
      <c r="J1445" s="1">
        <v>45148.968773148146</v>
      </c>
      <c r="K1445" s="2">
        <v>45148.961899270835</v>
      </c>
      <c r="L1445" t="s">
        <v>28</v>
      </c>
      <c r="M1445" s="2">
        <v>45149.617188692129</v>
      </c>
      <c r="N1445" t="s">
        <v>28</v>
      </c>
      <c r="O1445" s="2">
        <v>45153.840716828701</v>
      </c>
      <c r="P1445">
        <v>2</v>
      </c>
      <c r="Q1445">
        <v>4</v>
      </c>
      <c r="R1445" t="s">
        <v>29</v>
      </c>
      <c r="S1445" t="s">
        <v>30</v>
      </c>
      <c r="T1445" t="s">
        <v>57</v>
      </c>
      <c r="U1445">
        <v>51.165691000000002</v>
      </c>
      <c r="V1445">
        <v>10.451525999999999</v>
      </c>
      <c r="W1445" t="str">
        <f t="shared" si="155"/>
        <v>ok</v>
      </c>
      <c r="X1445" t="str">
        <f t="shared" si="161"/>
        <v>ok</v>
      </c>
      <c r="Y1445" t="str">
        <f t="shared" si="156"/>
        <v>ok</v>
      </c>
      <c r="Z1445" t="str">
        <f t="shared" si="157"/>
        <v>ok</v>
      </c>
      <c r="AA1445" s="4" t="str">
        <f t="shared" si="158"/>
        <v>ok</v>
      </c>
      <c r="AB1445" s="4" t="str">
        <f t="shared" si="159"/>
        <v>ok</v>
      </c>
      <c r="AC1445" s="6">
        <f t="shared" si="160"/>
        <v>16.561973055533599</v>
      </c>
    </row>
    <row r="1446" spans="1:29" x14ac:dyDescent="0.3">
      <c r="A1446" t="s">
        <v>42</v>
      </c>
      <c r="B1446">
        <v>2837</v>
      </c>
      <c r="C1446" t="s">
        <v>47</v>
      </c>
      <c r="D1446" t="s">
        <v>24</v>
      </c>
      <c r="E1446" t="s">
        <v>67</v>
      </c>
      <c r="F1446" t="s">
        <v>26</v>
      </c>
      <c r="G1446" t="s">
        <v>27</v>
      </c>
      <c r="H1446" s="1">
        <v>45149.702280092592</v>
      </c>
      <c r="I1446" s="1">
        <v>45151.702280092592</v>
      </c>
      <c r="J1446" s="1">
        <v>45149.743946759256</v>
      </c>
      <c r="K1446" s="2">
        <v>45149.742785937502</v>
      </c>
      <c r="L1446" t="s">
        <v>28</v>
      </c>
      <c r="M1446" s="2">
        <v>45150.71102033565</v>
      </c>
      <c r="N1446" t="s">
        <v>28</v>
      </c>
      <c r="P1446">
        <v>5</v>
      </c>
      <c r="R1446" t="s">
        <v>29</v>
      </c>
      <c r="S1446" t="s">
        <v>30</v>
      </c>
      <c r="T1446" t="s">
        <v>31</v>
      </c>
      <c r="U1446">
        <v>53.094023999999997</v>
      </c>
      <c r="V1446">
        <v>-8.0196749999999994</v>
      </c>
      <c r="W1446" t="str">
        <f t="shared" si="155"/>
        <v>ok</v>
      </c>
      <c r="X1446" t="str">
        <f t="shared" si="161"/>
        <v>ok</v>
      </c>
      <c r="Y1446" t="str">
        <f t="shared" si="156"/>
        <v>ok</v>
      </c>
      <c r="Z1446" t="str">
        <f t="shared" si="157"/>
        <v>ok</v>
      </c>
      <c r="AA1446" s="4" t="str">
        <f t="shared" si="158"/>
        <v>ok</v>
      </c>
      <c r="AB1446" s="4" t="str">
        <f t="shared" si="159"/>
        <v>ok</v>
      </c>
      <c r="AC1446" s="6">
        <f t="shared" si="160"/>
        <v>24.209765833395068</v>
      </c>
    </row>
    <row r="1447" spans="1:29" x14ac:dyDescent="0.3">
      <c r="A1447" t="s">
        <v>22</v>
      </c>
      <c r="B1447">
        <v>2838</v>
      </c>
      <c r="C1447" t="s">
        <v>47</v>
      </c>
      <c r="D1447" t="s">
        <v>34</v>
      </c>
      <c r="E1447" t="s">
        <v>44</v>
      </c>
      <c r="F1447" t="s">
        <v>26</v>
      </c>
      <c r="G1447" t="s">
        <v>27</v>
      </c>
      <c r="H1447" s="1">
        <v>45149.200648148151</v>
      </c>
      <c r="I1447" s="1">
        <v>45151.200648148151</v>
      </c>
      <c r="J1447" s="1">
        <v>45149.202037037037</v>
      </c>
      <c r="K1447" s="2">
        <v>45149.201674085649</v>
      </c>
      <c r="L1447" t="s">
        <v>28</v>
      </c>
      <c r="M1447" s="2">
        <v>45152.064591423608</v>
      </c>
      <c r="N1447" t="s">
        <v>38</v>
      </c>
      <c r="O1447" s="2">
        <v>45153.361071747684</v>
      </c>
      <c r="P1447">
        <v>6</v>
      </c>
      <c r="Q1447">
        <v>2</v>
      </c>
      <c r="R1447" t="s">
        <v>55</v>
      </c>
      <c r="S1447" t="s">
        <v>30</v>
      </c>
      <c r="T1447" t="s">
        <v>53</v>
      </c>
      <c r="U1447">
        <v>39.368279000000001</v>
      </c>
      <c r="V1447">
        <v>21.863140999999999</v>
      </c>
      <c r="W1447" t="str">
        <f t="shared" si="155"/>
        <v>ok</v>
      </c>
      <c r="X1447" t="str">
        <f t="shared" si="161"/>
        <v>ok</v>
      </c>
      <c r="Y1447" t="str">
        <f t="shared" si="156"/>
        <v>ok</v>
      </c>
      <c r="Z1447" t="str">
        <f t="shared" si="157"/>
        <v>ok</v>
      </c>
      <c r="AA1447" s="4" t="str">
        <f t="shared" si="158"/>
        <v>ok</v>
      </c>
      <c r="AB1447" s="4" t="str">
        <f t="shared" si="159"/>
        <v>ok</v>
      </c>
      <c r="AC1447" s="6">
        <f t="shared" si="160"/>
        <v>68.73463861097116</v>
      </c>
    </row>
    <row r="1448" spans="1:29" x14ac:dyDescent="0.3">
      <c r="A1448" t="s">
        <v>22</v>
      </c>
      <c r="B1448">
        <v>2839</v>
      </c>
      <c r="C1448" t="s">
        <v>47</v>
      </c>
      <c r="D1448" t="s">
        <v>24</v>
      </c>
      <c r="E1448" t="s">
        <v>25</v>
      </c>
      <c r="F1448" t="s">
        <v>26</v>
      </c>
      <c r="G1448" t="s">
        <v>52</v>
      </c>
      <c r="H1448" s="1">
        <v>45149.972731481481</v>
      </c>
      <c r="I1448" s="1">
        <v>45151.972731481481</v>
      </c>
      <c r="J1448" s="1">
        <v>45150.014398148145</v>
      </c>
      <c r="K1448" s="2">
        <v>45149.975225810187</v>
      </c>
      <c r="L1448" t="s">
        <v>28</v>
      </c>
      <c r="M1448" s="2">
        <v>45151.459746886576</v>
      </c>
      <c r="N1448" t="s">
        <v>28</v>
      </c>
      <c r="O1448" s="2">
        <v>45156.529794861111</v>
      </c>
      <c r="P1448">
        <v>6</v>
      </c>
      <c r="Q1448">
        <v>4</v>
      </c>
      <c r="R1448" t="s">
        <v>50</v>
      </c>
      <c r="S1448" t="s">
        <v>30</v>
      </c>
      <c r="T1448" t="s">
        <v>58</v>
      </c>
      <c r="U1448">
        <v>49.8037633</v>
      </c>
      <c r="V1448">
        <v>15.4749126</v>
      </c>
      <c r="W1448" t="str">
        <f t="shared" si="155"/>
        <v>ok</v>
      </c>
      <c r="X1448" t="str">
        <f t="shared" si="161"/>
        <v>ok</v>
      </c>
      <c r="Y1448" t="str">
        <f t="shared" si="156"/>
        <v>ok</v>
      </c>
      <c r="Z1448" t="str">
        <f t="shared" si="157"/>
        <v>ok</v>
      </c>
      <c r="AA1448" s="4" t="str">
        <f t="shared" si="158"/>
        <v>ok</v>
      </c>
      <c r="AB1448" s="4" t="str">
        <f t="shared" si="159"/>
        <v>ok</v>
      </c>
      <c r="AC1448" s="6">
        <f t="shared" si="160"/>
        <v>35.688369722280186</v>
      </c>
    </row>
    <row r="1449" spans="1:29" x14ac:dyDescent="0.3">
      <c r="A1449" t="s">
        <v>22</v>
      </c>
      <c r="B1449">
        <v>2840</v>
      </c>
      <c r="C1449" t="s">
        <v>23</v>
      </c>
      <c r="D1449" t="s">
        <v>43</v>
      </c>
      <c r="E1449" t="s">
        <v>35</v>
      </c>
      <c r="F1449" t="s">
        <v>26</v>
      </c>
      <c r="G1449" t="s">
        <v>52</v>
      </c>
      <c r="H1449" s="1">
        <v>45149.976493055554</v>
      </c>
      <c r="I1449" s="1">
        <v>45150.976493055554</v>
      </c>
      <c r="J1449" s="1">
        <v>45149.977881944447</v>
      </c>
      <c r="K1449" s="2">
        <v>45149.977547731483</v>
      </c>
      <c r="L1449" t="s">
        <v>28</v>
      </c>
      <c r="M1449" s="2">
        <v>45150.905255358797</v>
      </c>
      <c r="N1449" t="s">
        <v>28</v>
      </c>
      <c r="O1449" s="2">
        <v>45150.269608194445</v>
      </c>
      <c r="P1449">
        <v>5</v>
      </c>
      <c r="Q1449">
        <v>5</v>
      </c>
      <c r="R1449" t="s">
        <v>39</v>
      </c>
      <c r="S1449" t="s">
        <v>30</v>
      </c>
      <c r="T1449" t="s">
        <v>57</v>
      </c>
      <c r="U1449">
        <v>51.165691000000002</v>
      </c>
      <c r="V1449">
        <v>10.451525999999999</v>
      </c>
      <c r="W1449" t="str">
        <f t="shared" si="155"/>
        <v>ok</v>
      </c>
      <c r="X1449" t="str">
        <f t="shared" si="161"/>
        <v>ok</v>
      </c>
      <c r="Y1449" t="str">
        <f t="shared" si="156"/>
        <v>check</v>
      </c>
      <c r="Z1449" t="str">
        <f t="shared" si="157"/>
        <v>ok</v>
      </c>
      <c r="AA1449" s="4" t="str">
        <f t="shared" si="158"/>
        <v>ok</v>
      </c>
      <c r="AB1449" s="4" t="str">
        <f t="shared" si="159"/>
        <v>ok</v>
      </c>
      <c r="AC1449" s="6">
        <f t="shared" si="160"/>
        <v>22.290295277838595</v>
      </c>
    </row>
    <row r="1450" spans="1:29" x14ac:dyDescent="0.3">
      <c r="A1450" t="s">
        <v>22</v>
      </c>
      <c r="B1450">
        <v>2841</v>
      </c>
      <c r="C1450" t="s">
        <v>33</v>
      </c>
      <c r="D1450" t="s">
        <v>43</v>
      </c>
      <c r="E1450" t="s">
        <v>44</v>
      </c>
      <c r="F1450" t="s">
        <v>26</v>
      </c>
      <c r="G1450" t="s">
        <v>60</v>
      </c>
      <c r="H1450" s="1">
        <v>45149.625115740739</v>
      </c>
      <c r="I1450" s="1">
        <v>45150.625115740739</v>
      </c>
      <c r="J1450" s="1">
        <v>45149.626504629632</v>
      </c>
      <c r="K1450" s="2">
        <v>45149.625519317131</v>
      </c>
      <c r="L1450" t="s">
        <v>28</v>
      </c>
      <c r="M1450" s="2">
        <v>45150.414223819447</v>
      </c>
      <c r="N1450" t="s">
        <v>28</v>
      </c>
      <c r="O1450" s="2">
        <v>45151.41731809028</v>
      </c>
      <c r="P1450">
        <v>5</v>
      </c>
      <c r="Q1450">
        <v>4</v>
      </c>
      <c r="R1450" t="s">
        <v>50</v>
      </c>
      <c r="S1450" t="s">
        <v>30</v>
      </c>
      <c r="T1450" t="s">
        <v>56</v>
      </c>
      <c r="U1450">
        <v>52.536273000000001</v>
      </c>
      <c r="V1450">
        <v>19.050639</v>
      </c>
      <c r="W1450" t="str">
        <f t="shared" si="155"/>
        <v>ok</v>
      </c>
      <c r="X1450" t="str">
        <f t="shared" si="161"/>
        <v>ok</v>
      </c>
      <c r="Y1450" t="str">
        <f t="shared" si="156"/>
        <v>ok</v>
      </c>
      <c r="Z1450" t="str">
        <f t="shared" si="157"/>
        <v>ok</v>
      </c>
      <c r="AA1450" s="4" t="str">
        <f t="shared" si="158"/>
        <v>ok</v>
      </c>
      <c r="AB1450" s="4" t="str">
        <f t="shared" si="159"/>
        <v>ok</v>
      </c>
      <c r="AC1450" s="6">
        <f t="shared" si="160"/>
        <v>18.938593889004551</v>
      </c>
    </row>
    <row r="1451" spans="1:29" x14ac:dyDescent="0.3">
      <c r="A1451" t="s">
        <v>22</v>
      </c>
      <c r="B1451">
        <v>2842</v>
      </c>
      <c r="C1451" t="s">
        <v>33</v>
      </c>
      <c r="D1451" t="s">
        <v>24</v>
      </c>
      <c r="E1451" t="s">
        <v>44</v>
      </c>
      <c r="F1451" t="s">
        <v>26</v>
      </c>
      <c r="G1451" t="s">
        <v>49</v>
      </c>
      <c r="H1451" s="1">
        <v>45150.374050925922</v>
      </c>
      <c r="I1451" s="1">
        <v>45152.374050925922</v>
      </c>
      <c r="J1451" s="1">
        <v>45150.415717592594</v>
      </c>
      <c r="K1451" s="2">
        <v>45150.415693136572</v>
      </c>
      <c r="L1451" t="s">
        <v>28</v>
      </c>
      <c r="M1451" s="2">
        <v>45155.846680416667</v>
      </c>
      <c r="N1451" t="s">
        <v>38</v>
      </c>
      <c r="O1451" s="2">
        <v>45156.246062615741</v>
      </c>
      <c r="P1451">
        <v>7</v>
      </c>
      <c r="Q1451">
        <v>3</v>
      </c>
      <c r="R1451" t="s">
        <v>29</v>
      </c>
      <c r="S1451" t="s">
        <v>30</v>
      </c>
      <c r="T1451" t="s">
        <v>53</v>
      </c>
      <c r="U1451">
        <v>39.368279000000001</v>
      </c>
      <c r="V1451">
        <v>21.863140999999999</v>
      </c>
      <c r="W1451" t="str">
        <f t="shared" si="155"/>
        <v>ok</v>
      </c>
      <c r="X1451" t="str">
        <f t="shared" si="161"/>
        <v>ok</v>
      </c>
      <c r="Y1451" t="str">
        <f t="shared" si="156"/>
        <v>ok</v>
      </c>
      <c r="Z1451" t="str">
        <f t="shared" si="157"/>
        <v>ok</v>
      </c>
      <c r="AA1451" s="4" t="str">
        <f t="shared" si="158"/>
        <v>ok</v>
      </c>
      <c r="AB1451" s="4" t="str">
        <f t="shared" si="159"/>
        <v>ok</v>
      </c>
      <c r="AC1451" s="6">
        <f t="shared" si="160"/>
        <v>131.3431077778805</v>
      </c>
    </row>
    <row r="1452" spans="1:29" x14ac:dyDescent="0.3">
      <c r="A1452" t="s">
        <v>32</v>
      </c>
      <c r="B1452">
        <v>2843</v>
      </c>
      <c r="C1452" t="s">
        <v>47</v>
      </c>
      <c r="D1452" t="s">
        <v>24</v>
      </c>
      <c r="E1452" t="s">
        <v>25</v>
      </c>
      <c r="F1452" t="s">
        <v>36</v>
      </c>
      <c r="G1452" t="s">
        <v>37</v>
      </c>
      <c r="H1452" s="1">
        <v>45150.186701388891</v>
      </c>
      <c r="I1452" s="1">
        <v>45152.186701388891</v>
      </c>
      <c r="J1452" s="1">
        <v>45150.228368055556</v>
      </c>
      <c r="K1452" s="2">
        <v>45150.222444421299</v>
      </c>
      <c r="L1452" t="s">
        <v>28</v>
      </c>
      <c r="N1452" t="s">
        <v>38</v>
      </c>
      <c r="P1452">
        <v>10</v>
      </c>
      <c r="R1452" t="s">
        <v>39</v>
      </c>
      <c r="S1452" t="s">
        <v>40</v>
      </c>
      <c r="T1452" t="s">
        <v>31</v>
      </c>
      <c r="U1452">
        <v>53.094023999999997</v>
      </c>
      <c r="V1452">
        <v>-8.0196749999999994</v>
      </c>
      <c r="W1452" t="str">
        <f t="shared" si="155"/>
        <v>ok</v>
      </c>
      <c r="X1452" t="str">
        <f t="shared" si="161"/>
        <v>ok</v>
      </c>
      <c r="Y1452" t="str">
        <f t="shared" si="156"/>
        <v>ok</v>
      </c>
      <c r="Z1452" t="str">
        <f t="shared" si="157"/>
        <v>ok</v>
      </c>
      <c r="AA1452" s="4" t="str">
        <f t="shared" si="158"/>
        <v>ok</v>
      </c>
      <c r="AB1452" s="4" t="str">
        <f t="shared" si="159"/>
        <v>no resolution</v>
      </c>
      <c r="AC1452" s="6" t="str">
        <f t="shared" si="160"/>
        <v/>
      </c>
    </row>
    <row r="1453" spans="1:29" x14ac:dyDescent="0.3">
      <c r="A1453" t="s">
        <v>22</v>
      </c>
      <c r="B1453">
        <v>2844</v>
      </c>
      <c r="C1453" t="s">
        <v>47</v>
      </c>
      <c r="D1453" t="s">
        <v>43</v>
      </c>
      <c r="E1453" t="s">
        <v>44</v>
      </c>
      <c r="F1453" t="s">
        <v>36</v>
      </c>
      <c r="G1453" t="s">
        <v>54</v>
      </c>
      <c r="H1453" s="1">
        <v>45150.601076388892</v>
      </c>
      <c r="I1453" s="1">
        <v>45151.601076388892</v>
      </c>
      <c r="J1453" s="1">
        <v>45150.602465277778</v>
      </c>
      <c r="K1453" s="2">
        <v>45150.601476458331</v>
      </c>
      <c r="L1453" t="s">
        <v>28</v>
      </c>
      <c r="M1453" s="2">
        <v>45150.864199317133</v>
      </c>
      <c r="N1453" t="s">
        <v>28</v>
      </c>
      <c r="O1453" s="2">
        <v>45153.099161886574</v>
      </c>
      <c r="P1453">
        <v>5</v>
      </c>
      <c r="Q1453">
        <v>5</v>
      </c>
      <c r="R1453" t="s">
        <v>50</v>
      </c>
      <c r="S1453" t="s">
        <v>40</v>
      </c>
      <c r="T1453" t="s">
        <v>66</v>
      </c>
      <c r="U1453">
        <v>48.864716000000001</v>
      </c>
      <c r="V1453">
        <v>2.3490139999999999</v>
      </c>
      <c r="W1453" t="str">
        <f t="shared" si="155"/>
        <v>ok</v>
      </c>
      <c r="X1453" t="str">
        <f t="shared" si="161"/>
        <v>ok</v>
      </c>
      <c r="Y1453" t="str">
        <f t="shared" si="156"/>
        <v>ok</v>
      </c>
      <c r="Z1453" t="str">
        <f t="shared" si="157"/>
        <v>ok</v>
      </c>
      <c r="AA1453" s="4" t="str">
        <f t="shared" si="158"/>
        <v>ok</v>
      </c>
      <c r="AB1453" s="4" t="str">
        <f t="shared" si="159"/>
        <v>ok</v>
      </c>
      <c r="AC1453" s="6">
        <f t="shared" si="160"/>
        <v>6.3149502777960151</v>
      </c>
    </row>
    <row r="1454" spans="1:29" x14ac:dyDescent="0.3">
      <c r="A1454" t="s">
        <v>32</v>
      </c>
      <c r="B1454">
        <v>2845</v>
      </c>
      <c r="C1454" t="s">
        <v>23</v>
      </c>
      <c r="D1454" t="s">
        <v>34</v>
      </c>
      <c r="E1454" t="s">
        <v>25</v>
      </c>
      <c r="F1454" t="s">
        <v>26</v>
      </c>
      <c r="G1454" t="s">
        <v>52</v>
      </c>
      <c r="H1454" s="1">
        <v>45150.047708333332</v>
      </c>
      <c r="I1454" s="1">
        <v>45152.047708333332</v>
      </c>
      <c r="J1454" s="1">
        <v>45150.049097222225</v>
      </c>
      <c r="K1454" s="2">
        <v>45150.050870370367</v>
      </c>
      <c r="L1454" t="s">
        <v>38</v>
      </c>
      <c r="N1454" t="s">
        <v>38</v>
      </c>
      <c r="P1454">
        <v>3</v>
      </c>
      <c r="R1454" t="s">
        <v>50</v>
      </c>
      <c r="S1454" t="s">
        <v>30</v>
      </c>
      <c r="T1454" t="s">
        <v>57</v>
      </c>
      <c r="U1454">
        <v>51.165691000000002</v>
      </c>
      <c r="V1454">
        <v>10.451525999999999</v>
      </c>
      <c r="W1454" t="str">
        <f t="shared" si="155"/>
        <v>ok</v>
      </c>
      <c r="X1454" t="str">
        <f t="shared" si="161"/>
        <v>ok</v>
      </c>
      <c r="Y1454" t="str">
        <f t="shared" si="156"/>
        <v>ok</v>
      </c>
      <c r="Z1454" t="str">
        <f t="shared" si="157"/>
        <v>ok</v>
      </c>
      <c r="AA1454" s="4" t="str">
        <f t="shared" si="158"/>
        <v>ok</v>
      </c>
      <c r="AB1454" s="4" t="str">
        <f t="shared" si="159"/>
        <v>no resolution</v>
      </c>
      <c r="AC1454" s="6" t="str">
        <f t="shared" si="160"/>
        <v/>
      </c>
    </row>
    <row r="1455" spans="1:29" x14ac:dyDescent="0.3">
      <c r="A1455" t="s">
        <v>22</v>
      </c>
      <c r="B1455">
        <v>2855</v>
      </c>
      <c r="C1455" t="s">
        <v>33</v>
      </c>
      <c r="D1455" t="s">
        <v>43</v>
      </c>
      <c r="E1455" t="s">
        <v>25</v>
      </c>
      <c r="F1455" t="s">
        <v>26</v>
      </c>
      <c r="G1455" t="s">
        <v>45</v>
      </c>
      <c r="H1455" s="1">
        <v>45151.187013888892</v>
      </c>
      <c r="I1455" s="1">
        <v>45152.187013888892</v>
      </c>
      <c r="J1455" s="1">
        <v>45151.188402777778</v>
      </c>
      <c r="K1455" s="2">
        <v>45151.187463668983</v>
      </c>
      <c r="L1455" t="s">
        <v>28</v>
      </c>
      <c r="M1455" s="2">
        <v>45151.354200810187</v>
      </c>
      <c r="N1455" t="s">
        <v>28</v>
      </c>
      <c r="O1455" s="2">
        <v>45154.121911226852</v>
      </c>
      <c r="P1455">
        <v>6</v>
      </c>
      <c r="Q1455">
        <v>4</v>
      </c>
      <c r="R1455" t="s">
        <v>50</v>
      </c>
      <c r="S1455" t="s">
        <v>30</v>
      </c>
      <c r="T1455" t="s">
        <v>53</v>
      </c>
      <c r="U1455">
        <v>39.368279000000001</v>
      </c>
      <c r="V1455">
        <v>21.863140999999999</v>
      </c>
      <c r="W1455" t="str">
        <f t="shared" si="155"/>
        <v>ok</v>
      </c>
      <c r="X1455" t="str">
        <f t="shared" si="161"/>
        <v>ok</v>
      </c>
      <c r="Y1455" t="str">
        <f t="shared" si="156"/>
        <v>ok</v>
      </c>
      <c r="Z1455" t="str">
        <f t="shared" si="157"/>
        <v>ok</v>
      </c>
      <c r="AA1455" s="4" t="str">
        <f t="shared" si="158"/>
        <v>ok</v>
      </c>
      <c r="AB1455" s="4" t="str">
        <f t="shared" si="159"/>
        <v>ok</v>
      </c>
      <c r="AC1455" s="6">
        <f t="shared" si="160"/>
        <v>4.012486111081671</v>
      </c>
    </row>
    <row r="1456" spans="1:29" x14ac:dyDescent="0.3">
      <c r="A1456" t="s">
        <v>22</v>
      </c>
      <c r="B1456">
        <v>2856</v>
      </c>
      <c r="C1456" t="s">
        <v>23</v>
      </c>
      <c r="D1456" t="s">
        <v>24</v>
      </c>
      <c r="E1456" t="s">
        <v>48</v>
      </c>
      <c r="F1456" t="s">
        <v>36</v>
      </c>
      <c r="G1456" t="s">
        <v>64</v>
      </c>
      <c r="H1456" s="1">
        <v>45152.582314814812</v>
      </c>
      <c r="I1456" s="1">
        <v>45154.582314814812</v>
      </c>
      <c r="J1456" s="1">
        <v>45152.623981481483</v>
      </c>
      <c r="K1456" s="2">
        <v>45152.598497395833</v>
      </c>
      <c r="L1456" t="s">
        <v>28</v>
      </c>
      <c r="M1456" s="2">
        <v>45153.219148807868</v>
      </c>
      <c r="N1456" t="s">
        <v>28</v>
      </c>
      <c r="O1456" s="2">
        <v>45154.708368067128</v>
      </c>
      <c r="P1456">
        <v>3</v>
      </c>
      <c r="Q1456">
        <v>3</v>
      </c>
      <c r="R1456" t="s">
        <v>50</v>
      </c>
      <c r="S1456" t="s">
        <v>40</v>
      </c>
      <c r="T1456" t="s">
        <v>61</v>
      </c>
      <c r="U1456">
        <v>42.724992499999999</v>
      </c>
      <c r="V1456">
        <v>25.483303899999999</v>
      </c>
      <c r="W1456" t="str">
        <f t="shared" si="155"/>
        <v>ok</v>
      </c>
      <c r="X1456" t="str">
        <f t="shared" si="161"/>
        <v>ok</v>
      </c>
      <c r="Y1456" t="str">
        <f t="shared" si="156"/>
        <v>ok</v>
      </c>
      <c r="Z1456" t="str">
        <f t="shared" si="157"/>
        <v>ok</v>
      </c>
      <c r="AA1456" s="4" t="str">
        <f t="shared" si="158"/>
        <v>ok</v>
      </c>
      <c r="AB1456" s="4" t="str">
        <f t="shared" si="159"/>
        <v>ok</v>
      </c>
      <c r="AC1456" s="6">
        <f t="shared" si="160"/>
        <v>15.284015833341982</v>
      </c>
    </row>
    <row r="1457" spans="1:29" x14ac:dyDescent="0.3">
      <c r="A1457" t="s">
        <v>22</v>
      </c>
      <c r="B1457">
        <v>2857</v>
      </c>
      <c r="C1457" t="s">
        <v>47</v>
      </c>
      <c r="D1457" t="s">
        <v>24</v>
      </c>
      <c r="E1457" t="s">
        <v>25</v>
      </c>
      <c r="F1457" t="s">
        <v>36</v>
      </c>
      <c r="G1457" t="s">
        <v>54</v>
      </c>
      <c r="H1457" s="1">
        <v>45152.799398148149</v>
      </c>
      <c r="I1457" s="1">
        <v>45154.799398148149</v>
      </c>
      <c r="J1457" s="1">
        <v>45152.841064814813</v>
      </c>
      <c r="K1457" s="2">
        <v>45152.819449988427</v>
      </c>
      <c r="L1457" t="s">
        <v>28</v>
      </c>
      <c r="M1457" s="2">
        <v>45154.640387627318</v>
      </c>
      <c r="N1457" t="s">
        <v>28</v>
      </c>
      <c r="O1457" s="2">
        <v>45157.542331365737</v>
      </c>
      <c r="P1457">
        <v>5</v>
      </c>
      <c r="Q1457">
        <v>5</v>
      </c>
      <c r="R1457" t="s">
        <v>39</v>
      </c>
      <c r="S1457" t="s">
        <v>40</v>
      </c>
      <c r="T1457" t="s">
        <v>41</v>
      </c>
      <c r="U1457">
        <v>43.036776000000003</v>
      </c>
      <c r="V1457">
        <v>12.678565000000001</v>
      </c>
      <c r="W1457" t="str">
        <f t="shared" si="155"/>
        <v>ok</v>
      </c>
      <c r="X1457" t="str">
        <f t="shared" si="161"/>
        <v>ok</v>
      </c>
      <c r="Y1457" t="str">
        <f t="shared" si="156"/>
        <v>ok</v>
      </c>
      <c r="Z1457" t="str">
        <f t="shared" si="157"/>
        <v>ok</v>
      </c>
      <c r="AA1457" s="4" t="str">
        <f t="shared" si="158"/>
        <v>ok</v>
      </c>
      <c r="AB1457" s="4" t="str">
        <f t="shared" si="159"/>
        <v>ok</v>
      </c>
      <c r="AC1457" s="6">
        <f t="shared" si="160"/>
        <v>44.183747500064783</v>
      </c>
    </row>
    <row r="1458" spans="1:29" x14ac:dyDescent="0.3">
      <c r="A1458" t="s">
        <v>22</v>
      </c>
      <c r="B1458">
        <v>2858</v>
      </c>
      <c r="C1458" t="s">
        <v>33</v>
      </c>
      <c r="D1458" t="s">
        <v>24</v>
      </c>
      <c r="E1458" t="s">
        <v>35</v>
      </c>
      <c r="F1458" t="s">
        <v>36</v>
      </c>
      <c r="G1458" t="s">
        <v>37</v>
      </c>
      <c r="H1458" s="1">
        <v>45152.331701388888</v>
      </c>
      <c r="I1458" s="1">
        <v>45154.331701388888</v>
      </c>
      <c r="J1458" s="1">
        <v>45152.373368055552</v>
      </c>
      <c r="K1458" s="2">
        <v>45152.352205185183</v>
      </c>
      <c r="L1458" t="s">
        <v>28</v>
      </c>
      <c r="M1458" s="2">
        <v>45154.11885903935</v>
      </c>
      <c r="N1458" t="s">
        <v>28</v>
      </c>
      <c r="O1458" s="2">
        <v>45155.49693872685</v>
      </c>
      <c r="P1458">
        <v>2</v>
      </c>
      <c r="Q1458">
        <v>1</v>
      </c>
      <c r="R1458" t="s">
        <v>50</v>
      </c>
      <c r="S1458" t="s">
        <v>40</v>
      </c>
      <c r="T1458" t="s">
        <v>41</v>
      </c>
      <c r="U1458">
        <v>43.036776000000003</v>
      </c>
      <c r="V1458">
        <v>12.678565000000001</v>
      </c>
      <c r="W1458" t="str">
        <f t="shared" si="155"/>
        <v>ok</v>
      </c>
      <c r="X1458" t="str">
        <f t="shared" si="161"/>
        <v>ok</v>
      </c>
      <c r="Y1458" t="str">
        <f t="shared" si="156"/>
        <v>ok</v>
      </c>
      <c r="Z1458" t="str">
        <f t="shared" si="157"/>
        <v>ok</v>
      </c>
      <c r="AA1458" s="4" t="str">
        <f t="shared" si="158"/>
        <v>ok</v>
      </c>
      <c r="AB1458" s="4" t="str">
        <f t="shared" si="159"/>
        <v>ok</v>
      </c>
      <c r="AC1458" s="6">
        <f t="shared" si="160"/>
        <v>42.891783611092251</v>
      </c>
    </row>
    <row r="1459" spans="1:29" x14ac:dyDescent="0.3">
      <c r="A1459" t="s">
        <v>22</v>
      </c>
      <c r="B1459">
        <v>2859</v>
      </c>
      <c r="C1459" t="s">
        <v>23</v>
      </c>
      <c r="D1459" t="s">
        <v>43</v>
      </c>
      <c r="E1459" t="s">
        <v>59</v>
      </c>
      <c r="F1459" t="s">
        <v>26</v>
      </c>
      <c r="G1459" t="s">
        <v>45</v>
      </c>
      <c r="H1459" s="1">
        <v>45152.705972222226</v>
      </c>
      <c r="I1459" s="1">
        <v>45153.705972222226</v>
      </c>
      <c r="J1459" s="1">
        <v>45152.707361111112</v>
      </c>
      <c r="K1459" s="2">
        <v>45152.707065543982</v>
      </c>
      <c r="L1459" t="s">
        <v>28</v>
      </c>
      <c r="M1459" s="2">
        <v>45154.010211678244</v>
      </c>
      <c r="N1459" t="s">
        <v>38</v>
      </c>
      <c r="O1459" s="2">
        <v>45154.456025405096</v>
      </c>
      <c r="P1459">
        <v>5</v>
      </c>
      <c r="Q1459">
        <v>5</v>
      </c>
      <c r="R1459" t="s">
        <v>55</v>
      </c>
      <c r="S1459" t="s">
        <v>30</v>
      </c>
      <c r="T1459" t="s">
        <v>57</v>
      </c>
      <c r="U1459">
        <v>51.165691000000002</v>
      </c>
      <c r="V1459">
        <v>10.451525999999999</v>
      </c>
      <c r="W1459" t="str">
        <f t="shared" si="155"/>
        <v>ok</v>
      </c>
      <c r="X1459" t="str">
        <f t="shared" si="161"/>
        <v>ok</v>
      </c>
      <c r="Y1459" t="str">
        <f t="shared" si="156"/>
        <v>ok</v>
      </c>
      <c r="Z1459" t="str">
        <f t="shared" si="157"/>
        <v>ok</v>
      </c>
      <c r="AA1459" s="4" t="str">
        <f t="shared" si="158"/>
        <v>ok</v>
      </c>
      <c r="AB1459" s="4" t="str">
        <f t="shared" si="159"/>
        <v>ok</v>
      </c>
      <c r="AC1459" s="6">
        <f t="shared" si="160"/>
        <v>31.301746944431216</v>
      </c>
    </row>
    <row r="1460" spans="1:29" x14ac:dyDescent="0.3">
      <c r="A1460" t="s">
        <v>42</v>
      </c>
      <c r="B1460">
        <v>2860</v>
      </c>
      <c r="C1460" t="s">
        <v>47</v>
      </c>
      <c r="D1460" t="s">
        <v>43</v>
      </c>
      <c r="E1460" t="s">
        <v>39</v>
      </c>
      <c r="F1460" t="s">
        <v>26</v>
      </c>
      <c r="G1460" t="s">
        <v>60</v>
      </c>
      <c r="H1460" s="1">
        <v>45152.690567129626</v>
      </c>
      <c r="I1460" s="1">
        <v>45153.690567129626</v>
      </c>
      <c r="J1460" s="1">
        <v>45152.69195601852</v>
      </c>
      <c r="K1460" s="2">
        <v>45152.691750150465</v>
      </c>
      <c r="L1460" t="s">
        <v>28</v>
      </c>
      <c r="M1460" s="2">
        <v>45156.447930844908</v>
      </c>
      <c r="N1460" t="s">
        <v>38</v>
      </c>
      <c r="P1460">
        <v>6</v>
      </c>
      <c r="R1460" t="s">
        <v>39</v>
      </c>
      <c r="S1460" t="s">
        <v>30</v>
      </c>
      <c r="T1460" t="s">
        <v>46</v>
      </c>
      <c r="U1460">
        <v>47.696471899999999</v>
      </c>
      <c r="V1460">
        <v>13.3457347</v>
      </c>
      <c r="W1460" t="str">
        <f t="shared" si="155"/>
        <v>ok</v>
      </c>
      <c r="X1460" t="str">
        <f t="shared" si="161"/>
        <v>ok</v>
      </c>
      <c r="Y1460" t="str">
        <f t="shared" si="156"/>
        <v>ok</v>
      </c>
      <c r="Z1460" t="str">
        <f t="shared" si="157"/>
        <v>ok</v>
      </c>
      <c r="AA1460" s="4" t="str">
        <f t="shared" si="158"/>
        <v>ok</v>
      </c>
      <c r="AB1460" s="4" t="str">
        <f t="shared" si="159"/>
        <v>ok</v>
      </c>
      <c r="AC1460" s="6">
        <f t="shared" si="160"/>
        <v>90.176729166763835</v>
      </c>
    </row>
    <row r="1461" spans="1:29" x14ac:dyDescent="0.3">
      <c r="A1461" t="s">
        <v>42</v>
      </c>
      <c r="B1461">
        <v>2861</v>
      </c>
      <c r="C1461" t="s">
        <v>23</v>
      </c>
      <c r="D1461" t="s">
        <v>24</v>
      </c>
      <c r="E1461" t="s">
        <v>39</v>
      </c>
      <c r="F1461" t="s">
        <v>26</v>
      </c>
      <c r="G1461" t="s">
        <v>52</v>
      </c>
      <c r="H1461" s="1">
        <v>45152.538900462961</v>
      </c>
      <c r="I1461" s="1">
        <v>45154.538900462961</v>
      </c>
      <c r="J1461" s="1">
        <v>45152.580567129633</v>
      </c>
      <c r="K1461" s="2">
        <v>45152.667519351853</v>
      </c>
      <c r="L1461" t="s">
        <v>38</v>
      </c>
      <c r="M1461" s="2">
        <v>45152.688935104168</v>
      </c>
      <c r="N1461" t="s">
        <v>28</v>
      </c>
      <c r="P1461">
        <v>1</v>
      </c>
      <c r="R1461" t="s">
        <v>39</v>
      </c>
      <c r="S1461" t="s">
        <v>30</v>
      </c>
      <c r="T1461" t="s">
        <v>65</v>
      </c>
      <c r="U1461">
        <v>46.149166399999999</v>
      </c>
      <c r="V1461">
        <v>14.9860106</v>
      </c>
      <c r="W1461" t="str">
        <f t="shared" si="155"/>
        <v>ok</v>
      </c>
      <c r="X1461" t="str">
        <f t="shared" si="161"/>
        <v>ok</v>
      </c>
      <c r="Y1461" t="str">
        <f t="shared" si="156"/>
        <v>ok</v>
      </c>
      <c r="Z1461" t="str">
        <f t="shared" si="157"/>
        <v>ok</v>
      </c>
      <c r="AA1461" s="4" t="str">
        <f t="shared" si="158"/>
        <v>ok</v>
      </c>
      <c r="AB1461" s="4" t="str">
        <f t="shared" si="159"/>
        <v>ok</v>
      </c>
      <c r="AC1461" s="6">
        <f t="shared" si="160"/>
        <v>3.6008313889615238</v>
      </c>
    </row>
    <row r="1462" spans="1:29" x14ac:dyDescent="0.3">
      <c r="A1462" t="s">
        <v>32</v>
      </c>
      <c r="B1462">
        <v>2862</v>
      </c>
      <c r="C1462" t="s">
        <v>47</v>
      </c>
      <c r="D1462" t="s">
        <v>24</v>
      </c>
      <c r="E1462" t="s">
        <v>25</v>
      </c>
      <c r="F1462" t="s">
        <v>26</v>
      </c>
      <c r="G1462" t="s">
        <v>49</v>
      </c>
      <c r="H1462" s="1">
        <v>45152.085115740738</v>
      </c>
      <c r="I1462" s="1">
        <v>45154.085115740738</v>
      </c>
      <c r="J1462" s="1">
        <v>45152.126782407409</v>
      </c>
      <c r="K1462" s="2">
        <v>45152.101856979163</v>
      </c>
      <c r="L1462" t="s">
        <v>28</v>
      </c>
      <c r="N1462" t="s">
        <v>38</v>
      </c>
      <c r="P1462">
        <v>5</v>
      </c>
      <c r="R1462" t="s">
        <v>50</v>
      </c>
      <c r="S1462" t="s">
        <v>30</v>
      </c>
      <c r="T1462" t="s">
        <v>57</v>
      </c>
      <c r="U1462">
        <v>51.165691000000002</v>
      </c>
      <c r="V1462">
        <v>10.451525999999999</v>
      </c>
      <c r="W1462" t="str">
        <f t="shared" si="155"/>
        <v>ok</v>
      </c>
      <c r="X1462" t="str">
        <f t="shared" si="161"/>
        <v>ok</v>
      </c>
      <c r="Y1462" t="str">
        <f t="shared" si="156"/>
        <v>ok</v>
      </c>
      <c r="Z1462" t="str">
        <f t="shared" si="157"/>
        <v>ok</v>
      </c>
      <c r="AA1462" s="4" t="str">
        <f t="shared" si="158"/>
        <v>ok</v>
      </c>
      <c r="AB1462" s="4" t="str">
        <f t="shared" si="159"/>
        <v>no resolution</v>
      </c>
      <c r="AC1462" s="6" t="str">
        <f t="shared" si="160"/>
        <v/>
      </c>
    </row>
    <row r="1463" spans="1:29" x14ac:dyDescent="0.3">
      <c r="A1463" t="s">
        <v>22</v>
      </c>
      <c r="B1463">
        <v>2863</v>
      </c>
      <c r="C1463" t="s">
        <v>47</v>
      </c>
      <c r="D1463" t="s">
        <v>34</v>
      </c>
      <c r="E1463" t="s">
        <v>67</v>
      </c>
      <c r="F1463" t="s">
        <v>26</v>
      </c>
      <c r="G1463" t="s">
        <v>60</v>
      </c>
      <c r="H1463" s="1">
        <v>45152.911874999998</v>
      </c>
      <c r="I1463" s="1">
        <v>45154.911874999998</v>
      </c>
      <c r="J1463" s="1">
        <v>45152.913263888891</v>
      </c>
      <c r="K1463" s="2">
        <v>45152.91275732639</v>
      </c>
      <c r="L1463" t="s">
        <v>28</v>
      </c>
      <c r="M1463" s="2">
        <v>45154.225573900461</v>
      </c>
      <c r="N1463" t="s">
        <v>28</v>
      </c>
      <c r="O1463" s="2">
        <v>45155.822188923608</v>
      </c>
      <c r="P1463">
        <v>1</v>
      </c>
      <c r="Q1463">
        <v>1</v>
      </c>
      <c r="R1463" t="s">
        <v>29</v>
      </c>
      <c r="S1463" t="s">
        <v>30</v>
      </c>
      <c r="T1463" t="s">
        <v>56</v>
      </c>
      <c r="U1463">
        <v>52.536273000000001</v>
      </c>
      <c r="V1463">
        <v>19.050639</v>
      </c>
      <c r="W1463" t="str">
        <f t="shared" si="155"/>
        <v>ok</v>
      </c>
      <c r="X1463" t="str">
        <f t="shared" si="161"/>
        <v>ok</v>
      </c>
      <c r="Y1463" t="str">
        <f t="shared" si="156"/>
        <v>ok</v>
      </c>
      <c r="Z1463" t="str">
        <f t="shared" si="157"/>
        <v>ok</v>
      </c>
      <c r="AA1463" s="4" t="str">
        <f t="shared" si="158"/>
        <v>ok</v>
      </c>
      <c r="AB1463" s="4" t="str">
        <f t="shared" si="159"/>
        <v>ok</v>
      </c>
      <c r="AC1463" s="6">
        <f t="shared" si="160"/>
        <v>31.528773611120414</v>
      </c>
    </row>
    <row r="1464" spans="1:29" x14ac:dyDescent="0.3">
      <c r="A1464" t="s">
        <v>42</v>
      </c>
      <c r="B1464">
        <v>2864</v>
      </c>
      <c r="C1464" t="s">
        <v>33</v>
      </c>
      <c r="D1464" t="s">
        <v>34</v>
      </c>
      <c r="E1464" t="s">
        <v>48</v>
      </c>
      <c r="F1464" t="s">
        <v>26</v>
      </c>
      <c r="G1464" t="s">
        <v>49</v>
      </c>
      <c r="H1464" s="1">
        <v>45152.668749999997</v>
      </c>
      <c r="I1464" s="1">
        <v>45154.668749999997</v>
      </c>
      <c r="J1464" s="1">
        <v>45152.670138888891</v>
      </c>
      <c r="K1464" s="2">
        <v>45152.670120567127</v>
      </c>
      <c r="L1464" t="s">
        <v>28</v>
      </c>
      <c r="M1464" s="2">
        <v>45157.93387479167</v>
      </c>
      <c r="N1464" t="s">
        <v>38</v>
      </c>
      <c r="P1464">
        <v>6</v>
      </c>
      <c r="R1464" t="s">
        <v>50</v>
      </c>
      <c r="S1464" t="s">
        <v>30</v>
      </c>
      <c r="T1464" t="s">
        <v>53</v>
      </c>
      <c r="U1464">
        <v>39.368279000000001</v>
      </c>
      <c r="V1464">
        <v>21.863140999999999</v>
      </c>
      <c r="W1464" t="str">
        <f t="shared" si="155"/>
        <v>ok</v>
      </c>
      <c r="X1464" t="str">
        <f t="shared" si="161"/>
        <v>ok</v>
      </c>
      <c r="Y1464" t="str">
        <f t="shared" si="156"/>
        <v>ok</v>
      </c>
      <c r="Z1464" t="str">
        <f t="shared" si="157"/>
        <v>ok</v>
      </c>
      <c r="AA1464" s="4" t="str">
        <f t="shared" si="158"/>
        <v>ok</v>
      </c>
      <c r="AB1464" s="4" t="str">
        <f t="shared" si="159"/>
        <v>ok</v>
      </c>
      <c r="AC1464" s="6">
        <f t="shared" si="160"/>
        <v>126.36299500014866</v>
      </c>
    </row>
    <row r="1465" spans="1:29" x14ac:dyDescent="0.3">
      <c r="A1465" t="s">
        <v>22</v>
      </c>
      <c r="B1465">
        <v>2865</v>
      </c>
      <c r="C1465" t="s">
        <v>23</v>
      </c>
      <c r="D1465" t="s">
        <v>24</v>
      </c>
      <c r="E1465" t="s">
        <v>35</v>
      </c>
      <c r="F1465" t="s">
        <v>26</v>
      </c>
      <c r="G1465" t="s">
        <v>60</v>
      </c>
      <c r="H1465" s="1">
        <v>45153.276678240742</v>
      </c>
      <c r="I1465" s="1">
        <v>45155.276678240742</v>
      </c>
      <c r="J1465" s="1">
        <v>45153.318344907406</v>
      </c>
      <c r="K1465" s="2">
        <v>45153.278099062503</v>
      </c>
      <c r="L1465" t="s">
        <v>28</v>
      </c>
      <c r="M1465" s="2">
        <v>45154.626759780091</v>
      </c>
      <c r="N1465" t="s">
        <v>28</v>
      </c>
      <c r="O1465" s="2">
        <v>45156.737670937502</v>
      </c>
      <c r="P1465">
        <v>5</v>
      </c>
      <c r="Q1465">
        <v>4</v>
      </c>
      <c r="R1465" t="s">
        <v>50</v>
      </c>
      <c r="S1465" t="s">
        <v>30</v>
      </c>
      <c r="T1465" t="s">
        <v>51</v>
      </c>
      <c r="U1465">
        <v>39.673369999999998</v>
      </c>
      <c r="V1465">
        <v>-4.7677259999999997</v>
      </c>
      <c r="W1465" t="str">
        <f t="shared" si="155"/>
        <v>ok</v>
      </c>
      <c r="X1465" t="str">
        <f t="shared" si="161"/>
        <v>ok</v>
      </c>
      <c r="Y1465" t="str">
        <f t="shared" si="156"/>
        <v>ok</v>
      </c>
      <c r="Z1465" t="str">
        <f t="shared" si="157"/>
        <v>ok</v>
      </c>
      <c r="AA1465" s="4" t="str">
        <f t="shared" si="158"/>
        <v>ok</v>
      </c>
      <c r="AB1465" s="4" t="str">
        <f t="shared" si="159"/>
        <v>ok</v>
      </c>
      <c r="AC1465" s="6">
        <f t="shared" si="160"/>
        <v>32.401956944377162</v>
      </c>
    </row>
    <row r="1466" spans="1:29" x14ac:dyDescent="0.3">
      <c r="A1466" t="s">
        <v>22</v>
      </c>
      <c r="B1466">
        <v>2866</v>
      </c>
      <c r="C1466" t="s">
        <v>23</v>
      </c>
      <c r="D1466" t="s">
        <v>24</v>
      </c>
      <c r="E1466" t="s">
        <v>25</v>
      </c>
      <c r="F1466" t="s">
        <v>36</v>
      </c>
      <c r="G1466" t="s">
        <v>37</v>
      </c>
      <c r="H1466" s="1">
        <v>45153.855717592596</v>
      </c>
      <c r="I1466" s="1">
        <v>45155.855717592596</v>
      </c>
      <c r="J1466" s="1">
        <v>45153.89738425926</v>
      </c>
      <c r="K1466" s="2">
        <v>45153.8911896875</v>
      </c>
      <c r="L1466" t="s">
        <v>28</v>
      </c>
      <c r="M1466" s="2">
        <v>45154.833853402779</v>
      </c>
      <c r="N1466" t="s">
        <v>28</v>
      </c>
      <c r="O1466" s="2">
        <v>45158.879547557874</v>
      </c>
      <c r="P1466">
        <v>1</v>
      </c>
      <c r="Q1466">
        <v>1</v>
      </c>
      <c r="R1466" t="s">
        <v>50</v>
      </c>
      <c r="S1466" t="s">
        <v>40</v>
      </c>
      <c r="T1466" t="s">
        <v>41</v>
      </c>
      <c r="U1466">
        <v>43.036776000000003</v>
      </c>
      <c r="V1466">
        <v>12.678565000000001</v>
      </c>
      <c r="W1466" t="str">
        <f t="shared" si="155"/>
        <v>ok</v>
      </c>
      <c r="X1466" t="str">
        <f t="shared" si="161"/>
        <v>ok</v>
      </c>
      <c r="Y1466" t="str">
        <f t="shared" si="156"/>
        <v>ok</v>
      </c>
      <c r="Z1466" t="str">
        <f t="shared" si="157"/>
        <v>ok</v>
      </c>
      <c r="AA1466" s="4" t="str">
        <f t="shared" si="158"/>
        <v>ok</v>
      </c>
      <c r="AB1466" s="4" t="str">
        <f t="shared" si="159"/>
        <v>ok</v>
      </c>
      <c r="AC1466" s="6">
        <f t="shared" si="160"/>
        <v>23.475259444385301</v>
      </c>
    </row>
    <row r="1467" spans="1:29" x14ac:dyDescent="0.3">
      <c r="A1467" t="s">
        <v>32</v>
      </c>
      <c r="B1467">
        <v>2867</v>
      </c>
      <c r="C1467" t="s">
        <v>23</v>
      </c>
      <c r="D1467" t="s">
        <v>34</v>
      </c>
      <c r="E1467" t="s">
        <v>67</v>
      </c>
      <c r="F1467" t="s">
        <v>26</v>
      </c>
      <c r="G1467" t="s">
        <v>45</v>
      </c>
      <c r="H1467" s="1">
        <v>45153.821377314816</v>
      </c>
      <c r="I1467" s="1">
        <v>45155.821377314816</v>
      </c>
      <c r="J1467" s="1">
        <v>45153.822766203702</v>
      </c>
      <c r="K1467" s="2">
        <v>45153.821834629627</v>
      </c>
      <c r="L1467" t="s">
        <v>28</v>
      </c>
      <c r="N1467" t="s">
        <v>38</v>
      </c>
      <c r="P1467">
        <v>3</v>
      </c>
      <c r="R1467" t="s">
        <v>29</v>
      </c>
      <c r="S1467" t="s">
        <v>30</v>
      </c>
      <c r="T1467" t="s">
        <v>46</v>
      </c>
      <c r="U1467">
        <v>47.696471899999999</v>
      </c>
      <c r="V1467">
        <v>13.3457347</v>
      </c>
      <c r="W1467" t="str">
        <f t="shared" si="155"/>
        <v>ok</v>
      </c>
      <c r="X1467" t="str">
        <f t="shared" si="161"/>
        <v>ok</v>
      </c>
      <c r="Y1467" t="str">
        <f t="shared" si="156"/>
        <v>ok</v>
      </c>
      <c r="Z1467" t="str">
        <f t="shared" si="157"/>
        <v>ok</v>
      </c>
      <c r="AA1467" s="4" t="str">
        <f t="shared" si="158"/>
        <v>ok</v>
      </c>
      <c r="AB1467" s="4" t="str">
        <f t="shared" si="159"/>
        <v>no resolution</v>
      </c>
      <c r="AC1467" s="6" t="str">
        <f t="shared" si="160"/>
        <v/>
      </c>
    </row>
    <row r="1468" spans="1:29" x14ac:dyDescent="0.3">
      <c r="A1468" t="s">
        <v>42</v>
      </c>
      <c r="B1468">
        <v>2868</v>
      </c>
      <c r="C1468" t="s">
        <v>23</v>
      </c>
      <c r="D1468" t="s">
        <v>24</v>
      </c>
      <c r="E1468" t="s">
        <v>62</v>
      </c>
      <c r="F1468" t="s">
        <v>26</v>
      </c>
      <c r="G1468" t="s">
        <v>27</v>
      </c>
      <c r="H1468" s="1">
        <v>45153.957696759258</v>
      </c>
      <c r="I1468" s="1">
        <v>45155.957696759258</v>
      </c>
      <c r="J1468" s="1">
        <v>45153.999363425923</v>
      </c>
      <c r="K1468" s="2">
        <v>45153.959228043983</v>
      </c>
      <c r="L1468" t="s">
        <v>28</v>
      </c>
      <c r="M1468" s="2">
        <v>45155.664061990741</v>
      </c>
      <c r="N1468" t="s">
        <v>28</v>
      </c>
      <c r="P1468">
        <v>10</v>
      </c>
      <c r="R1468" t="s">
        <v>55</v>
      </c>
      <c r="S1468" t="s">
        <v>30</v>
      </c>
      <c r="T1468" t="s">
        <v>56</v>
      </c>
      <c r="U1468">
        <v>52.536273000000001</v>
      </c>
      <c r="V1468">
        <v>19.050639</v>
      </c>
      <c r="W1468" t="str">
        <f t="shared" si="155"/>
        <v>ok</v>
      </c>
      <c r="X1468" t="str">
        <f t="shared" si="161"/>
        <v>ok</v>
      </c>
      <c r="Y1468" t="str">
        <f t="shared" si="156"/>
        <v>ok</v>
      </c>
      <c r="Z1468" t="str">
        <f t="shared" si="157"/>
        <v>ok</v>
      </c>
      <c r="AA1468" s="4" t="str">
        <f t="shared" si="158"/>
        <v>ok</v>
      </c>
      <c r="AB1468" s="4" t="str">
        <f t="shared" si="159"/>
        <v>ok</v>
      </c>
      <c r="AC1468" s="6">
        <f t="shared" si="160"/>
        <v>40.952765555586666</v>
      </c>
    </row>
    <row r="1469" spans="1:29" x14ac:dyDescent="0.3">
      <c r="A1469" t="s">
        <v>42</v>
      </c>
      <c r="B1469">
        <v>2869</v>
      </c>
      <c r="C1469" t="s">
        <v>23</v>
      </c>
      <c r="D1469" t="s">
        <v>24</v>
      </c>
      <c r="E1469" t="s">
        <v>39</v>
      </c>
      <c r="F1469" t="s">
        <v>26</v>
      </c>
      <c r="G1469" t="s">
        <v>27</v>
      </c>
      <c r="H1469" s="1">
        <v>45153.262650462966</v>
      </c>
      <c r="I1469" s="1">
        <v>45155.262650462966</v>
      </c>
      <c r="J1469" s="1">
        <v>45153.30431712963</v>
      </c>
      <c r="K1469" s="2">
        <v>45153.289936053239</v>
      </c>
      <c r="L1469" t="s">
        <v>28</v>
      </c>
      <c r="M1469" s="2">
        <v>45154.054684409719</v>
      </c>
      <c r="N1469" t="s">
        <v>28</v>
      </c>
      <c r="P1469">
        <v>3</v>
      </c>
      <c r="R1469" t="s">
        <v>39</v>
      </c>
      <c r="S1469" t="s">
        <v>30</v>
      </c>
      <c r="T1469" t="s">
        <v>41</v>
      </c>
      <c r="U1469">
        <v>43.036776000000003</v>
      </c>
      <c r="V1469">
        <v>12.678565000000001</v>
      </c>
      <c r="W1469" t="str">
        <f t="shared" si="155"/>
        <v>ok</v>
      </c>
      <c r="X1469" t="str">
        <f t="shared" si="161"/>
        <v>ok</v>
      </c>
      <c r="Y1469" t="str">
        <f t="shared" si="156"/>
        <v>ok</v>
      </c>
      <c r="Z1469" t="str">
        <f t="shared" si="157"/>
        <v>ok</v>
      </c>
      <c r="AA1469" s="4" t="str">
        <f t="shared" si="158"/>
        <v>ok</v>
      </c>
      <c r="AB1469" s="4" t="str">
        <f t="shared" si="159"/>
        <v>ok</v>
      </c>
      <c r="AC1469" s="6">
        <f t="shared" si="160"/>
        <v>19.008814722066745</v>
      </c>
    </row>
    <row r="1470" spans="1:29" x14ac:dyDescent="0.3">
      <c r="A1470" t="s">
        <v>22</v>
      </c>
      <c r="B1470">
        <v>2870</v>
      </c>
      <c r="C1470" t="s">
        <v>33</v>
      </c>
      <c r="D1470" t="s">
        <v>34</v>
      </c>
      <c r="E1470" t="s">
        <v>48</v>
      </c>
      <c r="F1470" t="s">
        <v>26</v>
      </c>
      <c r="G1470" t="s">
        <v>49</v>
      </c>
      <c r="H1470" s="1">
        <v>45153.879421296297</v>
      </c>
      <c r="I1470" s="1">
        <v>45155.879421296297</v>
      </c>
      <c r="J1470" s="1">
        <v>45153.880810185183</v>
      </c>
      <c r="K1470" s="2">
        <v>45153.880637824077</v>
      </c>
      <c r="L1470" t="s">
        <v>28</v>
      </c>
      <c r="M1470" s="2">
        <v>45154.09161959491</v>
      </c>
      <c r="N1470" t="s">
        <v>28</v>
      </c>
      <c r="O1470" s="2">
        <v>45158.55155196759</v>
      </c>
      <c r="P1470">
        <v>2</v>
      </c>
      <c r="Q1470">
        <v>5</v>
      </c>
      <c r="R1470" t="s">
        <v>29</v>
      </c>
      <c r="S1470" t="s">
        <v>30</v>
      </c>
      <c r="T1470" t="s">
        <v>57</v>
      </c>
      <c r="U1470">
        <v>51.165691000000002</v>
      </c>
      <c r="V1470">
        <v>10.451525999999999</v>
      </c>
      <c r="W1470" t="str">
        <f t="shared" si="155"/>
        <v>ok</v>
      </c>
      <c r="X1470" t="str">
        <f t="shared" si="161"/>
        <v>ok</v>
      </c>
      <c r="Y1470" t="str">
        <f t="shared" si="156"/>
        <v>ok</v>
      </c>
      <c r="Z1470" t="str">
        <f t="shared" si="157"/>
        <v>ok</v>
      </c>
      <c r="AA1470" s="4" t="str">
        <f t="shared" si="158"/>
        <v>ok</v>
      </c>
      <c r="AB1470" s="4" t="str">
        <f t="shared" si="159"/>
        <v>ok</v>
      </c>
      <c r="AC1470" s="6">
        <f t="shared" si="160"/>
        <v>5.0927591667277738</v>
      </c>
    </row>
    <row r="1471" spans="1:29" x14ac:dyDescent="0.3">
      <c r="A1471" t="s">
        <v>22</v>
      </c>
      <c r="B1471">
        <v>2871</v>
      </c>
      <c r="C1471" t="s">
        <v>33</v>
      </c>
      <c r="D1471" t="s">
        <v>24</v>
      </c>
      <c r="E1471" t="s">
        <v>25</v>
      </c>
      <c r="F1471" t="s">
        <v>26</v>
      </c>
      <c r="G1471" t="s">
        <v>52</v>
      </c>
      <c r="H1471" s="1">
        <v>45153.295081018521</v>
      </c>
      <c r="I1471" s="1">
        <v>45155.295081018521</v>
      </c>
      <c r="J1471" s="1">
        <v>45153.336747685185</v>
      </c>
      <c r="K1471" s="2">
        <v>45153.305809594909</v>
      </c>
      <c r="L1471" t="s">
        <v>28</v>
      </c>
      <c r="M1471" s="2">
        <v>45155.202322013887</v>
      </c>
      <c r="N1471" t="s">
        <v>28</v>
      </c>
      <c r="O1471" s="2">
        <v>45158.479149618055</v>
      </c>
      <c r="P1471">
        <v>5</v>
      </c>
      <c r="Q1471">
        <v>3</v>
      </c>
      <c r="R1471" t="s">
        <v>50</v>
      </c>
      <c r="S1471" t="s">
        <v>30</v>
      </c>
      <c r="T1471" t="s">
        <v>53</v>
      </c>
      <c r="U1471">
        <v>39.368279000000001</v>
      </c>
      <c r="V1471">
        <v>21.863140999999999</v>
      </c>
      <c r="W1471" t="str">
        <f t="shared" si="155"/>
        <v>ok</v>
      </c>
      <c r="X1471" t="str">
        <f t="shared" si="161"/>
        <v>ok</v>
      </c>
      <c r="Y1471" t="str">
        <f t="shared" si="156"/>
        <v>ok</v>
      </c>
      <c r="Z1471" t="str">
        <f t="shared" si="157"/>
        <v>ok</v>
      </c>
      <c r="AA1471" s="4" t="str">
        <f t="shared" si="158"/>
        <v>ok</v>
      </c>
      <c r="AB1471" s="4" t="str">
        <f t="shared" si="159"/>
        <v>ok</v>
      </c>
      <c r="AC1471" s="6">
        <f t="shared" si="160"/>
        <v>45.773783888784237</v>
      </c>
    </row>
    <row r="1472" spans="1:29" x14ac:dyDescent="0.3">
      <c r="A1472" t="s">
        <v>32</v>
      </c>
      <c r="B1472">
        <v>2872</v>
      </c>
      <c r="C1472" t="s">
        <v>47</v>
      </c>
      <c r="D1472" t="s">
        <v>24</v>
      </c>
      <c r="E1472" t="s">
        <v>48</v>
      </c>
      <c r="F1472" t="s">
        <v>26</v>
      </c>
      <c r="G1472" t="s">
        <v>52</v>
      </c>
      <c r="H1472" s="1">
        <v>45153.902453703704</v>
      </c>
      <c r="I1472" s="1">
        <v>45155.902453703704</v>
      </c>
      <c r="J1472" s="1">
        <v>45153.944120370368</v>
      </c>
      <c r="K1472" s="2">
        <v>45154.125390960646</v>
      </c>
      <c r="L1472" t="s">
        <v>38</v>
      </c>
      <c r="N1472" t="s">
        <v>38</v>
      </c>
      <c r="P1472">
        <v>6</v>
      </c>
      <c r="R1472" t="s">
        <v>50</v>
      </c>
      <c r="S1472" t="s">
        <v>30</v>
      </c>
      <c r="T1472" t="s">
        <v>53</v>
      </c>
      <c r="U1472">
        <v>39.368279000000001</v>
      </c>
      <c r="V1472">
        <v>21.863140999999999</v>
      </c>
      <c r="W1472" t="str">
        <f t="shared" si="155"/>
        <v>ok</v>
      </c>
      <c r="X1472" t="str">
        <f t="shared" si="161"/>
        <v>ok</v>
      </c>
      <c r="Y1472" t="str">
        <f t="shared" si="156"/>
        <v>ok</v>
      </c>
      <c r="Z1472" t="str">
        <f t="shared" si="157"/>
        <v>ok</v>
      </c>
      <c r="AA1472" s="4" t="str">
        <f t="shared" si="158"/>
        <v>ok</v>
      </c>
      <c r="AB1472" s="4" t="str">
        <f t="shared" si="159"/>
        <v>no resolution</v>
      </c>
      <c r="AC1472" s="6" t="str">
        <f t="shared" si="160"/>
        <v/>
      </c>
    </row>
    <row r="1473" spans="1:29" x14ac:dyDescent="0.3">
      <c r="A1473" t="s">
        <v>22</v>
      </c>
      <c r="B1473">
        <v>2873</v>
      </c>
      <c r="C1473" t="s">
        <v>23</v>
      </c>
      <c r="D1473" t="s">
        <v>24</v>
      </c>
      <c r="E1473" t="s">
        <v>35</v>
      </c>
      <c r="F1473" t="s">
        <v>26</v>
      </c>
      <c r="G1473" t="s">
        <v>60</v>
      </c>
      <c r="H1473" s="1">
        <v>45153.113958333335</v>
      </c>
      <c r="I1473" s="1">
        <v>45155.113958333335</v>
      </c>
      <c r="J1473" s="1">
        <v>45153.155624999999</v>
      </c>
      <c r="K1473" s="2">
        <v>45153.128697210646</v>
      </c>
      <c r="L1473" t="s">
        <v>28</v>
      </c>
      <c r="M1473" s="2">
        <v>45153.932796967594</v>
      </c>
      <c r="N1473" t="s">
        <v>28</v>
      </c>
      <c r="O1473" s="2">
        <v>45155.069913993058</v>
      </c>
      <c r="P1473">
        <v>4</v>
      </c>
      <c r="Q1473">
        <v>2</v>
      </c>
      <c r="R1473" t="s">
        <v>50</v>
      </c>
      <c r="S1473" t="s">
        <v>30</v>
      </c>
      <c r="T1473" t="s">
        <v>56</v>
      </c>
      <c r="U1473">
        <v>52.536273000000001</v>
      </c>
      <c r="V1473">
        <v>19.050639</v>
      </c>
      <c r="W1473" t="str">
        <f t="shared" si="155"/>
        <v>ok</v>
      </c>
      <c r="X1473" t="str">
        <f t="shared" si="161"/>
        <v>ok</v>
      </c>
      <c r="Y1473" t="str">
        <f t="shared" si="156"/>
        <v>ok</v>
      </c>
      <c r="Z1473" t="str">
        <f t="shared" si="157"/>
        <v>ok</v>
      </c>
      <c r="AA1473" s="4" t="str">
        <f t="shared" si="158"/>
        <v>ok</v>
      </c>
      <c r="AB1473" s="4" t="str">
        <f t="shared" si="159"/>
        <v>ok</v>
      </c>
      <c r="AC1473" s="6">
        <f t="shared" si="160"/>
        <v>19.652127222216222</v>
      </c>
    </row>
    <row r="1474" spans="1:29" x14ac:dyDescent="0.3">
      <c r="A1474" t="s">
        <v>32</v>
      </c>
      <c r="B1474">
        <v>2874</v>
      </c>
      <c r="C1474" t="s">
        <v>47</v>
      </c>
      <c r="D1474" t="s">
        <v>34</v>
      </c>
      <c r="E1474" t="s">
        <v>35</v>
      </c>
      <c r="F1474" t="s">
        <v>36</v>
      </c>
      <c r="G1474" t="s">
        <v>54</v>
      </c>
      <c r="H1474" s="1">
        <v>45153.097418981481</v>
      </c>
      <c r="I1474" s="1">
        <v>45155.097418981481</v>
      </c>
      <c r="J1474" s="1">
        <v>45153.098807870374</v>
      </c>
      <c r="K1474" s="2">
        <v>45153.098494456019</v>
      </c>
      <c r="L1474" t="s">
        <v>28</v>
      </c>
      <c r="N1474" t="s">
        <v>38</v>
      </c>
      <c r="P1474">
        <v>7</v>
      </c>
      <c r="R1474" t="s">
        <v>55</v>
      </c>
      <c r="S1474" t="s">
        <v>40</v>
      </c>
      <c r="T1474" t="s">
        <v>56</v>
      </c>
      <c r="U1474">
        <v>52.536273000000001</v>
      </c>
      <c r="V1474">
        <v>19.050639</v>
      </c>
      <c r="W1474" t="str">
        <f t="shared" ref="W1474:W1537" si="162">IF(K1474&lt;H1474,"check","ok")</f>
        <v>ok</v>
      </c>
      <c r="X1474" t="str">
        <f t="shared" si="161"/>
        <v>ok</v>
      </c>
      <c r="Y1474" t="str">
        <f t="shared" ref="Y1474:Y1537" si="163">IF(AND(M1474&lt;&gt;"",O1474&lt;&gt;"",O1474&lt;M1474),"check","ok")</f>
        <v>ok</v>
      </c>
      <c r="Z1474" t="str">
        <f t="shared" ref="Z1474:Z1537" si="164">IF(AND(OR(CA1474="Closed",A1474="Resolved"),M1474=""),"check","ok")</f>
        <v>ok</v>
      </c>
      <c r="AA1474" s="4" t="str">
        <f t="shared" ref="AA1474:AA1537" si="165">IF(K1474="","no response",IF(OR(AND(K1474&lt;=J1474,L1474="Within SLA"),AND(K1474&gt;J1474,L1474="SLA Violated")),"ok","check"))</f>
        <v>ok</v>
      </c>
      <c r="AB1474" s="4" t="str">
        <f t="shared" ref="AB1474:AB1537" si="166">IF(M1474="","no resolution",IF(OR(AND(M1474&lt;=I1474,N1474="Within SLA"),AND(M1474&gt;I1474,N1474="SLA Violated")),"ok","check"))</f>
        <v>no resolution</v>
      </c>
      <c r="AC1474" s="6" t="str">
        <f t="shared" ref="AC1474:AC1537" si="167">IF(M1474="","",(M1474-H1474)*24)</f>
        <v/>
      </c>
    </row>
    <row r="1475" spans="1:29" x14ac:dyDescent="0.3">
      <c r="A1475" t="s">
        <v>42</v>
      </c>
      <c r="B1475">
        <v>2875</v>
      </c>
      <c r="C1475" t="s">
        <v>23</v>
      </c>
      <c r="D1475" t="s">
        <v>43</v>
      </c>
      <c r="E1475" t="s">
        <v>44</v>
      </c>
      <c r="F1475" t="s">
        <v>26</v>
      </c>
      <c r="G1475" t="s">
        <v>52</v>
      </c>
      <c r="H1475" s="1">
        <v>45153.289965277778</v>
      </c>
      <c r="I1475" s="1">
        <v>45154.289965277778</v>
      </c>
      <c r="J1475" s="1">
        <v>45153.291354166664</v>
      </c>
      <c r="K1475" s="2">
        <v>45153.290720590281</v>
      </c>
      <c r="L1475" t="s">
        <v>28</v>
      </c>
      <c r="M1475" s="2">
        <v>45153.454874814815</v>
      </c>
      <c r="N1475" t="s">
        <v>28</v>
      </c>
      <c r="P1475">
        <v>5</v>
      </c>
      <c r="R1475" t="s">
        <v>50</v>
      </c>
      <c r="S1475" t="s">
        <v>30</v>
      </c>
      <c r="T1475" t="s">
        <v>65</v>
      </c>
      <c r="U1475">
        <v>46.149166399999999</v>
      </c>
      <c r="V1475">
        <v>14.9860106</v>
      </c>
      <c r="W1475" t="str">
        <f t="shared" si="162"/>
        <v>ok</v>
      </c>
      <c r="X1475" t="str">
        <f t="shared" ref="X1475:X1538" si="168">IF(AND(M1475&lt;&gt;"",M1475&lt;H1475),"check","ok")</f>
        <v>ok</v>
      </c>
      <c r="Y1475" t="str">
        <f t="shared" si="163"/>
        <v>ok</v>
      </c>
      <c r="Z1475" t="str">
        <f t="shared" si="164"/>
        <v>ok</v>
      </c>
      <c r="AA1475" s="4" t="str">
        <f t="shared" si="165"/>
        <v>ok</v>
      </c>
      <c r="AB1475" s="4" t="str">
        <f t="shared" si="166"/>
        <v>ok</v>
      </c>
      <c r="AC1475" s="6">
        <f t="shared" si="167"/>
        <v>3.9578288889024407</v>
      </c>
    </row>
    <row r="1476" spans="1:29" x14ac:dyDescent="0.3">
      <c r="A1476" t="s">
        <v>22</v>
      </c>
      <c r="B1476">
        <v>2876</v>
      </c>
      <c r="C1476" t="s">
        <v>47</v>
      </c>
      <c r="D1476" t="s">
        <v>24</v>
      </c>
      <c r="E1476" t="s">
        <v>44</v>
      </c>
      <c r="F1476" t="s">
        <v>26</v>
      </c>
      <c r="G1476" t="s">
        <v>45</v>
      </c>
      <c r="H1476" s="1">
        <v>45153.942280092589</v>
      </c>
      <c r="I1476" s="1">
        <v>45155.942280092589</v>
      </c>
      <c r="J1476" s="1">
        <v>45153.983946759261</v>
      </c>
      <c r="K1476" s="2">
        <v>45153.969482615743</v>
      </c>
      <c r="L1476" t="s">
        <v>28</v>
      </c>
      <c r="M1476" s="2">
        <v>45154.910125243056</v>
      </c>
      <c r="N1476" t="s">
        <v>28</v>
      </c>
      <c r="O1476" s="2">
        <v>45161.50189003472</v>
      </c>
      <c r="P1476">
        <v>4</v>
      </c>
      <c r="Q1476">
        <v>4</v>
      </c>
      <c r="R1476" t="s">
        <v>50</v>
      </c>
      <c r="S1476" t="s">
        <v>30</v>
      </c>
      <c r="T1476" t="s">
        <v>57</v>
      </c>
      <c r="U1476">
        <v>51.165691000000002</v>
      </c>
      <c r="V1476">
        <v>10.451525999999999</v>
      </c>
      <c r="W1476" t="str">
        <f t="shared" si="162"/>
        <v>ok</v>
      </c>
      <c r="X1476" t="str">
        <f t="shared" si="168"/>
        <v>ok</v>
      </c>
      <c r="Y1476" t="str">
        <f t="shared" si="163"/>
        <v>ok</v>
      </c>
      <c r="Z1476" t="str">
        <f t="shared" si="164"/>
        <v>ok</v>
      </c>
      <c r="AA1476" s="4" t="str">
        <f t="shared" si="165"/>
        <v>ok</v>
      </c>
      <c r="AB1476" s="4" t="str">
        <f t="shared" si="166"/>
        <v>ok</v>
      </c>
      <c r="AC1476" s="6">
        <f t="shared" si="167"/>
        <v>23.228283611184452</v>
      </c>
    </row>
    <row r="1477" spans="1:29" x14ac:dyDescent="0.3">
      <c r="A1477" t="s">
        <v>42</v>
      </c>
      <c r="B1477">
        <v>2877</v>
      </c>
      <c r="C1477" t="s">
        <v>23</v>
      </c>
      <c r="D1477" t="s">
        <v>24</v>
      </c>
      <c r="E1477" t="s">
        <v>67</v>
      </c>
      <c r="F1477" t="s">
        <v>26</v>
      </c>
      <c r="G1477" t="s">
        <v>49</v>
      </c>
      <c r="H1477" s="1">
        <v>45153.931585648148</v>
      </c>
      <c r="I1477" s="1">
        <v>45155.931585648148</v>
      </c>
      <c r="J1477" s="1">
        <v>45153.973252314812</v>
      </c>
      <c r="K1477" s="2">
        <v>45153.964456724534</v>
      </c>
      <c r="L1477" t="s">
        <v>28</v>
      </c>
      <c r="M1477" s="2">
        <v>45159.628142280089</v>
      </c>
      <c r="N1477" t="s">
        <v>38</v>
      </c>
      <c r="P1477">
        <v>1</v>
      </c>
      <c r="R1477" t="s">
        <v>29</v>
      </c>
      <c r="S1477" t="s">
        <v>30</v>
      </c>
      <c r="T1477" t="s">
        <v>56</v>
      </c>
      <c r="U1477">
        <v>52.536273000000001</v>
      </c>
      <c r="V1477">
        <v>19.050639</v>
      </c>
      <c r="W1477" t="str">
        <f t="shared" si="162"/>
        <v>ok</v>
      </c>
      <c r="X1477" t="str">
        <f t="shared" si="168"/>
        <v>ok</v>
      </c>
      <c r="Y1477" t="str">
        <f t="shared" si="163"/>
        <v>ok</v>
      </c>
      <c r="Z1477" t="str">
        <f t="shared" si="164"/>
        <v>ok</v>
      </c>
      <c r="AA1477" s="4" t="str">
        <f t="shared" si="165"/>
        <v>ok</v>
      </c>
      <c r="AB1477" s="4" t="str">
        <f t="shared" si="166"/>
        <v>ok</v>
      </c>
      <c r="AC1477" s="6">
        <f t="shared" si="167"/>
        <v>136.71735916659236</v>
      </c>
    </row>
    <row r="1478" spans="1:29" x14ac:dyDescent="0.3">
      <c r="A1478" t="s">
        <v>22</v>
      </c>
      <c r="B1478">
        <v>2878</v>
      </c>
      <c r="C1478" t="s">
        <v>23</v>
      </c>
      <c r="D1478" t="s">
        <v>43</v>
      </c>
      <c r="E1478" t="s">
        <v>25</v>
      </c>
      <c r="F1478" t="s">
        <v>36</v>
      </c>
      <c r="G1478" t="s">
        <v>37</v>
      </c>
      <c r="H1478" s="1">
        <v>45153.106516203705</v>
      </c>
      <c r="I1478" s="1">
        <v>45154.106516203705</v>
      </c>
      <c r="J1478" s="1">
        <v>45153.107905092591</v>
      </c>
      <c r="K1478" s="2">
        <v>45153.107812210648</v>
      </c>
      <c r="L1478" t="s">
        <v>28</v>
      </c>
      <c r="M1478" s="2">
        <v>45158.352792604164</v>
      </c>
      <c r="N1478" t="s">
        <v>38</v>
      </c>
      <c r="O1478" s="2">
        <v>45159.945475208333</v>
      </c>
      <c r="P1478">
        <v>9</v>
      </c>
      <c r="Q1478">
        <v>1</v>
      </c>
      <c r="R1478" t="s">
        <v>39</v>
      </c>
      <c r="S1478" t="s">
        <v>40</v>
      </c>
      <c r="T1478" t="s">
        <v>61</v>
      </c>
      <c r="U1478">
        <v>42.724992499999999</v>
      </c>
      <c r="V1478">
        <v>25.483303899999999</v>
      </c>
      <c r="W1478" t="str">
        <f t="shared" si="162"/>
        <v>ok</v>
      </c>
      <c r="X1478" t="str">
        <f t="shared" si="168"/>
        <v>ok</v>
      </c>
      <c r="Y1478" t="str">
        <f t="shared" si="163"/>
        <v>ok</v>
      </c>
      <c r="Z1478" t="str">
        <f t="shared" si="164"/>
        <v>ok</v>
      </c>
      <c r="AA1478" s="4" t="str">
        <f t="shared" si="165"/>
        <v>ok</v>
      </c>
      <c r="AB1478" s="4" t="str">
        <f t="shared" si="166"/>
        <v>ok</v>
      </c>
      <c r="AC1478" s="6">
        <f t="shared" si="167"/>
        <v>125.91063361102715</v>
      </c>
    </row>
    <row r="1479" spans="1:29" x14ac:dyDescent="0.3">
      <c r="A1479" t="s">
        <v>22</v>
      </c>
      <c r="B1479">
        <v>2879</v>
      </c>
      <c r="C1479" t="s">
        <v>23</v>
      </c>
      <c r="D1479" t="s">
        <v>34</v>
      </c>
      <c r="E1479" t="s">
        <v>67</v>
      </c>
      <c r="F1479" t="s">
        <v>26</v>
      </c>
      <c r="G1479" t="s">
        <v>49</v>
      </c>
      <c r="H1479" s="1">
        <v>45153.925405092596</v>
      </c>
      <c r="I1479" s="1">
        <v>45155.925405092596</v>
      </c>
      <c r="J1479" s="1">
        <v>45153.926793981482</v>
      </c>
      <c r="K1479" s="2">
        <v>45153.928360381942</v>
      </c>
      <c r="L1479" t="s">
        <v>38</v>
      </c>
      <c r="M1479" s="2">
        <v>45155.230166886577</v>
      </c>
      <c r="N1479" t="s">
        <v>28</v>
      </c>
      <c r="O1479" s="2">
        <v>45157.653151493054</v>
      </c>
      <c r="P1479">
        <v>2</v>
      </c>
      <c r="Q1479">
        <v>3</v>
      </c>
      <c r="R1479" t="s">
        <v>29</v>
      </c>
      <c r="S1479" t="s">
        <v>30</v>
      </c>
      <c r="T1479" t="s">
        <v>31</v>
      </c>
      <c r="U1479">
        <v>53.094023999999997</v>
      </c>
      <c r="V1479">
        <v>-8.0196749999999994</v>
      </c>
      <c r="W1479" t="str">
        <f t="shared" si="162"/>
        <v>ok</v>
      </c>
      <c r="X1479" t="str">
        <f t="shared" si="168"/>
        <v>ok</v>
      </c>
      <c r="Y1479" t="str">
        <f t="shared" si="163"/>
        <v>ok</v>
      </c>
      <c r="Z1479" t="str">
        <f t="shared" si="164"/>
        <v>ok</v>
      </c>
      <c r="AA1479" s="4" t="str">
        <f t="shared" si="165"/>
        <v>ok</v>
      </c>
      <c r="AB1479" s="4" t="str">
        <f t="shared" si="166"/>
        <v>ok</v>
      </c>
      <c r="AC1479" s="6">
        <f t="shared" si="167"/>
        <v>31.314283055544365</v>
      </c>
    </row>
    <row r="1480" spans="1:29" x14ac:dyDescent="0.3">
      <c r="A1480" t="s">
        <v>22</v>
      </c>
      <c r="B1480">
        <v>2881</v>
      </c>
      <c r="C1480" t="s">
        <v>33</v>
      </c>
      <c r="D1480" t="s">
        <v>24</v>
      </c>
      <c r="E1480" t="s">
        <v>44</v>
      </c>
      <c r="F1480" t="s">
        <v>26</v>
      </c>
      <c r="G1480" t="s">
        <v>60</v>
      </c>
      <c r="H1480" s="1">
        <v>45154.766979166663</v>
      </c>
      <c r="I1480" s="1">
        <v>45156.766979166663</v>
      </c>
      <c r="J1480" s="1">
        <v>45154.808645833335</v>
      </c>
      <c r="K1480" s="2">
        <v>45154.771671863426</v>
      </c>
      <c r="L1480" t="s">
        <v>28</v>
      </c>
      <c r="M1480" s="2">
        <v>45155.247399722219</v>
      </c>
      <c r="N1480" t="s">
        <v>28</v>
      </c>
      <c r="O1480" s="2">
        <v>45160.743910462967</v>
      </c>
      <c r="P1480">
        <v>2</v>
      </c>
      <c r="Q1480">
        <v>5</v>
      </c>
      <c r="R1480" t="s">
        <v>29</v>
      </c>
      <c r="S1480" t="s">
        <v>30</v>
      </c>
      <c r="T1480" t="s">
        <v>31</v>
      </c>
      <c r="U1480">
        <v>53.094023999999997</v>
      </c>
      <c r="V1480">
        <v>-8.0196749999999994</v>
      </c>
      <c r="W1480" t="str">
        <f t="shared" si="162"/>
        <v>ok</v>
      </c>
      <c r="X1480" t="str">
        <f t="shared" si="168"/>
        <v>ok</v>
      </c>
      <c r="Y1480" t="str">
        <f t="shared" si="163"/>
        <v>ok</v>
      </c>
      <c r="Z1480" t="str">
        <f t="shared" si="164"/>
        <v>ok</v>
      </c>
      <c r="AA1480" s="4" t="str">
        <f t="shared" si="165"/>
        <v>ok</v>
      </c>
      <c r="AB1480" s="4" t="str">
        <f t="shared" si="166"/>
        <v>ok</v>
      </c>
      <c r="AC1480" s="6">
        <f t="shared" si="167"/>
        <v>11.530093333334662</v>
      </c>
    </row>
    <row r="1481" spans="1:29" x14ac:dyDescent="0.3">
      <c r="A1481" t="s">
        <v>32</v>
      </c>
      <c r="B1481">
        <v>2883</v>
      </c>
      <c r="C1481" t="s">
        <v>47</v>
      </c>
      <c r="D1481" t="s">
        <v>24</v>
      </c>
      <c r="E1481" t="s">
        <v>48</v>
      </c>
      <c r="F1481" t="s">
        <v>26</v>
      </c>
      <c r="G1481" t="s">
        <v>45</v>
      </c>
      <c r="H1481" s="1">
        <v>45154.09578703704</v>
      </c>
      <c r="I1481" s="1">
        <v>45156.09578703704</v>
      </c>
      <c r="J1481" s="1">
        <v>45154.137453703705</v>
      </c>
      <c r="K1481" s="2">
        <v>45154.111071932872</v>
      </c>
      <c r="L1481" t="s">
        <v>28</v>
      </c>
      <c r="N1481" t="s">
        <v>38</v>
      </c>
      <c r="P1481">
        <v>2</v>
      </c>
      <c r="R1481" t="s">
        <v>50</v>
      </c>
      <c r="S1481" t="s">
        <v>30</v>
      </c>
      <c r="T1481" t="s">
        <v>31</v>
      </c>
      <c r="U1481">
        <v>53.094023999999997</v>
      </c>
      <c r="V1481">
        <v>-8.0196749999999994</v>
      </c>
      <c r="W1481" t="str">
        <f t="shared" si="162"/>
        <v>ok</v>
      </c>
      <c r="X1481" t="str">
        <f t="shared" si="168"/>
        <v>ok</v>
      </c>
      <c r="Y1481" t="str">
        <f t="shared" si="163"/>
        <v>ok</v>
      </c>
      <c r="Z1481" t="str">
        <f t="shared" si="164"/>
        <v>ok</v>
      </c>
      <c r="AA1481" s="4" t="str">
        <f t="shared" si="165"/>
        <v>ok</v>
      </c>
      <c r="AB1481" s="4" t="str">
        <f t="shared" si="166"/>
        <v>no resolution</v>
      </c>
      <c r="AC1481" s="6" t="str">
        <f t="shared" si="167"/>
        <v/>
      </c>
    </row>
    <row r="1482" spans="1:29" x14ac:dyDescent="0.3">
      <c r="A1482" t="s">
        <v>32</v>
      </c>
      <c r="B1482">
        <v>2885</v>
      </c>
      <c r="C1482" t="s">
        <v>47</v>
      </c>
      <c r="D1482" t="s">
        <v>24</v>
      </c>
      <c r="E1482" t="s">
        <v>59</v>
      </c>
      <c r="F1482" t="s">
        <v>36</v>
      </c>
      <c r="G1482" t="s">
        <v>54</v>
      </c>
      <c r="H1482" s="1">
        <v>45154.157754629632</v>
      </c>
      <c r="I1482" s="1">
        <v>45156.157754629632</v>
      </c>
      <c r="J1482" s="1">
        <v>45154.199421296296</v>
      </c>
      <c r="K1482" s="2">
        <v>45154.187859016201</v>
      </c>
      <c r="L1482" t="s">
        <v>28</v>
      </c>
      <c r="N1482" t="s">
        <v>38</v>
      </c>
      <c r="P1482">
        <v>2</v>
      </c>
      <c r="R1482" t="s">
        <v>55</v>
      </c>
      <c r="S1482" t="s">
        <v>40</v>
      </c>
      <c r="T1482" t="s">
        <v>65</v>
      </c>
      <c r="U1482">
        <v>46.149166399999999</v>
      </c>
      <c r="V1482">
        <v>14.9860106</v>
      </c>
      <c r="W1482" t="str">
        <f t="shared" si="162"/>
        <v>ok</v>
      </c>
      <c r="X1482" t="str">
        <f t="shared" si="168"/>
        <v>ok</v>
      </c>
      <c r="Y1482" t="str">
        <f t="shared" si="163"/>
        <v>ok</v>
      </c>
      <c r="Z1482" t="str">
        <f t="shared" si="164"/>
        <v>ok</v>
      </c>
      <c r="AA1482" s="4" t="str">
        <f t="shared" si="165"/>
        <v>ok</v>
      </c>
      <c r="AB1482" s="4" t="str">
        <f t="shared" si="166"/>
        <v>no resolution</v>
      </c>
      <c r="AC1482" s="6" t="str">
        <f t="shared" si="167"/>
        <v/>
      </c>
    </row>
    <row r="1483" spans="1:29" x14ac:dyDescent="0.3">
      <c r="A1483" t="s">
        <v>42</v>
      </c>
      <c r="B1483">
        <v>2886</v>
      </c>
      <c r="C1483" t="s">
        <v>23</v>
      </c>
      <c r="D1483" t="s">
        <v>43</v>
      </c>
      <c r="E1483" t="s">
        <v>59</v>
      </c>
      <c r="F1483" t="s">
        <v>36</v>
      </c>
      <c r="G1483" t="s">
        <v>64</v>
      </c>
      <c r="H1483" s="1">
        <v>45154.686840277776</v>
      </c>
      <c r="I1483" s="1">
        <v>45155.686840277776</v>
      </c>
      <c r="J1483" s="1">
        <v>45154.68822916667</v>
      </c>
      <c r="K1483" s="2">
        <v>45154.68764034722</v>
      </c>
      <c r="L1483" t="s">
        <v>28</v>
      </c>
      <c r="M1483" s="2">
        <v>45154.761600358797</v>
      </c>
      <c r="N1483" t="s">
        <v>28</v>
      </c>
      <c r="P1483">
        <v>5</v>
      </c>
      <c r="R1483" t="s">
        <v>50</v>
      </c>
      <c r="S1483" t="s">
        <v>40</v>
      </c>
      <c r="T1483" t="s">
        <v>41</v>
      </c>
      <c r="U1483">
        <v>43.036776000000003</v>
      </c>
      <c r="V1483">
        <v>12.678565000000001</v>
      </c>
      <c r="W1483" t="str">
        <f t="shared" si="162"/>
        <v>ok</v>
      </c>
      <c r="X1483" t="str">
        <f t="shared" si="168"/>
        <v>ok</v>
      </c>
      <c r="Y1483" t="str">
        <f t="shared" si="163"/>
        <v>ok</v>
      </c>
      <c r="Z1483" t="str">
        <f t="shared" si="164"/>
        <v>ok</v>
      </c>
      <c r="AA1483" s="4" t="str">
        <f t="shared" si="165"/>
        <v>ok</v>
      </c>
      <c r="AB1483" s="4" t="str">
        <f t="shared" si="166"/>
        <v>ok</v>
      </c>
      <c r="AC1483" s="6">
        <f t="shared" si="167"/>
        <v>1.7942419445025735</v>
      </c>
    </row>
    <row r="1484" spans="1:29" x14ac:dyDescent="0.3">
      <c r="A1484" t="s">
        <v>22</v>
      </c>
      <c r="B1484">
        <v>2887</v>
      </c>
      <c r="C1484" t="s">
        <v>33</v>
      </c>
      <c r="D1484" t="s">
        <v>24</v>
      </c>
      <c r="E1484" t="s">
        <v>25</v>
      </c>
      <c r="F1484" t="s">
        <v>36</v>
      </c>
      <c r="G1484" t="s">
        <v>64</v>
      </c>
      <c r="H1484" s="1">
        <v>45155.236956018518</v>
      </c>
      <c r="I1484" s="1">
        <v>45157.236956018518</v>
      </c>
      <c r="J1484" s="1">
        <v>45155.278622685182</v>
      </c>
      <c r="K1484" s="2">
        <v>45155.276058634263</v>
      </c>
      <c r="L1484" t="s">
        <v>28</v>
      </c>
      <c r="M1484" s="2">
        <v>45156.762954398146</v>
      </c>
      <c r="N1484" t="s">
        <v>28</v>
      </c>
      <c r="O1484" s="2">
        <v>45158.188455115742</v>
      </c>
      <c r="P1484">
        <v>9</v>
      </c>
      <c r="Q1484">
        <v>5</v>
      </c>
      <c r="R1484" t="s">
        <v>39</v>
      </c>
      <c r="S1484" t="s">
        <v>40</v>
      </c>
      <c r="T1484" t="s">
        <v>56</v>
      </c>
      <c r="U1484">
        <v>52.536273000000001</v>
      </c>
      <c r="V1484">
        <v>19.050639</v>
      </c>
      <c r="W1484" t="str">
        <f t="shared" si="162"/>
        <v>ok</v>
      </c>
      <c r="X1484" t="str">
        <f t="shared" si="168"/>
        <v>ok</v>
      </c>
      <c r="Y1484" t="str">
        <f t="shared" si="163"/>
        <v>ok</v>
      </c>
      <c r="Z1484" t="str">
        <f t="shared" si="164"/>
        <v>ok</v>
      </c>
      <c r="AA1484" s="4" t="str">
        <f t="shared" si="165"/>
        <v>ok</v>
      </c>
      <c r="AB1484" s="4" t="str">
        <f t="shared" si="166"/>
        <v>ok</v>
      </c>
      <c r="AC1484" s="6">
        <f t="shared" si="167"/>
        <v>36.623961111065</v>
      </c>
    </row>
    <row r="1485" spans="1:29" x14ac:dyDescent="0.3">
      <c r="A1485" t="s">
        <v>32</v>
      </c>
      <c r="B1485">
        <v>2888</v>
      </c>
      <c r="C1485" t="s">
        <v>47</v>
      </c>
      <c r="D1485" t="s">
        <v>43</v>
      </c>
      <c r="E1485" t="s">
        <v>44</v>
      </c>
      <c r="F1485" t="s">
        <v>26</v>
      </c>
      <c r="G1485" t="s">
        <v>60</v>
      </c>
      <c r="H1485" s="1">
        <v>45155.444988425923</v>
      </c>
      <c r="I1485" s="1">
        <v>45156.444988425923</v>
      </c>
      <c r="J1485" s="1">
        <v>45155.446377314816</v>
      </c>
      <c r="K1485" s="2">
        <v>45155.44557802083</v>
      </c>
      <c r="L1485" t="s">
        <v>28</v>
      </c>
      <c r="N1485" t="s">
        <v>38</v>
      </c>
      <c r="P1485">
        <v>6</v>
      </c>
      <c r="R1485" t="s">
        <v>29</v>
      </c>
      <c r="S1485" t="s">
        <v>30</v>
      </c>
      <c r="T1485" t="s">
        <v>56</v>
      </c>
      <c r="U1485">
        <v>52.536273000000001</v>
      </c>
      <c r="V1485">
        <v>19.050639</v>
      </c>
      <c r="W1485" t="str">
        <f t="shared" si="162"/>
        <v>ok</v>
      </c>
      <c r="X1485" t="str">
        <f t="shared" si="168"/>
        <v>ok</v>
      </c>
      <c r="Y1485" t="str">
        <f t="shared" si="163"/>
        <v>ok</v>
      </c>
      <c r="Z1485" t="str">
        <f t="shared" si="164"/>
        <v>ok</v>
      </c>
      <c r="AA1485" s="4" t="str">
        <f t="shared" si="165"/>
        <v>ok</v>
      </c>
      <c r="AB1485" s="4" t="str">
        <f t="shared" si="166"/>
        <v>no resolution</v>
      </c>
      <c r="AC1485" s="6" t="str">
        <f t="shared" si="167"/>
        <v/>
      </c>
    </row>
    <row r="1486" spans="1:29" x14ac:dyDescent="0.3">
      <c r="A1486" t="s">
        <v>32</v>
      </c>
      <c r="B1486">
        <v>2889</v>
      </c>
      <c r="C1486" t="s">
        <v>23</v>
      </c>
      <c r="D1486" t="s">
        <v>43</v>
      </c>
      <c r="E1486" t="s">
        <v>25</v>
      </c>
      <c r="F1486" t="s">
        <v>26</v>
      </c>
      <c r="G1486" t="s">
        <v>60</v>
      </c>
      <c r="H1486" s="1">
        <v>45155.660092592596</v>
      </c>
      <c r="I1486" s="1">
        <v>45156.660092592596</v>
      </c>
      <c r="J1486" s="1">
        <v>45155.661481481482</v>
      </c>
      <c r="K1486" s="2">
        <v>45155.660416192128</v>
      </c>
      <c r="L1486" t="s">
        <v>28</v>
      </c>
      <c r="N1486" t="s">
        <v>38</v>
      </c>
      <c r="P1486">
        <v>4</v>
      </c>
      <c r="R1486" t="s">
        <v>29</v>
      </c>
      <c r="S1486" t="s">
        <v>30</v>
      </c>
      <c r="T1486" t="s">
        <v>63</v>
      </c>
      <c r="U1486">
        <v>55.378051999999997</v>
      </c>
      <c r="V1486">
        <v>-3.4359730000000002</v>
      </c>
      <c r="W1486" t="str">
        <f t="shared" si="162"/>
        <v>ok</v>
      </c>
      <c r="X1486" t="str">
        <f t="shared" si="168"/>
        <v>ok</v>
      </c>
      <c r="Y1486" t="str">
        <f t="shared" si="163"/>
        <v>ok</v>
      </c>
      <c r="Z1486" t="str">
        <f t="shared" si="164"/>
        <v>ok</v>
      </c>
      <c r="AA1486" s="4" t="str">
        <f t="shared" si="165"/>
        <v>ok</v>
      </c>
      <c r="AB1486" s="4" t="str">
        <f t="shared" si="166"/>
        <v>no resolution</v>
      </c>
      <c r="AC1486" s="6" t="str">
        <f t="shared" si="167"/>
        <v/>
      </c>
    </row>
    <row r="1487" spans="1:29" x14ac:dyDescent="0.3">
      <c r="A1487" t="s">
        <v>32</v>
      </c>
      <c r="B1487">
        <v>2890</v>
      </c>
      <c r="C1487" t="s">
        <v>23</v>
      </c>
      <c r="D1487" t="s">
        <v>43</v>
      </c>
      <c r="E1487" t="s">
        <v>67</v>
      </c>
      <c r="F1487" t="s">
        <v>26</v>
      </c>
      <c r="G1487" t="s">
        <v>27</v>
      </c>
      <c r="H1487" s="1">
        <v>45155.303726851853</v>
      </c>
      <c r="I1487" s="1">
        <v>45156.303726851853</v>
      </c>
      <c r="J1487" s="1">
        <v>45155.305115740739</v>
      </c>
      <c r="K1487" s="2">
        <v>45155.304466678244</v>
      </c>
      <c r="L1487" t="s">
        <v>28</v>
      </c>
      <c r="N1487" t="s">
        <v>38</v>
      </c>
      <c r="P1487">
        <v>9</v>
      </c>
      <c r="R1487" t="s">
        <v>29</v>
      </c>
      <c r="S1487" t="s">
        <v>30</v>
      </c>
      <c r="T1487" t="s">
        <v>41</v>
      </c>
      <c r="U1487">
        <v>43.036776000000003</v>
      </c>
      <c r="V1487">
        <v>12.678565000000001</v>
      </c>
      <c r="W1487" t="str">
        <f t="shared" si="162"/>
        <v>ok</v>
      </c>
      <c r="X1487" t="str">
        <f t="shared" si="168"/>
        <v>ok</v>
      </c>
      <c r="Y1487" t="str">
        <f t="shared" si="163"/>
        <v>ok</v>
      </c>
      <c r="Z1487" t="str">
        <f t="shared" si="164"/>
        <v>ok</v>
      </c>
      <c r="AA1487" s="4" t="str">
        <f t="shared" si="165"/>
        <v>ok</v>
      </c>
      <c r="AB1487" s="4" t="str">
        <f t="shared" si="166"/>
        <v>no resolution</v>
      </c>
      <c r="AC1487" s="6" t="str">
        <f t="shared" si="167"/>
        <v/>
      </c>
    </row>
    <row r="1488" spans="1:29" x14ac:dyDescent="0.3">
      <c r="A1488" t="s">
        <v>22</v>
      </c>
      <c r="B1488">
        <v>2891</v>
      </c>
      <c r="C1488" t="s">
        <v>47</v>
      </c>
      <c r="D1488" t="s">
        <v>43</v>
      </c>
      <c r="E1488" t="s">
        <v>48</v>
      </c>
      <c r="F1488" t="s">
        <v>26</v>
      </c>
      <c r="G1488" t="s">
        <v>49</v>
      </c>
      <c r="H1488" s="1">
        <v>45155.623379629629</v>
      </c>
      <c r="I1488" s="1">
        <v>45156.623379629629</v>
      </c>
      <c r="J1488" s="1">
        <v>45155.624768518515</v>
      </c>
      <c r="K1488" s="2">
        <v>45155.623579155093</v>
      </c>
      <c r="L1488" t="s">
        <v>28</v>
      </c>
      <c r="M1488" s="2">
        <v>45156.429295590278</v>
      </c>
      <c r="N1488" t="s">
        <v>28</v>
      </c>
      <c r="O1488" s="2">
        <v>45161.962277523147</v>
      </c>
      <c r="P1488">
        <v>6</v>
      </c>
      <c r="Q1488">
        <v>4</v>
      </c>
      <c r="R1488" t="s">
        <v>55</v>
      </c>
      <c r="S1488" t="s">
        <v>30</v>
      </c>
      <c r="T1488" t="s">
        <v>66</v>
      </c>
      <c r="U1488">
        <v>48.864716000000001</v>
      </c>
      <c r="V1488">
        <v>2.3490139999999999</v>
      </c>
      <c r="W1488" t="str">
        <f t="shared" si="162"/>
        <v>ok</v>
      </c>
      <c r="X1488" t="str">
        <f t="shared" si="168"/>
        <v>ok</v>
      </c>
      <c r="Y1488" t="str">
        <f t="shared" si="163"/>
        <v>ok</v>
      </c>
      <c r="Z1488" t="str">
        <f t="shared" si="164"/>
        <v>ok</v>
      </c>
      <c r="AA1488" s="4" t="str">
        <f t="shared" si="165"/>
        <v>ok</v>
      </c>
      <c r="AB1488" s="4" t="str">
        <f t="shared" si="166"/>
        <v>ok</v>
      </c>
      <c r="AC1488" s="6">
        <f t="shared" si="167"/>
        <v>19.341983055579476</v>
      </c>
    </row>
    <row r="1489" spans="1:29" x14ac:dyDescent="0.3">
      <c r="A1489" t="s">
        <v>22</v>
      </c>
      <c r="B1489">
        <v>2892</v>
      </c>
      <c r="C1489" t="s">
        <v>47</v>
      </c>
      <c r="D1489" t="s">
        <v>24</v>
      </c>
      <c r="E1489" t="s">
        <v>35</v>
      </c>
      <c r="F1489" t="s">
        <v>26</v>
      </c>
      <c r="G1489" t="s">
        <v>52</v>
      </c>
      <c r="H1489" s="1">
        <v>45156.872719907406</v>
      </c>
      <c r="I1489" s="1">
        <v>45158.872719907406</v>
      </c>
      <c r="J1489" s="1">
        <v>45156.914386574077</v>
      </c>
      <c r="K1489" s="2">
        <v>45156.890856192127</v>
      </c>
      <c r="L1489" t="s">
        <v>28</v>
      </c>
      <c r="M1489" s="2">
        <v>45161.290824317133</v>
      </c>
      <c r="N1489" t="s">
        <v>38</v>
      </c>
      <c r="O1489" s="2">
        <v>45162.07627917824</v>
      </c>
      <c r="P1489">
        <v>1</v>
      </c>
      <c r="Q1489">
        <v>3</v>
      </c>
      <c r="R1489" t="s">
        <v>50</v>
      </c>
      <c r="S1489" t="s">
        <v>30</v>
      </c>
      <c r="T1489" t="s">
        <v>66</v>
      </c>
      <c r="U1489">
        <v>48.864716000000001</v>
      </c>
      <c r="V1489">
        <v>2.3490139999999999</v>
      </c>
      <c r="W1489" t="str">
        <f t="shared" si="162"/>
        <v>ok</v>
      </c>
      <c r="X1489" t="str">
        <f t="shared" si="168"/>
        <v>ok</v>
      </c>
      <c r="Y1489" t="str">
        <f t="shared" si="163"/>
        <v>ok</v>
      </c>
      <c r="Z1489" t="str">
        <f t="shared" si="164"/>
        <v>ok</v>
      </c>
      <c r="AA1489" s="4" t="str">
        <f t="shared" si="165"/>
        <v>ok</v>
      </c>
      <c r="AB1489" s="4" t="str">
        <f t="shared" si="166"/>
        <v>ok</v>
      </c>
      <c r="AC1489" s="6">
        <f t="shared" si="167"/>
        <v>106.03450583346421</v>
      </c>
    </row>
    <row r="1490" spans="1:29" x14ac:dyDescent="0.3">
      <c r="A1490" t="s">
        <v>42</v>
      </c>
      <c r="B1490">
        <v>2893</v>
      </c>
      <c r="C1490" t="s">
        <v>23</v>
      </c>
      <c r="D1490" t="s">
        <v>24</v>
      </c>
      <c r="E1490" t="s">
        <v>67</v>
      </c>
      <c r="F1490" t="s">
        <v>26</v>
      </c>
      <c r="G1490" t="s">
        <v>45</v>
      </c>
      <c r="H1490" s="1">
        <v>45156.118101851855</v>
      </c>
      <c r="I1490" s="1">
        <v>45158.118101851855</v>
      </c>
      <c r="J1490" s="1">
        <v>45156.159768518519</v>
      </c>
      <c r="K1490" s="2">
        <v>45156.233717662035</v>
      </c>
      <c r="L1490" t="s">
        <v>38</v>
      </c>
      <c r="M1490" s="2">
        <v>45156.604085162035</v>
      </c>
      <c r="N1490" t="s">
        <v>28</v>
      </c>
      <c r="P1490">
        <v>6</v>
      </c>
      <c r="R1490" t="s">
        <v>29</v>
      </c>
      <c r="S1490" t="s">
        <v>30</v>
      </c>
      <c r="T1490" t="s">
        <v>53</v>
      </c>
      <c r="U1490">
        <v>39.368279000000001</v>
      </c>
      <c r="V1490">
        <v>21.863140999999999</v>
      </c>
      <c r="W1490" t="str">
        <f t="shared" si="162"/>
        <v>ok</v>
      </c>
      <c r="X1490" t="str">
        <f t="shared" si="168"/>
        <v>ok</v>
      </c>
      <c r="Y1490" t="str">
        <f t="shared" si="163"/>
        <v>ok</v>
      </c>
      <c r="Z1490" t="str">
        <f t="shared" si="164"/>
        <v>ok</v>
      </c>
      <c r="AA1490" s="4" t="str">
        <f t="shared" si="165"/>
        <v>ok</v>
      </c>
      <c r="AB1490" s="4" t="str">
        <f t="shared" si="166"/>
        <v>ok</v>
      </c>
      <c r="AC1490" s="6">
        <f t="shared" si="167"/>
        <v>11.663599444320425</v>
      </c>
    </row>
    <row r="1491" spans="1:29" x14ac:dyDescent="0.3">
      <c r="A1491" t="s">
        <v>42</v>
      </c>
      <c r="B1491">
        <v>2894</v>
      </c>
      <c r="C1491" t="s">
        <v>23</v>
      </c>
      <c r="D1491" t="s">
        <v>24</v>
      </c>
      <c r="E1491" t="s">
        <v>48</v>
      </c>
      <c r="F1491" t="s">
        <v>26</v>
      </c>
      <c r="G1491" t="s">
        <v>60</v>
      </c>
      <c r="H1491" s="1">
        <v>45156.943749999999</v>
      </c>
      <c r="I1491" s="1">
        <v>45158.943749999999</v>
      </c>
      <c r="J1491" s="1">
        <v>45156.98541666667</v>
      </c>
      <c r="K1491" s="2">
        <v>45156.963937939814</v>
      </c>
      <c r="L1491" t="s">
        <v>28</v>
      </c>
      <c r="M1491" s="2">
        <v>45157.038136724535</v>
      </c>
      <c r="N1491" t="s">
        <v>28</v>
      </c>
      <c r="P1491">
        <v>1</v>
      </c>
      <c r="R1491" t="s">
        <v>29</v>
      </c>
      <c r="S1491" t="s">
        <v>30</v>
      </c>
      <c r="T1491" t="s">
        <v>41</v>
      </c>
      <c r="U1491">
        <v>43.036776000000003</v>
      </c>
      <c r="V1491">
        <v>12.678565000000001</v>
      </c>
      <c r="W1491" t="str">
        <f t="shared" si="162"/>
        <v>ok</v>
      </c>
      <c r="X1491" t="str">
        <f t="shared" si="168"/>
        <v>ok</v>
      </c>
      <c r="Y1491" t="str">
        <f t="shared" si="163"/>
        <v>ok</v>
      </c>
      <c r="Z1491" t="str">
        <f t="shared" si="164"/>
        <v>ok</v>
      </c>
      <c r="AA1491" s="4" t="str">
        <f t="shared" si="165"/>
        <v>ok</v>
      </c>
      <c r="AB1491" s="4" t="str">
        <f t="shared" si="166"/>
        <v>ok</v>
      </c>
      <c r="AC1491" s="6">
        <f t="shared" si="167"/>
        <v>2.2652813888853416</v>
      </c>
    </row>
    <row r="1492" spans="1:29" x14ac:dyDescent="0.3">
      <c r="A1492" t="s">
        <v>42</v>
      </c>
      <c r="B1492">
        <v>2896</v>
      </c>
      <c r="C1492" t="s">
        <v>47</v>
      </c>
      <c r="D1492" t="s">
        <v>24</v>
      </c>
      <c r="E1492" t="s">
        <v>67</v>
      </c>
      <c r="F1492" t="s">
        <v>26</v>
      </c>
      <c r="G1492" t="s">
        <v>49</v>
      </c>
      <c r="H1492" s="1">
        <v>45156.873020833336</v>
      </c>
      <c r="I1492" s="1">
        <v>45158.873020833336</v>
      </c>
      <c r="J1492" s="1">
        <v>45156.914687500001</v>
      </c>
      <c r="K1492" s="2">
        <v>45156.879230659724</v>
      </c>
      <c r="L1492" t="s">
        <v>28</v>
      </c>
      <c r="M1492" s="2">
        <v>45157.686152106478</v>
      </c>
      <c r="N1492" t="s">
        <v>28</v>
      </c>
      <c r="P1492">
        <v>1</v>
      </c>
      <c r="R1492" t="s">
        <v>29</v>
      </c>
      <c r="S1492" t="s">
        <v>30</v>
      </c>
      <c r="T1492" t="s">
        <v>58</v>
      </c>
      <c r="U1492">
        <v>49.8037633</v>
      </c>
      <c r="V1492">
        <v>15.4749126</v>
      </c>
      <c r="W1492" t="str">
        <f t="shared" si="162"/>
        <v>ok</v>
      </c>
      <c r="X1492" t="str">
        <f t="shared" si="168"/>
        <v>ok</v>
      </c>
      <c r="Y1492" t="str">
        <f t="shared" si="163"/>
        <v>ok</v>
      </c>
      <c r="Z1492" t="str">
        <f t="shared" si="164"/>
        <v>ok</v>
      </c>
      <c r="AA1492" s="4" t="str">
        <f t="shared" si="165"/>
        <v>ok</v>
      </c>
      <c r="AB1492" s="4" t="str">
        <f t="shared" si="166"/>
        <v>ok</v>
      </c>
      <c r="AC1492" s="6">
        <f t="shared" si="167"/>
        <v>19.515150555409491</v>
      </c>
    </row>
    <row r="1493" spans="1:29" x14ac:dyDescent="0.3">
      <c r="A1493" t="s">
        <v>42</v>
      </c>
      <c r="B1493">
        <v>2897</v>
      </c>
      <c r="C1493" t="s">
        <v>33</v>
      </c>
      <c r="D1493" t="s">
        <v>43</v>
      </c>
      <c r="E1493" t="s">
        <v>44</v>
      </c>
      <c r="F1493" t="s">
        <v>26</v>
      </c>
      <c r="G1493" t="s">
        <v>45</v>
      </c>
      <c r="H1493" s="1">
        <v>45156.96943287037</v>
      </c>
      <c r="I1493" s="1">
        <v>45157.96943287037</v>
      </c>
      <c r="J1493" s="1">
        <v>45156.970821759256</v>
      </c>
      <c r="K1493" s="2">
        <v>45156.969489988427</v>
      </c>
      <c r="L1493" t="s">
        <v>28</v>
      </c>
      <c r="M1493" s="2">
        <v>45157.614942048611</v>
      </c>
      <c r="N1493" t="s">
        <v>28</v>
      </c>
      <c r="P1493">
        <v>5</v>
      </c>
      <c r="R1493" t="s">
        <v>50</v>
      </c>
      <c r="S1493" t="s">
        <v>30</v>
      </c>
      <c r="T1493" t="s">
        <v>61</v>
      </c>
      <c r="U1493">
        <v>42.724992499999999</v>
      </c>
      <c r="V1493">
        <v>25.483303899999999</v>
      </c>
      <c r="W1493" t="str">
        <f t="shared" si="162"/>
        <v>ok</v>
      </c>
      <c r="X1493" t="str">
        <f t="shared" si="168"/>
        <v>ok</v>
      </c>
      <c r="Y1493" t="str">
        <f t="shared" si="163"/>
        <v>ok</v>
      </c>
      <c r="Z1493" t="str">
        <f t="shared" si="164"/>
        <v>ok</v>
      </c>
      <c r="AA1493" s="4" t="str">
        <f t="shared" si="165"/>
        <v>ok</v>
      </c>
      <c r="AB1493" s="4" t="str">
        <f t="shared" si="166"/>
        <v>ok</v>
      </c>
      <c r="AC1493" s="6">
        <f t="shared" si="167"/>
        <v>15.492220277781598</v>
      </c>
    </row>
    <row r="1494" spans="1:29" x14ac:dyDescent="0.3">
      <c r="A1494" t="s">
        <v>22</v>
      </c>
      <c r="B1494">
        <v>2899</v>
      </c>
      <c r="C1494" t="s">
        <v>23</v>
      </c>
      <c r="D1494" t="s">
        <v>24</v>
      </c>
      <c r="E1494" t="s">
        <v>35</v>
      </c>
      <c r="F1494" t="s">
        <v>26</v>
      </c>
      <c r="G1494" t="s">
        <v>52</v>
      </c>
      <c r="H1494" s="1">
        <v>45156.782488425924</v>
      </c>
      <c r="I1494" s="1">
        <v>45158.782488425924</v>
      </c>
      <c r="J1494" s="1">
        <v>45156.824155092596</v>
      </c>
      <c r="K1494" s="2">
        <v>45156.785771875002</v>
      </c>
      <c r="L1494" t="s">
        <v>28</v>
      </c>
      <c r="M1494" s="2">
        <v>45157.077361724536</v>
      </c>
      <c r="N1494" t="s">
        <v>28</v>
      </c>
      <c r="O1494" s="2">
        <v>45162.819340289352</v>
      </c>
      <c r="P1494">
        <v>5</v>
      </c>
      <c r="Q1494">
        <v>4</v>
      </c>
      <c r="R1494" t="s">
        <v>50</v>
      </c>
      <c r="S1494" t="s">
        <v>30</v>
      </c>
      <c r="T1494" t="s">
        <v>63</v>
      </c>
      <c r="U1494">
        <v>55.378051999999997</v>
      </c>
      <c r="V1494">
        <v>-3.4359730000000002</v>
      </c>
      <c r="W1494" t="str">
        <f t="shared" si="162"/>
        <v>ok</v>
      </c>
      <c r="X1494" t="str">
        <f t="shared" si="168"/>
        <v>ok</v>
      </c>
      <c r="Y1494" t="str">
        <f t="shared" si="163"/>
        <v>ok</v>
      </c>
      <c r="Z1494" t="str">
        <f t="shared" si="164"/>
        <v>ok</v>
      </c>
      <c r="AA1494" s="4" t="str">
        <f t="shared" si="165"/>
        <v>ok</v>
      </c>
      <c r="AB1494" s="4" t="str">
        <f t="shared" si="166"/>
        <v>ok</v>
      </c>
      <c r="AC1494" s="6">
        <f t="shared" si="167"/>
        <v>7.076959166675806</v>
      </c>
    </row>
    <row r="1495" spans="1:29" x14ac:dyDescent="0.3">
      <c r="A1495" t="s">
        <v>42</v>
      </c>
      <c r="B1495">
        <v>2900</v>
      </c>
      <c r="C1495" t="s">
        <v>23</v>
      </c>
      <c r="D1495" t="s">
        <v>24</v>
      </c>
      <c r="E1495" t="s">
        <v>48</v>
      </c>
      <c r="F1495" t="s">
        <v>26</v>
      </c>
      <c r="G1495" t="s">
        <v>45</v>
      </c>
      <c r="H1495" s="1">
        <v>45157.660891203705</v>
      </c>
      <c r="I1495" s="1">
        <v>45159.660891203705</v>
      </c>
      <c r="J1495" s="1">
        <v>45157.702557870369</v>
      </c>
      <c r="K1495" s="2">
        <v>45157.68188556713</v>
      </c>
      <c r="L1495" t="s">
        <v>28</v>
      </c>
      <c r="M1495" s="2">
        <v>45159.552672118058</v>
      </c>
      <c r="N1495" t="s">
        <v>28</v>
      </c>
      <c r="P1495">
        <v>10</v>
      </c>
      <c r="R1495" t="s">
        <v>50</v>
      </c>
      <c r="S1495" t="s">
        <v>30</v>
      </c>
      <c r="T1495" t="s">
        <v>63</v>
      </c>
      <c r="U1495">
        <v>55.378051999999997</v>
      </c>
      <c r="V1495">
        <v>-3.4359730000000002</v>
      </c>
      <c r="W1495" t="str">
        <f t="shared" si="162"/>
        <v>ok</v>
      </c>
      <c r="X1495" t="str">
        <f t="shared" si="168"/>
        <v>ok</v>
      </c>
      <c r="Y1495" t="str">
        <f t="shared" si="163"/>
        <v>ok</v>
      </c>
      <c r="Z1495" t="str">
        <f t="shared" si="164"/>
        <v>ok</v>
      </c>
      <c r="AA1495" s="4" t="str">
        <f t="shared" si="165"/>
        <v>ok</v>
      </c>
      <c r="AB1495" s="4" t="str">
        <f t="shared" si="166"/>
        <v>ok</v>
      </c>
      <c r="AC1495" s="6">
        <f t="shared" si="167"/>
        <v>45.402741944475565</v>
      </c>
    </row>
    <row r="1496" spans="1:29" x14ac:dyDescent="0.3">
      <c r="A1496" t="s">
        <v>22</v>
      </c>
      <c r="B1496">
        <v>2901</v>
      </c>
      <c r="C1496" t="s">
        <v>23</v>
      </c>
      <c r="D1496" t="s">
        <v>24</v>
      </c>
      <c r="E1496" t="s">
        <v>48</v>
      </c>
      <c r="F1496" t="s">
        <v>26</v>
      </c>
      <c r="G1496" t="s">
        <v>27</v>
      </c>
      <c r="H1496" s="1">
        <v>45157.442997685182</v>
      </c>
      <c r="I1496" s="1">
        <v>45159.442997685182</v>
      </c>
      <c r="J1496" s="1">
        <v>45157.484664351854</v>
      </c>
      <c r="K1496" s="2">
        <v>45157.476269884261</v>
      </c>
      <c r="L1496" t="s">
        <v>28</v>
      </c>
      <c r="M1496" s="2">
        <v>45157.649339386575</v>
      </c>
      <c r="N1496" t="s">
        <v>28</v>
      </c>
      <c r="O1496" s="2">
        <v>45160.348595949072</v>
      </c>
      <c r="P1496">
        <v>6</v>
      </c>
      <c r="Q1496">
        <v>2</v>
      </c>
      <c r="R1496" t="s">
        <v>50</v>
      </c>
      <c r="S1496" t="s">
        <v>30</v>
      </c>
      <c r="T1496" t="s">
        <v>57</v>
      </c>
      <c r="U1496">
        <v>51.165691000000002</v>
      </c>
      <c r="V1496">
        <v>10.451525999999999</v>
      </c>
      <c r="W1496" t="str">
        <f t="shared" si="162"/>
        <v>ok</v>
      </c>
      <c r="X1496" t="str">
        <f t="shared" si="168"/>
        <v>ok</v>
      </c>
      <c r="Y1496" t="str">
        <f t="shared" si="163"/>
        <v>ok</v>
      </c>
      <c r="Z1496" t="str">
        <f t="shared" si="164"/>
        <v>ok</v>
      </c>
      <c r="AA1496" s="4" t="str">
        <f t="shared" si="165"/>
        <v>ok</v>
      </c>
      <c r="AB1496" s="4" t="str">
        <f t="shared" si="166"/>
        <v>ok</v>
      </c>
      <c r="AC1496" s="6">
        <f t="shared" si="167"/>
        <v>4.9522008334170096</v>
      </c>
    </row>
    <row r="1497" spans="1:29" x14ac:dyDescent="0.3">
      <c r="A1497" t="s">
        <v>32</v>
      </c>
      <c r="B1497">
        <v>2912</v>
      </c>
      <c r="C1497" t="s">
        <v>47</v>
      </c>
      <c r="D1497" t="s">
        <v>24</v>
      </c>
      <c r="E1497" t="s">
        <v>39</v>
      </c>
      <c r="F1497" t="s">
        <v>26</v>
      </c>
      <c r="G1497" t="s">
        <v>60</v>
      </c>
      <c r="H1497" s="1">
        <v>45158.038124999999</v>
      </c>
      <c r="I1497" s="1">
        <v>45160.038124999999</v>
      </c>
      <c r="J1497" s="1">
        <v>45158.079791666663</v>
      </c>
      <c r="K1497" s="2">
        <v>45158.070938969904</v>
      </c>
      <c r="L1497" t="s">
        <v>28</v>
      </c>
      <c r="N1497" t="s">
        <v>38</v>
      </c>
      <c r="P1497">
        <v>1</v>
      </c>
      <c r="R1497" t="s">
        <v>50</v>
      </c>
      <c r="S1497" t="s">
        <v>30</v>
      </c>
      <c r="T1497" t="s">
        <v>56</v>
      </c>
      <c r="U1497">
        <v>52.536273000000001</v>
      </c>
      <c r="V1497">
        <v>19.050639</v>
      </c>
      <c r="W1497" t="str">
        <f t="shared" si="162"/>
        <v>ok</v>
      </c>
      <c r="X1497" t="str">
        <f t="shared" si="168"/>
        <v>ok</v>
      </c>
      <c r="Y1497" t="str">
        <f t="shared" si="163"/>
        <v>ok</v>
      </c>
      <c r="Z1497" t="str">
        <f t="shared" si="164"/>
        <v>ok</v>
      </c>
      <c r="AA1497" s="4" t="str">
        <f t="shared" si="165"/>
        <v>ok</v>
      </c>
      <c r="AB1497" s="4" t="str">
        <f t="shared" si="166"/>
        <v>no resolution</v>
      </c>
      <c r="AC1497" s="6" t="str">
        <f t="shared" si="167"/>
        <v/>
      </c>
    </row>
    <row r="1498" spans="1:29" x14ac:dyDescent="0.3">
      <c r="A1498" t="s">
        <v>22</v>
      </c>
      <c r="B1498">
        <v>2913</v>
      </c>
      <c r="C1498" t="s">
        <v>47</v>
      </c>
      <c r="D1498" t="s">
        <v>24</v>
      </c>
      <c r="E1498" t="s">
        <v>44</v>
      </c>
      <c r="F1498" t="s">
        <v>26</v>
      </c>
      <c r="G1498" t="s">
        <v>52</v>
      </c>
      <c r="H1498" s="1">
        <v>45159.084849537037</v>
      </c>
      <c r="I1498" s="1">
        <v>45161.084849537037</v>
      </c>
      <c r="J1498" s="1">
        <v>45159.126516203702</v>
      </c>
      <c r="K1498" s="2">
        <v>45159.097869340279</v>
      </c>
      <c r="L1498" t="s">
        <v>28</v>
      </c>
      <c r="M1498" s="2">
        <v>45163.376996736108</v>
      </c>
      <c r="N1498" t="s">
        <v>38</v>
      </c>
      <c r="O1498" s="2">
        <v>45163.827946203703</v>
      </c>
      <c r="P1498">
        <v>2</v>
      </c>
      <c r="Q1498">
        <v>2</v>
      </c>
      <c r="R1498" t="s">
        <v>39</v>
      </c>
      <c r="S1498" t="s">
        <v>30</v>
      </c>
      <c r="T1498" t="s">
        <v>56</v>
      </c>
      <c r="U1498">
        <v>52.536273000000001</v>
      </c>
      <c r="V1498">
        <v>19.050639</v>
      </c>
      <c r="W1498" t="str">
        <f t="shared" si="162"/>
        <v>ok</v>
      </c>
      <c r="X1498" t="str">
        <f t="shared" si="168"/>
        <v>ok</v>
      </c>
      <c r="Y1498" t="str">
        <f t="shared" si="163"/>
        <v>ok</v>
      </c>
      <c r="Z1498" t="str">
        <f t="shared" si="164"/>
        <v>ok</v>
      </c>
      <c r="AA1498" s="4" t="str">
        <f t="shared" si="165"/>
        <v>ok</v>
      </c>
      <c r="AB1498" s="4" t="str">
        <f t="shared" si="166"/>
        <v>ok</v>
      </c>
      <c r="AC1498" s="6">
        <f t="shared" si="167"/>
        <v>103.01153277768753</v>
      </c>
    </row>
    <row r="1499" spans="1:29" x14ac:dyDescent="0.3">
      <c r="A1499" t="s">
        <v>22</v>
      </c>
      <c r="B1499">
        <v>2914</v>
      </c>
      <c r="C1499" t="s">
        <v>23</v>
      </c>
      <c r="D1499" t="s">
        <v>43</v>
      </c>
      <c r="E1499" t="s">
        <v>35</v>
      </c>
      <c r="F1499" t="s">
        <v>26</v>
      </c>
      <c r="G1499" t="s">
        <v>52</v>
      </c>
      <c r="H1499" s="1">
        <v>45159.218321759261</v>
      </c>
      <c r="I1499" s="1">
        <v>45160.218321759261</v>
      </c>
      <c r="J1499" s="1">
        <v>45159.219710648147</v>
      </c>
      <c r="K1499" s="2">
        <v>45159.218417048614</v>
      </c>
      <c r="L1499" t="s">
        <v>28</v>
      </c>
      <c r="M1499" s="2">
        <v>45160.284116481482</v>
      </c>
      <c r="N1499" t="s">
        <v>38</v>
      </c>
      <c r="O1499" s="2">
        <v>45160.320855613427</v>
      </c>
      <c r="P1499">
        <v>4</v>
      </c>
      <c r="Q1499">
        <v>4</v>
      </c>
      <c r="R1499" t="s">
        <v>55</v>
      </c>
      <c r="S1499" t="s">
        <v>30</v>
      </c>
      <c r="T1499" t="s">
        <v>53</v>
      </c>
      <c r="U1499">
        <v>39.368279000000001</v>
      </c>
      <c r="V1499">
        <v>21.863140999999999</v>
      </c>
      <c r="W1499" t="str">
        <f t="shared" si="162"/>
        <v>ok</v>
      </c>
      <c r="X1499" t="str">
        <f t="shared" si="168"/>
        <v>ok</v>
      </c>
      <c r="Y1499" t="str">
        <f t="shared" si="163"/>
        <v>ok</v>
      </c>
      <c r="Z1499" t="str">
        <f t="shared" si="164"/>
        <v>ok</v>
      </c>
      <c r="AA1499" s="4" t="str">
        <f t="shared" si="165"/>
        <v>ok</v>
      </c>
      <c r="AB1499" s="4" t="str">
        <f t="shared" si="166"/>
        <v>ok</v>
      </c>
      <c r="AC1499" s="6">
        <f t="shared" si="167"/>
        <v>25.579073333297856</v>
      </c>
    </row>
    <row r="1500" spans="1:29" x14ac:dyDescent="0.3">
      <c r="A1500" t="s">
        <v>42</v>
      </c>
      <c r="B1500">
        <v>2915</v>
      </c>
      <c r="C1500" t="s">
        <v>47</v>
      </c>
      <c r="D1500" t="s">
        <v>24</v>
      </c>
      <c r="E1500" t="s">
        <v>35</v>
      </c>
      <c r="F1500" t="s">
        <v>26</v>
      </c>
      <c r="G1500" t="s">
        <v>27</v>
      </c>
      <c r="H1500" s="1">
        <v>45159.418807870374</v>
      </c>
      <c r="I1500" s="1">
        <v>45161.418807870374</v>
      </c>
      <c r="J1500" s="1">
        <v>45159.460474537038</v>
      </c>
      <c r="K1500" s="2">
        <v>45159.437060300923</v>
      </c>
      <c r="L1500" t="s">
        <v>28</v>
      </c>
      <c r="M1500" s="2">
        <v>45160.254740185184</v>
      </c>
      <c r="N1500" t="s">
        <v>28</v>
      </c>
      <c r="P1500">
        <v>6</v>
      </c>
      <c r="R1500" t="s">
        <v>55</v>
      </c>
      <c r="S1500" t="s">
        <v>30</v>
      </c>
      <c r="T1500" t="s">
        <v>58</v>
      </c>
      <c r="U1500">
        <v>49.8037633</v>
      </c>
      <c r="V1500">
        <v>15.4749126</v>
      </c>
      <c r="W1500" t="str">
        <f t="shared" si="162"/>
        <v>ok</v>
      </c>
      <c r="X1500" t="str">
        <f t="shared" si="168"/>
        <v>ok</v>
      </c>
      <c r="Y1500" t="str">
        <f t="shared" si="163"/>
        <v>ok</v>
      </c>
      <c r="Z1500" t="str">
        <f t="shared" si="164"/>
        <v>ok</v>
      </c>
      <c r="AA1500" s="4" t="str">
        <f t="shared" si="165"/>
        <v>ok</v>
      </c>
      <c r="AB1500" s="4" t="str">
        <f t="shared" si="166"/>
        <v>ok</v>
      </c>
      <c r="AC1500" s="6">
        <f t="shared" si="167"/>
        <v>20.062375555455219</v>
      </c>
    </row>
    <row r="1501" spans="1:29" x14ac:dyDescent="0.3">
      <c r="A1501" t="s">
        <v>22</v>
      </c>
      <c r="B1501">
        <v>2916</v>
      </c>
      <c r="C1501" t="s">
        <v>23</v>
      </c>
      <c r="D1501" t="s">
        <v>43</v>
      </c>
      <c r="E1501" t="s">
        <v>48</v>
      </c>
      <c r="F1501" t="s">
        <v>26</v>
      </c>
      <c r="G1501" t="s">
        <v>52</v>
      </c>
      <c r="H1501" s="1">
        <v>45159.160636574074</v>
      </c>
      <c r="I1501" s="1">
        <v>45160.160636574074</v>
      </c>
      <c r="J1501" s="1">
        <v>45159.16202546296</v>
      </c>
      <c r="K1501" s="2">
        <v>45159.161398124998</v>
      </c>
      <c r="L1501" t="s">
        <v>28</v>
      </c>
      <c r="M1501" s="2">
        <v>45159.401667847225</v>
      </c>
      <c r="N1501" t="s">
        <v>28</v>
      </c>
      <c r="O1501" s="2">
        <v>45164.255045162034</v>
      </c>
      <c r="P1501">
        <v>5</v>
      </c>
      <c r="Q1501">
        <v>3</v>
      </c>
      <c r="R1501" t="s">
        <v>29</v>
      </c>
      <c r="S1501" t="s">
        <v>30</v>
      </c>
      <c r="T1501" t="s">
        <v>51</v>
      </c>
      <c r="U1501">
        <v>39.673369999999998</v>
      </c>
      <c r="V1501">
        <v>-4.7677259999999997</v>
      </c>
      <c r="W1501" t="str">
        <f t="shared" si="162"/>
        <v>ok</v>
      </c>
      <c r="X1501" t="str">
        <f t="shared" si="168"/>
        <v>ok</v>
      </c>
      <c r="Y1501" t="str">
        <f t="shared" si="163"/>
        <v>ok</v>
      </c>
      <c r="Z1501" t="str">
        <f t="shared" si="164"/>
        <v>ok</v>
      </c>
      <c r="AA1501" s="4" t="str">
        <f t="shared" si="165"/>
        <v>ok</v>
      </c>
      <c r="AB1501" s="4" t="str">
        <f t="shared" si="166"/>
        <v>ok</v>
      </c>
      <c r="AC1501" s="6">
        <f t="shared" si="167"/>
        <v>5.7847505556419492</v>
      </c>
    </row>
    <row r="1502" spans="1:29" x14ac:dyDescent="0.3">
      <c r="A1502" t="s">
        <v>68</v>
      </c>
      <c r="B1502">
        <v>2917</v>
      </c>
      <c r="C1502" t="s">
        <v>47</v>
      </c>
      <c r="D1502" t="s">
        <v>24</v>
      </c>
      <c r="E1502" t="s">
        <v>35</v>
      </c>
      <c r="F1502" t="s">
        <v>26</v>
      </c>
      <c r="G1502" t="s">
        <v>27</v>
      </c>
      <c r="H1502" s="1">
        <v>45159.126134259262</v>
      </c>
      <c r="I1502" s="1">
        <v>45161.126134259262</v>
      </c>
      <c r="J1502" s="1">
        <v>45159.167800925927</v>
      </c>
      <c r="L1502" t="s">
        <v>38</v>
      </c>
      <c r="N1502" t="s">
        <v>38</v>
      </c>
      <c r="R1502" t="s">
        <v>50</v>
      </c>
      <c r="S1502" t="s">
        <v>30</v>
      </c>
      <c r="T1502" t="s">
        <v>57</v>
      </c>
      <c r="U1502">
        <v>51.165691000000002</v>
      </c>
      <c r="V1502">
        <v>10.451525999999999</v>
      </c>
      <c r="W1502" t="str">
        <f t="shared" si="162"/>
        <v>check</v>
      </c>
      <c r="X1502" t="str">
        <f t="shared" si="168"/>
        <v>ok</v>
      </c>
      <c r="Y1502" t="str">
        <f t="shared" si="163"/>
        <v>ok</v>
      </c>
      <c r="Z1502" t="str">
        <f t="shared" si="164"/>
        <v>ok</v>
      </c>
      <c r="AA1502" s="4" t="str">
        <f t="shared" si="165"/>
        <v>no response</v>
      </c>
      <c r="AB1502" s="4" t="str">
        <f t="shared" si="166"/>
        <v>no resolution</v>
      </c>
      <c r="AC1502" s="6" t="str">
        <f t="shared" si="167"/>
        <v/>
      </c>
    </row>
    <row r="1503" spans="1:29" x14ac:dyDescent="0.3">
      <c r="A1503" t="s">
        <v>22</v>
      </c>
      <c r="B1503">
        <v>2920</v>
      </c>
      <c r="C1503" t="s">
        <v>33</v>
      </c>
      <c r="D1503" t="s">
        <v>24</v>
      </c>
      <c r="E1503" t="s">
        <v>67</v>
      </c>
      <c r="F1503" t="s">
        <v>26</v>
      </c>
      <c r="G1503" t="s">
        <v>45</v>
      </c>
      <c r="H1503" s="1">
        <v>45159.117361111108</v>
      </c>
      <c r="I1503" s="1">
        <v>45161.117361111108</v>
      </c>
      <c r="J1503" s="1">
        <v>45159.15902777778</v>
      </c>
      <c r="K1503" s="2">
        <v>45159.131912939818</v>
      </c>
      <c r="L1503" t="s">
        <v>28</v>
      </c>
      <c r="M1503" s="2">
        <v>45159.21357388889</v>
      </c>
      <c r="N1503" t="s">
        <v>28</v>
      </c>
      <c r="O1503" s="2">
        <v>45163.763589722221</v>
      </c>
      <c r="P1503">
        <v>6</v>
      </c>
      <c r="Q1503">
        <v>4</v>
      </c>
      <c r="R1503" t="s">
        <v>29</v>
      </c>
      <c r="S1503" t="s">
        <v>30</v>
      </c>
      <c r="T1503" t="s">
        <v>51</v>
      </c>
      <c r="U1503">
        <v>39.673369999999998</v>
      </c>
      <c r="V1503">
        <v>-4.7677259999999997</v>
      </c>
      <c r="W1503" t="str">
        <f t="shared" si="162"/>
        <v>ok</v>
      </c>
      <c r="X1503" t="str">
        <f t="shared" si="168"/>
        <v>ok</v>
      </c>
      <c r="Y1503" t="str">
        <f t="shared" si="163"/>
        <v>ok</v>
      </c>
      <c r="Z1503" t="str">
        <f t="shared" si="164"/>
        <v>ok</v>
      </c>
      <c r="AA1503" s="4" t="str">
        <f t="shared" si="165"/>
        <v>ok</v>
      </c>
      <c r="AB1503" s="4" t="str">
        <f t="shared" si="166"/>
        <v>ok</v>
      </c>
      <c r="AC1503" s="6">
        <f t="shared" si="167"/>
        <v>2.3091066667693667</v>
      </c>
    </row>
    <row r="1504" spans="1:29" x14ac:dyDescent="0.3">
      <c r="A1504" t="s">
        <v>32</v>
      </c>
      <c r="B1504">
        <v>2921</v>
      </c>
      <c r="C1504" t="s">
        <v>33</v>
      </c>
      <c r="D1504" t="s">
        <v>24</v>
      </c>
      <c r="E1504" t="s">
        <v>25</v>
      </c>
      <c r="F1504" t="s">
        <v>26</v>
      </c>
      <c r="G1504" t="s">
        <v>49</v>
      </c>
      <c r="H1504" s="1">
        <v>45159.310104166667</v>
      </c>
      <c r="I1504" s="1">
        <v>45161.310104166667</v>
      </c>
      <c r="J1504" s="1">
        <v>45159.351770833331</v>
      </c>
      <c r="K1504" s="2">
        <v>45159.330417210651</v>
      </c>
      <c r="L1504" t="s">
        <v>28</v>
      </c>
      <c r="N1504" t="s">
        <v>38</v>
      </c>
      <c r="P1504">
        <v>4</v>
      </c>
      <c r="R1504" t="s">
        <v>50</v>
      </c>
      <c r="S1504" t="s">
        <v>30</v>
      </c>
      <c r="T1504" t="s">
        <v>41</v>
      </c>
      <c r="U1504">
        <v>43.036776000000003</v>
      </c>
      <c r="V1504">
        <v>12.678565000000001</v>
      </c>
      <c r="W1504" t="str">
        <f t="shared" si="162"/>
        <v>ok</v>
      </c>
      <c r="X1504" t="str">
        <f t="shared" si="168"/>
        <v>ok</v>
      </c>
      <c r="Y1504" t="str">
        <f t="shared" si="163"/>
        <v>ok</v>
      </c>
      <c r="Z1504" t="str">
        <f t="shared" si="164"/>
        <v>ok</v>
      </c>
      <c r="AA1504" s="4" t="str">
        <f t="shared" si="165"/>
        <v>ok</v>
      </c>
      <c r="AB1504" s="4" t="str">
        <f t="shared" si="166"/>
        <v>no resolution</v>
      </c>
      <c r="AC1504" s="6" t="str">
        <f t="shared" si="167"/>
        <v/>
      </c>
    </row>
    <row r="1505" spans="1:29" x14ac:dyDescent="0.3">
      <c r="A1505" t="s">
        <v>32</v>
      </c>
      <c r="B1505">
        <v>2922</v>
      </c>
      <c r="C1505" t="s">
        <v>47</v>
      </c>
      <c r="D1505" t="s">
        <v>43</v>
      </c>
      <c r="E1505" t="s">
        <v>62</v>
      </c>
      <c r="F1505" t="s">
        <v>26</v>
      </c>
      <c r="G1505" t="s">
        <v>45</v>
      </c>
      <c r="H1505" s="1">
        <v>45159.327291666668</v>
      </c>
      <c r="I1505" s="1">
        <v>45160.327291666668</v>
      </c>
      <c r="J1505" s="1">
        <v>45159.328680555554</v>
      </c>
      <c r="K1505" s="2">
        <v>45159.328622638888</v>
      </c>
      <c r="L1505" t="s">
        <v>28</v>
      </c>
      <c r="N1505" t="s">
        <v>38</v>
      </c>
      <c r="P1505">
        <v>2</v>
      </c>
      <c r="R1505" t="s">
        <v>55</v>
      </c>
      <c r="S1505" t="s">
        <v>30</v>
      </c>
      <c r="T1505" t="s">
        <v>57</v>
      </c>
      <c r="U1505">
        <v>51.165691000000002</v>
      </c>
      <c r="V1505">
        <v>10.451525999999999</v>
      </c>
      <c r="W1505" t="str">
        <f t="shared" si="162"/>
        <v>ok</v>
      </c>
      <c r="X1505" t="str">
        <f t="shared" si="168"/>
        <v>ok</v>
      </c>
      <c r="Y1505" t="str">
        <f t="shared" si="163"/>
        <v>ok</v>
      </c>
      <c r="Z1505" t="str">
        <f t="shared" si="164"/>
        <v>ok</v>
      </c>
      <c r="AA1505" s="4" t="str">
        <f t="shared" si="165"/>
        <v>ok</v>
      </c>
      <c r="AB1505" s="4" t="str">
        <f t="shared" si="166"/>
        <v>no resolution</v>
      </c>
      <c r="AC1505" s="6" t="str">
        <f t="shared" si="167"/>
        <v/>
      </c>
    </row>
    <row r="1506" spans="1:29" x14ac:dyDescent="0.3">
      <c r="A1506" t="s">
        <v>42</v>
      </c>
      <c r="B1506">
        <v>2923</v>
      </c>
      <c r="C1506" t="s">
        <v>33</v>
      </c>
      <c r="D1506" t="s">
        <v>24</v>
      </c>
      <c r="E1506" t="s">
        <v>39</v>
      </c>
      <c r="F1506" t="s">
        <v>26</v>
      </c>
      <c r="G1506" t="s">
        <v>27</v>
      </c>
      <c r="H1506" s="1">
        <v>45160.18545138889</v>
      </c>
      <c r="I1506" s="1">
        <v>45162.18545138889</v>
      </c>
      <c r="J1506" s="1">
        <v>45160.227118055554</v>
      </c>
      <c r="K1506" s="2">
        <v>45160.212697175928</v>
      </c>
      <c r="L1506" t="s">
        <v>28</v>
      </c>
      <c r="M1506" s="2">
        <v>45161.277338472224</v>
      </c>
      <c r="N1506" t="s">
        <v>28</v>
      </c>
      <c r="P1506">
        <v>9</v>
      </c>
      <c r="R1506" t="s">
        <v>55</v>
      </c>
      <c r="S1506" t="s">
        <v>30</v>
      </c>
      <c r="T1506" t="s">
        <v>63</v>
      </c>
      <c r="U1506">
        <v>55.378051999999997</v>
      </c>
      <c r="V1506">
        <v>-3.4359730000000002</v>
      </c>
      <c r="W1506" t="str">
        <f t="shared" si="162"/>
        <v>ok</v>
      </c>
      <c r="X1506" t="str">
        <f t="shared" si="168"/>
        <v>ok</v>
      </c>
      <c r="Y1506" t="str">
        <f t="shared" si="163"/>
        <v>ok</v>
      </c>
      <c r="Z1506" t="str">
        <f t="shared" si="164"/>
        <v>ok</v>
      </c>
      <c r="AA1506" s="4" t="str">
        <f t="shared" si="165"/>
        <v>ok</v>
      </c>
      <c r="AB1506" s="4" t="str">
        <f t="shared" si="166"/>
        <v>ok</v>
      </c>
      <c r="AC1506" s="6">
        <f t="shared" si="167"/>
        <v>26.20529000001261</v>
      </c>
    </row>
    <row r="1507" spans="1:29" x14ac:dyDescent="0.3">
      <c r="A1507" t="s">
        <v>42</v>
      </c>
      <c r="B1507">
        <v>2924</v>
      </c>
      <c r="C1507" t="s">
        <v>33</v>
      </c>
      <c r="D1507" t="s">
        <v>24</v>
      </c>
      <c r="E1507" t="s">
        <v>35</v>
      </c>
      <c r="F1507" t="s">
        <v>36</v>
      </c>
      <c r="G1507" t="s">
        <v>54</v>
      </c>
      <c r="H1507" s="1">
        <v>45160.812164351853</v>
      </c>
      <c r="I1507" s="1">
        <v>45162.812164351853</v>
      </c>
      <c r="J1507" s="1">
        <v>45160.853831018518</v>
      </c>
      <c r="K1507" s="2">
        <v>45160.830838599541</v>
      </c>
      <c r="L1507" t="s">
        <v>28</v>
      </c>
      <c r="M1507" s="2">
        <v>45162.255269699075</v>
      </c>
      <c r="N1507" t="s">
        <v>28</v>
      </c>
      <c r="P1507">
        <v>7</v>
      </c>
      <c r="R1507" t="s">
        <v>39</v>
      </c>
      <c r="S1507" t="s">
        <v>40</v>
      </c>
      <c r="T1507" t="s">
        <v>57</v>
      </c>
      <c r="U1507">
        <v>51.165691000000002</v>
      </c>
      <c r="V1507">
        <v>10.451525999999999</v>
      </c>
      <c r="W1507" t="str">
        <f t="shared" si="162"/>
        <v>ok</v>
      </c>
      <c r="X1507" t="str">
        <f t="shared" si="168"/>
        <v>ok</v>
      </c>
      <c r="Y1507" t="str">
        <f t="shared" si="163"/>
        <v>ok</v>
      </c>
      <c r="Z1507" t="str">
        <f t="shared" si="164"/>
        <v>ok</v>
      </c>
      <c r="AA1507" s="4" t="str">
        <f t="shared" si="165"/>
        <v>ok</v>
      </c>
      <c r="AB1507" s="4" t="str">
        <f t="shared" si="166"/>
        <v>ok</v>
      </c>
      <c r="AC1507" s="6">
        <f t="shared" si="167"/>
        <v>34.634528333321214</v>
      </c>
    </row>
    <row r="1508" spans="1:29" x14ac:dyDescent="0.3">
      <c r="A1508" t="s">
        <v>42</v>
      </c>
      <c r="B1508">
        <v>2926</v>
      </c>
      <c r="C1508" t="s">
        <v>23</v>
      </c>
      <c r="D1508" t="s">
        <v>24</v>
      </c>
      <c r="E1508" t="s">
        <v>59</v>
      </c>
      <c r="F1508" t="s">
        <v>36</v>
      </c>
      <c r="G1508" t="s">
        <v>37</v>
      </c>
      <c r="H1508" s="1">
        <v>45160.574317129627</v>
      </c>
      <c r="I1508" s="1">
        <v>45162.574317129627</v>
      </c>
      <c r="J1508" s="1">
        <v>45160.615983796299</v>
      </c>
      <c r="K1508" s="2">
        <v>45160.606500277776</v>
      </c>
      <c r="L1508" t="s">
        <v>28</v>
      </c>
      <c r="M1508" s="2">
        <v>45161.021709143519</v>
      </c>
      <c r="N1508" t="s">
        <v>28</v>
      </c>
      <c r="P1508">
        <v>1</v>
      </c>
      <c r="R1508" t="s">
        <v>50</v>
      </c>
      <c r="S1508" t="s">
        <v>40</v>
      </c>
      <c r="T1508" t="s">
        <v>57</v>
      </c>
      <c r="U1508">
        <v>51.165691000000002</v>
      </c>
      <c r="V1508">
        <v>10.451525999999999</v>
      </c>
      <c r="W1508" t="str">
        <f t="shared" si="162"/>
        <v>ok</v>
      </c>
      <c r="X1508" t="str">
        <f t="shared" si="168"/>
        <v>ok</v>
      </c>
      <c r="Y1508" t="str">
        <f t="shared" si="163"/>
        <v>ok</v>
      </c>
      <c r="Z1508" t="str">
        <f t="shared" si="164"/>
        <v>ok</v>
      </c>
      <c r="AA1508" s="4" t="str">
        <f t="shared" si="165"/>
        <v>ok</v>
      </c>
      <c r="AB1508" s="4" t="str">
        <f t="shared" si="166"/>
        <v>ok</v>
      </c>
      <c r="AC1508" s="6">
        <f t="shared" si="167"/>
        <v>10.737408333399799</v>
      </c>
    </row>
    <row r="1509" spans="1:29" x14ac:dyDescent="0.3">
      <c r="A1509" t="s">
        <v>22</v>
      </c>
      <c r="B1509">
        <v>2927</v>
      </c>
      <c r="C1509" t="s">
        <v>23</v>
      </c>
      <c r="D1509" t="s">
        <v>24</v>
      </c>
      <c r="E1509" t="s">
        <v>59</v>
      </c>
      <c r="F1509" t="s">
        <v>26</v>
      </c>
      <c r="G1509" t="s">
        <v>49</v>
      </c>
      <c r="H1509" s="1">
        <v>45160.639409722222</v>
      </c>
      <c r="I1509" s="1">
        <v>45162.639409722222</v>
      </c>
      <c r="J1509" s="1">
        <v>45160.681076388886</v>
      </c>
      <c r="K1509" s="2">
        <v>45160.646100057871</v>
      </c>
      <c r="L1509" t="s">
        <v>28</v>
      </c>
      <c r="M1509" s="2">
        <v>45165.080368240742</v>
      </c>
      <c r="N1509" t="s">
        <v>38</v>
      </c>
      <c r="O1509" s="2">
        <v>45165.209170034723</v>
      </c>
      <c r="P1509">
        <v>1</v>
      </c>
      <c r="Q1509">
        <v>5</v>
      </c>
      <c r="R1509" t="s">
        <v>29</v>
      </c>
      <c r="S1509" t="s">
        <v>30</v>
      </c>
      <c r="T1509" t="s">
        <v>63</v>
      </c>
      <c r="U1509">
        <v>55.378051999999997</v>
      </c>
      <c r="V1509">
        <v>-3.4359730000000002</v>
      </c>
      <c r="W1509" t="str">
        <f t="shared" si="162"/>
        <v>ok</v>
      </c>
      <c r="X1509" t="str">
        <f t="shared" si="168"/>
        <v>ok</v>
      </c>
      <c r="Y1509" t="str">
        <f t="shared" si="163"/>
        <v>ok</v>
      </c>
      <c r="Z1509" t="str">
        <f t="shared" si="164"/>
        <v>ok</v>
      </c>
      <c r="AA1509" s="4" t="str">
        <f t="shared" si="165"/>
        <v>ok</v>
      </c>
      <c r="AB1509" s="4" t="str">
        <f t="shared" si="166"/>
        <v>ok</v>
      </c>
      <c r="AC1509" s="6">
        <f t="shared" si="167"/>
        <v>106.58300444448832</v>
      </c>
    </row>
    <row r="1510" spans="1:29" x14ac:dyDescent="0.3">
      <c r="A1510" t="s">
        <v>42</v>
      </c>
      <c r="B1510">
        <v>2928</v>
      </c>
      <c r="C1510" t="s">
        <v>23</v>
      </c>
      <c r="D1510" t="s">
        <v>24</v>
      </c>
      <c r="E1510" t="s">
        <v>25</v>
      </c>
      <c r="F1510" t="s">
        <v>26</v>
      </c>
      <c r="G1510" t="s">
        <v>60</v>
      </c>
      <c r="H1510" s="1">
        <v>45160.314270833333</v>
      </c>
      <c r="I1510" s="1">
        <v>45162.314270833333</v>
      </c>
      <c r="J1510" s="1">
        <v>45160.355937499997</v>
      </c>
      <c r="K1510" s="2">
        <v>45160.33617130787</v>
      </c>
      <c r="L1510" t="s">
        <v>28</v>
      </c>
      <c r="M1510" s="2">
        <v>45162.038931539355</v>
      </c>
      <c r="N1510" t="s">
        <v>28</v>
      </c>
      <c r="P1510">
        <v>8</v>
      </c>
      <c r="R1510" t="s">
        <v>39</v>
      </c>
      <c r="S1510" t="s">
        <v>30</v>
      </c>
      <c r="T1510" t="s">
        <v>58</v>
      </c>
      <c r="U1510">
        <v>49.8037633</v>
      </c>
      <c r="V1510">
        <v>15.4749126</v>
      </c>
      <c r="W1510" t="str">
        <f t="shared" si="162"/>
        <v>ok</v>
      </c>
      <c r="X1510" t="str">
        <f t="shared" si="168"/>
        <v>ok</v>
      </c>
      <c r="Y1510" t="str">
        <f t="shared" si="163"/>
        <v>ok</v>
      </c>
      <c r="Z1510" t="str">
        <f t="shared" si="164"/>
        <v>ok</v>
      </c>
      <c r="AA1510" s="4" t="str">
        <f t="shared" si="165"/>
        <v>ok</v>
      </c>
      <c r="AB1510" s="4" t="str">
        <f t="shared" si="166"/>
        <v>ok</v>
      </c>
      <c r="AC1510" s="6">
        <f t="shared" si="167"/>
        <v>41.391856944537722</v>
      </c>
    </row>
    <row r="1511" spans="1:29" x14ac:dyDescent="0.3">
      <c r="A1511" t="s">
        <v>22</v>
      </c>
      <c r="B1511">
        <v>2929</v>
      </c>
      <c r="C1511" t="s">
        <v>47</v>
      </c>
      <c r="D1511" t="s">
        <v>43</v>
      </c>
      <c r="E1511" t="s">
        <v>44</v>
      </c>
      <c r="F1511" t="s">
        <v>26</v>
      </c>
      <c r="G1511" t="s">
        <v>27</v>
      </c>
      <c r="H1511" s="1">
        <v>45160.100162037037</v>
      </c>
      <c r="I1511" s="1">
        <v>45161.100162037037</v>
      </c>
      <c r="J1511" s="1">
        <v>45160.101550925923</v>
      </c>
      <c r="K1511" s="2">
        <v>45160.101501423611</v>
      </c>
      <c r="L1511" t="s">
        <v>28</v>
      </c>
      <c r="M1511" s="2">
        <v>45160.929249502318</v>
      </c>
      <c r="N1511" t="s">
        <v>28</v>
      </c>
      <c r="O1511" s="2">
        <v>45164.969813842596</v>
      </c>
      <c r="P1511">
        <v>5</v>
      </c>
      <c r="Q1511">
        <v>5</v>
      </c>
      <c r="R1511" t="s">
        <v>55</v>
      </c>
      <c r="S1511" t="s">
        <v>30</v>
      </c>
      <c r="T1511" t="s">
        <v>51</v>
      </c>
      <c r="U1511">
        <v>39.673369999999998</v>
      </c>
      <c r="V1511">
        <v>-4.7677259999999997</v>
      </c>
      <c r="W1511" t="str">
        <f t="shared" si="162"/>
        <v>ok</v>
      </c>
      <c r="X1511" t="str">
        <f t="shared" si="168"/>
        <v>ok</v>
      </c>
      <c r="Y1511" t="str">
        <f t="shared" si="163"/>
        <v>ok</v>
      </c>
      <c r="Z1511" t="str">
        <f t="shared" si="164"/>
        <v>ok</v>
      </c>
      <c r="AA1511" s="4" t="str">
        <f t="shared" si="165"/>
        <v>ok</v>
      </c>
      <c r="AB1511" s="4" t="str">
        <f t="shared" si="166"/>
        <v>ok</v>
      </c>
      <c r="AC1511" s="6">
        <f t="shared" si="167"/>
        <v>19.89809916674858</v>
      </c>
    </row>
    <row r="1512" spans="1:29" x14ac:dyDescent="0.3">
      <c r="A1512" t="s">
        <v>22</v>
      </c>
      <c r="B1512">
        <v>2930</v>
      </c>
      <c r="C1512" t="s">
        <v>23</v>
      </c>
      <c r="D1512" t="s">
        <v>43</v>
      </c>
      <c r="E1512" t="s">
        <v>59</v>
      </c>
      <c r="F1512" t="s">
        <v>26</v>
      </c>
      <c r="G1512" t="s">
        <v>52</v>
      </c>
      <c r="H1512" s="1">
        <v>45160.966493055559</v>
      </c>
      <c r="I1512" s="1">
        <v>45161.966493055559</v>
      </c>
      <c r="J1512" s="1">
        <v>45160.967881944445</v>
      </c>
      <c r="K1512" s="2">
        <v>45160.966508935184</v>
      </c>
      <c r="L1512" t="s">
        <v>28</v>
      </c>
      <c r="M1512" s="2">
        <v>45163.163472638887</v>
      </c>
      <c r="N1512" t="s">
        <v>38</v>
      </c>
      <c r="O1512" s="2">
        <v>45164.110254189814</v>
      </c>
      <c r="P1512">
        <v>60</v>
      </c>
      <c r="Q1512">
        <v>3</v>
      </c>
      <c r="R1512" t="s">
        <v>29</v>
      </c>
      <c r="S1512" t="s">
        <v>30</v>
      </c>
      <c r="T1512" t="s">
        <v>56</v>
      </c>
      <c r="U1512">
        <v>52.536273000000001</v>
      </c>
      <c r="V1512">
        <v>19.050639</v>
      </c>
      <c r="W1512" t="str">
        <f t="shared" si="162"/>
        <v>ok</v>
      </c>
      <c r="X1512" t="str">
        <f t="shared" si="168"/>
        <v>ok</v>
      </c>
      <c r="Y1512" t="str">
        <f t="shared" si="163"/>
        <v>ok</v>
      </c>
      <c r="Z1512" t="str">
        <f t="shared" si="164"/>
        <v>ok</v>
      </c>
      <c r="AA1512" s="4" t="str">
        <f t="shared" si="165"/>
        <v>ok</v>
      </c>
      <c r="AB1512" s="4" t="str">
        <f t="shared" si="166"/>
        <v>ok</v>
      </c>
      <c r="AC1512" s="6">
        <f t="shared" si="167"/>
        <v>52.727509999880567</v>
      </c>
    </row>
    <row r="1513" spans="1:29" x14ac:dyDescent="0.3">
      <c r="A1513" t="s">
        <v>22</v>
      </c>
      <c r="B1513">
        <v>2931</v>
      </c>
      <c r="C1513" t="s">
        <v>47</v>
      </c>
      <c r="D1513" t="s">
        <v>43</v>
      </c>
      <c r="E1513" t="s">
        <v>62</v>
      </c>
      <c r="F1513" t="s">
        <v>26</v>
      </c>
      <c r="G1513" t="s">
        <v>27</v>
      </c>
      <c r="H1513" s="1">
        <v>45160.125648148147</v>
      </c>
      <c r="I1513" s="1">
        <v>45161.125648148147</v>
      </c>
      <c r="J1513" s="1">
        <v>45160.12703703704</v>
      </c>
      <c r="K1513" s="2">
        <v>45160.126531030095</v>
      </c>
      <c r="L1513" t="s">
        <v>28</v>
      </c>
      <c r="M1513" s="2">
        <v>45160.476726435183</v>
      </c>
      <c r="N1513" t="s">
        <v>28</v>
      </c>
      <c r="O1513" s="2">
        <v>45163.20620818287</v>
      </c>
      <c r="P1513">
        <v>2</v>
      </c>
      <c r="Q1513">
        <v>5</v>
      </c>
      <c r="R1513" t="s">
        <v>55</v>
      </c>
      <c r="S1513" t="s">
        <v>30</v>
      </c>
      <c r="T1513" t="s">
        <v>31</v>
      </c>
      <c r="U1513">
        <v>53.094023999999997</v>
      </c>
      <c r="V1513">
        <v>-8.0196749999999994</v>
      </c>
      <c r="W1513" t="str">
        <f t="shared" si="162"/>
        <v>ok</v>
      </c>
      <c r="X1513" t="str">
        <f t="shared" si="168"/>
        <v>ok</v>
      </c>
      <c r="Y1513" t="str">
        <f t="shared" si="163"/>
        <v>ok</v>
      </c>
      <c r="Z1513" t="str">
        <f t="shared" si="164"/>
        <v>ok</v>
      </c>
      <c r="AA1513" s="4" t="str">
        <f t="shared" si="165"/>
        <v>ok</v>
      </c>
      <c r="AB1513" s="4" t="str">
        <f t="shared" si="166"/>
        <v>ok</v>
      </c>
      <c r="AC1513" s="6">
        <f t="shared" si="167"/>
        <v>8.4258788888691925</v>
      </c>
    </row>
    <row r="1514" spans="1:29" x14ac:dyDescent="0.3">
      <c r="A1514" t="s">
        <v>22</v>
      </c>
      <c r="B1514">
        <v>2932</v>
      </c>
      <c r="C1514" t="s">
        <v>23</v>
      </c>
      <c r="D1514" t="s">
        <v>24</v>
      </c>
      <c r="E1514" t="s">
        <v>67</v>
      </c>
      <c r="F1514" t="s">
        <v>26</v>
      </c>
      <c r="G1514" t="s">
        <v>45</v>
      </c>
      <c r="H1514" s="1">
        <v>45160.755011574074</v>
      </c>
      <c r="I1514" s="1">
        <v>45162.755011574074</v>
      </c>
      <c r="J1514" s="1">
        <v>45160.796678240738</v>
      </c>
      <c r="K1514" s="2">
        <v>45160.757626168983</v>
      </c>
      <c r="L1514" t="s">
        <v>28</v>
      </c>
      <c r="M1514" s="2">
        <v>45161.794997685189</v>
      </c>
      <c r="N1514" t="s">
        <v>28</v>
      </c>
      <c r="O1514" s="2">
        <v>45167.326065243054</v>
      </c>
      <c r="P1514">
        <v>1</v>
      </c>
      <c r="Q1514">
        <v>4</v>
      </c>
      <c r="R1514" t="s">
        <v>29</v>
      </c>
      <c r="S1514" t="s">
        <v>30</v>
      </c>
      <c r="T1514" t="s">
        <v>41</v>
      </c>
      <c r="U1514">
        <v>43.036776000000003</v>
      </c>
      <c r="V1514">
        <v>12.678565000000001</v>
      </c>
      <c r="W1514" t="str">
        <f t="shared" si="162"/>
        <v>ok</v>
      </c>
      <c r="X1514" t="str">
        <f t="shared" si="168"/>
        <v>ok</v>
      </c>
      <c r="Y1514" t="str">
        <f t="shared" si="163"/>
        <v>ok</v>
      </c>
      <c r="Z1514" t="str">
        <f t="shared" si="164"/>
        <v>ok</v>
      </c>
      <c r="AA1514" s="4" t="str">
        <f t="shared" si="165"/>
        <v>ok</v>
      </c>
      <c r="AB1514" s="4" t="str">
        <f t="shared" si="166"/>
        <v>ok</v>
      </c>
      <c r="AC1514" s="6">
        <f t="shared" si="167"/>
        <v>24.959666666749399</v>
      </c>
    </row>
    <row r="1515" spans="1:29" x14ac:dyDescent="0.3">
      <c r="A1515" t="s">
        <v>22</v>
      </c>
      <c r="B1515">
        <v>2933</v>
      </c>
      <c r="C1515" t="s">
        <v>33</v>
      </c>
      <c r="D1515" t="s">
        <v>24</v>
      </c>
      <c r="E1515" t="s">
        <v>44</v>
      </c>
      <c r="F1515" t="s">
        <v>26</v>
      </c>
      <c r="G1515" t="s">
        <v>52</v>
      </c>
      <c r="H1515" s="1">
        <v>45160.753344907411</v>
      </c>
      <c r="I1515" s="1">
        <v>45162.753344907411</v>
      </c>
      <c r="J1515" s="1">
        <v>45160.795011574075</v>
      </c>
      <c r="K1515" s="2">
        <v>45160.757115879627</v>
      </c>
      <c r="L1515" t="s">
        <v>28</v>
      </c>
      <c r="M1515" s="2">
        <v>45162.27206260417</v>
      </c>
      <c r="N1515" t="s">
        <v>28</v>
      </c>
      <c r="O1515" s="2">
        <v>45165.123213171297</v>
      </c>
      <c r="P1515">
        <v>4</v>
      </c>
      <c r="Q1515">
        <v>3</v>
      </c>
      <c r="R1515" t="s">
        <v>39</v>
      </c>
      <c r="S1515" t="s">
        <v>30</v>
      </c>
      <c r="T1515" t="s">
        <v>65</v>
      </c>
      <c r="U1515">
        <v>46.149166399999999</v>
      </c>
      <c r="V1515">
        <v>14.9860106</v>
      </c>
      <c r="W1515" t="str">
        <f t="shared" si="162"/>
        <v>ok</v>
      </c>
      <c r="X1515" t="str">
        <f t="shared" si="168"/>
        <v>ok</v>
      </c>
      <c r="Y1515" t="str">
        <f t="shared" si="163"/>
        <v>ok</v>
      </c>
      <c r="Z1515" t="str">
        <f t="shared" si="164"/>
        <v>ok</v>
      </c>
      <c r="AA1515" s="4" t="str">
        <f t="shared" si="165"/>
        <v>ok</v>
      </c>
      <c r="AB1515" s="4" t="str">
        <f t="shared" si="166"/>
        <v>ok</v>
      </c>
      <c r="AC1515" s="6">
        <f t="shared" si="167"/>
        <v>36.449224722222425</v>
      </c>
    </row>
    <row r="1516" spans="1:29" x14ac:dyDescent="0.3">
      <c r="A1516" t="s">
        <v>22</v>
      </c>
      <c r="B1516">
        <v>2934</v>
      </c>
      <c r="C1516" t="s">
        <v>33</v>
      </c>
      <c r="D1516" t="s">
        <v>34</v>
      </c>
      <c r="E1516" t="s">
        <v>59</v>
      </c>
      <c r="F1516" t="s">
        <v>26</v>
      </c>
      <c r="G1516" t="s">
        <v>45</v>
      </c>
      <c r="H1516" s="1">
        <v>45160.186527777776</v>
      </c>
      <c r="I1516" s="1">
        <v>45162.186527777776</v>
      </c>
      <c r="J1516" s="1">
        <v>45160.187916666669</v>
      </c>
      <c r="K1516" s="2">
        <v>45160.188759490738</v>
      </c>
      <c r="L1516" t="s">
        <v>38</v>
      </c>
      <c r="M1516" s="2">
        <v>45160.813261875002</v>
      </c>
      <c r="N1516" t="s">
        <v>28</v>
      </c>
      <c r="O1516" s="2">
        <v>45162.819212743052</v>
      </c>
      <c r="P1516">
        <v>2</v>
      </c>
      <c r="Q1516">
        <v>3</v>
      </c>
      <c r="R1516" t="s">
        <v>50</v>
      </c>
      <c r="S1516" t="s">
        <v>30</v>
      </c>
      <c r="T1516" t="s">
        <v>57</v>
      </c>
      <c r="U1516">
        <v>51.165691000000002</v>
      </c>
      <c r="V1516">
        <v>10.451525999999999</v>
      </c>
      <c r="W1516" t="str">
        <f t="shared" si="162"/>
        <v>ok</v>
      </c>
      <c r="X1516" t="str">
        <f t="shared" si="168"/>
        <v>ok</v>
      </c>
      <c r="Y1516" t="str">
        <f t="shared" si="163"/>
        <v>ok</v>
      </c>
      <c r="Z1516" t="str">
        <f t="shared" si="164"/>
        <v>ok</v>
      </c>
      <c r="AA1516" s="4" t="str">
        <f t="shared" si="165"/>
        <v>ok</v>
      </c>
      <c r="AB1516" s="4" t="str">
        <f t="shared" si="166"/>
        <v>ok</v>
      </c>
      <c r="AC1516" s="6">
        <f t="shared" si="167"/>
        <v>15.041618333430961</v>
      </c>
    </row>
    <row r="1517" spans="1:29" x14ac:dyDescent="0.3">
      <c r="A1517" t="s">
        <v>42</v>
      </c>
      <c r="B1517">
        <v>2935</v>
      </c>
      <c r="C1517" t="s">
        <v>47</v>
      </c>
      <c r="D1517" t="s">
        <v>43</v>
      </c>
      <c r="E1517" t="s">
        <v>48</v>
      </c>
      <c r="F1517" t="s">
        <v>26</v>
      </c>
      <c r="G1517" t="s">
        <v>60</v>
      </c>
      <c r="H1517" s="1">
        <v>45161.602800925924</v>
      </c>
      <c r="I1517" s="1">
        <v>45162.602800925924</v>
      </c>
      <c r="J1517" s="1">
        <v>45161.604189814818</v>
      </c>
      <c r="K1517" s="2">
        <v>45161.603146851849</v>
      </c>
      <c r="L1517" t="s">
        <v>28</v>
      </c>
      <c r="M1517" s="2">
        <v>45166.19786349537</v>
      </c>
      <c r="N1517" t="s">
        <v>38</v>
      </c>
      <c r="P1517">
        <v>8</v>
      </c>
      <c r="R1517" t="s">
        <v>29</v>
      </c>
      <c r="S1517" t="s">
        <v>30</v>
      </c>
      <c r="T1517" t="s">
        <v>31</v>
      </c>
      <c r="U1517">
        <v>53.094023999999997</v>
      </c>
      <c r="V1517">
        <v>-8.0196749999999994</v>
      </c>
      <c r="W1517" t="str">
        <f t="shared" si="162"/>
        <v>ok</v>
      </c>
      <c r="X1517" t="str">
        <f t="shared" si="168"/>
        <v>ok</v>
      </c>
      <c r="Y1517" t="str">
        <f t="shared" si="163"/>
        <v>ok</v>
      </c>
      <c r="Z1517" t="str">
        <f t="shared" si="164"/>
        <v>ok</v>
      </c>
      <c r="AA1517" s="4" t="str">
        <f t="shared" si="165"/>
        <v>ok</v>
      </c>
      <c r="AB1517" s="4" t="str">
        <f t="shared" si="166"/>
        <v>ok</v>
      </c>
      <c r="AC1517" s="6">
        <f t="shared" si="167"/>
        <v>110.28150166670093</v>
      </c>
    </row>
    <row r="1518" spans="1:29" x14ac:dyDescent="0.3">
      <c r="A1518" t="s">
        <v>22</v>
      </c>
      <c r="B1518">
        <v>2936</v>
      </c>
      <c r="C1518" t="s">
        <v>23</v>
      </c>
      <c r="D1518" t="s">
        <v>24</v>
      </c>
      <c r="E1518" t="s">
        <v>35</v>
      </c>
      <c r="F1518" t="s">
        <v>36</v>
      </c>
      <c r="G1518" t="s">
        <v>37</v>
      </c>
      <c r="H1518" s="1">
        <v>45161.722187500003</v>
      </c>
      <c r="I1518" s="1">
        <v>45163.722187500003</v>
      </c>
      <c r="J1518" s="1">
        <v>45161.763854166667</v>
      </c>
      <c r="K1518" s="2">
        <v>45161.761870810187</v>
      </c>
      <c r="L1518" t="s">
        <v>28</v>
      </c>
      <c r="M1518" s="2">
        <v>45163.573457546299</v>
      </c>
      <c r="N1518" t="s">
        <v>28</v>
      </c>
      <c r="O1518" s="2">
        <v>45162.877756712965</v>
      </c>
      <c r="P1518">
        <v>2</v>
      </c>
      <c r="Q1518">
        <v>3</v>
      </c>
      <c r="R1518" t="s">
        <v>39</v>
      </c>
      <c r="S1518" t="s">
        <v>40</v>
      </c>
      <c r="T1518" t="s">
        <v>53</v>
      </c>
      <c r="U1518">
        <v>39.368279000000001</v>
      </c>
      <c r="V1518">
        <v>21.863140999999999</v>
      </c>
      <c r="W1518" t="str">
        <f t="shared" si="162"/>
        <v>ok</v>
      </c>
      <c r="X1518" t="str">
        <f t="shared" si="168"/>
        <v>ok</v>
      </c>
      <c r="Y1518" t="str">
        <f t="shared" si="163"/>
        <v>check</v>
      </c>
      <c r="Z1518" t="str">
        <f t="shared" si="164"/>
        <v>ok</v>
      </c>
      <c r="AA1518" s="4" t="str">
        <f t="shared" si="165"/>
        <v>ok</v>
      </c>
      <c r="AB1518" s="4" t="str">
        <f t="shared" si="166"/>
        <v>ok</v>
      </c>
      <c r="AC1518" s="6">
        <f t="shared" si="167"/>
        <v>44.430481111106928</v>
      </c>
    </row>
    <row r="1519" spans="1:29" x14ac:dyDescent="0.3">
      <c r="A1519" t="s">
        <v>42</v>
      </c>
      <c r="B1519">
        <v>2937</v>
      </c>
      <c r="C1519" t="s">
        <v>23</v>
      </c>
      <c r="D1519" t="s">
        <v>24</v>
      </c>
      <c r="E1519" t="s">
        <v>67</v>
      </c>
      <c r="F1519" t="s">
        <v>26</v>
      </c>
      <c r="G1519" t="s">
        <v>49</v>
      </c>
      <c r="H1519" s="1">
        <v>45161.520798611113</v>
      </c>
      <c r="I1519" s="1">
        <v>45163.520798611113</v>
      </c>
      <c r="J1519" s="1">
        <v>45161.562465277777</v>
      </c>
      <c r="K1519" s="2">
        <v>45161.562286932873</v>
      </c>
      <c r="L1519" t="s">
        <v>28</v>
      </c>
      <c r="M1519" s="2">
        <v>45162.023722511571</v>
      </c>
      <c r="N1519" t="s">
        <v>28</v>
      </c>
      <c r="P1519">
        <v>9</v>
      </c>
      <c r="R1519" t="s">
        <v>29</v>
      </c>
      <c r="S1519" t="s">
        <v>30</v>
      </c>
      <c r="T1519" t="s">
        <v>46</v>
      </c>
      <c r="U1519">
        <v>47.696471899999999</v>
      </c>
      <c r="V1519">
        <v>13.3457347</v>
      </c>
      <c r="W1519" t="str">
        <f t="shared" si="162"/>
        <v>ok</v>
      </c>
      <c r="X1519" t="str">
        <f t="shared" si="168"/>
        <v>ok</v>
      </c>
      <c r="Y1519" t="str">
        <f t="shared" si="163"/>
        <v>ok</v>
      </c>
      <c r="Z1519" t="str">
        <f t="shared" si="164"/>
        <v>ok</v>
      </c>
      <c r="AA1519" s="4" t="str">
        <f t="shared" si="165"/>
        <v>ok</v>
      </c>
      <c r="AB1519" s="4" t="str">
        <f t="shared" si="166"/>
        <v>ok</v>
      </c>
      <c r="AC1519" s="6">
        <f t="shared" si="167"/>
        <v>12.070173610991333</v>
      </c>
    </row>
    <row r="1520" spans="1:29" x14ac:dyDescent="0.3">
      <c r="A1520" t="s">
        <v>42</v>
      </c>
      <c r="B1520">
        <v>2938</v>
      </c>
      <c r="C1520" t="s">
        <v>23</v>
      </c>
      <c r="D1520" t="s">
        <v>43</v>
      </c>
      <c r="E1520" t="s">
        <v>44</v>
      </c>
      <c r="F1520" t="s">
        <v>36</v>
      </c>
      <c r="G1520" t="s">
        <v>37</v>
      </c>
      <c r="H1520" s="1">
        <v>45161.378206018519</v>
      </c>
      <c r="I1520" s="1">
        <v>45162.378206018519</v>
      </c>
      <c r="J1520" s="1">
        <v>45161.379594907405</v>
      </c>
      <c r="K1520" s="2">
        <v>45161.379538449073</v>
      </c>
      <c r="L1520" t="s">
        <v>28</v>
      </c>
      <c r="M1520" s="2">
        <v>45162.181076400462</v>
      </c>
      <c r="N1520" t="s">
        <v>28</v>
      </c>
      <c r="P1520">
        <v>5</v>
      </c>
      <c r="R1520" t="s">
        <v>29</v>
      </c>
      <c r="S1520" t="s">
        <v>40</v>
      </c>
      <c r="T1520" t="s">
        <v>41</v>
      </c>
      <c r="U1520">
        <v>43.036776000000003</v>
      </c>
      <c r="V1520">
        <v>12.678565000000001</v>
      </c>
      <c r="W1520" t="str">
        <f t="shared" si="162"/>
        <v>ok</v>
      </c>
      <c r="X1520" t="str">
        <f t="shared" si="168"/>
        <v>ok</v>
      </c>
      <c r="Y1520" t="str">
        <f t="shared" si="163"/>
        <v>ok</v>
      </c>
      <c r="Z1520" t="str">
        <f t="shared" si="164"/>
        <v>ok</v>
      </c>
      <c r="AA1520" s="4" t="str">
        <f t="shared" si="165"/>
        <v>ok</v>
      </c>
      <c r="AB1520" s="4" t="str">
        <f t="shared" si="166"/>
        <v>ok</v>
      </c>
      <c r="AC1520" s="6">
        <f t="shared" si="167"/>
        <v>19.268889166647568</v>
      </c>
    </row>
    <row r="1521" spans="1:29" x14ac:dyDescent="0.3">
      <c r="A1521" t="s">
        <v>42</v>
      </c>
      <c r="B1521">
        <v>2939</v>
      </c>
      <c r="C1521" t="s">
        <v>23</v>
      </c>
      <c r="D1521" t="s">
        <v>24</v>
      </c>
      <c r="E1521" t="s">
        <v>25</v>
      </c>
      <c r="F1521" t="s">
        <v>26</v>
      </c>
      <c r="G1521" t="s">
        <v>27</v>
      </c>
      <c r="H1521" s="1">
        <v>45161.416990740741</v>
      </c>
      <c r="I1521" s="1">
        <v>45163.416990740741</v>
      </c>
      <c r="J1521" s="1">
        <v>45161.458657407406</v>
      </c>
      <c r="K1521" s="2">
        <v>45161.438764351849</v>
      </c>
      <c r="L1521" t="s">
        <v>28</v>
      </c>
      <c r="M1521" s="2">
        <v>45161.83740837963</v>
      </c>
      <c r="N1521" t="s">
        <v>28</v>
      </c>
      <c r="P1521">
        <v>4</v>
      </c>
      <c r="R1521" t="s">
        <v>50</v>
      </c>
      <c r="S1521" t="s">
        <v>30</v>
      </c>
      <c r="T1521" t="s">
        <v>58</v>
      </c>
      <c r="U1521">
        <v>49.8037633</v>
      </c>
      <c r="V1521">
        <v>15.4749126</v>
      </c>
      <c r="W1521" t="str">
        <f t="shared" si="162"/>
        <v>ok</v>
      </c>
      <c r="X1521" t="str">
        <f t="shared" si="168"/>
        <v>ok</v>
      </c>
      <c r="Y1521" t="str">
        <f t="shared" si="163"/>
        <v>ok</v>
      </c>
      <c r="Z1521" t="str">
        <f t="shared" si="164"/>
        <v>ok</v>
      </c>
      <c r="AA1521" s="4" t="str">
        <f t="shared" si="165"/>
        <v>ok</v>
      </c>
      <c r="AB1521" s="4" t="str">
        <f t="shared" si="166"/>
        <v>ok</v>
      </c>
      <c r="AC1521" s="6">
        <f t="shared" si="167"/>
        <v>10.090023333323188</v>
      </c>
    </row>
    <row r="1522" spans="1:29" x14ac:dyDescent="0.3">
      <c r="A1522" t="s">
        <v>32</v>
      </c>
      <c r="B1522">
        <v>2940</v>
      </c>
      <c r="C1522" t="s">
        <v>47</v>
      </c>
      <c r="D1522" t="s">
        <v>43</v>
      </c>
      <c r="E1522" t="s">
        <v>35</v>
      </c>
      <c r="F1522" t="s">
        <v>26</v>
      </c>
      <c r="G1522" t="s">
        <v>45</v>
      </c>
      <c r="H1522" s="1">
        <v>45161.273680555554</v>
      </c>
      <c r="I1522" s="1">
        <v>45162.273680555554</v>
      </c>
      <c r="J1522" s="1">
        <v>45161.275069444448</v>
      </c>
      <c r="K1522" s="2">
        <v>45161.274006539352</v>
      </c>
      <c r="L1522" t="s">
        <v>28</v>
      </c>
      <c r="N1522" t="s">
        <v>38</v>
      </c>
      <c r="P1522">
        <v>5</v>
      </c>
      <c r="R1522" t="s">
        <v>50</v>
      </c>
      <c r="S1522" t="s">
        <v>30</v>
      </c>
      <c r="T1522" t="s">
        <v>66</v>
      </c>
      <c r="U1522">
        <v>48.864716000000001</v>
      </c>
      <c r="V1522">
        <v>2.3490139999999999</v>
      </c>
      <c r="W1522" t="str">
        <f t="shared" si="162"/>
        <v>ok</v>
      </c>
      <c r="X1522" t="str">
        <f t="shared" si="168"/>
        <v>ok</v>
      </c>
      <c r="Y1522" t="str">
        <f t="shared" si="163"/>
        <v>ok</v>
      </c>
      <c r="Z1522" t="str">
        <f t="shared" si="164"/>
        <v>ok</v>
      </c>
      <c r="AA1522" s="4" t="str">
        <f t="shared" si="165"/>
        <v>ok</v>
      </c>
      <c r="AB1522" s="4" t="str">
        <f t="shared" si="166"/>
        <v>no resolution</v>
      </c>
      <c r="AC1522" s="6" t="str">
        <f t="shared" si="167"/>
        <v/>
      </c>
    </row>
    <row r="1523" spans="1:29" x14ac:dyDescent="0.3">
      <c r="A1523" t="s">
        <v>32</v>
      </c>
      <c r="B1523">
        <v>2941</v>
      </c>
      <c r="C1523" t="s">
        <v>23</v>
      </c>
      <c r="D1523" t="s">
        <v>24</v>
      </c>
      <c r="E1523" t="s">
        <v>35</v>
      </c>
      <c r="F1523" t="s">
        <v>26</v>
      </c>
      <c r="G1523" t="s">
        <v>27</v>
      </c>
      <c r="H1523" s="1">
        <v>45161.119120370371</v>
      </c>
      <c r="I1523" s="1">
        <v>45163.119120370371</v>
      </c>
      <c r="J1523" s="1">
        <v>45161.160787037035</v>
      </c>
      <c r="K1523" s="2">
        <v>45161.169399386577</v>
      </c>
      <c r="L1523" t="s">
        <v>38</v>
      </c>
      <c r="N1523" t="s">
        <v>38</v>
      </c>
      <c r="P1523">
        <v>8</v>
      </c>
      <c r="R1523" t="s">
        <v>55</v>
      </c>
      <c r="S1523" t="s">
        <v>30</v>
      </c>
      <c r="T1523" t="s">
        <v>53</v>
      </c>
      <c r="U1523">
        <v>39.368279000000001</v>
      </c>
      <c r="V1523">
        <v>21.863140999999999</v>
      </c>
      <c r="W1523" t="str">
        <f t="shared" si="162"/>
        <v>ok</v>
      </c>
      <c r="X1523" t="str">
        <f t="shared" si="168"/>
        <v>ok</v>
      </c>
      <c r="Y1523" t="str">
        <f t="shared" si="163"/>
        <v>ok</v>
      </c>
      <c r="Z1523" t="str">
        <f t="shared" si="164"/>
        <v>ok</v>
      </c>
      <c r="AA1523" s="4" t="str">
        <f t="shared" si="165"/>
        <v>ok</v>
      </c>
      <c r="AB1523" s="4" t="str">
        <f t="shared" si="166"/>
        <v>no resolution</v>
      </c>
      <c r="AC1523" s="6" t="str">
        <f t="shared" si="167"/>
        <v/>
      </c>
    </row>
    <row r="1524" spans="1:29" x14ac:dyDescent="0.3">
      <c r="A1524" t="s">
        <v>42</v>
      </c>
      <c r="B1524">
        <v>2942</v>
      </c>
      <c r="C1524" t="s">
        <v>47</v>
      </c>
      <c r="D1524" t="s">
        <v>24</v>
      </c>
      <c r="E1524" t="s">
        <v>48</v>
      </c>
      <c r="F1524" t="s">
        <v>26</v>
      </c>
      <c r="G1524" t="s">
        <v>27</v>
      </c>
      <c r="H1524" s="1">
        <v>45161.398819444446</v>
      </c>
      <c r="I1524" s="1">
        <v>45163.398819444446</v>
      </c>
      <c r="J1524" s="1">
        <v>45161.440486111111</v>
      </c>
      <c r="K1524" s="2">
        <v>45161.399916018519</v>
      </c>
      <c r="L1524" t="s">
        <v>28</v>
      </c>
      <c r="M1524" s="2">
        <v>45166.455714861113</v>
      </c>
      <c r="N1524" t="s">
        <v>38</v>
      </c>
      <c r="P1524">
        <v>1</v>
      </c>
      <c r="R1524" t="s">
        <v>50</v>
      </c>
      <c r="S1524" t="s">
        <v>30</v>
      </c>
      <c r="T1524" t="s">
        <v>66</v>
      </c>
      <c r="U1524">
        <v>48.864716000000001</v>
      </c>
      <c r="V1524">
        <v>2.3490139999999999</v>
      </c>
      <c r="W1524" t="str">
        <f t="shared" si="162"/>
        <v>ok</v>
      </c>
      <c r="X1524" t="str">
        <f t="shared" si="168"/>
        <v>ok</v>
      </c>
      <c r="Y1524" t="str">
        <f t="shared" si="163"/>
        <v>ok</v>
      </c>
      <c r="Z1524" t="str">
        <f t="shared" si="164"/>
        <v>ok</v>
      </c>
      <c r="AA1524" s="4" t="str">
        <f t="shared" si="165"/>
        <v>ok</v>
      </c>
      <c r="AB1524" s="4" t="str">
        <f t="shared" si="166"/>
        <v>ok</v>
      </c>
      <c r="AC1524" s="6">
        <f t="shared" si="167"/>
        <v>121.3654899999965</v>
      </c>
    </row>
    <row r="1525" spans="1:29" x14ac:dyDescent="0.3">
      <c r="A1525" t="s">
        <v>22</v>
      </c>
      <c r="B1525">
        <v>2943</v>
      </c>
      <c r="C1525" t="s">
        <v>47</v>
      </c>
      <c r="D1525" t="s">
        <v>24</v>
      </c>
      <c r="E1525" t="s">
        <v>62</v>
      </c>
      <c r="F1525" t="s">
        <v>26</v>
      </c>
      <c r="G1525" t="s">
        <v>27</v>
      </c>
      <c r="H1525" s="1">
        <v>45161.008981481478</v>
      </c>
      <c r="I1525" s="1">
        <v>45163.008981481478</v>
      </c>
      <c r="J1525" s="1">
        <v>45161.05064814815</v>
      </c>
      <c r="K1525" s="2">
        <v>45161.02390659722</v>
      </c>
      <c r="L1525" t="s">
        <v>28</v>
      </c>
      <c r="M1525" s="2">
        <v>45164.789343217592</v>
      </c>
      <c r="N1525" t="s">
        <v>38</v>
      </c>
      <c r="O1525" s="2">
        <v>45166.58240994213</v>
      </c>
      <c r="P1525">
        <v>5</v>
      </c>
      <c r="Q1525">
        <v>1</v>
      </c>
      <c r="R1525" t="s">
        <v>55</v>
      </c>
      <c r="S1525" t="s">
        <v>30</v>
      </c>
      <c r="T1525" t="s">
        <v>31</v>
      </c>
      <c r="U1525">
        <v>53.094023999999997</v>
      </c>
      <c r="V1525">
        <v>-8.0196749999999994</v>
      </c>
      <c r="W1525" t="str">
        <f t="shared" si="162"/>
        <v>ok</v>
      </c>
      <c r="X1525" t="str">
        <f t="shared" si="168"/>
        <v>ok</v>
      </c>
      <c r="Y1525" t="str">
        <f t="shared" si="163"/>
        <v>ok</v>
      </c>
      <c r="Z1525" t="str">
        <f t="shared" si="164"/>
        <v>ok</v>
      </c>
      <c r="AA1525" s="4" t="str">
        <f t="shared" si="165"/>
        <v>ok</v>
      </c>
      <c r="AB1525" s="4" t="str">
        <f t="shared" si="166"/>
        <v>ok</v>
      </c>
      <c r="AC1525" s="6">
        <f t="shared" si="167"/>
        <v>90.72868166671833</v>
      </c>
    </row>
    <row r="1526" spans="1:29" x14ac:dyDescent="0.3">
      <c r="A1526" t="s">
        <v>22</v>
      </c>
      <c r="B1526">
        <v>2944</v>
      </c>
      <c r="C1526" t="s">
        <v>23</v>
      </c>
      <c r="D1526" t="s">
        <v>43</v>
      </c>
      <c r="E1526" t="s">
        <v>48</v>
      </c>
      <c r="F1526" t="s">
        <v>26</v>
      </c>
      <c r="G1526" t="s">
        <v>45</v>
      </c>
      <c r="H1526" s="1">
        <v>45161.800196759257</v>
      </c>
      <c r="I1526" s="1">
        <v>45162.800196759257</v>
      </c>
      <c r="J1526" s="1">
        <v>45161.801585648151</v>
      </c>
      <c r="K1526" s="2">
        <v>45161.801513842591</v>
      </c>
      <c r="L1526" t="s">
        <v>28</v>
      </c>
      <c r="M1526" s="2">
        <v>45162.300170057868</v>
      </c>
      <c r="N1526" t="s">
        <v>28</v>
      </c>
      <c r="O1526" s="2">
        <v>45168.143403078706</v>
      </c>
      <c r="P1526">
        <v>9</v>
      </c>
      <c r="Q1526">
        <v>1</v>
      </c>
      <c r="R1526" t="s">
        <v>29</v>
      </c>
      <c r="S1526" t="s">
        <v>30</v>
      </c>
      <c r="T1526" t="s">
        <v>41</v>
      </c>
      <c r="U1526">
        <v>43.036776000000003</v>
      </c>
      <c r="V1526">
        <v>12.678565000000001</v>
      </c>
      <c r="W1526" t="str">
        <f t="shared" si="162"/>
        <v>ok</v>
      </c>
      <c r="X1526" t="str">
        <f t="shared" si="168"/>
        <v>ok</v>
      </c>
      <c r="Y1526" t="str">
        <f t="shared" si="163"/>
        <v>ok</v>
      </c>
      <c r="Z1526" t="str">
        <f t="shared" si="164"/>
        <v>ok</v>
      </c>
      <c r="AA1526" s="4" t="str">
        <f t="shared" si="165"/>
        <v>ok</v>
      </c>
      <c r="AB1526" s="4" t="str">
        <f t="shared" si="166"/>
        <v>ok</v>
      </c>
      <c r="AC1526" s="6">
        <f t="shared" si="167"/>
        <v>11.999359166657086</v>
      </c>
    </row>
    <row r="1527" spans="1:29" x14ac:dyDescent="0.3">
      <c r="A1527" t="s">
        <v>42</v>
      </c>
      <c r="B1527">
        <v>2945</v>
      </c>
      <c r="C1527" t="s">
        <v>33</v>
      </c>
      <c r="D1527" t="s">
        <v>43</v>
      </c>
      <c r="E1527" t="s">
        <v>59</v>
      </c>
      <c r="F1527" t="s">
        <v>26</v>
      </c>
      <c r="G1527" t="s">
        <v>49</v>
      </c>
      <c r="H1527" s="1">
        <v>45161.789189814815</v>
      </c>
      <c r="I1527" s="1">
        <v>45162.789189814815</v>
      </c>
      <c r="J1527" s="1">
        <v>45161.790578703702</v>
      </c>
      <c r="K1527" s="2">
        <v>45161.790032777775</v>
      </c>
      <c r="L1527" t="s">
        <v>28</v>
      </c>
      <c r="M1527" s="2">
        <v>45161.974639097221</v>
      </c>
      <c r="N1527" t="s">
        <v>28</v>
      </c>
      <c r="P1527">
        <v>7</v>
      </c>
      <c r="R1527" t="s">
        <v>50</v>
      </c>
      <c r="S1527" t="s">
        <v>30</v>
      </c>
      <c r="T1527" t="s">
        <v>66</v>
      </c>
      <c r="U1527">
        <v>48.864716000000001</v>
      </c>
      <c r="V1527">
        <v>2.3490139999999999</v>
      </c>
      <c r="W1527" t="str">
        <f t="shared" si="162"/>
        <v>ok</v>
      </c>
      <c r="X1527" t="str">
        <f t="shared" si="168"/>
        <v>ok</v>
      </c>
      <c r="Y1527" t="str">
        <f t="shared" si="163"/>
        <v>ok</v>
      </c>
      <c r="Z1527" t="str">
        <f t="shared" si="164"/>
        <v>ok</v>
      </c>
      <c r="AA1527" s="4" t="str">
        <f t="shared" si="165"/>
        <v>ok</v>
      </c>
      <c r="AB1527" s="4" t="str">
        <f t="shared" si="166"/>
        <v>ok</v>
      </c>
      <c r="AC1527" s="6">
        <f t="shared" si="167"/>
        <v>4.4507827777415514</v>
      </c>
    </row>
    <row r="1528" spans="1:29" x14ac:dyDescent="0.3">
      <c r="A1528" t="s">
        <v>22</v>
      </c>
      <c r="B1528">
        <v>2946</v>
      </c>
      <c r="C1528" t="s">
        <v>23</v>
      </c>
      <c r="D1528" t="s">
        <v>34</v>
      </c>
      <c r="E1528" t="s">
        <v>35</v>
      </c>
      <c r="F1528" t="s">
        <v>36</v>
      </c>
      <c r="G1528" t="s">
        <v>54</v>
      </c>
      <c r="H1528" s="1">
        <v>45162.057893518519</v>
      </c>
      <c r="I1528" s="1">
        <v>45164.057893518519</v>
      </c>
      <c r="J1528" s="1">
        <v>45162.059282407405</v>
      </c>
      <c r="K1528" s="2">
        <v>45162.058187719907</v>
      </c>
      <c r="L1528" t="s">
        <v>28</v>
      </c>
      <c r="M1528" s="2">
        <v>45163.597776678238</v>
      </c>
      <c r="N1528" t="s">
        <v>28</v>
      </c>
      <c r="O1528" s="2">
        <v>45165.578935532409</v>
      </c>
      <c r="P1528">
        <v>7</v>
      </c>
      <c r="Q1528">
        <v>4</v>
      </c>
      <c r="R1528" t="s">
        <v>50</v>
      </c>
      <c r="S1528" t="s">
        <v>40</v>
      </c>
      <c r="T1528" t="s">
        <v>53</v>
      </c>
      <c r="U1528">
        <v>39.368279000000001</v>
      </c>
      <c r="V1528">
        <v>21.863140999999999</v>
      </c>
      <c r="W1528" t="str">
        <f t="shared" si="162"/>
        <v>ok</v>
      </c>
      <c r="X1528" t="str">
        <f t="shared" si="168"/>
        <v>ok</v>
      </c>
      <c r="Y1528" t="str">
        <f t="shared" si="163"/>
        <v>ok</v>
      </c>
      <c r="Z1528" t="str">
        <f t="shared" si="164"/>
        <v>ok</v>
      </c>
      <c r="AA1528" s="4" t="str">
        <f t="shared" si="165"/>
        <v>ok</v>
      </c>
      <c r="AB1528" s="4" t="str">
        <f t="shared" si="166"/>
        <v>ok</v>
      </c>
      <c r="AC1528" s="6">
        <f t="shared" si="167"/>
        <v>36.957195833267178</v>
      </c>
    </row>
    <row r="1529" spans="1:29" x14ac:dyDescent="0.3">
      <c r="A1529" t="s">
        <v>22</v>
      </c>
      <c r="B1529">
        <v>2947</v>
      </c>
      <c r="C1529" t="s">
        <v>47</v>
      </c>
      <c r="D1529" t="s">
        <v>24</v>
      </c>
      <c r="E1529" t="s">
        <v>48</v>
      </c>
      <c r="F1529" t="s">
        <v>26</v>
      </c>
      <c r="G1529" t="s">
        <v>27</v>
      </c>
      <c r="H1529" s="1">
        <v>45162.727581018517</v>
      </c>
      <c r="I1529" s="1">
        <v>45164.727581018517</v>
      </c>
      <c r="J1529" s="1">
        <v>45162.769247685188</v>
      </c>
      <c r="K1529" s="2">
        <v>45162.744359085649</v>
      </c>
      <c r="L1529" t="s">
        <v>28</v>
      </c>
      <c r="M1529" s="2">
        <v>45164.153027118053</v>
      </c>
      <c r="N1529" t="s">
        <v>28</v>
      </c>
      <c r="O1529" s="2">
        <v>45165.737413263887</v>
      </c>
      <c r="P1529">
        <v>3</v>
      </c>
      <c r="Q1529">
        <v>1</v>
      </c>
      <c r="R1529" t="s">
        <v>29</v>
      </c>
      <c r="S1529" t="s">
        <v>30</v>
      </c>
      <c r="T1529" t="s">
        <v>57</v>
      </c>
      <c r="U1529">
        <v>51.165691000000002</v>
      </c>
      <c r="V1529">
        <v>10.451525999999999</v>
      </c>
      <c r="W1529" t="str">
        <f t="shared" si="162"/>
        <v>ok</v>
      </c>
      <c r="X1529" t="str">
        <f t="shared" si="168"/>
        <v>ok</v>
      </c>
      <c r="Y1529" t="str">
        <f t="shared" si="163"/>
        <v>ok</v>
      </c>
      <c r="Z1529" t="str">
        <f t="shared" si="164"/>
        <v>ok</v>
      </c>
      <c r="AA1529" s="4" t="str">
        <f t="shared" si="165"/>
        <v>ok</v>
      </c>
      <c r="AB1529" s="4" t="str">
        <f t="shared" si="166"/>
        <v>ok</v>
      </c>
      <c r="AC1529" s="6">
        <f t="shared" si="167"/>
        <v>34.210706388868857</v>
      </c>
    </row>
    <row r="1530" spans="1:29" x14ac:dyDescent="0.3">
      <c r="A1530" t="s">
        <v>22</v>
      </c>
      <c r="B1530">
        <v>2948</v>
      </c>
      <c r="C1530" t="s">
        <v>47</v>
      </c>
      <c r="D1530" t="s">
        <v>43</v>
      </c>
      <c r="E1530" t="s">
        <v>35</v>
      </c>
      <c r="F1530" t="s">
        <v>36</v>
      </c>
      <c r="G1530" t="s">
        <v>54</v>
      </c>
      <c r="H1530" s="1">
        <v>45162.702581018515</v>
      </c>
      <c r="I1530" s="1">
        <v>45163.702581018515</v>
      </c>
      <c r="J1530" s="1">
        <v>45162.703969907408</v>
      </c>
      <c r="K1530" s="2">
        <v>45162.702817488425</v>
      </c>
      <c r="L1530" t="s">
        <v>28</v>
      </c>
      <c r="M1530" s="2">
        <v>45163.339636643519</v>
      </c>
      <c r="N1530" t="s">
        <v>28</v>
      </c>
      <c r="O1530" s="2">
        <v>45166.02436708333</v>
      </c>
      <c r="P1530">
        <v>6</v>
      </c>
      <c r="Q1530">
        <v>1</v>
      </c>
      <c r="R1530" t="s">
        <v>55</v>
      </c>
      <c r="S1530" t="s">
        <v>40</v>
      </c>
      <c r="T1530" t="s">
        <v>31</v>
      </c>
      <c r="U1530">
        <v>53.094023999999997</v>
      </c>
      <c r="V1530">
        <v>-8.0196749999999994</v>
      </c>
      <c r="W1530" t="str">
        <f t="shared" si="162"/>
        <v>ok</v>
      </c>
      <c r="X1530" t="str">
        <f t="shared" si="168"/>
        <v>ok</v>
      </c>
      <c r="Y1530" t="str">
        <f t="shared" si="163"/>
        <v>ok</v>
      </c>
      <c r="Z1530" t="str">
        <f t="shared" si="164"/>
        <v>ok</v>
      </c>
      <c r="AA1530" s="4" t="str">
        <f t="shared" si="165"/>
        <v>ok</v>
      </c>
      <c r="AB1530" s="4" t="str">
        <f t="shared" si="166"/>
        <v>ok</v>
      </c>
      <c r="AC1530" s="6">
        <f t="shared" si="167"/>
        <v>15.289335000095889</v>
      </c>
    </row>
    <row r="1531" spans="1:29" x14ac:dyDescent="0.3">
      <c r="A1531" t="s">
        <v>42</v>
      </c>
      <c r="B1531">
        <v>2949</v>
      </c>
      <c r="C1531" t="s">
        <v>23</v>
      </c>
      <c r="D1531" t="s">
        <v>43</v>
      </c>
      <c r="E1531" t="s">
        <v>59</v>
      </c>
      <c r="F1531" t="s">
        <v>36</v>
      </c>
      <c r="G1531" t="s">
        <v>37</v>
      </c>
      <c r="H1531" s="1">
        <v>45162.41028935185</v>
      </c>
      <c r="I1531" s="1">
        <v>45163.41028935185</v>
      </c>
      <c r="J1531" s="1">
        <v>45162.411678240744</v>
      </c>
      <c r="K1531" s="2">
        <v>45162.411960057871</v>
      </c>
      <c r="L1531" t="s">
        <v>38</v>
      </c>
      <c r="M1531" s="2">
        <v>45163.709472268521</v>
      </c>
      <c r="N1531" t="s">
        <v>38</v>
      </c>
      <c r="P1531">
        <v>9</v>
      </c>
      <c r="R1531" t="s">
        <v>29</v>
      </c>
      <c r="S1531" t="s">
        <v>40</v>
      </c>
      <c r="T1531" t="s">
        <v>65</v>
      </c>
      <c r="U1531">
        <v>46.149166399999999</v>
      </c>
      <c r="V1531">
        <v>14.9860106</v>
      </c>
      <c r="W1531" t="str">
        <f t="shared" si="162"/>
        <v>ok</v>
      </c>
      <c r="X1531" t="str">
        <f t="shared" si="168"/>
        <v>ok</v>
      </c>
      <c r="Y1531" t="str">
        <f t="shared" si="163"/>
        <v>ok</v>
      </c>
      <c r="Z1531" t="str">
        <f t="shared" si="164"/>
        <v>ok</v>
      </c>
      <c r="AA1531" s="4" t="str">
        <f t="shared" si="165"/>
        <v>ok</v>
      </c>
      <c r="AB1531" s="4" t="str">
        <f t="shared" si="166"/>
        <v>ok</v>
      </c>
      <c r="AC1531" s="6">
        <f t="shared" si="167"/>
        <v>31.180390000110492</v>
      </c>
    </row>
    <row r="1532" spans="1:29" x14ac:dyDescent="0.3">
      <c r="A1532" t="s">
        <v>22</v>
      </c>
      <c r="B1532">
        <v>2950</v>
      </c>
      <c r="C1532" t="s">
        <v>23</v>
      </c>
      <c r="D1532" t="s">
        <v>43</v>
      </c>
      <c r="E1532" t="s">
        <v>35</v>
      </c>
      <c r="F1532" t="s">
        <v>26</v>
      </c>
      <c r="G1532" t="s">
        <v>27</v>
      </c>
      <c r="H1532" s="1">
        <v>45162.334837962961</v>
      </c>
      <c r="I1532" s="1">
        <v>45163.334837962961</v>
      </c>
      <c r="J1532" s="1">
        <v>45162.336226851854</v>
      </c>
      <c r="K1532" s="2">
        <v>45162.335965613427</v>
      </c>
      <c r="L1532" t="s">
        <v>28</v>
      </c>
      <c r="M1532" s="2">
        <v>45162.780528067131</v>
      </c>
      <c r="N1532" t="s">
        <v>28</v>
      </c>
      <c r="O1532" s="2">
        <v>45167.255994189814</v>
      </c>
      <c r="P1532">
        <v>8</v>
      </c>
      <c r="Q1532">
        <v>2</v>
      </c>
      <c r="R1532" t="s">
        <v>50</v>
      </c>
      <c r="S1532" t="s">
        <v>30</v>
      </c>
      <c r="T1532" t="s">
        <v>51</v>
      </c>
      <c r="U1532">
        <v>39.673369999999998</v>
      </c>
      <c r="V1532">
        <v>-4.7677259999999997</v>
      </c>
      <c r="W1532" t="str">
        <f t="shared" si="162"/>
        <v>ok</v>
      </c>
      <c r="X1532" t="str">
        <f t="shared" si="168"/>
        <v>ok</v>
      </c>
      <c r="Y1532" t="str">
        <f t="shared" si="163"/>
        <v>ok</v>
      </c>
      <c r="Z1532" t="str">
        <f t="shared" si="164"/>
        <v>ok</v>
      </c>
      <c r="AA1532" s="4" t="str">
        <f t="shared" si="165"/>
        <v>ok</v>
      </c>
      <c r="AB1532" s="4" t="str">
        <f t="shared" si="166"/>
        <v>ok</v>
      </c>
      <c r="AC1532" s="6">
        <f t="shared" si="167"/>
        <v>10.696562500088476</v>
      </c>
    </row>
    <row r="1533" spans="1:29" x14ac:dyDescent="0.3">
      <c r="A1533" t="s">
        <v>42</v>
      </c>
      <c r="B1533">
        <v>2951</v>
      </c>
      <c r="C1533" t="s">
        <v>33</v>
      </c>
      <c r="D1533" t="s">
        <v>24</v>
      </c>
      <c r="E1533" t="s">
        <v>35</v>
      </c>
      <c r="F1533" t="s">
        <v>26</v>
      </c>
      <c r="G1533" t="s">
        <v>60</v>
      </c>
      <c r="H1533" s="1">
        <v>45162.758240740739</v>
      </c>
      <c r="I1533" s="1">
        <v>45164.758240740739</v>
      </c>
      <c r="J1533" s="1">
        <v>45162.799907407411</v>
      </c>
      <c r="K1533" s="2">
        <v>45162.777703807871</v>
      </c>
      <c r="L1533" t="s">
        <v>28</v>
      </c>
      <c r="M1533" s="2">
        <v>45166.161627280089</v>
      </c>
      <c r="N1533" t="s">
        <v>38</v>
      </c>
      <c r="P1533">
        <v>8</v>
      </c>
      <c r="R1533" t="s">
        <v>55</v>
      </c>
      <c r="S1533" t="s">
        <v>30</v>
      </c>
      <c r="T1533" t="s">
        <v>57</v>
      </c>
      <c r="U1533">
        <v>51.165691000000002</v>
      </c>
      <c r="V1533">
        <v>10.451525999999999</v>
      </c>
      <c r="W1533" t="str">
        <f t="shared" si="162"/>
        <v>ok</v>
      </c>
      <c r="X1533" t="str">
        <f t="shared" si="168"/>
        <v>ok</v>
      </c>
      <c r="Y1533" t="str">
        <f t="shared" si="163"/>
        <v>ok</v>
      </c>
      <c r="Z1533" t="str">
        <f t="shared" si="164"/>
        <v>ok</v>
      </c>
      <c r="AA1533" s="4" t="str">
        <f t="shared" si="165"/>
        <v>ok</v>
      </c>
      <c r="AB1533" s="4" t="str">
        <f t="shared" si="166"/>
        <v>ok</v>
      </c>
      <c r="AC1533" s="6">
        <f t="shared" si="167"/>
        <v>81.681276944407728</v>
      </c>
    </row>
    <row r="1534" spans="1:29" x14ac:dyDescent="0.3">
      <c r="A1534" t="s">
        <v>22</v>
      </c>
      <c r="B1534">
        <v>2952</v>
      </c>
      <c r="C1534" t="s">
        <v>47</v>
      </c>
      <c r="D1534" t="s">
        <v>24</v>
      </c>
      <c r="E1534" t="s">
        <v>35</v>
      </c>
      <c r="F1534" t="s">
        <v>26</v>
      </c>
      <c r="G1534" t="s">
        <v>49</v>
      </c>
      <c r="H1534" s="1">
        <v>45162.299722222226</v>
      </c>
      <c r="I1534" s="1">
        <v>45164.299722222226</v>
      </c>
      <c r="J1534" s="1">
        <v>45162.34138888889</v>
      </c>
      <c r="K1534" s="2">
        <v>45162.332230960645</v>
      </c>
      <c r="L1534" t="s">
        <v>28</v>
      </c>
      <c r="M1534" s="2">
        <v>45164.131891377314</v>
      </c>
      <c r="N1534" t="s">
        <v>28</v>
      </c>
      <c r="O1534" s="2">
        <v>45164.044575266205</v>
      </c>
      <c r="P1534">
        <v>3</v>
      </c>
      <c r="Q1534">
        <v>4</v>
      </c>
      <c r="R1534" t="s">
        <v>39</v>
      </c>
      <c r="S1534" t="s">
        <v>30</v>
      </c>
      <c r="T1534" t="s">
        <v>65</v>
      </c>
      <c r="U1534">
        <v>46.149166399999999</v>
      </c>
      <c r="V1534">
        <v>14.9860106</v>
      </c>
      <c r="W1534" t="str">
        <f t="shared" si="162"/>
        <v>ok</v>
      </c>
      <c r="X1534" t="str">
        <f t="shared" si="168"/>
        <v>ok</v>
      </c>
      <c r="Y1534" t="str">
        <f t="shared" si="163"/>
        <v>check</v>
      </c>
      <c r="Z1534" t="str">
        <f t="shared" si="164"/>
        <v>ok</v>
      </c>
      <c r="AA1534" s="4" t="str">
        <f t="shared" si="165"/>
        <v>ok</v>
      </c>
      <c r="AB1534" s="4" t="str">
        <f t="shared" si="166"/>
        <v>ok</v>
      </c>
      <c r="AC1534" s="6">
        <f t="shared" si="167"/>
        <v>43.972059722116683</v>
      </c>
    </row>
    <row r="1535" spans="1:29" x14ac:dyDescent="0.3">
      <c r="A1535" t="s">
        <v>32</v>
      </c>
      <c r="B1535">
        <v>2953</v>
      </c>
      <c r="C1535" t="s">
        <v>23</v>
      </c>
      <c r="D1535" t="s">
        <v>34</v>
      </c>
      <c r="E1535" t="s">
        <v>35</v>
      </c>
      <c r="F1535" t="s">
        <v>26</v>
      </c>
      <c r="G1535" t="s">
        <v>45</v>
      </c>
      <c r="H1535" s="1">
        <v>45162.280833333331</v>
      </c>
      <c r="I1535" s="1">
        <v>45164.280833333331</v>
      </c>
      <c r="J1535" s="1">
        <v>45162.282222222224</v>
      </c>
      <c r="K1535" s="2">
        <v>45162.282003171298</v>
      </c>
      <c r="L1535" t="s">
        <v>28</v>
      </c>
      <c r="N1535" t="s">
        <v>38</v>
      </c>
      <c r="P1535">
        <v>3</v>
      </c>
      <c r="R1535" t="s">
        <v>50</v>
      </c>
      <c r="S1535" t="s">
        <v>30</v>
      </c>
      <c r="T1535" t="s">
        <v>58</v>
      </c>
      <c r="U1535">
        <v>49.8037633</v>
      </c>
      <c r="V1535">
        <v>15.4749126</v>
      </c>
      <c r="W1535" t="str">
        <f t="shared" si="162"/>
        <v>ok</v>
      </c>
      <c r="X1535" t="str">
        <f t="shared" si="168"/>
        <v>ok</v>
      </c>
      <c r="Y1535" t="str">
        <f t="shared" si="163"/>
        <v>ok</v>
      </c>
      <c r="Z1535" t="str">
        <f t="shared" si="164"/>
        <v>ok</v>
      </c>
      <c r="AA1535" s="4" t="str">
        <f t="shared" si="165"/>
        <v>ok</v>
      </c>
      <c r="AB1535" s="4" t="str">
        <f t="shared" si="166"/>
        <v>no resolution</v>
      </c>
      <c r="AC1535" s="6" t="str">
        <f t="shared" si="167"/>
        <v/>
      </c>
    </row>
    <row r="1536" spans="1:29" x14ac:dyDescent="0.3">
      <c r="A1536" t="s">
        <v>22</v>
      </c>
      <c r="B1536">
        <v>2954</v>
      </c>
      <c r="C1536" t="s">
        <v>33</v>
      </c>
      <c r="D1536" t="s">
        <v>24</v>
      </c>
      <c r="E1536" t="s">
        <v>59</v>
      </c>
      <c r="F1536" t="s">
        <v>26</v>
      </c>
      <c r="G1536" t="s">
        <v>27</v>
      </c>
      <c r="H1536" s="1">
        <v>45162.00681712963</v>
      </c>
      <c r="I1536" s="1">
        <v>45164.00681712963</v>
      </c>
      <c r="J1536" s="1">
        <v>45162.048483796294</v>
      </c>
      <c r="K1536" s="2">
        <v>45162.242369571759</v>
      </c>
      <c r="L1536" t="s">
        <v>38</v>
      </c>
      <c r="M1536" s="2">
        <v>45162.053052627314</v>
      </c>
      <c r="N1536" t="s">
        <v>28</v>
      </c>
      <c r="O1536" s="2">
        <v>45165.754186851853</v>
      </c>
      <c r="P1536">
        <v>9</v>
      </c>
      <c r="Q1536">
        <v>2</v>
      </c>
      <c r="R1536" t="s">
        <v>50</v>
      </c>
      <c r="S1536" t="s">
        <v>30</v>
      </c>
      <c r="T1536" t="s">
        <v>57</v>
      </c>
      <c r="U1536">
        <v>51.165691000000002</v>
      </c>
      <c r="V1536">
        <v>10.451525999999999</v>
      </c>
      <c r="W1536" t="str">
        <f t="shared" si="162"/>
        <v>ok</v>
      </c>
      <c r="X1536" t="str">
        <f t="shared" si="168"/>
        <v>ok</v>
      </c>
      <c r="Y1536" t="str">
        <f t="shared" si="163"/>
        <v>ok</v>
      </c>
      <c r="Z1536" t="str">
        <f t="shared" si="164"/>
        <v>ok</v>
      </c>
      <c r="AA1536" s="4" t="str">
        <f t="shared" si="165"/>
        <v>ok</v>
      </c>
      <c r="AB1536" s="4" t="str">
        <f t="shared" si="166"/>
        <v>ok</v>
      </c>
      <c r="AC1536" s="6">
        <f t="shared" si="167"/>
        <v>1.1096519444254227</v>
      </c>
    </row>
    <row r="1537" spans="1:29" x14ac:dyDescent="0.3">
      <c r="A1537" t="s">
        <v>42</v>
      </c>
      <c r="B1537">
        <v>2955</v>
      </c>
      <c r="C1537" t="s">
        <v>33</v>
      </c>
      <c r="D1537" t="s">
        <v>24</v>
      </c>
      <c r="E1537" t="s">
        <v>44</v>
      </c>
      <c r="F1537" t="s">
        <v>26</v>
      </c>
      <c r="G1537" t="s">
        <v>45</v>
      </c>
      <c r="H1537" s="1">
        <v>45162.208321759259</v>
      </c>
      <c r="I1537" s="1">
        <v>45164.208321759259</v>
      </c>
      <c r="J1537" s="1">
        <v>45162.249988425923</v>
      </c>
      <c r="K1537" s="2">
        <v>45162.215712129633</v>
      </c>
      <c r="L1537" t="s">
        <v>28</v>
      </c>
      <c r="M1537" s="2">
        <v>45163.434995601849</v>
      </c>
      <c r="N1537" t="s">
        <v>28</v>
      </c>
      <c r="P1537">
        <v>9</v>
      </c>
      <c r="R1537" t="s">
        <v>39</v>
      </c>
      <c r="S1537" t="s">
        <v>30</v>
      </c>
      <c r="T1537" t="s">
        <v>58</v>
      </c>
      <c r="U1537">
        <v>49.8037633</v>
      </c>
      <c r="V1537">
        <v>15.4749126</v>
      </c>
      <c r="W1537" t="str">
        <f t="shared" si="162"/>
        <v>ok</v>
      </c>
      <c r="X1537" t="str">
        <f t="shared" si="168"/>
        <v>ok</v>
      </c>
      <c r="Y1537" t="str">
        <f t="shared" si="163"/>
        <v>ok</v>
      </c>
      <c r="Z1537" t="str">
        <f t="shared" si="164"/>
        <v>ok</v>
      </c>
      <c r="AA1537" s="4" t="str">
        <f t="shared" si="165"/>
        <v>ok</v>
      </c>
      <c r="AB1537" s="4" t="str">
        <f t="shared" si="166"/>
        <v>ok</v>
      </c>
      <c r="AC1537" s="6">
        <f t="shared" si="167"/>
        <v>29.440172222151887</v>
      </c>
    </row>
    <row r="1538" spans="1:29" x14ac:dyDescent="0.3">
      <c r="A1538" t="s">
        <v>22</v>
      </c>
      <c r="B1538">
        <v>2956</v>
      </c>
      <c r="C1538" t="s">
        <v>47</v>
      </c>
      <c r="D1538" t="s">
        <v>43</v>
      </c>
      <c r="E1538" t="s">
        <v>35</v>
      </c>
      <c r="F1538" t="s">
        <v>26</v>
      </c>
      <c r="G1538" t="s">
        <v>49</v>
      </c>
      <c r="H1538" s="1">
        <v>45162.145624999997</v>
      </c>
      <c r="I1538" s="1">
        <v>45163.145624999997</v>
      </c>
      <c r="J1538" s="1">
        <v>45162.147013888891</v>
      </c>
      <c r="K1538" s="2">
        <v>45162.338577083334</v>
      </c>
      <c r="L1538" t="s">
        <v>38</v>
      </c>
      <c r="M1538" s="2">
        <v>45162.85875900463</v>
      </c>
      <c r="N1538" t="s">
        <v>28</v>
      </c>
      <c r="O1538" s="2">
        <v>45166.000988032407</v>
      </c>
      <c r="P1538">
        <v>2</v>
      </c>
      <c r="Q1538">
        <v>4</v>
      </c>
      <c r="R1538" t="s">
        <v>55</v>
      </c>
      <c r="S1538" t="s">
        <v>30</v>
      </c>
      <c r="T1538" t="s">
        <v>61</v>
      </c>
      <c r="U1538">
        <v>42.724992499999999</v>
      </c>
      <c r="V1538">
        <v>25.483303899999999</v>
      </c>
      <c r="W1538" t="str">
        <f t="shared" ref="W1538:W1601" si="169">IF(K1538&lt;H1538,"check","ok")</f>
        <v>ok</v>
      </c>
      <c r="X1538" t="str">
        <f t="shared" si="168"/>
        <v>ok</v>
      </c>
      <c r="Y1538" t="str">
        <f t="shared" ref="Y1538:Y1601" si="170">IF(AND(M1538&lt;&gt;"",O1538&lt;&gt;"",O1538&lt;M1538),"check","ok")</f>
        <v>ok</v>
      </c>
      <c r="Z1538" t="str">
        <f t="shared" ref="Z1538:Z1601" si="171">IF(AND(OR(CA1538="Closed",A1538="Resolved"),M1538=""),"check","ok")</f>
        <v>ok</v>
      </c>
      <c r="AA1538" s="4" t="str">
        <f t="shared" ref="AA1538:AA1601" si="172">IF(K1538="","no response",IF(OR(AND(K1538&lt;=J1538,L1538="Within SLA"),AND(K1538&gt;J1538,L1538="SLA Violated")),"ok","check"))</f>
        <v>ok</v>
      </c>
      <c r="AB1538" s="4" t="str">
        <f t="shared" ref="AB1538:AB1601" si="173">IF(M1538="","no resolution",IF(OR(AND(M1538&lt;=I1538,N1538="Within SLA"),AND(M1538&gt;I1538,N1538="SLA Violated")),"ok","check"))</f>
        <v>ok</v>
      </c>
      <c r="AC1538" s="6">
        <f t="shared" ref="AC1538:AC1601" si="174">IF(M1538="","",(M1538-H1538)*24)</f>
        <v>17.115216111182235</v>
      </c>
    </row>
    <row r="1539" spans="1:29" x14ac:dyDescent="0.3">
      <c r="A1539" t="s">
        <v>22</v>
      </c>
      <c r="B1539">
        <v>2957</v>
      </c>
      <c r="C1539" t="s">
        <v>23</v>
      </c>
      <c r="D1539" t="s">
        <v>24</v>
      </c>
      <c r="E1539" t="s">
        <v>48</v>
      </c>
      <c r="F1539" t="s">
        <v>26</v>
      </c>
      <c r="G1539" t="s">
        <v>52</v>
      </c>
      <c r="H1539" s="1">
        <v>45163.78769675926</v>
      </c>
      <c r="I1539" s="1">
        <v>45165.78769675926</v>
      </c>
      <c r="J1539" s="1">
        <v>45163.829363425924</v>
      </c>
      <c r="K1539" s="2">
        <v>45163.799049224537</v>
      </c>
      <c r="L1539" t="s">
        <v>28</v>
      </c>
      <c r="M1539" s="2">
        <v>45165.025261793984</v>
      </c>
      <c r="N1539" t="s">
        <v>28</v>
      </c>
      <c r="O1539" s="2">
        <v>45169.162684490744</v>
      </c>
      <c r="P1539">
        <v>1</v>
      </c>
      <c r="Q1539">
        <v>3</v>
      </c>
      <c r="R1539" t="s">
        <v>55</v>
      </c>
      <c r="S1539" t="s">
        <v>30</v>
      </c>
      <c r="T1539" t="s">
        <v>58</v>
      </c>
      <c r="U1539">
        <v>49.8037633</v>
      </c>
      <c r="V1539">
        <v>15.4749126</v>
      </c>
      <c r="W1539" t="str">
        <f t="shared" si="169"/>
        <v>ok</v>
      </c>
      <c r="X1539" t="str">
        <f t="shared" ref="X1539:X1602" si="175">IF(AND(M1539&lt;&gt;"",M1539&lt;H1539),"check","ok")</f>
        <v>ok</v>
      </c>
      <c r="Y1539" t="str">
        <f t="shared" si="170"/>
        <v>ok</v>
      </c>
      <c r="Z1539" t="str">
        <f t="shared" si="171"/>
        <v>ok</v>
      </c>
      <c r="AA1539" s="4" t="str">
        <f t="shared" si="172"/>
        <v>ok</v>
      </c>
      <c r="AB1539" s="4" t="str">
        <f t="shared" si="173"/>
        <v>ok</v>
      </c>
      <c r="AC1539" s="6">
        <f t="shared" si="174"/>
        <v>29.70156083337497</v>
      </c>
    </row>
    <row r="1540" spans="1:29" x14ac:dyDescent="0.3">
      <c r="A1540" t="s">
        <v>22</v>
      </c>
      <c r="B1540">
        <v>2958</v>
      </c>
      <c r="C1540" t="s">
        <v>23</v>
      </c>
      <c r="D1540" t="s">
        <v>43</v>
      </c>
      <c r="E1540" t="s">
        <v>48</v>
      </c>
      <c r="F1540" t="s">
        <v>26</v>
      </c>
      <c r="G1540" t="s">
        <v>27</v>
      </c>
      <c r="H1540" s="1">
        <v>45163.813506944447</v>
      </c>
      <c r="I1540" s="1">
        <v>45164.813506944447</v>
      </c>
      <c r="J1540" s="1">
        <v>45163.814895833333</v>
      </c>
      <c r="K1540" s="2">
        <v>45163.814542800923</v>
      </c>
      <c r="L1540" t="s">
        <v>28</v>
      </c>
      <c r="M1540" s="2">
        <v>45169.525910659722</v>
      </c>
      <c r="N1540" t="s">
        <v>38</v>
      </c>
      <c r="O1540" s="2">
        <v>45171.031509363427</v>
      </c>
      <c r="P1540">
        <v>6</v>
      </c>
      <c r="Q1540">
        <v>4</v>
      </c>
      <c r="R1540" t="s">
        <v>50</v>
      </c>
      <c r="S1540" t="s">
        <v>30</v>
      </c>
      <c r="T1540" t="s">
        <v>65</v>
      </c>
      <c r="U1540">
        <v>46.149166399999999</v>
      </c>
      <c r="V1540">
        <v>14.9860106</v>
      </c>
      <c r="W1540" t="str">
        <f t="shared" si="169"/>
        <v>ok</v>
      </c>
      <c r="X1540" t="str">
        <f t="shared" si="175"/>
        <v>ok</v>
      </c>
      <c r="Y1540" t="str">
        <f t="shared" si="170"/>
        <v>ok</v>
      </c>
      <c r="Z1540" t="str">
        <f t="shared" si="171"/>
        <v>ok</v>
      </c>
      <c r="AA1540" s="4" t="str">
        <f t="shared" si="172"/>
        <v>ok</v>
      </c>
      <c r="AB1540" s="4" t="str">
        <f t="shared" si="173"/>
        <v>ok</v>
      </c>
      <c r="AC1540" s="6">
        <f t="shared" si="174"/>
        <v>137.09768916660687</v>
      </c>
    </row>
    <row r="1541" spans="1:29" x14ac:dyDescent="0.3">
      <c r="A1541" t="s">
        <v>42</v>
      </c>
      <c r="B1541">
        <v>2959</v>
      </c>
      <c r="C1541" t="s">
        <v>23</v>
      </c>
      <c r="D1541" t="s">
        <v>24</v>
      </c>
      <c r="E1541" t="s">
        <v>67</v>
      </c>
      <c r="F1541" t="s">
        <v>26</v>
      </c>
      <c r="G1541" t="s">
        <v>60</v>
      </c>
      <c r="H1541" s="1">
        <v>45163.881666666668</v>
      </c>
      <c r="I1541" s="1">
        <v>45165.881666666668</v>
      </c>
      <c r="J1541" s="1">
        <v>45163.923333333332</v>
      </c>
      <c r="K1541" s="2">
        <v>45163.910003206016</v>
      </c>
      <c r="L1541" t="s">
        <v>28</v>
      </c>
      <c r="M1541" s="2">
        <v>45164.431675127315</v>
      </c>
      <c r="N1541" t="s">
        <v>28</v>
      </c>
      <c r="P1541">
        <v>2</v>
      </c>
      <c r="R1541" t="s">
        <v>29</v>
      </c>
      <c r="S1541" t="s">
        <v>30</v>
      </c>
      <c r="T1541" t="s">
        <v>63</v>
      </c>
      <c r="U1541">
        <v>55.378051999999997</v>
      </c>
      <c r="V1541">
        <v>-3.4359730000000002</v>
      </c>
      <c r="W1541" t="str">
        <f t="shared" si="169"/>
        <v>ok</v>
      </c>
      <c r="X1541" t="str">
        <f t="shared" si="175"/>
        <v>ok</v>
      </c>
      <c r="Y1541" t="str">
        <f t="shared" si="170"/>
        <v>ok</v>
      </c>
      <c r="Z1541" t="str">
        <f t="shared" si="171"/>
        <v>ok</v>
      </c>
      <c r="AA1541" s="4" t="str">
        <f t="shared" si="172"/>
        <v>ok</v>
      </c>
      <c r="AB1541" s="4" t="str">
        <f t="shared" si="173"/>
        <v>ok</v>
      </c>
      <c r="AC1541" s="6">
        <f t="shared" si="174"/>
        <v>13.200203055515885</v>
      </c>
    </row>
    <row r="1542" spans="1:29" x14ac:dyDescent="0.3">
      <c r="A1542" t="s">
        <v>42</v>
      </c>
      <c r="B1542">
        <v>2960</v>
      </c>
      <c r="C1542" t="s">
        <v>23</v>
      </c>
      <c r="D1542" t="s">
        <v>24</v>
      </c>
      <c r="E1542" t="s">
        <v>25</v>
      </c>
      <c r="F1542" t="s">
        <v>36</v>
      </c>
      <c r="G1542" t="s">
        <v>37</v>
      </c>
      <c r="H1542" s="1">
        <v>45163.872361111113</v>
      </c>
      <c r="I1542" s="1">
        <v>45165.872361111113</v>
      </c>
      <c r="J1542" s="1">
        <v>45163.914027777777</v>
      </c>
      <c r="K1542" s="2">
        <v>45163.890249293981</v>
      </c>
      <c r="L1542" t="s">
        <v>28</v>
      </c>
      <c r="M1542" s="2">
        <v>45163.942689305557</v>
      </c>
      <c r="N1542" t="s">
        <v>28</v>
      </c>
      <c r="P1542">
        <v>9</v>
      </c>
      <c r="R1542" t="s">
        <v>39</v>
      </c>
      <c r="S1542" t="s">
        <v>40</v>
      </c>
      <c r="T1542" t="s">
        <v>57</v>
      </c>
      <c r="U1542">
        <v>51.165691000000002</v>
      </c>
      <c r="V1542">
        <v>10.451525999999999</v>
      </c>
      <c r="W1542" t="str">
        <f t="shared" si="169"/>
        <v>ok</v>
      </c>
      <c r="X1542" t="str">
        <f t="shared" si="175"/>
        <v>ok</v>
      </c>
      <c r="Y1542" t="str">
        <f t="shared" si="170"/>
        <v>ok</v>
      </c>
      <c r="Z1542" t="str">
        <f t="shared" si="171"/>
        <v>ok</v>
      </c>
      <c r="AA1542" s="4" t="str">
        <f t="shared" si="172"/>
        <v>ok</v>
      </c>
      <c r="AB1542" s="4" t="str">
        <f t="shared" si="173"/>
        <v>ok</v>
      </c>
      <c r="AC1542" s="6">
        <f t="shared" si="174"/>
        <v>1.6878766666632146</v>
      </c>
    </row>
    <row r="1543" spans="1:29" x14ac:dyDescent="0.3">
      <c r="A1543" t="s">
        <v>42</v>
      </c>
      <c r="B1543">
        <v>2961</v>
      </c>
      <c r="C1543" t="s">
        <v>23</v>
      </c>
      <c r="D1543" t="s">
        <v>24</v>
      </c>
      <c r="E1543" t="s">
        <v>35</v>
      </c>
      <c r="F1543" t="s">
        <v>26</v>
      </c>
      <c r="G1543" t="s">
        <v>45</v>
      </c>
      <c r="H1543" s="1">
        <v>45163.955266203702</v>
      </c>
      <c r="I1543" s="1">
        <v>45165.955266203702</v>
      </c>
      <c r="J1543" s="1">
        <v>45163.996932870374</v>
      </c>
      <c r="K1543" s="2">
        <v>45163.971216527774</v>
      </c>
      <c r="L1543" t="s">
        <v>28</v>
      </c>
      <c r="M1543" s="2">
        <v>45164.835091678244</v>
      </c>
      <c r="N1543" t="s">
        <v>28</v>
      </c>
      <c r="P1543">
        <v>3</v>
      </c>
      <c r="R1543" t="s">
        <v>55</v>
      </c>
      <c r="S1543" t="s">
        <v>30</v>
      </c>
      <c r="T1543" t="s">
        <v>41</v>
      </c>
      <c r="U1543">
        <v>43.036776000000003</v>
      </c>
      <c r="V1543">
        <v>12.678565000000001</v>
      </c>
      <c r="W1543" t="str">
        <f t="shared" si="169"/>
        <v>ok</v>
      </c>
      <c r="X1543" t="str">
        <f t="shared" si="175"/>
        <v>ok</v>
      </c>
      <c r="Y1543" t="str">
        <f t="shared" si="170"/>
        <v>ok</v>
      </c>
      <c r="Z1543" t="str">
        <f t="shared" si="171"/>
        <v>ok</v>
      </c>
      <c r="AA1543" s="4" t="str">
        <f t="shared" si="172"/>
        <v>ok</v>
      </c>
      <c r="AB1543" s="4" t="str">
        <f t="shared" si="173"/>
        <v>ok</v>
      </c>
      <c r="AC1543" s="6">
        <f t="shared" si="174"/>
        <v>21.115811388997827</v>
      </c>
    </row>
    <row r="1544" spans="1:29" x14ac:dyDescent="0.3">
      <c r="A1544" t="s">
        <v>42</v>
      </c>
      <c r="B1544">
        <v>2962</v>
      </c>
      <c r="C1544" t="s">
        <v>23</v>
      </c>
      <c r="D1544" t="s">
        <v>43</v>
      </c>
      <c r="E1544" t="s">
        <v>59</v>
      </c>
      <c r="F1544" t="s">
        <v>26</v>
      </c>
      <c r="G1544" t="s">
        <v>49</v>
      </c>
      <c r="H1544" s="1">
        <v>45164.053865740738</v>
      </c>
      <c r="I1544" s="1">
        <v>45165.053865740738</v>
      </c>
      <c r="J1544" s="1">
        <v>45164.055254629631</v>
      </c>
      <c r="K1544" s="2">
        <v>45164.054670752317</v>
      </c>
      <c r="L1544" t="s">
        <v>28</v>
      </c>
      <c r="M1544" s="2">
        <v>45164.65820111111</v>
      </c>
      <c r="N1544" t="s">
        <v>28</v>
      </c>
      <c r="P1544">
        <v>9</v>
      </c>
      <c r="R1544" t="s">
        <v>29</v>
      </c>
      <c r="S1544" t="s">
        <v>30</v>
      </c>
      <c r="T1544" t="s">
        <v>57</v>
      </c>
      <c r="U1544">
        <v>51.165691000000002</v>
      </c>
      <c r="V1544">
        <v>10.451525999999999</v>
      </c>
      <c r="W1544" t="str">
        <f t="shared" si="169"/>
        <v>ok</v>
      </c>
      <c r="X1544" t="str">
        <f t="shared" si="175"/>
        <v>ok</v>
      </c>
      <c r="Y1544" t="str">
        <f t="shared" si="170"/>
        <v>ok</v>
      </c>
      <c r="Z1544" t="str">
        <f t="shared" si="171"/>
        <v>ok</v>
      </c>
      <c r="AA1544" s="4" t="str">
        <f t="shared" si="172"/>
        <v>ok</v>
      </c>
      <c r="AB1544" s="4" t="str">
        <f t="shared" si="173"/>
        <v>ok</v>
      </c>
      <c r="AC1544" s="6">
        <f t="shared" si="174"/>
        <v>14.504048888920806</v>
      </c>
    </row>
    <row r="1545" spans="1:29" x14ac:dyDescent="0.3">
      <c r="A1545" t="s">
        <v>22</v>
      </c>
      <c r="B1545">
        <v>2974</v>
      </c>
      <c r="C1545" t="s">
        <v>47</v>
      </c>
      <c r="D1545" t="s">
        <v>43</v>
      </c>
      <c r="E1545" t="s">
        <v>35</v>
      </c>
      <c r="F1545" t="s">
        <v>26</v>
      </c>
      <c r="G1545" t="s">
        <v>45</v>
      </c>
      <c r="H1545" s="1">
        <v>45165.537129629629</v>
      </c>
      <c r="I1545" s="1">
        <v>45166.537129629629</v>
      </c>
      <c r="J1545" s="1">
        <v>45165.538518518515</v>
      </c>
      <c r="K1545" s="2">
        <v>45165.537745879628</v>
      </c>
      <c r="L1545" t="s">
        <v>28</v>
      </c>
      <c r="M1545" s="2">
        <v>45165.679428043979</v>
      </c>
      <c r="N1545" t="s">
        <v>28</v>
      </c>
      <c r="O1545" s="2">
        <v>45171.12319716435</v>
      </c>
      <c r="P1545">
        <v>60</v>
      </c>
      <c r="Q1545">
        <v>3</v>
      </c>
      <c r="R1545" t="s">
        <v>50</v>
      </c>
      <c r="S1545" t="s">
        <v>30</v>
      </c>
      <c r="T1545" t="s">
        <v>63</v>
      </c>
      <c r="U1545">
        <v>55.378051999999997</v>
      </c>
      <c r="V1545">
        <v>-3.4359730000000002</v>
      </c>
      <c r="W1545" t="str">
        <f t="shared" si="169"/>
        <v>ok</v>
      </c>
      <c r="X1545" t="str">
        <f t="shared" si="175"/>
        <v>ok</v>
      </c>
      <c r="Y1545" t="str">
        <f t="shared" si="170"/>
        <v>ok</v>
      </c>
      <c r="Z1545" t="str">
        <f t="shared" si="171"/>
        <v>ok</v>
      </c>
      <c r="AA1545" s="4" t="str">
        <f t="shared" si="172"/>
        <v>ok</v>
      </c>
      <c r="AB1545" s="4" t="str">
        <f t="shared" si="173"/>
        <v>ok</v>
      </c>
      <c r="AC1545" s="6">
        <f t="shared" si="174"/>
        <v>3.4151619444019161</v>
      </c>
    </row>
    <row r="1546" spans="1:29" x14ac:dyDescent="0.3">
      <c r="A1546" t="s">
        <v>22</v>
      </c>
      <c r="B1546">
        <v>2975</v>
      </c>
      <c r="C1546" t="s">
        <v>33</v>
      </c>
      <c r="D1546" t="s">
        <v>24</v>
      </c>
      <c r="E1546" t="s">
        <v>44</v>
      </c>
      <c r="F1546" t="s">
        <v>26</v>
      </c>
      <c r="G1546" t="s">
        <v>49</v>
      </c>
      <c r="H1546" s="1">
        <v>45165.529444444444</v>
      </c>
      <c r="I1546" s="1">
        <v>45167.529444444444</v>
      </c>
      <c r="J1546" s="1">
        <v>45165.571111111109</v>
      </c>
      <c r="K1546" s="2">
        <v>45165.547467743054</v>
      </c>
      <c r="L1546" t="s">
        <v>28</v>
      </c>
      <c r="M1546" s="2">
        <v>45166.930011053242</v>
      </c>
      <c r="N1546" t="s">
        <v>28</v>
      </c>
      <c r="O1546" s="2">
        <v>45167.708938460652</v>
      </c>
      <c r="P1546">
        <v>6</v>
      </c>
      <c r="Q1546">
        <v>5</v>
      </c>
      <c r="R1546" t="s">
        <v>29</v>
      </c>
      <c r="S1546" t="s">
        <v>30</v>
      </c>
      <c r="T1546" t="s">
        <v>57</v>
      </c>
      <c r="U1546">
        <v>51.165691000000002</v>
      </c>
      <c r="V1546">
        <v>10.451525999999999</v>
      </c>
      <c r="W1546" t="str">
        <f t="shared" si="169"/>
        <v>ok</v>
      </c>
      <c r="X1546" t="str">
        <f t="shared" si="175"/>
        <v>ok</v>
      </c>
      <c r="Y1546" t="str">
        <f t="shared" si="170"/>
        <v>ok</v>
      </c>
      <c r="Z1546" t="str">
        <f t="shared" si="171"/>
        <v>ok</v>
      </c>
      <c r="AA1546" s="4" t="str">
        <f t="shared" si="172"/>
        <v>ok</v>
      </c>
      <c r="AB1546" s="4" t="str">
        <f t="shared" si="173"/>
        <v>ok</v>
      </c>
      <c r="AC1546" s="6">
        <f t="shared" si="174"/>
        <v>33.613598611147609</v>
      </c>
    </row>
    <row r="1547" spans="1:29" x14ac:dyDescent="0.3">
      <c r="A1547" t="s">
        <v>32</v>
      </c>
      <c r="B1547">
        <v>2976</v>
      </c>
      <c r="C1547" t="s">
        <v>47</v>
      </c>
      <c r="D1547" t="s">
        <v>43</v>
      </c>
      <c r="E1547" t="s">
        <v>59</v>
      </c>
      <c r="F1547" t="s">
        <v>36</v>
      </c>
      <c r="G1547" t="s">
        <v>64</v>
      </c>
      <c r="H1547" s="1">
        <v>45166.522766203707</v>
      </c>
      <c r="I1547" s="1">
        <v>45167.522766203707</v>
      </c>
      <c r="J1547" s="1">
        <v>45166.524155092593</v>
      </c>
      <c r="K1547" s="2">
        <v>45166.523950856485</v>
      </c>
      <c r="L1547" t="s">
        <v>28</v>
      </c>
      <c r="N1547" t="s">
        <v>38</v>
      </c>
      <c r="P1547">
        <v>8</v>
      </c>
      <c r="R1547" t="s">
        <v>50</v>
      </c>
      <c r="S1547" t="s">
        <v>40</v>
      </c>
      <c r="T1547" t="s">
        <v>61</v>
      </c>
      <c r="U1547">
        <v>42.724992499999999</v>
      </c>
      <c r="V1547">
        <v>25.483303899999999</v>
      </c>
      <c r="W1547" t="str">
        <f t="shared" si="169"/>
        <v>ok</v>
      </c>
      <c r="X1547" t="str">
        <f t="shared" si="175"/>
        <v>ok</v>
      </c>
      <c r="Y1547" t="str">
        <f t="shared" si="170"/>
        <v>ok</v>
      </c>
      <c r="Z1547" t="str">
        <f t="shared" si="171"/>
        <v>ok</v>
      </c>
      <c r="AA1547" s="4" t="str">
        <f t="shared" si="172"/>
        <v>ok</v>
      </c>
      <c r="AB1547" s="4" t="str">
        <f t="shared" si="173"/>
        <v>no resolution</v>
      </c>
      <c r="AC1547" s="6" t="str">
        <f t="shared" si="174"/>
        <v/>
      </c>
    </row>
    <row r="1548" spans="1:29" x14ac:dyDescent="0.3">
      <c r="A1548" t="s">
        <v>42</v>
      </c>
      <c r="B1548">
        <v>2977</v>
      </c>
      <c r="C1548" t="s">
        <v>23</v>
      </c>
      <c r="D1548" t="s">
        <v>34</v>
      </c>
      <c r="E1548" t="s">
        <v>44</v>
      </c>
      <c r="F1548" t="s">
        <v>26</v>
      </c>
      <c r="G1548" t="s">
        <v>60</v>
      </c>
      <c r="H1548" s="1">
        <v>45166.907048611109</v>
      </c>
      <c r="I1548" s="1">
        <v>45168.907048611109</v>
      </c>
      <c r="J1548" s="1">
        <v>45166.908437500002</v>
      </c>
      <c r="K1548" s="2">
        <v>45166.907866203706</v>
      </c>
      <c r="L1548" t="s">
        <v>28</v>
      </c>
      <c r="M1548" s="2">
        <v>45167.86724363426</v>
      </c>
      <c r="N1548" t="s">
        <v>28</v>
      </c>
      <c r="P1548">
        <v>1</v>
      </c>
      <c r="R1548" t="s">
        <v>29</v>
      </c>
      <c r="S1548" t="s">
        <v>30</v>
      </c>
      <c r="T1548" t="s">
        <v>66</v>
      </c>
      <c r="U1548">
        <v>48.864716000000001</v>
      </c>
      <c r="V1548">
        <v>2.3490139999999999</v>
      </c>
      <c r="W1548" t="str">
        <f t="shared" si="169"/>
        <v>ok</v>
      </c>
      <c r="X1548" t="str">
        <f t="shared" si="175"/>
        <v>ok</v>
      </c>
      <c r="Y1548" t="str">
        <f t="shared" si="170"/>
        <v>ok</v>
      </c>
      <c r="Z1548" t="str">
        <f t="shared" si="171"/>
        <v>ok</v>
      </c>
      <c r="AA1548" s="4" t="str">
        <f t="shared" si="172"/>
        <v>ok</v>
      </c>
      <c r="AB1548" s="4" t="str">
        <f t="shared" si="173"/>
        <v>ok</v>
      </c>
      <c r="AC1548" s="6">
        <f t="shared" si="174"/>
        <v>23.044680555642117</v>
      </c>
    </row>
    <row r="1549" spans="1:29" x14ac:dyDescent="0.3">
      <c r="A1549" t="s">
        <v>32</v>
      </c>
      <c r="B1549">
        <v>2978</v>
      </c>
      <c r="C1549" t="s">
        <v>23</v>
      </c>
      <c r="D1549" t="s">
        <v>24</v>
      </c>
      <c r="E1549" t="s">
        <v>25</v>
      </c>
      <c r="F1549" t="s">
        <v>26</v>
      </c>
      <c r="G1549" t="s">
        <v>49</v>
      </c>
      <c r="H1549" s="1">
        <v>45166.508831018517</v>
      </c>
      <c r="I1549" s="1">
        <v>45168.508831018517</v>
      </c>
      <c r="J1549" s="1">
        <v>45166.550497685188</v>
      </c>
      <c r="K1549" s="2">
        <v>45166.513654849536</v>
      </c>
      <c r="L1549" t="s">
        <v>28</v>
      </c>
      <c r="N1549" t="s">
        <v>38</v>
      </c>
      <c r="P1549">
        <v>3</v>
      </c>
      <c r="R1549" t="s">
        <v>29</v>
      </c>
      <c r="S1549" t="s">
        <v>30</v>
      </c>
      <c r="T1549" t="s">
        <v>51</v>
      </c>
      <c r="U1549">
        <v>39.673369999999998</v>
      </c>
      <c r="V1549">
        <v>-4.7677259999999997</v>
      </c>
      <c r="W1549" t="str">
        <f t="shared" si="169"/>
        <v>ok</v>
      </c>
      <c r="X1549" t="str">
        <f t="shared" si="175"/>
        <v>ok</v>
      </c>
      <c r="Y1549" t="str">
        <f t="shared" si="170"/>
        <v>ok</v>
      </c>
      <c r="Z1549" t="str">
        <f t="shared" si="171"/>
        <v>ok</v>
      </c>
      <c r="AA1549" s="4" t="str">
        <f t="shared" si="172"/>
        <v>ok</v>
      </c>
      <c r="AB1549" s="4" t="str">
        <f t="shared" si="173"/>
        <v>no resolution</v>
      </c>
      <c r="AC1549" s="6" t="str">
        <f t="shared" si="174"/>
        <v/>
      </c>
    </row>
    <row r="1550" spans="1:29" x14ac:dyDescent="0.3">
      <c r="A1550" t="s">
        <v>42</v>
      </c>
      <c r="B1550">
        <v>2979</v>
      </c>
      <c r="C1550" t="s">
        <v>23</v>
      </c>
      <c r="D1550" t="s">
        <v>43</v>
      </c>
      <c r="E1550" t="s">
        <v>35</v>
      </c>
      <c r="F1550" t="s">
        <v>26</v>
      </c>
      <c r="G1550" t="s">
        <v>60</v>
      </c>
      <c r="H1550" s="1">
        <v>45166.231979166667</v>
      </c>
      <c r="I1550" s="1">
        <v>45167.231979166667</v>
      </c>
      <c r="J1550" s="1">
        <v>45166.233368055553</v>
      </c>
      <c r="K1550" s="2">
        <v>45166.232220196762</v>
      </c>
      <c r="L1550" t="s">
        <v>28</v>
      </c>
      <c r="M1550" s="2">
        <v>45167.513628622684</v>
      </c>
      <c r="N1550" t="s">
        <v>38</v>
      </c>
      <c r="P1550">
        <v>7</v>
      </c>
      <c r="R1550" t="s">
        <v>39</v>
      </c>
      <c r="S1550" t="s">
        <v>30</v>
      </c>
      <c r="T1550" t="s">
        <v>41</v>
      </c>
      <c r="U1550">
        <v>43.036776000000003</v>
      </c>
      <c r="V1550">
        <v>12.678565000000001</v>
      </c>
      <c r="W1550" t="str">
        <f t="shared" si="169"/>
        <v>ok</v>
      </c>
      <c r="X1550" t="str">
        <f t="shared" si="175"/>
        <v>ok</v>
      </c>
      <c r="Y1550" t="str">
        <f t="shared" si="170"/>
        <v>ok</v>
      </c>
      <c r="Z1550" t="str">
        <f t="shared" si="171"/>
        <v>ok</v>
      </c>
      <c r="AA1550" s="4" t="str">
        <f t="shared" si="172"/>
        <v>ok</v>
      </c>
      <c r="AB1550" s="4" t="str">
        <f t="shared" si="173"/>
        <v>ok</v>
      </c>
      <c r="AC1550" s="6">
        <f t="shared" si="174"/>
        <v>30.759586944419425</v>
      </c>
    </row>
    <row r="1551" spans="1:29" x14ac:dyDescent="0.3">
      <c r="A1551" t="s">
        <v>22</v>
      </c>
      <c r="B1551">
        <v>2980</v>
      </c>
      <c r="C1551" t="s">
        <v>47</v>
      </c>
      <c r="D1551" t="s">
        <v>24</v>
      </c>
      <c r="E1551" t="s">
        <v>62</v>
      </c>
      <c r="F1551" t="s">
        <v>26</v>
      </c>
      <c r="G1551" t="s">
        <v>45</v>
      </c>
      <c r="H1551" s="1">
        <v>45166.058692129627</v>
      </c>
      <c r="I1551" s="1">
        <v>45168.058692129627</v>
      </c>
      <c r="J1551" s="1">
        <v>45166.100358796299</v>
      </c>
      <c r="K1551" s="2">
        <v>45166.08553945602</v>
      </c>
      <c r="L1551" t="s">
        <v>28</v>
      </c>
      <c r="M1551" s="2">
        <v>45167.368204606479</v>
      </c>
      <c r="N1551" t="s">
        <v>28</v>
      </c>
      <c r="O1551" s="2">
        <v>45170.966105219908</v>
      </c>
      <c r="P1551">
        <v>9</v>
      </c>
      <c r="Q1551">
        <v>4</v>
      </c>
      <c r="R1551" t="s">
        <v>55</v>
      </c>
      <c r="S1551" t="s">
        <v>30</v>
      </c>
      <c r="T1551" t="s">
        <v>31</v>
      </c>
      <c r="U1551">
        <v>53.094023999999997</v>
      </c>
      <c r="V1551">
        <v>-8.0196749999999994</v>
      </c>
      <c r="W1551" t="str">
        <f t="shared" si="169"/>
        <v>ok</v>
      </c>
      <c r="X1551" t="str">
        <f t="shared" si="175"/>
        <v>ok</v>
      </c>
      <c r="Y1551" t="str">
        <f t="shared" si="170"/>
        <v>ok</v>
      </c>
      <c r="Z1551" t="str">
        <f t="shared" si="171"/>
        <v>ok</v>
      </c>
      <c r="AA1551" s="4" t="str">
        <f t="shared" si="172"/>
        <v>ok</v>
      </c>
      <c r="AB1551" s="4" t="str">
        <f t="shared" si="173"/>
        <v>ok</v>
      </c>
      <c r="AC1551" s="6">
        <f t="shared" si="174"/>
        <v>31.428299444436561</v>
      </c>
    </row>
    <row r="1552" spans="1:29" x14ac:dyDescent="0.3">
      <c r="A1552" t="s">
        <v>42</v>
      </c>
      <c r="B1552">
        <v>2981</v>
      </c>
      <c r="C1552" t="s">
        <v>33</v>
      </c>
      <c r="D1552" t="s">
        <v>43</v>
      </c>
      <c r="E1552" t="s">
        <v>48</v>
      </c>
      <c r="F1552" t="s">
        <v>26</v>
      </c>
      <c r="G1552" t="s">
        <v>27</v>
      </c>
      <c r="H1552" s="1">
        <v>45166.38009259259</v>
      </c>
      <c r="I1552" s="1">
        <v>45167.38009259259</v>
      </c>
      <c r="J1552" s="1">
        <v>45166.381481481483</v>
      </c>
      <c r="K1552" s="2">
        <v>45166.383879155095</v>
      </c>
      <c r="L1552" t="s">
        <v>38</v>
      </c>
      <c r="M1552" s="2">
        <v>45167.318244351853</v>
      </c>
      <c r="N1552" t="s">
        <v>28</v>
      </c>
      <c r="P1552">
        <v>2</v>
      </c>
      <c r="R1552" t="s">
        <v>50</v>
      </c>
      <c r="S1552" t="s">
        <v>30</v>
      </c>
      <c r="T1552" t="s">
        <v>61</v>
      </c>
      <c r="U1552">
        <v>42.724992499999999</v>
      </c>
      <c r="V1552">
        <v>25.483303899999999</v>
      </c>
      <c r="W1552" t="str">
        <f t="shared" si="169"/>
        <v>ok</v>
      </c>
      <c r="X1552" t="str">
        <f t="shared" si="175"/>
        <v>ok</v>
      </c>
      <c r="Y1552" t="str">
        <f t="shared" si="170"/>
        <v>ok</v>
      </c>
      <c r="Z1552" t="str">
        <f t="shared" si="171"/>
        <v>ok</v>
      </c>
      <c r="AA1552" s="4" t="str">
        <f t="shared" si="172"/>
        <v>ok</v>
      </c>
      <c r="AB1552" s="4" t="str">
        <f t="shared" si="173"/>
        <v>ok</v>
      </c>
      <c r="AC1552" s="6">
        <f t="shared" si="174"/>
        <v>22.515642222308088</v>
      </c>
    </row>
    <row r="1553" spans="1:29" x14ac:dyDescent="0.3">
      <c r="A1553" t="s">
        <v>32</v>
      </c>
      <c r="B1553">
        <v>2982</v>
      </c>
      <c r="C1553" t="s">
        <v>47</v>
      </c>
      <c r="D1553" t="s">
        <v>24</v>
      </c>
      <c r="E1553" t="s">
        <v>35</v>
      </c>
      <c r="F1553" t="s">
        <v>26</v>
      </c>
      <c r="G1553" t="s">
        <v>49</v>
      </c>
      <c r="H1553" s="1">
        <v>45166.420578703706</v>
      </c>
      <c r="I1553" s="1">
        <v>45168.420578703706</v>
      </c>
      <c r="J1553" s="1">
        <v>45166.462245370371</v>
      </c>
      <c r="K1553" s="2">
        <v>45166.43168833333</v>
      </c>
      <c r="L1553" t="s">
        <v>28</v>
      </c>
      <c r="N1553" t="s">
        <v>38</v>
      </c>
      <c r="P1553">
        <v>10</v>
      </c>
      <c r="R1553" t="s">
        <v>50</v>
      </c>
      <c r="S1553" t="s">
        <v>30</v>
      </c>
      <c r="T1553" t="s">
        <v>51</v>
      </c>
      <c r="U1553">
        <v>39.673369999999998</v>
      </c>
      <c r="V1553">
        <v>-4.7677259999999997</v>
      </c>
      <c r="W1553" t="str">
        <f t="shared" si="169"/>
        <v>ok</v>
      </c>
      <c r="X1553" t="str">
        <f t="shared" si="175"/>
        <v>ok</v>
      </c>
      <c r="Y1553" t="str">
        <f t="shared" si="170"/>
        <v>ok</v>
      </c>
      <c r="Z1553" t="str">
        <f t="shared" si="171"/>
        <v>ok</v>
      </c>
      <c r="AA1553" s="4" t="str">
        <f t="shared" si="172"/>
        <v>ok</v>
      </c>
      <c r="AB1553" s="4" t="str">
        <f t="shared" si="173"/>
        <v>no resolution</v>
      </c>
      <c r="AC1553" s="6" t="str">
        <f t="shared" si="174"/>
        <v/>
      </c>
    </row>
    <row r="1554" spans="1:29" x14ac:dyDescent="0.3">
      <c r="A1554" t="s">
        <v>32</v>
      </c>
      <c r="B1554">
        <v>2983</v>
      </c>
      <c r="C1554" t="s">
        <v>23</v>
      </c>
      <c r="D1554" t="s">
        <v>34</v>
      </c>
      <c r="E1554" t="s">
        <v>39</v>
      </c>
      <c r="F1554" t="s">
        <v>26</v>
      </c>
      <c r="G1554" t="s">
        <v>45</v>
      </c>
      <c r="H1554" s="1">
        <v>45166.823321759257</v>
      </c>
      <c r="I1554" s="1">
        <v>45168.823321759257</v>
      </c>
      <c r="J1554" s="1">
        <v>45166.82471064815</v>
      </c>
      <c r="K1554" s="2">
        <v>45166.827019745368</v>
      </c>
      <c r="L1554" t="s">
        <v>38</v>
      </c>
      <c r="N1554" t="s">
        <v>38</v>
      </c>
      <c r="P1554">
        <v>5</v>
      </c>
      <c r="R1554" t="s">
        <v>55</v>
      </c>
      <c r="S1554" t="s">
        <v>30</v>
      </c>
      <c r="T1554" t="s">
        <v>57</v>
      </c>
      <c r="U1554">
        <v>51.165691000000002</v>
      </c>
      <c r="V1554">
        <v>10.451525999999999</v>
      </c>
      <c r="W1554" t="str">
        <f t="shared" si="169"/>
        <v>ok</v>
      </c>
      <c r="X1554" t="str">
        <f t="shared" si="175"/>
        <v>ok</v>
      </c>
      <c r="Y1554" t="str">
        <f t="shared" si="170"/>
        <v>ok</v>
      </c>
      <c r="Z1554" t="str">
        <f t="shared" si="171"/>
        <v>ok</v>
      </c>
      <c r="AA1554" s="4" t="str">
        <f t="shared" si="172"/>
        <v>ok</v>
      </c>
      <c r="AB1554" s="4" t="str">
        <f t="shared" si="173"/>
        <v>no resolution</v>
      </c>
      <c r="AC1554" s="6" t="str">
        <f t="shared" si="174"/>
        <v/>
      </c>
    </row>
    <row r="1555" spans="1:29" x14ac:dyDescent="0.3">
      <c r="A1555" t="s">
        <v>22</v>
      </c>
      <c r="B1555">
        <v>2984</v>
      </c>
      <c r="C1555" t="s">
        <v>23</v>
      </c>
      <c r="D1555" t="s">
        <v>24</v>
      </c>
      <c r="E1555" t="s">
        <v>35</v>
      </c>
      <c r="F1555" t="s">
        <v>26</v>
      </c>
      <c r="G1555" t="s">
        <v>45</v>
      </c>
      <c r="H1555" s="1">
        <v>45167.353530092594</v>
      </c>
      <c r="I1555" s="1">
        <v>45169.353530092594</v>
      </c>
      <c r="J1555" s="1">
        <v>45167.395196759258</v>
      </c>
      <c r="K1555" s="2">
        <v>45167.37173446759</v>
      </c>
      <c r="L1555" t="s">
        <v>28</v>
      </c>
      <c r="M1555" s="2">
        <v>45169.015527546297</v>
      </c>
      <c r="N1555" t="s">
        <v>28</v>
      </c>
      <c r="O1555" s="2">
        <v>45168.780267164351</v>
      </c>
      <c r="P1555">
        <v>6</v>
      </c>
      <c r="Q1555">
        <v>4</v>
      </c>
      <c r="R1555" t="s">
        <v>50</v>
      </c>
      <c r="S1555" t="s">
        <v>30</v>
      </c>
      <c r="T1555" t="s">
        <v>65</v>
      </c>
      <c r="U1555">
        <v>46.149166399999999</v>
      </c>
      <c r="V1555">
        <v>14.9860106</v>
      </c>
      <c r="W1555" t="str">
        <f t="shared" si="169"/>
        <v>ok</v>
      </c>
      <c r="X1555" t="str">
        <f t="shared" si="175"/>
        <v>ok</v>
      </c>
      <c r="Y1555" t="str">
        <f t="shared" si="170"/>
        <v>check</v>
      </c>
      <c r="Z1555" t="str">
        <f t="shared" si="171"/>
        <v>ok</v>
      </c>
      <c r="AA1555" s="4" t="str">
        <f t="shared" si="172"/>
        <v>ok</v>
      </c>
      <c r="AB1555" s="4" t="str">
        <f t="shared" si="173"/>
        <v>ok</v>
      </c>
      <c r="AC1555" s="6">
        <f t="shared" si="174"/>
        <v>39.887938888859935</v>
      </c>
    </row>
    <row r="1556" spans="1:29" x14ac:dyDescent="0.3">
      <c r="A1556" t="s">
        <v>32</v>
      </c>
      <c r="B1556">
        <v>2985</v>
      </c>
      <c r="C1556" t="s">
        <v>23</v>
      </c>
      <c r="D1556" t="s">
        <v>24</v>
      </c>
      <c r="E1556" t="s">
        <v>48</v>
      </c>
      <c r="F1556" t="s">
        <v>36</v>
      </c>
      <c r="G1556" t="s">
        <v>37</v>
      </c>
      <c r="H1556" s="1">
        <v>45167.290729166663</v>
      </c>
      <c r="I1556" s="1">
        <v>45169.290729166663</v>
      </c>
      <c r="J1556" s="1">
        <v>45167.332395833335</v>
      </c>
      <c r="K1556" s="2">
        <v>45167.302355671294</v>
      </c>
      <c r="L1556" t="s">
        <v>28</v>
      </c>
      <c r="N1556" t="s">
        <v>38</v>
      </c>
      <c r="P1556">
        <v>1</v>
      </c>
      <c r="R1556" t="s">
        <v>50</v>
      </c>
      <c r="S1556" t="s">
        <v>40</v>
      </c>
      <c r="T1556" t="s">
        <v>61</v>
      </c>
      <c r="U1556">
        <v>42.724992499999999</v>
      </c>
      <c r="V1556">
        <v>25.483303899999999</v>
      </c>
      <c r="W1556" t="str">
        <f t="shared" si="169"/>
        <v>ok</v>
      </c>
      <c r="X1556" t="str">
        <f t="shared" si="175"/>
        <v>ok</v>
      </c>
      <c r="Y1556" t="str">
        <f t="shared" si="170"/>
        <v>ok</v>
      </c>
      <c r="Z1556" t="str">
        <f t="shared" si="171"/>
        <v>ok</v>
      </c>
      <c r="AA1556" s="4" t="str">
        <f t="shared" si="172"/>
        <v>ok</v>
      </c>
      <c r="AB1556" s="4" t="str">
        <f t="shared" si="173"/>
        <v>no resolution</v>
      </c>
      <c r="AC1556" s="6" t="str">
        <f t="shared" si="174"/>
        <v/>
      </c>
    </row>
    <row r="1557" spans="1:29" x14ac:dyDescent="0.3">
      <c r="A1557" t="s">
        <v>22</v>
      </c>
      <c r="B1557">
        <v>2986</v>
      </c>
      <c r="C1557" t="s">
        <v>23</v>
      </c>
      <c r="D1557" t="s">
        <v>24</v>
      </c>
      <c r="E1557" t="s">
        <v>48</v>
      </c>
      <c r="F1557" t="s">
        <v>26</v>
      </c>
      <c r="G1557" t="s">
        <v>49</v>
      </c>
      <c r="H1557" s="1">
        <v>45167.489756944444</v>
      </c>
      <c r="I1557" s="1">
        <v>45169.489756944444</v>
      </c>
      <c r="J1557" s="1">
        <v>45167.531423611108</v>
      </c>
      <c r="K1557" s="2">
        <v>45167.499369062498</v>
      </c>
      <c r="L1557" t="s">
        <v>28</v>
      </c>
      <c r="M1557" s="2">
        <v>45169.291814039352</v>
      </c>
      <c r="N1557" t="s">
        <v>28</v>
      </c>
      <c r="O1557" s="2">
        <v>45172.067258622686</v>
      </c>
      <c r="P1557">
        <v>2</v>
      </c>
      <c r="Q1557">
        <v>3</v>
      </c>
      <c r="R1557" t="s">
        <v>50</v>
      </c>
      <c r="S1557" t="s">
        <v>30</v>
      </c>
      <c r="T1557" t="s">
        <v>56</v>
      </c>
      <c r="U1557">
        <v>52.536273000000001</v>
      </c>
      <c r="V1557">
        <v>19.050639</v>
      </c>
      <c r="W1557" t="str">
        <f t="shared" si="169"/>
        <v>ok</v>
      </c>
      <c r="X1557" t="str">
        <f t="shared" si="175"/>
        <v>ok</v>
      </c>
      <c r="Y1557" t="str">
        <f t="shared" si="170"/>
        <v>ok</v>
      </c>
      <c r="Z1557" t="str">
        <f t="shared" si="171"/>
        <v>ok</v>
      </c>
      <c r="AA1557" s="4" t="str">
        <f t="shared" si="172"/>
        <v>ok</v>
      </c>
      <c r="AB1557" s="4" t="str">
        <f t="shared" si="173"/>
        <v>ok</v>
      </c>
      <c r="AC1557" s="6">
        <f t="shared" si="174"/>
        <v>43.249370277801063</v>
      </c>
    </row>
    <row r="1558" spans="1:29" x14ac:dyDescent="0.3">
      <c r="A1558" t="s">
        <v>42</v>
      </c>
      <c r="B1558">
        <v>2987</v>
      </c>
      <c r="C1558" t="s">
        <v>47</v>
      </c>
      <c r="D1558" t="s">
        <v>43</v>
      </c>
      <c r="E1558" t="s">
        <v>59</v>
      </c>
      <c r="F1558" t="s">
        <v>26</v>
      </c>
      <c r="G1558" t="s">
        <v>60</v>
      </c>
      <c r="H1558" s="1">
        <v>45167.226342592592</v>
      </c>
      <c r="I1558" s="1">
        <v>45168.226342592592</v>
      </c>
      <c r="J1558" s="1">
        <v>45167.227731481478</v>
      </c>
      <c r="K1558" s="2">
        <v>45167.226971979166</v>
      </c>
      <c r="L1558" t="s">
        <v>28</v>
      </c>
      <c r="M1558" s="2">
        <v>45169.23486478009</v>
      </c>
      <c r="N1558" t="s">
        <v>38</v>
      </c>
      <c r="P1558">
        <v>8</v>
      </c>
      <c r="R1558" t="s">
        <v>29</v>
      </c>
      <c r="S1558" t="s">
        <v>30</v>
      </c>
      <c r="T1558" t="s">
        <v>56</v>
      </c>
      <c r="U1558">
        <v>52.536273000000001</v>
      </c>
      <c r="V1558">
        <v>19.050639</v>
      </c>
      <c r="W1558" t="str">
        <f t="shared" si="169"/>
        <v>ok</v>
      </c>
      <c r="X1558" t="str">
        <f t="shared" si="175"/>
        <v>ok</v>
      </c>
      <c r="Y1558" t="str">
        <f t="shared" si="170"/>
        <v>ok</v>
      </c>
      <c r="Z1558" t="str">
        <f t="shared" si="171"/>
        <v>ok</v>
      </c>
      <c r="AA1558" s="4" t="str">
        <f t="shared" si="172"/>
        <v>ok</v>
      </c>
      <c r="AB1558" s="4" t="str">
        <f t="shared" si="173"/>
        <v>ok</v>
      </c>
      <c r="AC1558" s="6">
        <f t="shared" si="174"/>
        <v>48.204532499948982</v>
      </c>
    </row>
    <row r="1559" spans="1:29" x14ac:dyDescent="0.3">
      <c r="A1559" t="s">
        <v>42</v>
      </c>
      <c r="B1559">
        <v>2988</v>
      </c>
      <c r="C1559" t="s">
        <v>47</v>
      </c>
      <c r="D1559" t="s">
        <v>43</v>
      </c>
      <c r="E1559" t="s">
        <v>62</v>
      </c>
      <c r="F1559" t="s">
        <v>26</v>
      </c>
      <c r="G1559" t="s">
        <v>49</v>
      </c>
      <c r="H1559" s="1">
        <v>45167.347141203703</v>
      </c>
      <c r="I1559" s="1">
        <v>45168.347141203703</v>
      </c>
      <c r="J1559" s="1">
        <v>45167.348530092589</v>
      </c>
      <c r="K1559" s="2">
        <v>45167.351078865744</v>
      </c>
      <c r="L1559" t="s">
        <v>38</v>
      </c>
      <c r="M1559" s="2">
        <v>45167.873824918985</v>
      </c>
      <c r="N1559" t="s">
        <v>28</v>
      </c>
      <c r="P1559">
        <v>2</v>
      </c>
      <c r="R1559" t="s">
        <v>55</v>
      </c>
      <c r="S1559" t="s">
        <v>30</v>
      </c>
      <c r="T1559" t="s">
        <v>41</v>
      </c>
      <c r="U1559">
        <v>43.036776000000003</v>
      </c>
      <c r="V1559">
        <v>12.678565000000001</v>
      </c>
      <c r="W1559" t="str">
        <f t="shared" si="169"/>
        <v>ok</v>
      </c>
      <c r="X1559" t="str">
        <f t="shared" si="175"/>
        <v>ok</v>
      </c>
      <c r="Y1559" t="str">
        <f t="shared" si="170"/>
        <v>ok</v>
      </c>
      <c r="Z1559" t="str">
        <f t="shared" si="171"/>
        <v>ok</v>
      </c>
      <c r="AA1559" s="4" t="str">
        <f t="shared" si="172"/>
        <v>ok</v>
      </c>
      <c r="AB1559" s="4" t="str">
        <f t="shared" si="173"/>
        <v>ok</v>
      </c>
      <c r="AC1559" s="6">
        <f t="shared" si="174"/>
        <v>12.640409166750032</v>
      </c>
    </row>
    <row r="1560" spans="1:29" x14ac:dyDescent="0.3">
      <c r="A1560" t="s">
        <v>42</v>
      </c>
      <c r="B1560">
        <v>2989</v>
      </c>
      <c r="C1560" t="s">
        <v>33</v>
      </c>
      <c r="D1560" t="s">
        <v>24</v>
      </c>
      <c r="E1560" t="s">
        <v>35</v>
      </c>
      <c r="F1560" t="s">
        <v>36</v>
      </c>
      <c r="G1560" t="s">
        <v>37</v>
      </c>
      <c r="H1560" s="1">
        <v>45167.23537037037</v>
      </c>
      <c r="I1560" s="1">
        <v>45169.23537037037</v>
      </c>
      <c r="J1560" s="1">
        <v>45167.277037037034</v>
      </c>
      <c r="K1560" s="2">
        <v>45167.248717060182</v>
      </c>
      <c r="L1560" t="s">
        <v>28</v>
      </c>
      <c r="M1560" s="2">
        <v>45167.506730578702</v>
      </c>
      <c r="N1560" t="s">
        <v>28</v>
      </c>
      <c r="P1560">
        <v>6</v>
      </c>
      <c r="R1560" t="s">
        <v>50</v>
      </c>
      <c r="S1560" t="s">
        <v>40</v>
      </c>
      <c r="T1560" t="s">
        <v>41</v>
      </c>
      <c r="U1560">
        <v>43.036776000000003</v>
      </c>
      <c r="V1560">
        <v>12.678565000000001</v>
      </c>
      <c r="W1560" t="str">
        <f t="shared" si="169"/>
        <v>ok</v>
      </c>
      <c r="X1560" t="str">
        <f t="shared" si="175"/>
        <v>ok</v>
      </c>
      <c r="Y1560" t="str">
        <f t="shared" si="170"/>
        <v>ok</v>
      </c>
      <c r="Z1560" t="str">
        <f t="shared" si="171"/>
        <v>ok</v>
      </c>
      <c r="AA1560" s="4" t="str">
        <f t="shared" si="172"/>
        <v>ok</v>
      </c>
      <c r="AB1560" s="4" t="str">
        <f t="shared" si="173"/>
        <v>ok</v>
      </c>
      <c r="AC1560" s="6">
        <f t="shared" si="174"/>
        <v>6.5126449999515899</v>
      </c>
    </row>
    <row r="1561" spans="1:29" x14ac:dyDescent="0.3">
      <c r="A1561" t="s">
        <v>22</v>
      </c>
      <c r="B1561">
        <v>2990</v>
      </c>
      <c r="C1561" t="s">
        <v>47</v>
      </c>
      <c r="D1561" t="s">
        <v>24</v>
      </c>
      <c r="E1561" t="s">
        <v>39</v>
      </c>
      <c r="F1561" t="s">
        <v>26</v>
      </c>
      <c r="G1561" t="s">
        <v>60</v>
      </c>
      <c r="H1561" s="1">
        <v>45167.91710648148</v>
      </c>
      <c r="I1561" s="1">
        <v>45169.91710648148</v>
      </c>
      <c r="J1561" s="1">
        <v>45167.958773148152</v>
      </c>
      <c r="K1561" s="2">
        <v>45167.950287002313</v>
      </c>
      <c r="L1561" t="s">
        <v>28</v>
      </c>
      <c r="M1561" s="2">
        <v>45168.277024745374</v>
      </c>
      <c r="N1561" t="s">
        <v>28</v>
      </c>
      <c r="O1561" s="2">
        <v>45170.838306851852</v>
      </c>
      <c r="P1561">
        <v>9</v>
      </c>
      <c r="Q1561">
        <v>2</v>
      </c>
      <c r="R1561" t="s">
        <v>50</v>
      </c>
      <c r="S1561" t="s">
        <v>30</v>
      </c>
      <c r="T1561" t="s">
        <v>46</v>
      </c>
      <c r="U1561">
        <v>47.696471899999999</v>
      </c>
      <c r="V1561">
        <v>13.3457347</v>
      </c>
      <c r="W1561" t="str">
        <f t="shared" si="169"/>
        <v>ok</v>
      </c>
      <c r="X1561" t="str">
        <f t="shared" si="175"/>
        <v>ok</v>
      </c>
      <c r="Y1561" t="str">
        <f t="shared" si="170"/>
        <v>ok</v>
      </c>
      <c r="Z1561" t="str">
        <f t="shared" si="171"/>
        <v>ok</v>
      </c>
      <c r="AA1561" s="4" t="str">
        <f t="shared" si="172"/>
        <v>ok</v>
      </c>
      <c r="AB1561" s="4" t="str">
        <f t="shared" si="173"/>
        <v>ok</v>
      </c>
      <c r="AC1561" s="6">
        <f t="shared" si="174"/>
        <v>8.6380383334471844</v>
      </c>
    </row>
    <row r="1562" spans="1:29" x14ac:dyDescent="0.3">
      <c r="A1562" t="s">
        <v>22</v>
      </c>
      <c r="B1562">
        <v>2991</v>
      </c>
      <c r="C1562" t="s">
        <v>47</v>
      </c>
      <c r="D1562" t="s">
        <v>24</v>
      </c>
      <c r="E1562" t="s">
        <v>25</v>
      </c>
      <c r="F1562" t="s">
        <v>36</v>
      </c>
      <c r="G1562" t="s">
        <v>64</v>
      </c>
      <c r="H1562" s="1">
        <v>45168.903599537036</v>
      </c>
      <c r="I1562" s="1">
        <v>45170.903599537036</v>
      </c>
      <c r="J1562" s="1">
        <v>45168.9452662037</v>
      </c>
      <c r="K1562" s="2">
        <v>45168.939725925928</v>
      </c>
      <c r="L1562" t="s">
        <v>28</v>
      </c>
      <c r="M1562" s="2">
        <v>45170.272449537035</v>
      </c>
      <c r="N1562" t="s">
        <v>28</v>
      </c>
      <c r="O1562" s="2">
        <v>45170.378201238425</v>
      </c>
      <c r="P1562">
        <v>3</v>
      </c>
      <c r="Q1562">
        <v>5</v>
      </c>
      <c r="R1562" t="s">
        <v>50</v>
      </c>
      <c r="S1562" t="s">
        <v>40</v>
      </c>
      <c r="T1562" t="s">
        <v>63</v>
      </c>
      <c r="U1562">
        <v>55.378051999999997</v>
      </c>
      <c r="V1562">
        <v>-3.4359730000000002</v>
      </c>
      <c r="W1562" t="str">
        <f t="shared" si="169"/>
        <v>ok</v>
      </c>
      <c r="X1562" t="str">
        <f t="shared" si="175"/>
        <v>ok</v>
      </c>
      <c r="Y1562" t="str">
        <f t="shared" si="170"/>
        <v>ok</v>
      </c>
      <c r="Z1562" t="str">
        <f t="shared" si="171"/>
        <v>ok</v>
      </c>
      <c r="AA1562" s="4" t="str">
        <f t="shared" si="172"/>
        <v>ok</v>
      </c>
      <c r="AB1562" s="4" t="str">
        <f t="shared" si="173"/>
        <v>ok</v>
      </c>
      <c r="AC1562" s="6">
        <f t="shared" si="174"/>
        <v>32.852399999974295</v>
      </c>
    </row>
    <row r="1563" spans="1:29" x14ac:dyDescent="0.3">
      <c r="A1563" t="s">
        <v>22</v>
      </c>
      <c r="B1563">
        <v>2992</v>
      </c>
      <c r="C1563" t="s">
        <v>23</v>
      </c>
      <c r="D1563" t="s">
        <v>34</v>
      </c>
      <c r="E1563" t="s">
        <v>44</v>
      </c>
      <c r="F1563" t="s">
        <v>26</v>
      </c>
      <c r="G1563" t="s">
        <v>52</v>
      </c>
      <c r="H1563" s="1">
        <v>45168.712523148148</v>
      </c>
      <c r="I1563" s="1">
        <v>45170.712523148148</v>
      </c>
      <c r="J1563" s="1">
        <v>45168.713912037034</v>
      </c>
      <c r="K1563" s="2">
        <v>45168.713320578703</v>
      </c>
      <c r="L1563" t="s">
        <v>28</v>
      </c>
      <c r="M1563" s="2">
        <v>45169.757363576391</v>
      </c>
      <c r="N1563" t="s">
        <v>28</v>
      </c>
      <c r="O1563" s="2">
        <v>45172.537322326389</v>
      </c>
      <c r="P1563">
        <v>3</v>
      </c>
      <c r="Q1563">
        <v>3</v>
      </c>
      <c r="R1563" t="s">
        <v>50</v>
      </c>
      <c r="S1563" t="s">
        <v>30</v>
      </c>
      <c r="T1563" t="s">
        <v>63</v>
      </c>
      <c r="U1563">
        <v>55.378051999999997</v>
      </c>
      <c r="V1563">
        <v>-3.4359730000000002</v>
      </c>
      <c r="W1563" t="str">
        <f t="shared" si="169"/>
        <v>ok</v>
      </c>
      <c r="X1563" t="str">
        <f t="shared" si="175"/>
        <v>ok</v>
      </c>
      <c r="Y1563" t="str">
        <f t="shared" si="170"/>
        <v>ok</v>
      </c>
      <c r="Z1563" t="str">
        <f t="shared" si="171"/>
        <v>ok</v>
      </c>
      <c r="AA1563" s="4" t="str">
        <f t="shared" si="172"/>
        <v>ok</v>
      </c>
      <c r="AB1563" s="4" t="str">
        <f t="shared" si="173"/>
        <v>ok</v>
      </c>
      <c r="AC1563" s="6">
        <f t="shared" si="174"/>
        <v>25.076170277839992</v>
      </c>
    </row>
    <row r="1564" spans="1:29" x14ac:dyDescent="0.3">
      <c r="A1564" t="s">
        <v>22</v>
      </c>
      <c r="B1564">
        <v>2993</v>
      </c>
      <c r="C1564" t="s">
        <v>47</v>
      </c>
      <c r="D1564" t="s">
        <v>24</v>
      </c>
      <c r="E1564" t="s">
        <v>48</v>
      </c>
      <c r="F1564" t="s">
        <v>26</v>
      </c>
      <c r="G1564" t="s">
        <v>45</v>
      </c>
      <c r="H1564" s="1">
        <v>45168.438761574071</v>
      </c>
      <c r="I1564" s="1">
        <v>45170.438761574071</v>
      </c>
      <c r="J1564" s="1">
        <v>45168.480428240742</v>
      </c>
      <c r="K1564" s="2">
        <v>45168.477737349538</v>
      </c>
      <c r="L1564" t="s">
        <v>28</v>
      </c>
      <c r="M1564" s="2">
        <v>45171.019347754627</v>
      </c>
      <c r="N1564" t="s">
        <v>38</v>
      </c>
      <c r="O1564" s="2">
        <v>45172.695506840275</v>
      </c>
      <c r="P1564">
        <v>1</v>
      </c>
      <c r="Q1564">
        <v>3</v>
      </c>
      <c r="R1564" t="s">
        <v>50</v>
      </c>
      <c r="S1564" t="s">
        <v>30</v>
      </c>
      <c r="T1564" t="s">
        <v>46</v>
      </c>
      <c r="U1564">
        <v>47.696471899999999</v>
      </c>
      <c r="V1564">
        <v>13.3457347</v>
      </c>
      <c r="W1564" t="str">
        <f t="shared" si="169"/>
        <v>ok</v>
      </c>
      <c r="X1564" t="str">
        <f t="shared" si="175"/>
        <v>ok</v>
      </c>
      <c r="Y1564" t="str">
        <f t="shared" si="170"/>
        <v>ok</v>
      </c>
      <c r="Z1564" t="str">
        <f t="shared" si="171"/>
        <v>ok</v>
      </c>
      <c r="AA1564" s="4" t="str">
        <f t="shared" si="172"/>
        <v>ok</v>
      </c>
      <c r="AB1564" s="4" t="str">
        <f t="shared" si="173"/>
        <v>ok</v>
      </c>
      <c r="AC1564" s="6">
        <f t="shared" si="174"/>
        <v>61.934068333357573</v>
      </c>
    </row>
    <row r="1565" spans="1:29" x14ac:dyDescent="0.3">
      <c r="A1565" t="s">
        <v>22</v>
      </c>
      <c r="B1565">
        <v>2994</v>
      </c>
      <c r="C1565" t="s">
        <v>23</v>
      </c>
      <c r="D1565" t="s">
        <v>43</v>
      </c>
      <c r="E1565" t="s">
        <v>35</v>
      </c>
      <c r="F1565" t="s">
        <v>36</v>
      </c>
      <c r="G1565" t="s">
        <v>37</v>
      </c>
      <c r="H1565" s="1">
        <v>45168.989641203705</v>
      </c>
      <c r="I1565" s="1">
        <v>45169.989641203705</v>
      </c>
      <c r="J1565" s="1">
        <v>45168.991030092591</v>
      </c>
      <c r="K1565" s="2">
        <v>45168.99087533565</v>
      </c>
      <c r="L1565" t="s">
        <v>28</v>
      </c>
      <c r="M1565" s="2">
        <v>45173.206358206022</v>
      </c>
      <c r="N1565" t="s">
        <v>38</v>
      </c>
      <c r="O1565" s="2">
        <v>45174.830439756945</v>
      </c>
      <c r="P1565">
        <v>6</v>
      </c>
      <c r="Q1565">
        <v>5</v>
      </c>
      <c r="R1565" t="s">
        <v>50</v>
      </c>
      <c r="S1565" t="s">
        <v>40</v>
      </c>
      <c r="T1565" t="s">
        <v>31</v>
      </c>
      <c r="U1565">
        <v>53.094023999999997</v>
      </c>
      <c r="V1565">
        <v>-8.0196749999999994</v>
      </c>
      <c r="W1565" t="str">
        <f t="shared" si="169"/>
        <v>ok</v>
      </c>
      <c r="X1565" t="str">
        <f t="shared" si="175"/>
        <v>ok</v>
      </c>
      <c r="Y1565" t="str">
        <f t="shared" si="170"/>
        <v>ok</v>
      </c>
      <c r="Z1565" t="str">
        <f t="shared" si="171"/>
        <v>ok</v>
      </c>
      <c r="AA1565" s="4" t="str">
        <f t="shared" si="172"/>
        <v>ok</v>
      </c>
      <c r="AB1565" s="4" t="str">
        <f t="shared" si="173"/>
        <v>ok</v>
      </c>
      <c r="AC1565" s="6">
        <f t="shared" si="174"/>
        <v>101.20120805560146</v>
      </c>
    </row>
    <row r="1566" spans="1:29" x14ac:dyDescent="0.3">
      <c r="A1566" t="s">
        <v>22</v>
      </c>
      <c r="B1566">
        <v>2995</v>
      </c>
      <c r="C1566" t="s">
        <v>33</v>
      </c>
      <c r="D1566" t="s">
        <v>24</v>
      </c>
      <c r="E1566" t="s">
        <v>25</v>
      </c>
      <c r="F1566" t="s">
        <v>36</v>
      </c>
      <c r="G1566" t="s">
        <v>37</v>
      </c>
      <c r="H1566" s="1">
        <v>45168.530856481484</v>
      </c>
      <c r="I1566" s="1">
        <v>45170.530856481484</v>
      </c>
      <c r="J1566" s="1">
        <v>45168.572523148148</v>
      </c>
      <c r="K1566" s="2">
        <v>45168.55138045139</v>
      </c>
      <c r="L1566" t="s">
        <v>28</v>
      </c>
      <c r="M1566" s="2">
        <v>45168.89301615741</v>
      </c>
      <c r="N1566" t="s">
        <v>28</v>
      </c>
      <c r="O1566" s="2">
        <v>45173.970095289355</v>
      </c>
      <c r="P1566">
        <v>2</v>
      </c>
      <c r="Q1566">
        <v>4</v>
      </c>
      <c r="R1566" t="s">
        <v>39</v>
      </c>
      <c r="S1566" t="s">
        <v>40</v>
      </c>
      <c r="T1566" t="s">
        <v>61</v>
      </c>
      <c r="U1566">
        <v>42.724992499999999</v>
      </c>
      <c r="V1566">
        <v>25.483303899999999</v>
      </c>
      <c r="W1566" t="str">
        <f t="shared" si="169"/>
        <v>ok</v>
      </c>
      <c r="X1566" t="str">
        <f t="shared" si="175"/>
        <v>ok</v>
      </c>
      <c r="Y1566" t="str">
        <f t="shared" si="170"/>
        <v>ok</v>
      </c>
      <c r="Z1566" t="str">
        <f t="shared" si="171"/>
        <v>ok</v>
      </c>
      <c r="AA1566" s="4" t="str">
        <f t="shared" si="172"/>
        <v>ok</v>
      </c>
      <c r="AB1566" s="4" t="str">
        <f t="shared" si="173"/>
        <v>ok</v>
      </c>
      <c r="AC1566" s="6">
        <f t="shared" si="174"/>
        <v>8.6918322222190909</v>
      </c>
    </row>
    <row r="1567" spans="1:29" x14ac:dyDescent="0.3">
      <c r="A1567" t="s">
        <v>22</v>
      </c>
      <c r="B1567">
        <v>2996</v>
      </c>
      <c r="C1567" t="s">
        <v>23</v>
      </c>
      <c r="D1567" t="s">
        <v>43</v>
      </c>
      <c r="E1567" t="s">
        <v>59</v>
      </c>
      <c r="F1567" t="s">
        <v>36</v>
      </c>
      <c r="G1567" t="s">
        <v>64</v>
      </c>
      <c r="H1567" s="1">
        <v>45168.38181712963</v>
      </c>
      <c r="I1567" s="1">
        <v>45169.38181712963</v>
      </c>
      <c r="J1567" s="1">
        <v>45168.383206018516</v>
      </c>
      <c r="K1567" s="2">
        <v>45168.382447129632</v>
      </c>
      <c r="L1567" t="s">
        <v>28</v>
      </c>
      <c r="M1567" s="2">
        <v>45168.408610266204</v>
      </c>
      <c r="N1567" t="s">
        <v>28</v>
      </c>
      <c r="O1567" s="2">
        <v>45172.517536562496</v>
      </c>
      <c r="P1567">
        <v>6</v>
      </c>
      <c r="Q1567">
        <v>1</v>
      </c>
      <c r="R1567" t="s">
        <v>55</v>
      </c>
      <c r="S1567" t="s">
        <v>40</v>
      </c>
      <c r="T1567" t="s">
        <v>56</v>
      </c>
      <c r="U1567">
        <v>52.536273000000001</v>
      </c>
      <c r="V1567">
        <v>19.050639</v>
      </c>
      <c r="W1567" t="str">
        <f t="shared" si="169"/>
        <v>ok</v>
      </c>
      <c r="X1567" t="str">
        <f t="shared" si="175"/>
        <v>ok</v>
      </c>
      <c r="Y1567" t="str">
        <f t="shared" si="170"/>
        <v>ok</v>
      </c>
      <c r="Z1567" t="str">
        <f t="shared" si="171"/>
        <v>ok</v>
      </c>
      <c r="AA1567" s="4" t="str">
        <f t="shared" si="172"/>
        <v>ok</v>
      </c>
      <c r="AB1567" s="4" t="str">
        <f t="shared" si="173"/>
        <v>ok</v>
      </c>
      <c r="AC1567" s="6">
        <f t="shared" si="174"/>
        <v>0.64303527778247371</v>
      </c>
    </row>
    <row r="1568" spans="1:29" x14ac:dyDescent="0.3">
      <c r="A1568" t="s">
        <v>32</v>
      </c>
      <c r="B1568">
        <v>2997</v>
      </c>
      <c r="C1568" t="s">
        <v>23</v>
      </c>
      <c r="D1568" t="s">
        <v>43</v>
      </c>
      <c r="E1568" t="s">
        <v>44</v>
      </c>
      <c r="F1568" t="s">
        <v>26</v>
      </c>
      <c r="G1568" t="s">
        <v>27</v>
      </c>
      <c r="H1568" s="1">
        <v>45168.814513888887</v>
      </c>
      <c r="I1568" s="1">
        <v>45169.814513888887</v>
      </c>
      <c r="J1568" s="1">
        <v>45168.81590277778</v>
      </c>
      <c r="K1568" s="2">
        <v>45168.814686273145</v>
      </c>
      <c r="L1568" t="s">
        <v>28</v>
      </c>
      <c r="N1568" t="s">
        <v>38</v>
      </c>
      <c r="P1568">
        <v>6</v>
      </c>
      <c r="R1568" t="s">
        <v>39</v>
      </c>
      <c r="S1568" t="s">
        <v>30</v>
      </c>
      <c r="T1568" t="s">
        <v>46</v>
      </c>
      <c r="U1568">
        <v>47.696471899999999</v>
      </c>
      <c r="V1568">
        <v>13.3457347</v>
      </c>
      <c r="W1568" t="str">
        <f t="shared" si="169"/>
        <v>ok</v>
      </c>
      <c r="X1568" t="str">
        <f t="shared" si="175"/>
        <v>ok</v>
      </c>
      <c r="Y1568" t="str">
        <f t="shared" si="170"/>
        <v>ok</v>
      </c>
      <c r="Z1568" t="str">
        <f t="shared" si="171"/>
        <v>ok</v>
      </c>
      <c r="AA1568" s="4" t="str">
        <f t="shared" si="172"/>
        <v>ok</v>
      </c>
      <c r="AB1568" s="4" t="str">
        <f t="shared" si="173"/>
        <v>no resolution</v>
      </c>
      <c r="AC1568" s="6" t="str">
        <f t="shared" si="174"/>
        <v/>
      </c>
    </row>
    <row r="1569" spans="1:29" x14ac:dyDescent="0.3">
      <c r="A1569" t="s">
        <v>42</v>
      </c>
      <c r="B1569">
        <v>2998</v>
      </c>
      <c r="C1569" t="s">
        <v>23</v>
      </c>
      <c r="D1569" t="s">
        <v>43</v>
      </c>
      <c r="E1569" t="s">
        <v>48</v>
      </c>
      <c r="F1569" t="s">
        <v>26</v>
      </c>
      <c r="G1569" t="s">
        <v>27</v>
      </c>
      <c r="H1569" s="1">
        <v>45168.181400462963</v>
      </c>
      <c r="I1569" s="1">
        <v>45169.181400462963</v>
      </c>
      <c r="J1569" s="1">
        <v>45168.182789351849</v>
      </c>
      <c r="K1569" s="2">
        <v>45168.181761493055</v>
      </c>
      <c r="L1569" t="s">
        <v>28</v>
      </c>
      <c r="M1569" s="2">
        <v>45169.084459814818</v>
      </c>
      <c r="N1569" t="s">
        <v>28</v>
      </c>
      <c r="P1569">
        <v>7</v>
      </c>
      <c r="R1569" t="s">
        <v>50</v>
      </c>
      <c r="S1569" t="s">
        <v>30</v>
      </c>
      <c r="T1569" t="s">
        <v>31</v>
      </c>
      <c r="U1569">
        <v>53.094023999999997</v>
      </c>
      <c r="V1569">
        <v>-8.0196749999999994</v>
      </c>
      <c r="W1569" t="str">
        <f t="shared" si="169"/>
        <v>ok</v>
      </c>
      <c r="X1569" t="str">
        <f t="shared" si="175"/>
        <v>ok</v>
      </c>
      <c r="Y1569" t="str">
        <f t="shared" si="170"/>
        <v>ok</v>
      </c>
      <c r="Z1569" t="str">
        <f t="shared" si="171"/>
        <v>ok</v>
      </c>
      <c r="AA1569" s="4" t="str">
        <f t="shared" si="172"/>
        <v>ok</v>
      </c>
      <c r="AB1569" s="4" t="str">
        <f t="shared" si="173"/>
        <v>ok</v>
      </c>
      <c r="AC1569" s="6">
        <f t="shared" si="174"/>
        <v>21.673424444510601</v>
      </c>
    </row>
    <row r="1570" spans="1:29" x14ac:dyDescent="0.3">
      <c r="A1570" t="s">
        <v>42</v>
      </c>
      <c r="B1570">
        <v>2999</v>
      </c>
      <c r="C1570" t="s">
        <v>23</v>
      </c>
      <c r="D1570" t="s">
        <v>24</v>
      </c>
      <c r="E1570" t="s">
        <v>25</v>
      </c>
      <c r="F1570" t="s">
        <v>26</v>
      </c>
      <c r="G1570" t="s">
        <v>60</v>
      </c>
      <c r="H1570" s="1">
        <v>45168.232106481482</v>
      </c>
      <c r="I1570" s="1">
        <v>45170.232106481482</v>
      </c>
      <c r="J1570" s="1">
        <v>45168.273773148147</v>
      </c>
      <c r="K1570" s="2">
        <v>45168.244909583336</v>
      </c>
      <c r="L1570" t="s">
        <v>28</v>
      </c>
      <c r="M1570" s="2">
        <v>45171.19042082176</v>
      </c>
      <c r="N1570" t="s">
        <v>38</v>
      </c>
      <c r="P1570">
        <v>1</v>
      </c>
      <c r="R1570" t="s">
        <v>50</v>
      </c>
      <c r="S1570" t="s">
        <v>30</v>
      </c>
      <c r="T1570" t="s">
        <v>41</v>
      </c>
      <c r="U1570">
        <v>43.036776000000003</v>
      </c>
      <c r="V1570">
        <v>12.678565000000001</v>
      </c>
      <c r="W1570" t="str">
        <f t="shared" si="169"/>
        <v>ok</v>
      </c>
      <c r="X1570" t="str">
        <f t="shared" si="175"/>
        <v>ok</v>
      </c>
      <c r="Y1570" t="str">
        <f t="shared" si="170"/>
        <v>ok</v>
      </c>
      <c r="Z1570" t="str">
        <f t="shared" si="171"/>
        <v>ok</v>
      </c>
      <c r="AA1570" s="4" t="str">
        <f t="shared" si="172"/>
        <v>ok</v>
      </c>
      <c r="AB1570" s="4" t="str">
        <f t="shared" si="173"/>
        <v>ok</v>
      </c>
      <c r="AC1570" s="6">
        <f t="shared" si="174"/>
        <v>70.999544166668784</v>
      </c>
    </row>
    <row r="1571" spans="1:29" x14ac:dyDescent="0.3">
      <c r="A1571" t="s">
        <v>32</v>
      </c>
      <c r="B1571">
        <v>3000</v>
      </c>
      <c r="C1571" t="s">
        <v>23</v>
      </c>
      <c r="D1571" t="s">
        <v>34</v>
      </c>
      <c r="E1571" t="s">
        <v>35</v>
      </c>
      <c r="F1571" t="s">
        <v>26</v>
      </c>
      <c r="G1571" t="s">
        <v>60</v>
      </c>
      <c r="H1571" s="1">
        <v>45169.094687500001</v>
      </c>
      <c r="I1571" s="1">
        <v>45171.094687500001</v>
      </c>
      <c r="J1571" s="1">
        <v>45169.096076388887</v>
      </c>
      <c r="K1571" s="2">
        <v>45169.096058043979</v>
      </c>
      <c r="L1571" t="s">
        <v>28</v>
      </c>
      <c r="N1571" t="s">
        <v>38</v>
      </c>
      <c r="P1571">
        <v>1</v>
      </c>
      <c r="R1571" t="s">
        <v>39</v>
      </c>
      <c r="S1571" t="s">
        <v>30</v>
      </c>
      <c r="T1571" t="s">
        <v>65</v>
      </c>
      <c r="U1571">
        <v>46.149166399999999</v>
      </c>
      <c r="V1571">
        <v>14.9860106</v>
      </c>
      <c r="W1571" t="str">
        <f t="shared" si="169"/>
        <v>ok</v>
      </c>
      <c r="X1571" t="str">
        <f t="shared" si="175"/>
        <v>ok</v>
      </c>
      <c r="Y1571" t="str">
        <f t="shared" si="170"/>
        <v>ok</v>
      </c>
      <c r="Z1571" t="str">
        <f t="shared" si="171"/>
        <v>ok</v>
      </c>
      <c r="AA1571" s="4" t="str">
        <f t="shared" si="172"/>
        <v>ok</v>
      </c>
      <c r="AB1571" s="4" t="str">
        <f t="shared" si="173"/>
        <v>no resolution</v>
      </c>
      <c r="AC1571" s="6" t="str">
        <f t="shared" si="174"/>
        <v/>
      </c>
    </row>
    <row r="1572" spans="1:29" x14ac:dyDescent="0.3">
      <c r="A1572" t="s">
        <v>22</v>
      </c>
      <c r="B1572">
        <v>3001</v>
      </c>
      <c r="C1572" t="s">
        <v>23</v>
      </c>
      <c r="D1572" t="s">
        <v>24</v>
      </c>
      <c r="E1572" t="s">
        <v>25</v>
      </c>
      <c r="F1572" t="s">
        <v>36</v>
      </c>
      <c r="G1572" t="s">
        <v>54</v>
      </c>
      <c r="H1572" s="1">
        <v>45169.710729166669</v>
      </c>
      <c r="I1572" s="1">
        <v>45171.710729166669</v>
      </c>
      <c r="J1572" s="1">
        <v>45169.752395833333</v>
      </c>
      <c r="K1572" s="2">
        <v>45169.948073414351</v>
      </c>
      <c r="L1572" t="s">
        <v>38</v>
      </c>
      <c r="M1572" s="2">
        <v>45170.857265775463</v>
      </c>
      <c r="N1572" t="s">
        <v>28</v>
      </c>
      <c r="O1572" s="2">
        <v>45171.49438895833</v>
      </c>
      <c r="P1572">
        <v>5</v>
      </c>
      <c r="Q1572">
        <v>4</v>
      </c>
      <c r="R1572" t="s">
        <v>50</v>
      </c>
      <c r="S1572" t="s">
        <v>40</v>
      </c>
      <c r="T1572" t="s">
        <v>56</v>
      </c>
      <c r="U1572">
        <v>52.536273000000001</v>
      </c>
      <c r="V1572">
        <v>19.050639</v>
      </c>
      <c r="W1572" t="str">
        <f t="shared" si="169"/>
        <v>ok</v>
      </c>
      <c r="X1572" t="str">
        <f t="shared" si="175"/>
        <v>ok</v>
      </c>
      <c r="Y1572" t="str">
        <f t="shared" si="170"/>
        <v>ok</v>
      </c>
      <c r="Z1572" t="str">
        <f t="shared" si="171"/>
        <v>ok</v>
      </c>
      <c r="AA1572" s="4" t="str">
        <f t="shared" si="172"/>
        <v>ok</v>
      </c>
      <c r="AB1572" s="4" t="str">
        <f t="shared" si="173"/>
        <v>ok</v>
      </c>
      <c r="AC1572" s="6">
        <f t="shared" si="174"/>
        <v>27.516878611058928</v>
      </c>
    </row>
    <row r="1573" spans="1:29" x14ac:dyDescent="0.3">
      <c r="A1573" t="s">
        <v>42</v>
      </c>
      <c r="B1573">
        <v>3002</v>
      </c>
      <c r="C1573" t="s">
        <v>47</v>
      </c>
      <c r="D1573" t="s">
        <v>24</v>
      </c>
      <c r="E1573" t="s">
        <v>35</v>
      </c>
      <c r="F1573" t="s">
        <v>26</v>
      </c>
      <c r="G1573" t="s">
        <v>49</v>
      </c>
      <c r="H1573" s="1">
        <v>45169.924710648149</v>
      </c>
      <c r="I1573" s="1">
        <v>45171.924710648149</v>
      </c>
      <c r="J1573" s="1">
        <v>45169.966377314813</v>
      </c>
      <c r="K1573" s="2">
        <v>45169.939535972226</v>
      </c>
      <c r="L1573" t="s">
        <v>28</v>
      </c>
      <c r="M1573" s="2">
        <v>45171.921504664351</v>
      </c>
      <c r="N1573" t="s">
        <v>28</v>
      </c>
      <c r="P1573">
        <v>1</v>
      </c>
      <c r="R1573" t="s">
        <v>50</v>
      </c>
      <c r="S1573" t="s">
        <v>30</v>
      </c>
      <c r="T1573" t="s">
        <v>58</v>
      </c>
      <c r="U1573">
        <v>49.8037633</v>
      </c>
      <c r="V1573">
        <v>15.4749126</v>
      </c>
      <c r="W1573" t="str">
        <f t="shared" si="169"/>
        <v>ok</v>
      </c>
      <c r="X1573" t="str">
        <f t="shared" si="175"/>
        <v>ok</v>
      </c>
      <c r="Y1573" t="str">
        <f t="shared" si="170"/>
        <v>ok</v>
      </c>
      <c r="Z1573" t="str">
        <f t="shared" si="171"/>
        <v>ok</v>
      </c>
      <c r="AA1573" s="4" t="str">
        <f t="shared" si="172"/>
        <v>ok</v>
      </c>
      <c r="AB1573" s="4" t="str">
        <f t="shared" si="173"/>
        <v>ok</v>
      </c>
      <c r="AC1573" s="6">
        <f t="shared" si="174"/>
        <v>47.923056388855912</v>
      </c>
    </row>
    <row r="1574" spans="1:29" x14ac:dyDescent="0.3">
      <c r="A1574" t="s">
        <v>42</v>
      </c>
      <c r="B1574">
        <v>3003</v>
      </c>
      <c r="C1574" t="s">
        <v>23</v>
      </c>
      <c r="D1574" t="s">
        <v>34</v>
      </c>
      <c r="E1574" t="s">
        <v>35</v>
      </c>
      <c r="F1574" t="s">
        <v>26</v>
      </c>
      <c r="G1574" t="s">
        <v>45</v>
      </c>
      <c r="H1574" s="1">
        <v>45169.689386574071</v>
      </c>
      <c r="I1574" s="1">
        <v>45171.689386574071</v>
      </c>
      <c r="J1574" s="1">
        <v>45169.690775462965</v>
      </c>
      <c r="K1574" s="2">
        <v>45169.690710127317</v>
      </c>
      <c r="L1574" t="s">
        <v>28</v>
      </c>
      <c r="M1574" s="2">
        <v>45170.23177515046</v>
      </c>
      <c r="N1574" t="s">
        <v>28</v>
      </c>
      <c r="P1574">
        <v>1</v>
      </c>
      <c r="R1574" t="s">
        <v>50</v>
      </c>
      <c r="S1574" t="s">
        <v>30</v>
      </c>
      <c r="T1574" t="s">
        <v>57</v>
      </c>
      <c r="U1574">
        <v>51.165691000000002</v>
      </c>
      <c r="V1574">
        <v>10.451525999999999</v>
      </c>
      <c r="W1574" t="str">
        <f t="shared" si="169"/>
        <v>ok</v>
      </c>
      <c r="X1574" t="str">
        <f t="shared" si="175"/>
        <v>ok</v>
      </c>
      <c r="Y1574" t="str">
        <f t="shared" si="170"/>
        <v>ok</v>
      </c>
      <c r="Z1574" t="str">
        <f t="shared" si="171"/>
        <v>ok</v>
      </c>
      <c r="AA1574" s="4" t="str">
        <f t="shared" si="172"/>
        <v>ok</v>
      </c>
      <c r="AB1574" s="4" t="str">
        <f t="shared" si="173"/>
        <v>ok</v>
      </c>
      <c r="AC1574" s="6">
        <f t="shared" si="174"/>
        <v>13.017325833323412</v>
      </c>
    </row>
    <row r="1575" spans="1:29" x14ac:dyDescent="0.3">
      <c r="A1575" t="s">
        <v>32</v>
      </c>
      <c r="B1575">
        <v>3004</v>
      </c>
      <c r="C1575" t="s">
        <v>33</v>
      </c>
      <c r="D1575" t="s">
        <v>43</v>
      </c>
      <c r="E1575" t="s">
        <v>67</v>
      </c>
      <c r="F1575" t="s">
        <v>26</v>
      </c>
      <c r="G1575" t="s">
        <v>52</v>
      </c>
      <c r="H1575" s="1">
        <v>45169.745023148149</v>
      </c>
      <c r="I1575" s="1">
        <v>45170.745023148149</v>
      </c>
      <c r="J1575" s="1">
        <v>45169.746412037035</v>
      </c>
      <c r="K1575" s="2">
        <v>45169.746248854164</v>
      </c>
      <c r="L1575" t="s">
        <v>28</v>
      </c>
      <c r="N1575" t="s">
        <v>38</v>
      </c>
      <c r="P1575">
        <v>2</v>
      </c>
      <c r="R1575" t="s">
        <v>29</v>
      </c>
      <c r="S1575" t="s">
        <v>30</v>
      </c>
      <c r="T1575" t="s">
        <v>46</v>
      </c>
      <c r="U1575">
        <v>47.696471899999999</v>
      </c>
      <c r="V1575">
        <v>13.3457347</v>
      </c>
      <c r="W1575" t="str">
        <f t="shared" si="169"/>
        <v>ok</v>
      </c>
      <c r="X1575" t="str">
        <f t="shared" si="175"/>
        <v>ok</v>
      </c>
      <c r="Y1575" t="str">
        <f t="shared" si="170"/>
        <v>ok</v>
      </c>
      <c r="Z1575" t="str">
        <f t="shared" si="171"/>
        <v>ok</v>
      </c>
      <c r="AA1575" s="4" t="str">
        <f t="shared" si="172"/>
        <v>ok</v>
      </c>
      <c r="AB1575" s="4" t="str">
        <f t="shared" si="173"/>
        <v>no resolution</v>
      </c>
      <c r="AC1575" s="6" t="str">
        <f t="shared" si="174"/>
        <v/>
      </c>
    </row>
    <row r="1576" spans="1:29" x14ac:dyDescent="0.3">
      <c r="A1576" t="s">
        <v>22</v>
      </c>
      <c r="B1576">
        <v>3005</v>
      </c>
      <c r="C1576" t="s">
        <v>47</v>
      </c>
      <c r="D1576" t="s">
        <v>43</v>
      </c>
      <c r="E1576" t="s">
        <v>39</v>
      </c>
      <c r="F1576" t="s">
        <v>26</v>
      </c>
      <c r="G1576" t="s">
        <v>49</v>
      </c>
      <c r="H1576" s="1">
        <v>45169.252812500003</v>
      </c>
      <c r="I1576" s="1">
        <v>45170.252812500003</v>
      </c>
      <c r="J1576" s="1">
        <v>45169.254201388889</v>
      </c>
      <c r="K1576" s="2">
        <v>45169.254035451391</v>
      </c>
      <c r="L1576" t="s">
        <v>28</v>
      </c>
      <c r="M1576" s="2">
        <v>45170.143515347219</v>
      </c>
      <c r="N1576" t="s">
        <v>28</v>
      </c>
      <c r="O1576" s="2">
        <v>45172.836821574077</v>
      </c>
      <c r="P1576">
        <v>6</v>
      </c>
      <c r="Q1576">
        <v>3</v>
      </c>
      <c r="R1576" t="s">
        <v>50</v>
      </c>
      <c r="S1576" t="s">
        <v>30</v>
      </c>
      <c r="T1576" t="s">
        <v>63</v>
      </c>
      <c r="U1576">
        <v>55.378051999999997</v>
      </c>
      <c r="V1576">
        <v>-3.4359730000000002</v>
      </c>
      <c r="W1576" t="str">
        <f t="shared" si="169"/>
        <v>ok</v>
      </c>
      <c r="X1576" t="str">
        <f t="shared" si="175"/>
        <v>ok</v>
      </c>
      <c r="Y1576" t="str">
        <f t="shared" si="170"/>
        <v>ok</v>
      </c>
      <c r="Z1576" t="str">
        <f t="shared" si="171"/>
        <v>ok</v>
      </c>
      <c r="AA1576" s="4" t="str">
        <f t="shared" si="172"/>
        <v>ok</v>
      </c>
      <c r="AB1576" s="4" t="str">
        <f t="shared" si="173"/>
        <v>ok</v>
      </c>
      <c r="AC1576" s="6">
        <f t="shared" si="174"/>
        <v>21.376868333201855</v>
      </c>
    </row>
    <row r="1577" spans="1:29" x14ac:dyDescent="0.3">
      <c r="A1577" t="s">
        <v>22</v>
      </c>
      <c r="B1577">
        <v>3006</v>
      </c>
      <c r="C1577" t="s">
        <v>47</v>
      </c>
      <c r="D1577" t="s">
        <v>24</v>
      </c>
      <c r="E1577" t="s">
        <v>25</v>
      </c>
      <c r="F1577" t="s">
        <v>26</v>
      </c>
      <c r="G1577" t="s">
        <v>60</v>
      </c>
      <c r="H1577" s="1">
        <v>45169.340891203705</v>
      </c>
      <c r="I1577" s="1">
        <v>45171.340891203705</v>
      </c>
      <c r="J1577" s="1">
        <v>45169.382557870369</v>
      </c>
      <c r="K1577" s="2">
        <v>45169.366989548609</v>
      </c>
      <c r="L1577" t="s">
        <v>28</v>
      </c>
      <c r="M1577" s="2">
        <v>45174.143735127313</v>
      </c>
      <c r="N1577" t="s">
        <v>38</v>
      </c>
      <c r="O1577" s="2">
        <v>45174.857604444442</v>
      </c>
      <c r="P1577">
        <v>4</v>
      </c>
      <c r="Q1577">
        <v>5</v>
      </c>
      <c r="R1577" t="s">
        <v>50</v>
      </c>
      <c r="S1577" t="s">
        <v>30</v>
      </c>
      <c r="T1577" t="s">
        <v>31</v>
      </c>
      <c r="U1577">
        <v>53.094023999999997</v>
      </c>
      <c r="V1577">
        <v>-8.0196749999999994</v>
      </c>
      <c r="W1577" t="str">
        <f t="shared" si="169"/>
        <v>ok</v>
      </c>
      <c r="X1577" t="str">
        <f t="shared" si="175"/>
        <v>ok</v>
      </c>
      <c r="Y1577" t="str">
        <f t="shared" si="170"/>
        <v>ok</v>
      </c>
      <c r="Z1577" t="str">
        <f t="shared" si="171"/>
        <v>ok</v>
      </c>
      <c r="AA1577" s="4" t="str">
        <f t="shared" si="172"/>
        <v>ok</v>
      </c>
      <c r="AB1577" s="4" t="str">
        <f t="shared" si="173"/>
        <v>ok</v>
      </c>
      <c r="AC1577" s="6">
        <f t="shared" si="174"/>
        <v>115.26825416658539</v>
      </c>
    </row>
    <row r="1578" spans="1:29" x14ac:dyDescent="0.3">
      <c r="A1578" t="s">
        <v>22</v>
      </c>
      <c r="B1578">
        <v>3007</v>
      </c>
      <c r="C1578" t="s">
        <v>33</v>
      </c>
      <c r="D1578" t="s">
        <v>24</v>
      </c>
      <c r="E1578" t="s">
        <v>25</v>
      </c>
      <c r="F1578" t="s">
        <v>36</v>
      </c>
      <c r="G1578" t="s">
        <v>54</v>
      </c>
      <c r="H1578" s="1">
        <v>45169.782835648148</v>
      </c>
      <c r="I1578" s="1">
        <v>45171.782835648148</v>
      </c>
      <c r="J1578" s="1">
        <v>45169.824502314812</v>
      </c>
      <c r="K1578" s="2">
        <v>45169.793134444444</v>
      </c>
      <c r="L1578" t="s">
        <v>28</v>
      </c>
      <c r="M1578" s="2">
        <v>45170.631288321762</v>
      </c>
      <c r="N1578" t="s">
        <v>28</v>
      </c>
      <c r="O1578" s="2">
        <v>45174.182174930553</v>
      </c>
      <c r="P1578">
        <v>2</v>
      </c>
      <c r="Q1578">
        <v>4</v>
      </c>
      <c r="R1578" t="s">
        <v>50</v>
      </c>
      <c r="S1578" t="s">
        <v>40</v>
      </c>
      <c r="T1578" t="s">
        <v>56</v>
      </c>
      <c r="U1578">
        <v>52.536273000000001</v>
      </c>
      <c r="V1578">
        <v>19.050639</v>
      </c>
      <c r="W1578" t="str">
        <f t="shared" si="169"/>
        <v>ok</v>
      </c>
      <c r="X1578" t="str">
        <f t="shared" si="175"/>
        <v>ok</v>
      </c>
      <c r="Y1578" t="str">
        <f t="shared" si="170"/>
        <v>ok</v>
      </c>
      <c r="Z1578" t="str">
        <f t="shared" si="171"/>
        <v>ok</v>
      </c>
      <c r="AA1578" s="4" t="str">
        <f t="shared" si="172"/>
        <v>ok</v>
      </c>
      <c r="AB1578" s="4" t="str">
        <f t="shared" si="173"/>
        <v>ok</v>
      </c>
      <c r="AC1578" s="6">
        <f t="shared" si="174"/>
        <v>20.362864166731015</v>
      </c>
    </row>
    <row r="1579" spans="1:29" x14ac:dyDescent="0.3">
      <c r="A1579" t="s">
        <v>22</v>
      </c>
      <c r="B1579">
        <v>3008</v>
      </c>
      <c r="C1579" t="s">
        <v>33</v>
      </c>
      <c r="D1579" t="s">
        <v>24</v>
      </c>
      <c r="E1579" t="s">
        <v>67</v>
      </c>
      <c r="F1579" t="s">
        <v>26</v>
      </c>
      <c r="G1579" t="s">
        <v>45</v>
      </c>
      <c r="H1579" s="1">
        <v>45170.881724537037</v>
      </c>
      <c r="I1579" s="1">
        <v>45172.881724537037</v>
      </c>
      <c r="J1579" s="1">
        <v>45170.923391203702</v>
      </c>
      <c r="K1579" s="2">
        <v>45170.8948441088</v>
      </c>
      <c r="L1579" t="s">
        <v>28</v>
      </c>
      <c r="M1579" s="2">
        <v>45171.545947546299</v>
      </c>
      <c r="N1579" t="s">
        <v>28</v>
      </c>
      <c r="O1579" s="2">
        <v>45173.851255335649</v>
      </c>
      <c r="P1579">
        <v>2</v>
      </c>
      <c r="Q1579">
        <v>5</v>
      </c>
      <c r="R1579" t="s">
        <v>29</v>
      </c>
      <c r="S1579" t="s">
        <v>30</v>
      </c>
      <c r="T1579" t="s">
        <v>63</v>
      </c>
      <c r="U1579">
        <v>55.378051999999997</v>
      </c>
      <c r="V1579">
        <v>-3.4359730000000002</v>
      </c>
      <c r="W1579" t="str">
        <f t="shared" si="169"/>
        <v>ok</v>
      </c>
      <c r="X1579" t="str">
        <f t="shared" si="175"/>
        <v>ok</v>
      </c>
      <c r="Y1579" t="str">
        <f t="shared" si="170"/>
        <v>ok</v>
      </c>
      <c r="Z1579" t="str">
        <f t="shared" si="171"/>
        <v>ok</v>
      </c>
      <c r="AA1579" s="4" t="str">
        <f t="shared" si="172"/>
        <v>ok</v>
      </c>
      <c r="AB1579" s="4" t="str">
        <f t="shared" si="173"/>
        <v>ok</v>
      </c>
      <c r="AC1579" s="6">
        <f t="shared" si="174"/>
        <v>15.941352222289424</v>
      </c>
    </row>
    <row r="1580" spans="1:29" x14ac:dyDescent="0.3">
      <c r="A1580" t="s">
        <v>22</v>
      </c>
      <c r="B1580">
        <v>3009</v>
      </c>
      <c r="C1580" t="s">
        <v>47</v>
      </c>
      <c r="D1580" t="s">
        <v>24</v>
      </c>
      <c r="E1580" t="s">
        <v>59</v>
      </c>
      <c r="F1580" t="s">
        <v>26</v>
      </c>
      <c r="G1580" t="s">
        <v>45</v>
      </c>
      <c r="H1580" s="1">
        <v>45170.981458333335</v>
      </c>
      <c r="I1580" s="1">
        <v>45172.981458333335</v>
      </c>
      <c r="J1580" s="1">
        <v>45171.023125</v>
      </c>
      <c r="K1580" s="2">
        <v>45171.007531134259</v>
      </c>
      <c r="L1580" t="s">
        <v>28</v>
      </c>
      <c r="M1580" s="2">
        <v>45175.446275671296</v>
      </c>
      <c r="N1580" t="s">
        <v>38</v>
      </c>
      <c r="O1580" s="2">
        <v>45175.933802581021</v>
      </c>
      <c r="P1580">
        <v>4</v>
      </c>
      <c r="Q1580">
        <v>3</v>
      </c>
      <c r="R1580" t="s">
        <v>29</v>
      </c>
      <c r="S1580" t="s">
        <v>30</v>
      </c>
      <c r="T1580" t="s">
        <v>51</v>
      </c>
      <c r="U1580">
        <v>39.673369999999998</v>
      </c>
      <c r="V1580">
        <v>-4.7677259999999997</v>
      </c>
      <c r="W1580" t="str">
        <f t="shared" si="169"/>
        <v>ok</v>
      </c>
      <c r="X1580" t="str">
        <f t="shared" si="175"/>
        <v>ok</v>
      </c>
      <c r="Y1580" t="str">
        <f t="shared" si="170"/>
        <v>ok</v>
      </c>
      <c r="Z1580" t="str">
        <f t="shared" si="171"/>
        <v>ok</v>
      </c>
      <c r="AA1580" s="4" t="str">
        <f t="shared" si="172"/>
        <v>ok</v>
      </c>
      <c r="AB1580" s="4" t="str">
        <f t="shared" si="173"/>
        <v>ok</v>
      </c>
      <c r="AC1580" s="6">
        <f t="shared" si="174"/>
        <v>107.15561611106386</v>
      </c>
    </row>
    <row r="1581" spans="1:29" x14ac:dyDescent="0.3">
      <c r="A1581" t="s">
        <v>42</v>
      </c>
      <c r="B1581">
        <v>3010</v>
      </c>
      <c r="C1581" t="s">
        <v>23</v>
      </c>
      <c r="D1581" t="s">
        <v>24</v>
      </c>
      <c r="E1581" t="s">
        <v>67</v>
      </c>
      <c r="F1581" t="s">
        <v>26</v>
      </c>
      <c r="G1581" t="s">
        <v>45</v>
      </c>
      <c r="H1581" s="1">
        <v>45170.838958333334</v>
      </c>
      <c r="I1581" s="1">
        <v>45172.838958333334</v>
      </c>
      <c r="J1581" s="1">
        <v>45170.880624999998</v>
      </c>
      <c r="K1581" s="2">
        <v>45170.853281990741</v>
      </c>
      <c r="L1581" t="s">
        <v>28</v>
      </c>
      <c r="M1581" s="2">
        <v>45171.885632152778</v>
      </c>
      <c r="N1581" t="s">
        <v>28</v>
      </c>
      <c r="P1581">
        <v>2</v>
      </c>
      <c r="R1581" t="s">
        <v>29</v>
      </c>
      <c r="S1581" t="s">
        <v>30</v>
      </c>
      <c r="T1581" t="s">
        <v>46</v>
      </c>
      <c r="U1581">
        <v>47.696471899999999</v>
      </c>
      <c r="V1581">
        <v>13.3457347</v>
      </c>
      <c r="W1581" t="str">
        <f t="shared" si="169"/>
        <v>ok</v>
      </c>
      <c r="X1581" t="str">
        <f t="shared" si="175"/>
        <v>ok</v>
      </c>
      <c r="Y1581" t="str">
        <f t="shared" si="170"/>
        <v>ok</v>
      </c>
      <c r="Z1581" t="str">
        <f t="shared" si="171"/>
        <v>ok</v>
      </c>
      <c r="AA1581" s="4" t="str">
        <f t="shared" si="172"/>
        <v>ok</v>
      </c>
      <c r="AB1581" s="4" t="str">
        <f t="shared" si="173"/>
        <v>ok</v>
      </c>
      <c r="AC1581" s="6">
        <f t="shared" si="174"/>
        <v>25.120171666669194</v>
      </c>
    </row>
    <row r="1582" spans="1:29" x14ac:dyDescent="0.3">
      <c r="A1582" t="s">
        <v>42</v>
      </c>
      <c r="B1582">
        <v>3011</v>
      </c>
      <c r="C1582" t="s">
        <v>47</v>
      </c>
      <c r="D1582" t="s">
        <v>34</v>
      </c>
      <c r="E1582" t="s">
        <v>35</v>
      </c>
      <c r="F1582" t="s">
        <v>26</v>
      </c>
      <c r="G1582" t="s">
        <v>49</v>
      </c>
      <c r="H1582" s="1">
        <v>45170.485613425924</v>
      </c>
      <c r="I1582" s="1">
        <v>45172.485613425924</v>
      </c>
      <c r="J1582" s="1">
        <v>45170.487002314818</v>
      </c>
      <c r="K1582" s="2">
        <v>45170.486774837962</v>
      </c>
      <c r="L1582" t="s">
        <v>28</v>
      </c>
      <c r="M1582" s="2">
        <v>45170.720053449077</v>
      </c>
      <c r="N1582" t="s">
        <v>28</v>
      </c>
      <c r="P1582">
        <v>1</v>
      </c>
      <c r="R1582" t="s">
        <v>39</v>
      </c>
      <c r="S1582" t="s">
        <v>30</v>
      </c>
      <c r="T1582" t="s">
        <v>41</v>
      </c>
      <c r="U1582">
        <v>43.036776000000003</v>
      </c>
      <c r="V1582">
        <v>12.678565000000001</v>
      </c>
      <c r="W1582" t="str">
        <f t="shared" si="169"/>
        <v>ok</v>
      </c>
      <c r="X1582" t="str">
        <f t="shared" si="175"/>
        <v>ok</v>
      </c>
      <c r="Y1582" t="str">
        <f t="shared" si="170"/>
        <v>ok</v>
      </c>
      <c r="Z1582" t="str">
        <f t="shared" si="171"/>
        <v>ok</v>
      </c>
      <c r="AA1582" s="4" t="str">
        <f t="shared" si="172"/>
        <v>ok</v>
      </c>
      <c r="AB1582" s="4" t="str">
        <f t="shared" si="173"/>
        <v>ok</v>
      </c>
      <c r="AC1582" s="6">
        <f t="shared" si="174"/>
        <v>5.6265605556545779</v>
      </c>
    </row>
    <row r="1583" spans="1:29" x14ac:dyDescent="0.3">
      <c r="A1583" t="s">
        <v>42</v>
      </c>
      <c r="B1583">
        <v>3012</v>
      </c>
      <c r="C1583" t="s">
        <v>23</v>
      </c>
      <c r="D1583" t="s">
        <v>24</v>
      </c>
      <c r="E1583" t="s">
        <v>35</v>
      </c>
      <c r="F1583" t="s">
        <v>26</v>
      </c>
      <c r="G1583" t="s">
        <v>27</v>
      </c>
      <c r="H1583" s="1">
        <v>45170.469502314816</v>
      </c>
      <c r="I1583" s="1">
        <v>45172.469502314816</v>
      </c>
      <c r="J1583" s="1">
        <v>45170.51116898148</v>
      </c>
      <c r="K1583" s="2">
        <v>45170.493863055555</v>
      </c>
      <c r="L1583" t="s">
        <v>28</v>
      </c>
      <c r="M1583" s="2">
        <v>45170.99032488426</v>
      </c>
      <c r="N1583" t="s">
        <v>28</v>
      </c>
      <c r="P1583">
        <v>1</v>
      </c>
      <c r="R1583" t="s">
        <v>55</v>
      </c>
      <c r="S1583" t="s">
        <v>30</v>
      </c>
      <c r="T1583" t="s">
        <v>66</v>
      </c>
      <c r="U1583">
        <v>48.864716000000001</v>
      </c>
      <c r="V1583">
        <v>2.3490139999999999</v>
      </c>
      <c r="W1583" t="str">
        <f t="shared" si="169"/>
        <v>ok</v>
      </c>
      <c r="X1583" t="str">
        <f t="shared" si="175"/>
        <v>ok</v>
      </c>
      <c r="Y1583" t="str">
        <f t="shared" si="170"/>
        <v>ok</v>
      </c>
      <c r="Z1583" t="str">
        <f t="shared" si="171"/>
        <v>ok</v>
      </c>
      <c r="AA1583" s="4" t="str">
        <f t="shared" si="172"/>
        <v>ok</v>
      </c>
      <c r="AB1583" s="4" t="str">
        <f t="shared" si="173"/>
        <v>ok</v>
      </c>
      <c r="AC1583" s="6">
        <f t="shared" si="174"/>
        <v>12.499741666659247</v>
      </c>
    </row>
    <row r="1584" spans="1:29" x14ac:dyDescent="0.3">
      <c r="A1584" t="s">
        <v>42</v>
      </c>
      <c r="B1584">
        <v>3013</v>
      </c>
      <c r="C1584" t="s">
        <v>23</v>
      </c>
      <c r="D1584" t="s">
        <v>24</v>
      </c>
      <c r="E1584" t="s">
        <v>48</v>
      </c>
      <c r="F1584" t="s">
        <v>26</v>
      </c>
      <c r="G1584" t="s">
        <v>49</v>
      </c>
      <c r="H1584" s="1">
        <v>45170.19604166667</v>
      </c>
      <c r="I1584" s="1">
        <v>45172.19604166667</v>
      </c>
      <c r="J1584" s="1">
        <v>45170.237708333334</v>
      </c>
      <c r="K1584" s="2">
        <v>45170.210752060186</v>
      </c>
      <c r="L1584" t="s">
        <v>28</v>
      </c>
      <c r="M1584" s="2">
        <v>45171.259146053242</v>
      </c>
      <c r="N1584" t="s">
        <v>28</v>
      </c>
      <c r="P1584">
        <v>1</v>
      </c>
      <c r="R1584" t="s">
        <v>50</v>
      </c>
      <c r="S1584" t="s">
        <v>30</v>
      </c>
      <c r="T1584" t="s">
        <v>63</v>
      </c>
      <c r="U1584">
        <v>55.378051999999997</v>
      </c>
      <c r="V1584">
        <v>-3.4359730000000002</v>
      </c>
      <c r="W1584" t="str">
        <f t="shared" si="169"/>
        <v>ok</v>
      </c>
      <c r="X1584" t="str">
        <f t="shared" si="175"/>
        <v>ok</v>
      </c>
      <c r="Y1584" t="str">
        <f t="shared" si="170"/>
        <v>ok</v>
      </c>
      <c r="Z1584" t="str">
        <f t="shared" si="171"/>
        <v>ok</v>
      </c>
      <c r="AA1584" s="4" t="str">
        <f t="shared" si="172"/>
        <v>ok</v>
      </c>
      <c r="AB1584" s="4" t="str">
        <f t="shared" si="173"/>
        <v>ok</v>
      </c>
      <c r="AC1584" s="6">
        <f t="shared" si="174"/>
        <v>25.514505277737044</v>
      </c>
    </row>
    <row r="1585" spans="1:29" x14ac:dyDescent="0.3">
      <c r="A1585" t="s">
        <v>22</v>
      </c>
      <c r="B1585">
        <v>3014</v>
      </c>
      <c r="C1585" t="s">
        <v>33</v>
      </c>
      <c r="D1585" t="s">
        <v>24</v>
      </c>
      <c r="E1585" t="s">
        <v>35</v>
      </c>
      <c r="F1585" t="s">
        <v>26</v>
      </c>
      <c r="G1585" t="s">
        <v>60</v>
      </c>
      <c r="H1585" s="1">
        <v>45170.60255787037</v>
      </c>
      <c r="I1585" s="1">
        <v>45172.60255787037</v>
      </c>
      <c r="J1585" s="1">
        <v>45170.644224537034</v>
      </c>
      <c r="K1585" s="2">
        <v>45170.639825798607</v>
      </c>
      <c r="L1585" t="s">
        <v>28</v>
      </c>
      <c r="M1585" s="2">
        <v>45170.732988587966</v>
      </c>
      <c r="N1585" t="s">
        <v>28</v>
      </c>
      <c r="O1585" s="2">
        <v>45173.86354943287</v>
      </c>
      <c r="P1585">
        <v>2</v>
      </c>
      <c r="Q1585">
        <v>1</v>
      </c>
      <c r="R1585" t="s">
        <v>39</v>
      </c>
      <c r="S1585" t="s">
        <v>30</v>
      </c>
      <c r="T1585" t="s">
        <v>63</v>
      </c>
      <c r="U1585">
        <v>55.378051999999997</v>
      </c>
      <c r="V1585">
        <v>-3.4359730000000002</v>
      </c>
      <c r="W1585" t="str">
        <f t="shared" si="169"/>
        <v>ok</v>
      </c>
      <c r="X1585" t="str">
        <f t="shared" si="175"/>
        <v>ok</v>
      </c>
      <c r="Y1585" t="str">
        <f t="shared" si="170"/>
        <v>ok</v>
      </c>
      <c r="Z1585" t="str">
        <f t="shared" si="171"/>
        <v>ok</v>
      </c>
      <c r="AA1585" s="4" t="str">
        <f t="shared" si="172"/>
        <v>ok</v>
      </c>
      <c r="AB1585" s="4" t="str">
        <f t="shared" si="173"/>
        <v>ok</v>
      </c>
      <c r="AC1585" s="6">
        <f t="shared" si="174"/>
        <v>3.1303372223046608</v>
      </c>
    </row>
    <row r="1586" spans="1:29" x14ac:dyDescent="0.3">
      <c r="A1586" t="s">
        <v>22</v>
      </c>
      <c r="B1586">
        <v>3015</v>
      </c>
      <c r="C1586" t="s">
        <v>47</v>
      </c>
      <c r="D1586" t="s">
        <v>24</v>
      </c>
      <c r="E1586" t="s">
        <v>48</v>
      </c>
      <c r="F1586" t="s">
        <v>26</v>
      </c>
      <c r="G1586" t="s">
        <v>52</v>
      </c>
      <c r="H1586" s="1">
        <v>45170.631145833337</v>
      </c>
      <c r="I1586" s="1">
        <v>45172.631145833337</v>
      </c>
      <c r="J1586" s="1">
        <v>45170.672812500001</v>
      </c>
      <c r="K1586" s="2">
        <v>45170.661050671297</v>
      </c>
      <c r="L1586" t="s">
        <v>28</v>
      </c>
      <c r="M1586" s="2">
        <v>45173.439748414348</v>
      </c>
      <c r="N1586" t="s">
        <v>38</v>
      </c>
      <c r="O1586" s="2">
        <v>45173.502195474539</v>
      </c>
      <c r="P1586">
        <v>2</v>
      </c>
      <c r="Q1586">
        <v>3</v>
      </c>
      <c r="R1586" t="s">
        <v>50</v>
      </c>
      <c r="S1586" t="s">
        <v>30</v>
      </c>
      <c r="T1586" t="s">
        <v>56</v>
      </c>
      <c r="U1586">
        <v>52.536273000000001</v>
      </c>
      <c r="V1586">
        <v>19.050639</v>
      </c>
      <c r="W1586" t="str">
        <f t="shared" si="169"/>
        <v>ok</v>
      </c>
      <c r="X1586" t="str">
        <f t="shared" si="175"/>
        <v>ok</v>
      </c>
      <c r="Y1586" t="str">
        <f t="shared" si="170"/>
        <v>ok</v>
      </c>
      <c r="Z1586" t="str">
        <f t="shared" si="171"/>
        <v>ok</v>
      </c>
      <c r="AA1586" s="4" t="str">
        <f t="shared" si="172"/>
        <v>ok</v>
      </c>
      <c r="AB1586" s="4" t="str">
        <f t="shared" si="173"/>
        <v>ok</v>
      </c>
      <c r="AC1586" s="6">
        <f t="shared" si="174"/>
        <v>67.406461944279727</v>
      </c>
    </row>
    <row r="1587" spans="1:29" x14ac:dyDescent="0.3">
      <c r="A1587" t="s">
        <v>42</v>
      </c>
      <c r="B1587">
        <v>3020</v>
      </c>
      <c r="C1587" t="s">
        <v>47</v>
      </c>
      <c r="D1587" t="s">
        <v>24</v>
      </c>
      <c r="E1587" t="s">
        <v>48</v>
      </c>
      <c r="F1587" t="s">
        <v>26</v>
      </c>
      <c r="G1587" t="s">
        <v>49</v>
      </c>
      <c r="H1587" s="1">
        <v>45171.742615740739</v>
      </c>
      <c r="I1587" s="1">
        <v>45173.742615740739</v>
      </c>
      <c r="J1587" s="1">
        <v>45171.784282407411</v>
      </c>
      <c r="K1587" s="2">
        <v>45171.769928449074</v>
      </c>
      <c r="L1587" t="s">
        <v>28</v>
      </c>
      <c r="M1587" s="2">
        <v>45176.567680532411</v>
      </c>
      <c r="N1587" t="s">
        <v>38</v>
      </c>
      <c r="P1587">
        <v>5</v>
      </c>
      <c r="R1587" t="s">
        <v>50</v>
      </c>
      <c r="S1587" t="s">
        <v>30</v>
      </c>
      <c r="T1587" t="s">
        <v>46</v>
      </c>
      <c r="U1587">
        <v>47.696471899999999</v>
      </c>
      <c r="V1587">
        <v>13.3457347</v>
      </c>
      <c r="W1587" t="str">
        <f t="shared" si="169"/>
        <v>ok</v>
      </c>
      <c r="X1587" t="str">
        <f t="shared" si="175"/>
        <v>ok</v>
      </c>
      <c r="Y1587" t="str">
        <f t="shared" si="170"/>
        <v>ok</v>
      </c>
      <c r="Z1587" t="str">
        <f t="shared" si="171"/>
        <v>ok</v>
      </c>
      <c r="AA1587" s="4" t="str">
        <f t="shared" si="172"/>
        <v>ok</v>
      </c>
      <c r="AB1587" s="4" t="str">
        <f t="shared" si="173"/>
        <v>ok</v>
      </c>
      <c r="AC1587" s="6">
        <f t="shared" si="174"/>
        <v>115.80155500012916</v>
      </c>
    </row>
    <row r="1588" spans="1:29" x14ac:dyDescent="0.3">
      <c r="A1588" t="s">
        <v>22</v>
      </c>
      <c r="B1588">
        <v>3021</v>
      </c>
      <c r="C1588" t="s">
        <v>47</v>
      </c>
      <c r="D1588" t="s">
        <v>43</v>
      </c>
      <c r="E1588" t="s">
        <v>67</v>
      </c>
      <c r="F1588" t="s">
        <v>26</v>
      </c>
      <c r="G1588" t="s">
        <v>52</v>
      </c>
      <c r="H1588" s="1">
        <v>45171.099178240744</v>
      </c>
      <c r="I1588" s="1">
        <v>45172.099178240744</v>
      </c>
      <c r="J1588" s="1">
        <v>45171.10056712963</v>
      </c>
      <c r="K1588" s="2">
        <v>45171.09989474537</v>
      </c>
      <c r="L1588" t="s">
        <v>28</v>
      </c>
      <c r="M1588" s="2">
        <v>45173.847549571758</v>
      </c>
      <c r="N1588" t="s">
        <v>38</v>
      </c>
      <c r="O1588" s="2">
        <v>45175.092266539352</v>
      </c>
      <c r="P1588">
        <v>7</v>
      </c>
      <c r="Q1588">
        <v>5</v>
      </c>
      <c r="R1588" t="s">
        <v>29</v>
      </c>
      <c r="S1588" t="s">
        <v>30</v>
      </c>
      <c r="T1588" t="s">
        <v>56</v>
      </c>
      <c r="U1588">
        <v>52.536273000000001</v>
      </c>
      <c r="V1588">
        <v>19.050639</v>
      </c>
      <c r="W1588" t="str">
        <f t="shared" si="169"/>
        <v>ok</v>
      </c>
      <c r="X1588" t="str">
        <f t="shared" si="175"/>
        <v>ok</v>
      </c>
      <c r="Y1588" t="str">
        <f t="shared" si="170"/>
        <v>ok</v>
      </c>
      <c r="Z1588" t="str">
        <f t="shared" si="171"/>
        <v>ok</v>
      </c>
      <c r="AA1588" s="4" t="str">
        <f t="shared" si="172"/>
        <v>ok</v>
      </c>
      <c r="AB1588" s="4" t="str">
        <f t="shared" si="173"/>
        <v>ok</v>
      </c>
      <c r="AC1588" s="6">
        <f t="shared" si="174"/>
        <v>65.96091194433393</v>
      </c>
    </row>
    <row r="1589" spans="1:29" x14ac:dyDescent="0.3">
      <c r="A1589" t="s">
        <v>22</v>
      </c>
      <c r="B1589">
        <v>3022</v>
      </c>
      <c r="C1589" t="s">
        <v>33</v>
      </c>
      <c r="D1589" t="s">
        <v>43</v>
      </c>
      <c r="E1589" t="s">
        <v>67</v>
      </c>
      <c r="F1589" t="s">
        <v>26</v>
      </c>
      <c r="G1589" t="s">
        <v>49</v>
      </c>
      <c r="H1589" s="1">
        <v>45172.679432870369</v>
      </c>
      <c r="I1589" s="1">
        <v>45173.679432870369</v>
      </c>
      <c r="J1589" s="1">
        <v>45172.680821759262</v>
      </c>
      <c r="K1589" s="2">
        <v>45172.679721712964</v>
      </c>
      <c r="L1589" t="s">
        <v>28</v>
      </c>
      <c r="M1589" s="2">
        <v>45173.296797650466</v>
      </c>
      <c r="N1589" t="s">
        <v>28</v>
      </c>
      <c r="O1589" s="2">
        <v>45175.531297384259</v>
      </c>
      <c r="P1589">
        <v>2</v>
      </c>
      <c r="Q1589">
        <v>4</v>
      </c>
      <c r="R1589" t="s">
        <v>29</v>
      </c>
      <c r="S1589" t="s">
        <v>30</v>
      </c>
      <c r="T1589" t="s">
        <v>65</v>
      </c>
      <c r="U1589">
        <v>46.149166399999999</v>
      </c>
      <c r="V1589">
        <v>14.9860106</v>
      </c>
      <c r="W1589" t="str">
        <f t="shared" si="169"/>
        <v>ok</v>
      </c>
      <c r="X1589" t="str">
        <f t="shared" si="175"/>
        <v>ok</v>
      </c>
      <c r="Y1589" t="str">
        <f t="shared" si="170"/>
        <v>ok</v>
      </c>
      <c r="Z1589" t="str">
        <f t="shared" si="171"/>
        <v>ok</v>
      </c>
      <c r="AA1589" s="4" t="str">
        <f t="shared" si="172"/>
        <v>ok</v>
      </c>
      <c r="AB1589" s="4" t="str">
        <f t="shared" si="173"/>
        <v>ok</v>
      </c>
      <c r="AC1589" s="6">
        <f t="shared" si="174"/>
        <v>14.81675472232746</v>
      </c>
    </row>
    <row r="1590" spans="1:29" x14ac:dyDescent="0.3">
      <c r="A1590" t="s">
        <v>42</v>
      </c>
      <c r="B1590">
        <v>3023</v>
      </c>
      <c r="C1590" t="s">
        <v>47</v>
      </c>
      <c r="D1590" t="s">
        <v>43</v>
      </c>
      <c r="E1590" t="s">
        <v>25</v>
      </c>
      <c r="F1590" t="s">
        <v>26</v>
      </c>
      <c r="G1590" t="s">
        <v>52</v>
      </c>
      <c r="H1590" s="1">
        <v>45172.352766203701</v>
      </c>
      <c r="I1590" s="1">
        <v>45173.352766203701</v>
      </c>
      <c r="J1590" s="1">
        <v>45172.354155092595</v>
      </c>
      <c r="K1590" s="2">
        <v>45172.353893692132</v>
      </c>
      <c r="L1590" t="s">
        <v>28</v>
      </c>
      <c r="M1590" s="2">
        <v>45172.668240960651</v>
      </c>
      <c r="N1590" t="s">
        <v>28</v>
      </c>
      <c r="P1590">
        <v>9</v>
      </c>
      <c r="R1590" t="s">
        <v>29</v>
      </c>
      <c r="S1590" t="s">
        <v>30</v>
      </c>
      <c r="T1590" t="s">
        <v>56</v>
      </c>
      <c r="U1590">
        <v>52.536273000000001</v>
      </c>
      <c r="V1590">
        <v>19.050639</v>
      </c>
      <c r="W1590" t="str">
        <f t="shared" si="169"/>
        <v>ok</v>
      </c>
      <c r="X1590" t="str">
        <f t="shared" si="175"/>
        <v>ok</v>
      </c>
      <c r="Y1590" t="str">
        <f t="shared" si="170"/>
        <v>ok</v>
      </c>
      <c r="Z1590" t="str">
        <f t="shared" si="171"/>
        <v>ok</v>
      </c>
      <c r="AA1590" s="4" t="str">
        <f t="shared" si="172"/>
        <v>ok</v>
      </c>
      <c r="AB1590" s="4" t="str">
        <f t="shared" si="173"/>
        <v>ok</v>
      </c>
      <c r="AC1590" s="6">
        <f t="shared" si="174"/>
        <v>7.5713941667927429</v>
      </c>
    </row>
    <row r="1591" spans="1:29" x14ac:dyDescent="0.3">
      <c r="A1591" t="s">
        <v>42</v>
      </c>
      <c r="B1591">
        <v>3024</v>
      </c>
      <c r="C1591" t="s">
        <v>47</v>
      </c>
      <c r="D1591" t="s">
        <v>43</v>
      </c>
      <c r="E1591" t="s">
        <v>35</v>
      </c>
      <c r="F1591" t="s">
        <v>36</v>
      </c>
      <c r="G1591" t="s">
        <v>37</v>
      </c>
      <c r="H1591" s="1">
        <v>45172.595578703702</v>
      </c>
      <c r="I1591" s="1">
        <v>45173.595578703702</v>
      </c>
      <c r="J1591" s="1">
        <v>45172.596967592595</v>
      </c>
      <c r="K1591" s="2">
        <v>45172.596566921296</v>
      </c>
      <c r="L1591" t="s">
        <v>28</v>
      </c>
      <c r="M1591" s="2">
        <v>45177.365490034725</v>
      </c>
      <c r="N1591" t="s">
        <v>38</v>
      </c>
      <c r="P1591">
        <v>6</v>
      </c>
      <c r="R1591" t="s">
        <v>29</v>
      </c>
      <c r="S1591" t="s">
        <v>40</v>
      </c>
      <c r="T1591" t="s">
        <v>66</v>
      </c>
      <c r="U1591">
        <v>48.864716000000001</v>
      </c>
      <c r="V1591">
        <v>2.3490139999999999</v>
      </c>
      <c r="W1591" t="str">
        <f t="shared" si="169"/>
        <v>ok</v>
      </c>
      <c r="X1591" t="str">
        <f t="shared" si="175"/>
        <v>ok</v>
      </c>
      <c r="Y1591" t="str">
        <f t="shared" si="170"/>
        <v>ok</v>
      </c>
      <c r="Z1591" t="str">
        <f t="shared" si="171"/>
        <v>ok</v>
      </c>
      <c r="AA1591" s="4" t="str">
        <f t="shared" si="172"/>
        <v>ok</v>
      </c>
      <c r="AB1591" s="4" t="str">
        <f t="shared" si="173"/>
        <v>ok</v>
      </c>
      <c r="AC1591" s="6">
        <f t="shared" si="174"/>
        <v>114.47787194454577</v>
      </c>
    </row>
    <row r="1592" spans="1:29" x14ac:dyDescent="0.3">
      <c r="A1592" t="s">
        <v>22</v>
      </c>
      <c r="B1592">
        <v>3025</v>
      </c>
      <c r="C1592" t="s">
        <v>23</v>
      </c>
      <c r="D1592" t="s">
        <v>24</v>
      </c>
      <c r="E1592" t="s">
        <v>59</v>
      </c>
      <c r="F1592" t="s">
        <v>26</v>
      </c>
      <c r="G1592" t="s">
        <v>27</v>
      </c>
      <c r="H1592" s="1">
        <v>45172.474317129629</v>
      </c>
      <c r="I1592" s="1">
        <v>45174.474317129629</v>
      </c>
      <c r="J1592" s="1">
        <v>45172.515983796293</v>
      </c>
      <c r="K1592" s="2">
        <v>45172.491732175928</v>
      </c>
      <c r="L1592" t="s">
        <v>28</v>
      </c>
      <c r="M1592" s="2">
        <v>45173.719214305558</v>
      </c>
      <c r="N1592" t="s">
        <v>28</v>
      </c>
      <c r="O1592" s="2">
        <v>45173.071969988428</v>
      </c>
      <c r="P1592">
        <v>6</v>
      </c>
      <c r="Q1592">
        <v>1</v>
      </c>
      <c r="R1592" t="s">
        <v>29</v>
      </c>
      <c r="S1592" t="s">
        <v>30</v>
      </c>
      <c r="T1592" t="s">
        <v>31</v>
      </c>
      <c r="U1592">
        <v>53.094023999999997</v>
      </c>
      <c r="V1592">
        <v>-8.0196749999999994</v>
      </c>
      <c r="W1592" t="str">
        <f t="shared" si="169"/>
        <v>ok</v>
      </c>
      <c r="X1592" t="str">
        <f t="shared" si="175"/>
        <v>ok</v>
      </c>
      <c r="Y1592" t="str">
        <f t="shared" si="170"/>
        <v>check</v>
      </c>
      <c r="Z1592" t="str">
        <f t="shared" si="171"/>
        <v>ok</v>
      </c>
      <c r="AA1592" s="4" t="str">
        <f t="shared" si="172"/>
        <v>ok</v>
      </c>
      <c r="AB1592" s="4" t="str">
        <f t="shared" si="173"/>
        <v>ok</v>
      </c>
      <c r="AC1592" s="6">
        <f t="shared" si="174"/>
        <v>29.877532222308218</v>
      </c>
    </row>
    <row r="1593" spans="1:29" x14ac:dyDescent="0.3">
      <c r="A1593" t="s">
        <v>22</v>
      </c>
      <c r="B1593">
        <v>3026</v>
      </c>
      <c r="C1593" t="s">
        <v>23</v>
      </c>
      <c r="D1593" t="s">
        <v>43</v>
      </c>
      <c r="E1593" t="s">
        <v>25</v>
      </c>
      <c r="F1593" t="s">
        <v>26</v>
      </c>
      <c r="G1593" t="s">
        <v>52</v>
      </c>
      <c r="H1593" s="1">
        <v>45173.836909722224</v>
      </c>
      <c r="I1593" s="1">
        <v>45174.836909722224</v>
      </c>
      <c r="J1593" s="1">
        <v>45173.83829861111</v>
      </c>
      <c r="K1593" s="2">
        <v>45173.837269004631</v>
      </c>
      <c r="L1593" t="s">
        <v>28</v>
      </c>
      <c r="M1593" s="2">
        <v>45173.943943622682</v>
      </c>
      <c r="N1593" t="s">
        <v>28</v>
      </c>
      <c r="O1593" s="2">
        <v>45178.253416493055</v>
      </c>
      <c r="P1593">
        <v>4</v>
      </c>
      <c r="Q1593">
        <v>5</v>
      </c>
      <c r="R1593" t="s">
        <v>39</v>
      </c>
      <c r="S1593" t="s">
        <v>30</v>
      </c>
      <c r="T1593" t="s">
        <v>57</v>
      </c>
      <c r="U1593">
        <v>51.165691000000002</v>
      </c>
      <c r="V1593">
        <v>10.451525999999999</v>
      </c>
      <c r="W1593" t="str">
        <f t="shared" si="169"/>
        <v>ok</v>
      </c>
      <c r="X1593" t="str">
        <f t="shared" si="175"/>
        <v>ok</v>
      </c>
      <c r="Y1593" t="str">
        <f t="shared" si="170"/>
        <v>ok</v>
      </c>
      <c r="Z1593" t="str">
        <f t="shared" si="171"/>
        <v>ok</v>
      </c>
      <c r="AA1593" s="4" t="str">
        <f t="shared" si="172"/>
        <v>ok</v>
      </c>
      <c r="AB1593" s="4" t="str">
        <f t="shared" si="173"/>
        <v>ok</v>
      </c>
      <c r="AC1593" s="6">
        <f t="shared" si="174"/>
        <v>2.5688136109965853</v>
      </c>
    </row>
    <row r="1594" spans="1:29" x14ac:dyDescent="0.3">
      <c r="A1594" t="s">
        <v>42</v>
      </c>
      <c r="B1594">
        <v>3027</v>
      </c>
      <c r="C1594" t="s">
        <v>23</v>
      </c>
      <c r="D1594" t="s">
        <v>43</v>
      </c>
      <c r="E1594" t="s">
        <v>35</v>
      </c>
      <c r="F1594" t="s">
        <v>26</v>
      </c>
      <c r="G1594" t="s">
        <v>49</v>
      </c>
      <c r="H1594" s="1">
        <v>45173.929201388892</v>
      </c>
      <c r="I1594" s="1">
        <v>45174.929201388892</v>
      </c>
      <c r="J1594" s="1">
        <v>45173.930590277778</v>
      </c>
      <c r="K1594" s="2">
        <v>45173.930073240743</v>
      </c>
      <c r="L1594" t="s">
        <v>28</v>
      </c>
      <c r="M1594" s="2">
        <v>45174.523349849536</v>
      </c>
      <c r="N1594" t="s">
        <v>28</v>
      </c>
      <c r="P1594">
        <v>2</v>
      </c>
      <c r="R1594" t="s">
        <v>50</v>
      </c>
      <c r="S1594" t="s">
        <v>30</v>
      </c>
      <c r="T1594" t="s">
        <v>57</v>
      </c>
      <c r="U1594">
        <v>51.165691000000002</v>
      </c>
      <c r="V1594">
        <v>10.451525999999999</v>
      </c>
      <c r="W1594" t="str">
        <f t="shared" si="169"/>
        <v>ok</v>
      </c>
      <c r="X1594" t="str">
        <f t="shared" si="175"/>
        <v>ok</v>
      </c>
      <c r="Y1594" t="str">
        <f t="shared" si="170"/>
        <v>ok</v>
      </c>
      <c r="Z1594" t="str">
        <f t="shared" si="171"/>
        <v>ok</v>
      </c>
      <c r="AA1594" s="4" t="str">
        <f t="shared" si="172"/>
        <v>ok</v>
      </c>
      <c r="AB1594" s="4" t="str">
        <f t="shared" si="173"/>
        <v>ok</v>
      </c>
      <c r="AC1594" s="6">
        <f t="shared" si="174"/>
        <v>14.259563055471517</v>
      </c>
    </row>
    <row r="1595" spans="1:29" x14ac:dyDescent="0.3">
      <c r="A1595" t="s">
        <v>22</v>
      </c>
      <c r="B1595">
        <v>3028</v>
      </c>
      <c r="C1595" t="s">
        <v>23</v>
      </c>
      <c r="D1595" t="s">
        <v>34</v>
      </c>
      <c r="E1595" t="s">
        <v>35</v>
      </c>
      <c r="F1595" t="s">
        <v>26</v>
      </c>
      <c r="G1595" t="s">
        <v>27</v>
      </c>
      <c r="H1595" s="1">
        <v>45173.065891203703</v>
      </c>
      <c r="I1595" s="1">
        <v>45175.065891203703</v>
      </c>
      <c r="J1595" s="1">
        <v>45173.067280092589</v>
      </c>
      <c r="K1595" s="2">
        <v>45173.07003534722</v>
      </c>
      <c r="L1595" t="s">
        <v>38</v>
      </c>
      <c r="M1595" s="2">
        <v>45175.542834270833</v>
      </c>
      <c r="N1595" t="s">
        <v>38</v>
      </c>
      <c r="O1595" s="2">
        <v>45175.895414930557</v>
      </c>
      <c r="P1595">
        <v>3</v>
      </c>
      <c r="Q1595">
        <v>5</v>
      </c>
      <c r="R1595" t="s">
        <v>50</v>
      </c>
      <c r="S1595" t="s">
        <v>30</v>
      </c>
      <c r="T1595" t="s">
        <v>41</v>
      </c>
      <c r="U1595">
        <v>43.036776000000003</v>
      </c>
      <c r="V1595">
        <v>12.678565000000001</v>
      </c>
      <c r="W1595" t="str">
        <f t="shared" si="169"/>
        <v>ok</v>
      </c>
      <c r="X1595" t="str">
        <f t="shared" si="175"/>
        <v>ok</v>
      </c>
      <c r="Y1595" t="str">
        <f t="shared" si="170"/>
        <v>ok</v>
      </c>
      <c r="Z1595" t="str">
        <f t="shared" si="171"/>
        <v>ok</v>
      </c>
      <c r="AA1595" s="4" t="str">
        <f t="shared" si="172"/>
        <v>ok</v>
      </c>
      <c r="AB1595" s="4" t="str">
        <f t="shared" si="173"/>
        <v>ok</v>
      </c>
      <c r="AC1595" s="6">
        <f t="shared" si="174"/>
        <v>59.446633611107245</v>
      </c>
    </row>
    <row r="1596" spans="1:29" x14ac:dyDescent="0.3">
      <c r="A1596" t="s">
        <v>22</v>
      </c>
      <c r="B1596">
        <v>3029</v>
      </c>
      <c r="C1596" t="s">
        <v>23</v>
      </c>
      <c r="D1596" t="s">
        <v>24</v>
      </c>
      <c r="E1596" t="s">
        <v>25</v>
      </c>
      <c r="F1596" t="s">
        <v>36</v>
      </c>
      <c r="G1596" t="s">
        <v>54</v>
      </c>
      <c r="H1596" s="1">
        <v>45173.985717592594</v>
      </c>
      <c r="I1596" s="1">
        <v>45175.985717592594</v>
      </c>
      <c r="J1596" s="1">
        <v>45174.027384259258</v>
      </c>
      <c r="K1596" s="2">
        <v>45173.991985717592</v>
      </c>
      <c r="L1596" t="s">
        <v>28</v>
      </c>
      <c r="M1596" s="2">
        <v>45175.674843078705</v>
      </c>
      <c r="N1596" t="s">
        <v>28</v>
      </c>
      <c r="O1596" s="2">
        <v>45178.435284224535</v>
      </c>
      <c r="P1596">
        <v>7</v>
      </c>
      <c r="Q1596">
        <v>1</v>
      </c>
      <c r="R1596" t="s">
        <v>39</v>
      </c>
      <c r="S1596" t="s">
        <v>40</v>
      </c>
      <c r="T1596" t="s">
        <v>41</v>
      </c>
      <c r="U1596">
        <v>43.036776000000003</v>
      </c>
      <c r="V1596">
        <v>12.678565000000001</v>
      </c>
      <c r="W1596" t="str">
        <f t="shared" si="169"/>
        <v>ok</v>
      </c>
      <c r="X1596" t="str">
        <f t="shared" si="175"/>
        <v>ok</v>
      </c>
      <c r="Y1596" t="str">
        <f t="shared" si="170"/>
        <v>ok</v>
      </c>
      <c r="Z1596" t="str">
        <f t="shared" si="171"/>
        <v>ok</v>
      </c>
      <c r="AA1596" s="4" t="str">
        <f t="shared" si="172"/>
        <v>ok</v>
      </c>
      <c r="AB1596" s="4" t="str">
        <f t="shared" si="173"/>
        <v>ok</v>
      </c>
      <c r="AC1596" s="6">
        <f t="shared" si="174"/>
        <v>40.539011666667648</v>
      </c>
    </row>
    <row r="1597" spans="1:29" x14ac:dyDescent="0.3">
      <c r="A1597" t="s">
        <v>42</v>
      </c>
      <c r="B1597">
        <v>3030</v>
      </c>
      <c r="C1597" t="s">
        <v>23</v>
      </c>
      <c r="D1597" t="s">
        <v>43</v>
      </c>
      <c r="E1597" t="s">
        <v>25</v>
      </c>
      <c r="F1597" t="s">
        <v>26</v>
      </c>
      <c r="G1597" t="s">
        <v>27</v>
      </c>
      <c r="H1597" s="1">
        <v>45173.455324074072</v>
      </c>
      <c r="I1597" s="1">
        <v>45174.455324074072</v>
      </c>
      <c r="J1597" s="1">
        <v>45173.456712962965</v>
      </c>
      <c r="K1597" s="2">
        <v>45173.455926863426</v>
      </c>
      <c r="L1597" t="s">
        <v>28</v>
      </c>
      <c r="M1597" s="2">
        <v>45174.136588460649</v>
      </c>
      <c r="N1597" t="s">
        <v>28</v>
      </c>
      <c r="P1597">
        <v>5</v>
      </c>
      <c r="R1597" t="s">
        <v>29</v>
      </c>
      <c r="S1597" t="s">
        <v>30</v>
      </c>
      <c r="T1597" t="s">
        <v>63</v>
      </c>
      <c r="U1597">
        <v>55.378051999999997</v>
      </c>
      <c r="V1597">
        <v>-3.4359730000000002</v>
      </c>
      <c r="W1597" t="str">
        <f t="shared" si="169"/>
        <v>ok</v>
      </c>
      <c r="X1597" t="str">
        <f t="shared" si="175"/>
        <v>ok</v>
      </c>
      <c r="Y1597" t="str">
        <f t="shared" si="170"/>
        <v>ok</v>
      </c>
      <c r="Z1597" t="str">
        <f t="shared" si="171"/>
        <v>ok</v>
      </c>
      <c r="AA1597" s="4" t="str">
        <f t="shared" si="172"/>
        <v>ok</v>
      </c>
      <c r="AB1597" s="4" t="str">
        <f t="shared" si="173"/>
        <v>ok</v>
      </c>
      <c r="AC1597" s="6">
        <f t="shared" si="174"/>
        <v>16.350345277867746</v>
      </c>
    </row>
    <row r="1598" spans="1:29" x14ac:dyDescent="0.3">
      <c r="A1598" t="s">
        <v>32</v>
      </c>
      <c r="B1598">
        <v>3031</v>
      </c>
      <c r="C1598" t="s">
        <v>23</v>
      </c>
      <c r="D1598" t="s">
        <v>43</v>
      </c>
      <c r="E1598" t="s">
        <v>44</v>
      </c>
      <c r="F1598" t="s">
        <v>36</v>
      </c>
      <c r="G1598" t="s">
        <v>64</v>
      </c>
      <c r="H1598" s="1">
        <v>45173.452349537038</v>
      </c>
      <c r="I1598" s="1">
        <v>45174.452349537038</v>
      </c>
      <c r="J1598" s="1">
        <v>45173.453738425924</v>
      </c>
      <c r="K1598" s="2">
        <v>45173.453053831021</v>
      </c>
      <c r="L1598" t="s">
        <v>28</v>
      </c>
      <c r="N1598" t="s">
        <v>38</v>
      </c>
      <c r="P1598">
        <v>5</v>
      </c>
      <c r="R1598" t="s">
        <v>50</v>
      </c>
      <c r="S1598" t="s">
        <v>40</v>
      </c>
      <c r="T1598" t="s">
        <v>58</v>
      </c>
      <c r="U1598">
        <v>49.8037633</v>
      </c>
      <c r="V1598">
        <v>15.4749126</v>
      </c>
      <c r="W1598" t="str">
        <f t="shared" si="169"/>
        <v>ok</v>
      </c>
      <c r="X1598" t="str">
        <f t="shared" si="175"/>
        <v>ok</v>
      </c>
      <c r="Y1598" t="str">
        <f t="shared" si="170"/>
        <v>ok</v>
      </c>
      <c r="Z1598" t="str">
        <f t="shared" si="171"/>
        <v>ok</v>
      </c>
      <c r="AA1598" s="4" t="str">
        <f t="shared" si="172"/>
        <v>ok</v>
      </c>
      <c r="AB1598" s="4" t="str">
        <f t="shared" si="173"/>
        <v>no resolution</v>
      </c>
      <c r="AC1598" s="6" t="str">
        <f t="shared" si="174"/>
        <v/>
      </c>
    </row>
    <row r="1599" spans="1:29" x14ac:dyDescent="0.3">
      <c r="A1599" t="s">
        <v>42</v>
      </c>
      <c r="B1599">
        <v>3032</v>
      </c>
      <c r="C1599" t="s">
        <v>23</v>
      </c>
      <c r="D1599" t="s">
        <v>24</v>
      </c>
      <c r="E1599" t="s">
        <v>25</v>
      </c>
      <c r="F1599" t="s">
        <v>26</v>
      </c>
      <c r="G1599" t="s">
        <v>45</v>
      </c>
      <c r="H1599" s="1">
        <v>45173.643750000003</v>
      </c>
      <c r="I1599" s="1">
        <v>45175.643750000003</v>
      </c>
      <c r="J1599" s="1">
        <v>45173.685416666667</v>
      </c>
      <c r="K1599" s="2">
        <v>45173.656634317129</v>
      </c>
      <c r="L1599" t="s">
        <v>28</v>
      </c>
      <c r="M1599" s="2">
        <v>45174.874234374998</v>
      </c>
      <c r="N1599" t="s">
        <v>28</v>
      </c>
      <c r="P1599">
        <v>7</v>
      </c>
      <c r="R1599" t="s">
        <v>50</v>
      </c>
      <c r="S1599" t="s">
        <v>30</v>
      </c>
      <c r="T1599" t="s">
        <v>58</v>
      </c>
      <c r="U1599">
        <v>49.8037633</v>
      </c>
      <c r="V1599">
        <v>15.4749126</v>
      </c>
      <c r="W1599" t="str">
        <f t="shared" si="169"/>
        <v>ok</v>
      </c>
      <c r="X1599" t="str">
        <f t="shared" si="175"/>
        <v>ok</v>
      </c>
      <c r="Y1599" t="str">
        <f t="shared" si="170"/>
        <v>ok</v>
      </c>
      <c r="Z1599" t="str">
        <f t="shared" si="171"/>
        <v>ok</v>
      </c>
      <c r="AA1599" s="4" t="str">
        <f t="shared" si="172"/>
        <v>ok</v>
      </c>
      <c r="AB1599" s="4" t="str">
        <f t="shared" si="173"/>
        <v>ok</v>
      </c>
      <c r="AC1599" s="6">
        <f t="shared" si="174"/>
        <v>29.531624999886844</v>
      </c>
    </row>
    <row r="1600" spans="1:29" x14ac:dyDescent="0.3">
      <c r="A1600" t="s">
        <v>22</v>
      </c>
      <c r="B1600">
        <v>3033</v>
      </c>
      <c r="C1600" t="s">
        <v>33</v>
      </c>
      <c r="D1600" t="s">
        <v>43</v>
      </c>
      <c r="E1600" t="s">
        <v>44</v>
      </c>
      <c r="F1600" t="s">
        <v>26</v>
      </c>
      <c r="G1600" t="s">
        <v>49</v>
      </c>
      <c r="H1600" s="1">
        <v>45174.255208333336</v>
      </c>
      <c r="I1600" s="1">
        <v>45175.255208333336</v>
      </c>
      <c r="J1600" s="1">
        <v>45174.256597222222</v>
      </c>
      <c r="K1600" s="2">
        <v>45174.256360578707</v>
      </c>
      <c r="L1600" t="s">
        <v>28</v>
      </c>
      <c r="M1600" s="2">
        <v>45175.108254525461</v>
      </c>
      <c r="N1600" t="s">
        <v>28</v>
      </c>
      <c r="O1600" s="2">
        <v>45180.918758391206</v>
      </c>
      <c r="P1600">
        <v>5</v>
      </c>
      <c r="Q1600">
        <v>5</v>
      </c>
      <c r="R1600" t="s">
        <v>39</v>
      </c>
      <c r="S1600" t="s">
        <v>30</v>
      </c>
      <c r="T1600" t="s">
        <v>63</v>
      </c>
      <c r="U1600">
        <v>55.378051999999997</v>
      </c>
      <c r="V1600">
        <v>-3.4359730000000002</v>
      </c>
      <c r="W1600" t="str">
        <f t="shared" si="169"/>
        <v>ok</v>
      </c>
      <c r="X1600" t="str">
        <f t="shared" si="175"/>
        <v>ok</v>
      </c>
      <c r="Y1600" t="str">
        <f t="shared" si="170"/>
        <v>ok</v>
      </c>
      <c r="Z1600" t="str">
        <f t="shared" si="171"/>
        <v>ok</v>
      </c>
      <c r="AA1600" s="4" t="str">
        <f t="shared" si="172"/>
        <v>ok</v>
      </c>
      <c r="AB1600" s="4" t="str">
        <f t="shared" si="173"/>
        <v>ok</v>
      </c>
      <c r="AC1600" s="6">
        <f t="shared" si="174"/>
        <v>20.473108611011412</v>
      </c>
    </row>
    <row r="1601" spans="1:29" x14ac:dyDescent="0.3">
      <c r="A1601" t="s">
        <v>22</v>
      </c>
      <c r="B1601">
        <v>3034</v>
      </c>
      <c r="C1601" t="s">
        <v>23</v>
      </c>
      <c r="D1601" t="s">
        <v>43</v>
      </c>
      <c r="E1601" t="s">
        <v>35</v>
      </c>
      <c r="F1601" t="s">
        <v>26</v>
      </c>
      <c r="G1601" t="s">
        <v>27</v>
      </c>
      <c r="H1601" s="1">
        <v>45174.165682870371</v>
      </c>
      <c r="I1601" s="1">
        <v>45175.165682870371</v>
      </c>
      <c r="J1601" s="1">
        <v>45174.167071759257</v>
      </c>
      <c r="K1601" s="2">
        <v>45174.166012094909</v>
      </c>
      <c r="L1601" t="s">
        <v>28</v>
      </c>
      <c r="M1601" s="2">
        <v>45178.328255520835</v>
      </c>
      <c r="N1601" t="s">
        <v>38</v>
      </c>
      <c r="O1601" s="2">
        <v>45178.756550393518</v>
      </c>
      <c r="P1601">
        <v>6</v>
      </c>
      <c r="Q1601">
        <v>1</v>
      </c>
      <c r="R1601" t="s">
        <v>50</v>
      </c>
      <c r="S1601" t="s">
        <v>30</v>
      </c>
      <c r="T1601" t="s">
        <v>51</v>
      </c>
      <c r="U1601">
        <v>39.673369999999998</v>
      </c>
      <c r="V1601">
        <v>-4.7677259999999997</v>
      </c>
      <c r="W1601" t="str">
        <f t="shared" si="169"/>
        <v>ok</v>
      </c>
      <c r="X1601" t="str">
        <f t="shared" si="175"/>
        <v>ok</v>
      </c>
      <c r="Y1601" t="str">
        <f t="shared" si="170"/>
        <v>ok</v>
      </c>
      <c r="Z1601" t="str">
        <f t="shared" si="171"/>
        <v>ok</v>
      </c>
      <c r="AA1601" s="4" t="str">
        <f t="shared" si="172"/>
        <v>ok</v>
      </c>
      <c r="AB1601" s="4" t="str">
        <f t="shared" si="173"/>
        <v>ok</v>
      </c>
      <c r="AC1601" s="6">
        <f t="shared" si="174"/>
        <v>99.90174361114623</v>
      </c>
    </row>
    <row r="1602" spans="1:29" x14ac:dyDescent="0.3">
      <c r="A1602" t="s">
        <v>22</v>
      </c>
      <c r="B1602">
        <v>3035</v>
      </c>
      <c r="C1602" t="s">
        <v>47</v>
      </c>
      <c r="D1602" t="s">
        <v>43</v>
      </c>
      <c r="E1602" t="s">
        <v>67</v>
      </c>
      <c r="F1602" t="s">
        <v>26</v>
      </c>
      <c r="G1602" t="s">
        <v>49</v>
      </c>
      <c r="H1602" s="1">
        <v>45174.613796296297</v>
      </c>
      <c r="I1602" s="1">
        <v>45175.613796296297</v>
      </c>
      <c r="J1602" s="1">
        <v>45174.615185185183</v>
      </c>
      <c r="K1602" s="2">
        <v>45174.614314131948</v>
      </c>
      <c r="L1602" t="s">
        <v>28</v>
      </c>
      <c r="M1602" s="2">
        <v>45175.09593935185</v>
      </c>
      <c r="N1602" t="s">
        <v>28</v>
      </c>
      <c r="O1602" s="2">
        <v>45176.548792534719</v>
      </c>
      <c r="P1602">
        <v>6</v>
      </c>
      <c r="Q1602">
        <v>4</v>
      </c>
      <c r="R1602" t="s">
        <v>29</v>
      </c>
      <c r="S1602" t="s">
        <v>30</v>
      </c>
      <c r="T1602" t="s">
        <v>61</v>
      </c>
      <c r="U1602">
        <v>42.724992499999999</v>
      </c>
      <c r="V1602">
        <v>25.483303899999999</v>
      </c>
      <c r="W1602" t="str">
        <f t="shared" ref="W1602:W1665" si="176">IF(K1602&lt;H1602,"check","ok")</f>
        <v>ok</v>
      </c>
      <c r="X1602" t="str">
        <f t="shared" si="175"/>
        <v>ok</v>
      </c>
      <c r="Y1602" t="str">
        <f t="shared" ref="Y1602:Y1665" si="177">IF(AND(M1602&lt;&gt;"",O1602&lt;&gt;"",O1602&lt;M1602),"check","ok")</f>
        <v>ok</v>
      </c>
      <c r="Z1602" t="str">
        <f t="shared" ref="Z1602:Z1665" si="178">IF(AND(OR(CA1602="Closed",A1602="Resolved"),M1602=""),"check","ok")</f>
        <v>ok</v>
      </c>
      <c r="AA1602" s="4" t="str">
        <f t="shared" ref="AA1602:AA1665" si="179">IF(K1602="","no response",IF(OR(AND(K1602&lt;=J1602,L1602="Within SLA"),AND(K1602&gt;J1602,L1602="SLA Violated")),"ok","check"))</f>
        <v>ok</v>
      </c>
      <c r="AB1602" s="4" t="str">
        <f t="shared" ref="AB1602:AB1665" si="180">IF(M1602="","no resolution",IF(OR(AND(M1602&lt;=I1602,N1602="Within SLA"),AND(M1602&gt;I1602,N1602="SLA Violated")),"ok","check"))</f>
        <v>ok</v>
      </c>
      <c r="AC1602" s="6">
        <f t="shared" ref="AC1602:AC1665" si="181">IF(M1602="","",(M1602-H1602)*24)</f>
        <v>11.57143333327258</v>
      </c>
    </row>
    <row r="1603" spans="1:29" x14ac:dyDescent="0.3">
      <c r="A1603" t="s">
        <v>22</v>
      </c>
      <c r="B1603">
        <v>3036</v>
      </c>
      <c r="C1603" t="s">
        <v>23</v>
      </c>
      <c r="D1603" t="s">
        <v>24</v>
      </c>
      <c r="E1603" t="s">
        <v>25</v>
      </c>
      <c r="F1603" t="s">
        <v>26</v>
      </c>
      <c r="G1603" t="s">
        <v>49</v>
      </c>
      <c r="H1603" s="1">
        <v>45175.696504629632</v>
      </c>
      <c r="I1603" s="1">
        <v>45177.696504629632</v>
      </c>
      <c r="J1603" s="1">
        <v>45175.738171296296</v>
      </c>
      <c r="K1603" s="2">
        <v>45175.72497239583</v>
      </c>
      <c r="L1603" t="s">
        <v>28</v>
      </c>
      <c r="M1603" s="2">
        <v>45178.732155081016</v>
      </c>
      <c r="N1603" t="s">
        <v>38</v>
      </c>
      <c r="O1603" s="2">
        <v>45178.846349131942</v>
      </c>
      <c r="P1603">
        <v>6</v>
      </c>
      <c r="Q1603">
        <v>3</v>
      </c>
      <c r="R1603" t="s">
        <v>29</v>
      </c>
      <c r="S1603" t="s">
        <v>30</v>
      </c>
      <c r="T1603" t="s">
        <v>57</v>
      </c>
      <c r="U1603">
        <v>51.165691000000002</v>
      </c>
      <c r="V1603">
        <v>10.451525999999999</v>
      </c>
      <c r="W1603" t="str">
        <f t="shared" si="176"/>
        <v>ok</v>
      </c>
      <c r="X1603" t="str">
        <f t="shared" ref="X1603:X1666" si="182">IF(AND(M1603&lt;&gt;"",M1603&lt;H1603),"check","ok")</f>
        <v>ok</v>
      </c>
      <c r="Y1603" t="str">
        <f t="shared" si="177"/>
        <v>ok</v>
      </c>
      <c r="Z1603" t="str">
        <f t="shared" si="178"/>
        <v>ok</v>
      </c>
      <c r="AA1603" s="4" t="str">
        <f t="shared" si="179"/>
        <v>ok</v>
      </c>
      <c r="AB1603" s="4" t="str">
        <f t="shared" si="180"/>
        <v>ok</v>
      </c>
      <c r="AC1603" s="6">
        <f t="shared" si="181"/>
        <v>72.855610833212268</v>
      </c>
    </row>
    <row r="1604" spans="1:29" x14ac:dyDescent="0.3">
      <c r="A1604" t="s">
        <v>22</v>
      </c>
      <c r="B1604">
        <v>3037</v>
      </c>
      <c r="C1604" t="s">
        <v>47</v>
      </c>
      <c r="D1604" t="s">
        <v>24</v>
      </c>
      <c r="E1604" t="s">
        <v>25</v>
      </c>
      <c r="F1604" t="s">
        <v>36</v>
      </c>
      <c r="G1604" t="s">
        <v>54</v>
      </c>
      <c r="H1604" s="1">
        <v>45175.711493055554</v>
      </c>
      <c r="I1604" s="1">
        <v>45177.711493055554</v>
      </c>
      <c r="J1604" s="1">
        <v>45175.753159722219</v>
      </c>
      <c r="K1604" s="2">
        <v>45175.73789827546</v>
      </c>
      <c r="L1604" t="s">
        <v>28</v>
      </c>
      <c r="M1604" s="2">
        <v>45177.466895046295</v>
      </c>
      <c r="N1604" t="s">
        <v>28</v>
      </c>
      <c r="O1604" s="2">
        <v>45177.734877430557</v>
      </c>
      <c r="P1604">
        <v>1</v>
      </c>
      <c r="Q1604">
        <v>5</v>
      </c>
      <c r="R1604" t="s">
        <v>50</v>
      </c>
      <c r="S1604" t="s">
        <v>40</v>
      </c>
      <c r="T1604" t="s">
        <v>66</v>
      </c>
      <c r="U1604">
        <v>48.864716000000001</v>
      </c>
      <c r="V1604">
        <v>2.3490139999999999</v>
      </c>
      <c r="W1604" t="str">
        <f t="shared" si="176"/>
        <v>ok</v>
      </c>
      <c r="X1604" t="str">
        <f t="shared" si="182"/>
        <v>ok</v>
      </c>
      <c r="Y1604" t="str">
        <f t="shared" si="177"/>
        <v>ok</v>
      </c>
      <c r="Z1604" t="str">
        <f t="shared" si="178"/>
        <v>ok</v>
      </c>
      <c r="AA1604" s="4" t="str">
        <f t="shared" si="179"/>
        <v>ok</v>
      </c>
      <c r="AB1604" s="4" t="str">
        <f t="shared" si="180"/>
        <v>ok</v>
      </c>
      <c r="AC1604" s="6">
        <f t="shared" si="181"/>
        <v>42.129647777765058</v>
      </c>
    </row>
    <row r="1605" spans="1:29" x14ac:dyDescent="0.3">
      <c r="A1605" t="s">
        <v>42</v>
      </c>
      <c r="B1605">
        <v>3038</v>
      </c>
      <c r="C1605" t="s">
        <v>23</v>
      </c>
      <c r="D1605" t="s">
        <v>43</v>
      </c>
      <c r="E1605" t="s">
        <v>59</v>
      </c>
      <c r="F1605" t="s">
        <v>26</v>
      </c>
      <c r="G1605" t="s">
        <v>45</v>
      </c>
      <c r="H1605" s="1">
        <v>45175.103668981479</v>
      </c>
      <c r="I1605" s="1">
        <v>45176.103668981479</v>
      </c>
      <c r="J1605" s="1">
        <v>45175.105057870373</v>
      </c>
      <c r="K1605" s="2">
        <v>45175.104583969907</v>
      </c>
      <c r="L1605" t="s">
        <v>28</v>
      </c>
      <c r="M1605" s="2">
        <v>45175.528930300927</v>
      </c>
      <c r="N1605" t="s">
        <v>28</v>
      </c>
      <c r="P1605">
        <v>5</v>
      </c>
      <c r="R1605" t="s">
        <v>50</v>
      </c>
      <c r="S1605" t="s">
        <v>30</v>
      </c>
      <c r="T1605" t="s">
        <v>41</v>
      </c>
      <c r="U1605">
        <v>43.036776000000003</v>
      </c>
      <c r="V1605">
        <v>12.678565000000001</v>
      </c>
      <c r="W1605" t="str">
        <f t="shared" si="176"/>
        <v>ok</v>
      </c>
      <c r="X1605" t="str">
        <f t="shared" si="182"/>
        <v>ok</v>
      </c>
      <c r="Y1605" t="str">
        <f t="shared" si="177"/>
        <v>ok</v>
      </c>
      <c r="Z1605" t="str">
        <f t="shared" si="178"/>
        <v>ok</v>
      </c>
      <c r="AA1605" s="4" t="str">
        <f t="shared" si="179"/>
        <v>ok</v>
      </c>
      <c r="AB1605" s="4" t="str">
        <f t="shared" si="180"/>
        <v>ok</v>
      </c>
      <c r="AC1605" s="6">
        <f t="shared" si="181"/>
        <v>10.206271666742396</v>
      </c>
    </row>
    <row r="1606" spans="1:29" x14ac:dyDescent="0.3">
      <c r="A1606" t="s">
        <v>22</v>
      </c>
      <c r="B1606">
        <v>3039</v>
      </c>
      <c r="C1606" t="s">
        <v>23</v>
      </c>
      <c r="D1606" t="s">
        <v>43</v>
      </c>
      <c r="E1606" t="s">
        <v>48</v>
      </c>
      <c r="F1606" t="s">
        <v>26</v>
      </c>
      <c r="G1606" t="s">
        <v>49</v>
      </c>
      <c r="H1606" s="1">
        <v>45175.64634259259</v>
      </c>
      <c r="I1606" s="1">
        <v>45176.64634259259</v>
      </c>
      <c r="J1606" s="1">
        <v>45175.647731481484</v>
      </c>
      <c r="K1606" s="2">
        <v>45175.647122453702</v>
      </c>
      <c r="L1606" t="s">
        <v>28</v>
      </c>
      <c r="M1606" s="2">
        <v>45176.086198368059</v>
      </c>
      <c r="N1606" t="s">
        <v>28</v>
      </c>
      <c r="O1606" s="2">
        <v>45180.338238900462</v>
      </c>
      <c r="P1606">
        <v>8</v>
      </c>
      <c r="Q1606">
        <v>4</v>
      </c>
      <c r="R1606" t="s">
        <v>29</v>
      </c>
      <c r="S1606" t="s">
        <v>30</v>
      </c>
      <c r="T1606" t="s">
        <v>57</v>
      </c>
      <c r="U1606">
        <v>51.165691000000002</v>
      </c>
      <c r="V1606">
        <v>10.451525999999999</v>
      </c>
      <c r="W1606" t="str">
        <f t="shared" si="176"/>
        <v>ok</v>
      </c>
      <c r="X1606" t="str">
        <f t="shared" si="182"/>
        <v>ok</v>
      </c>
      <c r="Y1606" t="str">
        <f t="shared" si="177"/>
        <v>ok</v>
      </c>
      <c r="Z1606" t="str">
        <f t="shared" si="178"/>
        <v>ok</v>
      </c>
      <c r="AA1606" s="4" t="str">
        <f t="shared" si="179"/>
        <v>ok</v>
      </c>
      <c r="AB1606" s="4" t="str">
        <f t="shared" si="180"/>
        <v>ok</v>
      </c>
      <c r="AC1606" s="6">
        <f t="shared" si="181"/>
        <v>10.556538611243013</v>
      </c>
    </row>
    <row r="1607" spans="1:29" x14ac:dyDescent="0.3">
      <c r="A1607" t="s">
        <v>22</v>
      </c>
      <c r="B1607">
        <v>3040</v>
      </c>
      <c r="C1607" t="s">
        <v>47</v>
      </c>
      <c r="D1607" t="s">
        <v>24</v>
      </c>
      <c r="E1607" t="s">
        <v>35</v>
      </c>
      <c r="F1607" t="s">
        <v>36</v>
      </c>
      <c r="G1607" t="s">
        <v>54</v>
      </c>
      <c r="H1607" s="1">
        <v>45175.973622685182</v>
      </c>
      <c r="I1607" s="1">
        <v>45177.973622685182</v>
      </c>
      <c r="J1607" s="1">
        <v>45176.015289351853</v>
      </c>
      <c r="K1607" s="2">
        <v>45175.989812627318</v>
      </c>
      <c r="L1607" t="s">
        <v>28</v>
      </c>
      <c r="M1607" s="2">
        <v>45178.998649166664</v>
      </c>
      <c r="N1607" t="s">
        <v>38</v>
      </c>
      <c r="O1607" s="2">
        <v>45179.293521145832</v>
      </c>
      <c r="P1607">
        <v>3</v>
      </c>
      <c r="Q1607">
        <v>4</v>
      </c>
      <c r="R1607" t="s">
        <v>29</v>
      </c>
      <c r="S1607" t="s">
        <v>40</v>
      </c>
      <c r="T1607" t="s">
        <v>57</v>
      </c>
      <c r="U1607">
        <v>51.165691000000002</v>
      </c>
      <c r="V1607">
        <v>10.451525999999999</v>
      </c>
      <c r="W1607" t="str">
        <f t="shared" si="176"/>
        <v>ok</v>
      </c>
      <c r="X1607" t="str">
        <f t="shared" si="182"/>
        <v>ok</v>
      </c>
      <c r="Y1607" t="str">
        <f t="shared" si="177"/>
        <v>ok</v>
      </c>
      <c r="Z1607" t="str">
        <f t="shared" si="178"/>
        <v>ok</v>
      </c>
      <c r="AA1607" s="4" t="str">
        <f t="shared" si="179"/>
        <v>ok</v>
      </c>
      <c r="AB1607" s="4" t="str">
        <f t="shared" si="180"/>
        <v>ok</v>
      </c>
      <c r="AC1607" s="6">
        <f t="shared" si="181"/>
        <v>72.600635555572808</v>
      </c>
    </row>
    <row r="1608" spans="1:29" x14ac:dyDescent="0.3">
      <c r="A1608" t="s">
        <v>32</v>
      </c>
      <c r="B1608">
        <v>3041</v>
      </c>
      <c r="C1608" t="s">
        <v>47</v>
      </c>
      <c r="D1608" t="s">
        <v>24</v>
      </c>
      <c r="E1608" t="s">
        <v>44</v>
      </c>
      <c r="F1608" t="s">
        <v>36</v>
      </c>
      <c r="G1608" t="s">
        <v>64</v>
      </c>
      <c r="H1608" s="1">
        <v>45175.105474537035</v>
      </c>
      <c r="I1608" s="1">
        <v>45177.105474537035</v>
      </c>
      <c r="J1608" s="1">
        <v>45175.147141203706</v>
      </c>
      <c r="K1608" s="2">
        <v>45176.267090520836</v>
      </c>
      <c r="L1608" t="s">
        <v>38</v>
      </c>
      <c r="N1608" t="s">
        <v>38</v>
      </c>
      <c r="P1608">
        <v>5</v>
      </c>
      <c r="R1608" t="s">
        <v>50</v>
      </c>
      <c r="S1608" t="s">
        <v>40</v>
      </c>
      <c r="T1608" t="s">
        <v>65</v>
      </c>
      <c r="U1608">
        <v>46.149166399999999</v>
      </c>
      <c r="V1608">
        <v>14.9860106</v>
      </c>
      <c r="W1608" t="str">
        <f t="shared" si="176"/>
        <v>ok</v>
      </c>
      <c r="X1608" t="str">
        <f t="shared" si="182"/>
        <v>ok</v>
      </c>
      <c r="Y1608" t="str">
        <f t="shared" si="177"/>
        <v>ok</v>
      </c>
      <c r="Z1608" t="str">
        <f t="shared" si="178"/>
        <v>ok</v>
      </c>
      <c r="AA1608" s="4" t="str">
        <f t="shared" si="179"/>
        <v>ok</v>
      </c>
      <c r="AB1608" s="4" t="str">
        <f t="shared" si="180"/>
        <v>no resolution</v>
      </c>
      <c r="AC1608" s="6" t="str">
        <f t="shared" si="181"/>
        <v/>
      </c>
    </row>
    <row r="1609" spans="1:29" x14ac:dyDescent="0.3">
      <c r="A1609" t="s">
        <v>42</v>
      </c>
      <c r="B1609">
        <v>3042</v>
      </c>
      <c r="C1609" t="s">
        <v>47</v>
      </c>
      <c r="D1609" t="s">
        <v>24</v>
      </c>
      <c r="E1609" t="s">
        <v>39</v>
      </c>
      <c r="F1609" t="s">
        <v>26</v>
      </c>
      <c r="G1609" t="s">
        <v>27</v>
      </c>
      <c r="H1609" s="1">
        <v>45175.261365740742</v>
      </c>
      <c r="I1609" s="1">
        <v>45177.261365740742</v>
      </c>
      <c r="J1609" s="1">
        <v>45175.303032407406</v>
      </c>
      <c r="K1609" s="2">
        <v>45175.282621701386</v>
      </c>
      <c r="L1609" t="s">
        <v>28</v>
      </c>
      <c r="M1609" s="2">
        <v>45179.974300150461</v>
      </c>
      <c r="N1609" t="s">
        <v>38</v>
      </c>
      <c r="P1609">
        <v>5</v>
      </c>
      <c r="R1609" t="s">
        <v>50</v>
      </c>
      <c r="S1609" t="s">
        <v>30</v>
      </c>
      <c r="T1609" t="s">
        <v>56</v>
      </c>
      <c r="U1609">
        <v>52.536273000000001</v>
      </c>
      <c r="V1609">
        <v>19.050639</v>
      </c>
      <c r="W1609" t="str">
        <f t="shared" si="176"/>
        <v>ok</v>
      </c>
      <c r="X1609" t="str">
        <f t="shared" si="182"/>
        <v>ok</v>
      </c>
      <c r="Y1609" t="str">
        <f t="shared" si="177"/>
        <v>ok</v>
      </c>
      <c r="Z1609" t="str">
        <f t="shared" si="178"/>
        <v>ok</v>
      </c>
      <c r="AA1609" s="4" t="str">
        <f t="shared" si="179"/>
        <v>ok</v>
      </c>
      <c r="AB1609" s="4" t="str">
        <f t="shared" si="180"/>
        <v>ok</v>
      </c>
      <c r="AC1609" s="6">
        <f t="shared" si="181"/>
        <v>113.11042583326343</v>
      </c>
    </row>
    <row r="1610" spans="1:29" x14ac:dyDescent="0.3">
      <c r="A1610" t="s">
        <v>22</v>
      </c>
      <c r="B1610">
        <v>3043</v>
      </c>
      <c r="C1610" t="s">
        <v>47</v>
      </c>
      <c r="D1610" t="s">
        <v>43</v>
      </c>
      <c r="E1610" t="s">
        <v>48</v>
      </c>
      <c r="F1610" t="s">
        <v>26</v>
      </c>
      <c r="G1610" t="s">
        <v>27</v>
      </c>
      <c r="H1610" s="1">
        <v>45176.424363425926</v>
      </c>
      <c r="I1610" s="1">
        <v>45177.424363425926</v>
      </c>
      <c r="J1610" s="1">
        <v>45176.425752314812</v>
      </c>
      <c r="K1610" s="2">
        <v>45176.425264166668</v>
      </c>
      <c r="L1610" t="s">
        <v>28</v>
      </c>
      <c r="M1610" s="2">
        <v>45176.76522685185</v>
      </c>
      <c r="N1610" t="s">
        <v>28</v>
      </c>
      <c r="O1610" s="2">
        <v>45178.417382199077</v>
      </c>
      <c r="P1610">
        <v>6</v>
      </c>
      <c r="Q1610">
        <v>2</v>
      </c>
      <c r="R1610" t="s">
        <v>29</v>
      </c>
      <c r="S1610" t="s">
        <v>30</v>
      </c>
      <c r="T1610" t="s">
        <v>63</v>
      </c>
      <c r="U1610">
        <v>55.378051999999997</v>
      </c>
      <c r="V1610">
        <v>-3.4359730000000002</v>
      </c>
      <c r="W1610" t="str">
        <f t="shared" si="176"/>
        <v>ok</v>
      </c>
      <c r="X1610" t="str">
        <f t="shared" si="182"/>
        <v>ok</v>
      </c>
      <c r="Y1610" t="str">
        <f t="shared" si="177"/>
        <v>ok</v>
      </c>
      <c r="Z1610" t="str">
        <f t="shared" si="178"/>
        <v>ok</v>
      </c>
      <c r="AA1610" s="4" t="str">
        <f t="shared" si="179"/>
        <v>ok</v>
      </c>
      <c r="AB1610" s="4" t="str">
        <f t="shared" si="180"/>
        <v>ok</v>
      </c>
      <c r="AC1610" s="6">
        <f t="shared" si="181"/>
        <v>8.1807222221978009</v>
      </c>
    </row>
    <row r="1611" spans="1:29" x14ac:dyDescent="0.3">
      <c r="A1611" t="s">
        <v>22</v>
      </c>
      <c r="B1611">
        <v>3044</v>
      </c>
      <c r="C1611" t="s">
        <v>47</v>
      </c>
      <c r="D1611" t="s">
        <v>43</v>
      </c>
      <c r="E1611" t="s">
        <v>39</v>
      </c>
      <c r="F1611" t="s">
        <v>26</v>
      </c>
      <c r="G1611" t="s">
        <v>45</v>
      </c>
      <c r="H1611" s="1">
        <v>45176.033888888887</v>
      </c>
      <c r="I1611" s="1">
        <v>45177.033888888887</v>
      </c>
      <c r="J1611" s="1">
        <v>45176.035277777781</v>
      </c>
      <c r="K1611" s="2">
        <v>45176.034720520831</v>
      </c>
      <c r="L1611" t="s">
        <v>28</v>
      </c>
      <c r="M1611" s="2">
        <v>45176.8669547338</v>
      </c>
      <c r="N1611" t="s">
        <v>28</v>
      </c>
      <c r="O1611" s="2">
        <v>45181.96567409722</v>
      </c>
      <c r="P1611">
        <v>6</v>
      </c>
      <c r="Q1611">
        <v>5</v>
      </c>
      <c r="R1611" t="s">
        <v>50</v>
      </c>
      <c r="S1611" t="s">
        <v>30</v>
      </c>
      <c r="T1611" t="s">
        <v>66</v>
      </c>
      <c r="U1611">
        <v>48.864716000000001</v>
      </c>
      <c r="V1611">
        <v>2.3490139999999999</v>
      </c>
      <c r="W1611" t="str">
        <f t="shared" si="176"/>
        <v>ok</v>
      </c>
      <c r="X1611" t="str">
        <f t="shared" si="182"/>
        <v>ok</v>
      </c>
      <c r="Y1611" t="str">
        <f t="shared" si="177"/>
        <v>ok</v>
      </c>
      <c r="Z1611" t="str">
        <f t="shared" si="178"/>
        <v>ok</v>
      </c>
      <c r="AA1611" s="4" t="str">
        <f t="shared" si="179"/>
        <v>ok</v>
      </c>
      <c r="AB1611" s="4" t="str">
        <f t="shared" si="180"/>
        <v>ok</v>
      </c>
      <c r="AC1611" s="6">
        <f t="shared" si="181"/>
        <v>19.993580277892761</v>
      </c>
    </row>
    <row r="1612" spans="1:29" x14ac:dyDescent="0.3">
      <c r="A1612" t="s">
        <v>22</v>
      </c>
      <c r="B1612">
        <v>3045</v>
      </c>
      <c r="C1612" t="s">
        <v>23</v>
      </c>
      <c r="D1612" t="s">
        <v>34</v>
      </c>
      <c r="E1612" t="s">
        <v>44</v>
      </c>
      <c r="F1612" t="s">
        <v>26</v>
      </c>
      <c r="G1612" t="s">
        <v>60</v>
      </c>
      <c r="H1612" s="1">
        <v>45176.439699074072</v>
      </c>
      <c r="I1612" s="1">
        <v>45178.439699074072</v>
      </c>
      <c r="J1612" s="1">
        <v>45176.441087962965</v>
      </c>
      <c r="K1612" s="2">
        <v>45176.440311261576</v>
      </c>
      <c r="L1612" t="s">
        <v>28</v>
      </c>
      <c r="M1612" s="2">
        <v>45177.097035729166</v>
      </c>
      <c r="N1612" t="s">
        <v>28</v>
      </c>
      <c r="O1612" s="2">
        <v>45181.362192106484</v>
      </c>
      <c r="P1612">
        <v>1</v>
      </c>
      <c r="Q1612">
        <v>5</v>
      </c>
      <c r="R1612" t="s">
        <v>55</v>
      </c>
      <c r="S1612" t="s">
        <v>30</v>
      </c>
      <c r="T1612" t="s">
        <v>41</v>
      </c>
      <c r="U1612">
        <v>43.036776000000003</v>
      </c>
      <c r="V1612">
        <v>12.678565000000001</v>
      </c>
      <c r="W1612" t="str">
        <f t="shared" si="176"/>
        <v>ok</v>
      </c>
      <c r="X1612" t="str">
        <f t="shared" si="182"/>
        <v>ok</v>
      </c>
      <c r="Y1612" t="str">
        <f t="shared" si="177"/>
        <v>ok</v>
      </c>
      <c r="Z1612" t="str">
        <f t="shared" si="178"/>
        <v>ok</v>
      </c>
      <c r="AA1612" s="4" t="str">
        <f t="shared" si="179"/>
        <v>ok</v>
      </c>
      <c r="AB1612" s="4" t="str">
        <f t="shared" si="180"/>
        <v>ok</v>
      </c>
      <c r="AC1612" s="6">
        <f t="shared" si="181"/>
        <v>15.776079722272698</v>
      </c>
    </row>
    <row r="1613" spans="1:29" x14ac:dyDescent="0.3">
      <c r="A1613" t="s">
        <v>22</v>
      </c>
      <c r="B1613">
        <v>3046</v>
      </c>
      <c r="C1613" t="s">
        <v>23</v>
      </c>
      <c r="D1613" t="s">
        <v>24</v>
      </c>
      <c r="E1613" t="s">
        <v>48</v>
      </c>
      <c r="F1613" t="s">
        <v>26</v>
      </c>
      <c r="G1613" t="s">
        <v>49</v>
      </c>
      <c r="H1613" s="1">
        <v>45176.595173611109</v>
      </c>
      <c r="I1613" s="1">
        <v>45178.595173611109</v>
      </c>
      <c r="J1613" s="1">
        <v>45176.636840277781</v>
      </c>
      <c r="K1613" s="2">
        <v>45176.611486099537</v>
      </c>
      <c r="L1613" t="s">
        <v>28</v>
      </c>
      <c r="M1613" s="2">
        <v>45176.622224293984</v>
      </c>
      <c r="N1613" t="s">
        <v>28</v>
      </c>
      <c r="O1613" s="2">
        <v>45180.410354803244</v>
      </c>
      <c r="P1613">
        <v>2</v>
      </c>
      <c r="Q1613">
        <v>4</v>
      </c>
      <c r="R1613" t="s">
        <v>29</v>
      </c>
      <c r="S1613" t="s">
        <v>30</v>
      </c>
      <c r="T1613" t="s">
        <v>63</v>
      </c>
      <c r="U1613">
        <v>55.378051999999997</v>
      </c>
      <c r="V1613">
        <v>-3.4359730000000002</v>
      </c>
      <c r="W1613" t="str">
        <f t="shared" si="176"/>
        <v>ok</v>
      </c>
      <c r="X1613" t="str">
        <f t="shared" si="182"/>
        <v>ok</v>
      </c>
      <c r="Y1613" t="str">
        <f t="shared" si="177"/>
        <v>ok</v>
      </c>
      <c r="Z1613" t="str">
        <f t="shared" si="178"/>
        <v>ok</v>
      </c>
      <c r="AA1613" s="4" t="str">
        <f t="shared" si="179"/>
        <v>ok</v>
      </c>
      <c r="AB1613" s="4" t="str">
        <f t="shared" si="180"/>
        <v>ok</v>
      </c>
      <c r="AC1613" s="6">
        <f t="shared" si="181"/>
        <v>0.64921638899249956</v>
      </c>
    </row>
    <row r="1614" spans="1:29" x14ac:dyDescent="0.3">
      <c r="A1614" t="s">
        <v>22</v>
      </c>
      <c r="B1614">
        <v>3047</v>
      </c>
      <c r="C1614" t="s">
        <v>23</v>
      </c>
      <c r="D1614" t="s">
        <v>34</v>
      </c>
      <c r="E1614" t="s">
        <v>48</v>
      </c>
      <c r="F1614" t="s">
        <v>36</v>
      </c>
      <c r="G1614" t="s">
        <v>54</v>
      </c>
      <c r="H1614" s="1">
        <v>45176.105949074074</v>
      </c>
      <c r="I1614" s="1">
        <v>45178.105949074074</v>
      </c>
      <c r="J1614" s="1">
        <v>45176.10733796296</v>
      </c>
      <c r="K1614" s="2">
        <v>45176.105956134263</v>
      </c>
      <c r="L1614" t="s">
        <v>28</v>
      </c>
      <c r="M1614" s="2">
        <v>45177.174136458336</v>
      </c>
      <c r="N1614" t="s">
        <v>28</v>
      </c>
      <c r="O1614" s="2">
        <v>45178.481236250002</v>
      </c>
      <c r="P1614">
        <v>1</v>
      </c>
      <c r="Q1614">
        <v>3</v>
      </c>
      <c r="R1614" t="s">
        <v>50</v>
      </c>
      <c r="S1614" t="s">
        <v>40</v>
      </c>
      <c r="T1614" t="s">
        <v>58</v>
      </c>
      <c r="U1614">
        <v>49.8037633</v>
      </c>
      <c r="V1614">
        <v>15.4749126</v>
      </c>
      <c r="W1614" t="str">
        <f t="shared" si="176"/>
        <v>ok</v>
      </c>
      <c r="X1614" t="str">
        <f t="shared" si="182"/>
        <v>ok</v>
      </c>
      <c r="Y1614" t="str">
        <f t="shared" si="177"/>
        <v>ok</v>
      </c>
      <c r="Z1614" t="str">
        <f t="shared" si="178"/>
        <v>ok</v>
      </c>
      <c r="AA1614" s="4" t="str">
        <f t="shared" si="179"/>
        <v>ok</v>
      </c>
      <c r="AB1614" s="4" t="str">
        <f t="shared" si="180"/>
        <v>ok</v>
      </c>
      <c r="AC1614" s="6">
        <f t="shared" si="181"/>
        <v>25.636497222294565</v>
      </c>
    </row>
    <row r="1615" spans="1:29" x14ac:dyDescent="0.3">
      <c r="A1615" t="s">
        <v>22</v>
      </c>
      <c r="B1615">
        <v>3048</v>
      </c>
      <c r="C1615" t="s">
        <v>23</v>
      </c>
      <c r="D1615" t="s">
        <v>43</v>
      </c>
      <c r="E1615" t="s">
        <v>39</v>
      </c>
      <c r="F1615" t="s">
        <v>26</v>
      </c>
      <c r="G1615" t="s">
        <v>49</v>
      </c>
      <c r="H1615" s="1">
        <v>45176.36074074074</v>
      </c>
      <c r="I1615" s="1">
        <v>45177.36074074074</v>
      </c>
      <c r="J1615" s="1">
        <v>45176.362129629626</v>
      </c>
      <c r="K1615" s="2">
        <v>45176.361960324073</v>
      </c>
      <c r="L1615" t="s">
        <v>28</v>
      </c>
      <c r="M1615" s="2">
        <v>45177.308490439813</v>
      </c>
      <c r="N1615" t="s">
        <v>28</v>
      </c>
      <c r="O1615" s="2">
        <v>45179.858243043978</v>
      </c>
      <c r="P1615">
        <v>9</v>
      </c>
      <c r="Q1615">
        <v>5</v>
      </c>
      <c r="R1615" t="s">
        <v>29</v>
      </c>
      <c r="S1615" t="s">
        <v>30</v>
      </c>
      <c r="T1615" t="s">
        <v>65</v>
      </c>
      <c r="U1615">
        <v>46.149166399999999</v>
      </c>
      <c r="V1615">
        <v>14.9860106</v>
      </c>
      <c r="W1615" t="str">
        <f t="shared" si="176"/>
        <v>ok</v>
      </c>
      <c r="X1615" t="str">
        <f t="shared" si="182"/>
        <v>ok</v>
      </c>
      <c r="Y1615" t="str">
        <f t="shared" si="177"/>
        <v>ok</v>
      </c>
      <c r="Z1615" t="str">
        <f t="shared" si="178"/>
        <v>ok</v>
      </c>
      <c r="AA1615" s="4" t="str">
        <f t="shared" si="179"/>
        <v>ok</v>
      </c>
      <c r="AB1615" s="4" t="str">
        <f t="shared" si="180"/>
        <v>ok</v>
      </c>
      <c r="AC1615" s="6">
        <f t="shared" si="181"/>
        <v>22.74599277775269</v>
      </c>
    </row>
    <row r="1616" spans="1:29" x14ac:dyDescent="0.3">
      <c r="A1616" t="s">
        <v>42</v>
      </c>
      <c r="B1616">
        <v>3049</v>
      </c>
      <c r="C1616" t="s">
        <v>47</v>
      </c>
      <c r="D1616" t="s">
        <v>43</v>
      </c>
      <c r="E1616" t="s">
        <v>59</v>
      </c>
      <c r="F1616" t="s">
        <v>36</v>
      </c>
      <c r="G1616" t="s">
        <v>54</v>
      </c>
      <c r="H1616" s="1">
        <v>45176.473437499997</v>
      </c>
      <c r="I1616" s="1">
        <v>45177.473437499997</v>
      </c>
      <c r="J1616" s="1">
        <v>45176.474826388891</v>
      </c>
      <c r="K1616" s="2">
        <v>45176.474164432868</v>
      </c>
      <c r="L1616" t="s">
        <v>28</v>
      </c>
      <c r="M1616" s="2">
        <v>45181.858232777777</v>
      </c>
      <c r="N1616" t="s">
        <v>38</v>
      </c>
      <c r="P1616">
        <v>5</v>
      </c>
      <c r="R1616" t="s">
        <v>50</v>
      </c>
      <c r="S1616" t="s">
        <v>40</v>
      </c>
      <c r="T1616" t="s">
        <v>65</v>
      </c>
      <c r="U1616">
        <v>46.149166399999999</v>
      </c>
      <c r="V1616">
        <v>14.9860106</v>
      </c>
      <c r="W1616" t="str">
        <f t="shared" si="176"/>
        <v>ok</v>
      </c>
      <c r="X1616" t="str">
        <f t="shared" si="182"/>
        <v>ok</v>
      </c>
      <c r="Y1616" t="str">
        <f t="shared" si="177"/>
        <v>ok</v>
      </c>
      <c r="Z1616" t="str">
        <f t="shared" si="178"/>
        <v>ok</v>
      </c>
      <c r="AA1616" s="4" t="str">
        <f t="shared" si="179"/>
        <v>ok</v>
      </c>
      <c r="AB1616" s="4" t="str">
        <f t="shared" si="180"/>
        <v>ok</v>
      </c>
      <c r="AC1616" s="6">
        <f t="shared" si="181"/>
        <v>129.23508666671114</v>
      </c>
    </row>
    <row r="1617" spans="1:29" x14ac:dyDescent="0.3">
      <c r="A1617" t="s">
        <v>32</v>
      </c>
      <c r="B1617">
        <v>3050</v>
      </c>
      <c r="C1617" t="s">
        <v>47</v>
      </c>
      <c r="D1617" t="s">
        <v>43</v>
      </c>
      <c r="E1617" t="s">
        <v>35</v>
      </c>
      <c r="F1617" t="s">
        <v>26</v>
      </c>
      <c r="G1617" t="s">
        <v>49</v>
      </c>
      <c r="H1617" s="1">
        <v>45177.277905092589</v>
      </c>
      <c r="I1617" s="1">
        <v>45178.277905092589</v>
      </c>
      <c r="J1617" s="1">
        <v>45177.279293981483</v>
      </c>
      <c r="K1617" s="2">
        <v>45177.278525347225</v>
      </c>
      <c r="L1617" t="s">
        <v>28</v>
      </c>
      <c r="N1617" t="s">
        <v>38</v>
      </c>
      <c r="P1617">
        <v>6</v>
      </c>
      <c r="R1617" t="s">
        <v>39</v>
      </c>
      <c r="S1617" t="s">
        <v>30</v>
      </c>
      <c r="T1617" t="s">
        <v>56</v>
      </c>
      <c r="U1617">
        <v>52.536273000000001</v>
      </c>
      <c r="V1617">
        <v>19.050639</v>
      </c>
      <c r="W1617" t="str">
        <f t="shared" si="176"/>
        <v>ok</v>
      </c>
      <c r="X1617" t="str">
        <f t="shared" si="182"/>
        <v>ok</v>
      </c>
      <c r="Y1617" t="str">
        <f t="shared" si="177"/>
        <v>ok</v>
      </c>
      <c r="Z1617" t="str">
        <f t="shared" si="178"/>
        <v>ok</v>
      </c>
      <c r="AA1617" s="4" t="str">
        <f t="shared" si="179"/>
        <v>ok</v>
      </c>
      <c r="AB1617" s="4" t="str">
        <f t="shared" si="180"/>
        <v>no resolution</v>
      </c>
      <c r="AC1617" s="6" t="str">
        <f t="shared" si="181"/>
        <v/>
      </c>
    </row>
    <row r="1618" spans="1:29" x14ac:dyDescent="0.3">
      <c r="A1618" t="s">
        <v>22</v>
      </c>
      <c r="B1618">
        <v>3051</v>
      </c>
      <c r="C1618" t="s">
        <v>23</v>
      </c>
      <c r="D1618" t="s">
        <v>43</v>
      </c>
      <c r="E1618" t="s">
        <v>25</v>
      </c>
      <c r="F1618" t="s">
        <v>36</v>
      </c>
      <c r="G1618" t="s">
        <v>37</v>
      </c>
      <c r="H1618" s="1">
        <v>45177.411550925928</v>
      </c>
      <c r="I1618" s="1">
        <v>45178.411550925928</v>
      </c>
      <c r="J1618" s="1">
        <v>45177.412939814814</v>
      </c>
      <c r="K1618" s="2">
        <v>45177.412927997684</v>
      </c>
      <c r="L1618" t="s">
        <v>28</v>
      </c>
      <c r="M1618" s="2">
        <v>45178.19076863426</v>
      </c>
      <c r="N1618" t="s">
        <v>28</v>
      </c>
      <c r="O1618" s="2">
        <v>45180.234139953704</v>
      </c>
      <c r="P1618">
        <v>5</v>
      </c>
      <c r="Q1618">
        <v>4</v>
      </c>
      <c r="R1618" t="s">
        <v>50</v>
      </c>
      <c r="S1618" t="s">
        <v>40</v>
      </c>
      <c r="T1618" t="s">
        <v>56</v>
      </c>
      <c r="U1618">
        <v>52.536273000000001</v>
      </c>
      <c r="V1618">
        <v>19.050639</v>
      </c>
      <c r="W1618" t="str">
        <f t="shared" si="176"/>
        <v>ok</v>
      </c>
      <c r="X1618" t="str">
        <f t="shared" si="182"/>
        <v>ok</v>
      </c>
      <c r="Y1618" t="str">
        <f t="shared" si="177"/>
        <v>ok</v>
      </c>
      <c r="Z1618" t="str">
        <f t="shared" si="178"/>
        <v>ok</v>
      </c>
      <c r="AA1618" s="4" t="str">
        <f t="shared" si="179"/>
        <v>ok</v>
      </c>
      <c r="AB1618" s="4" t="str">
        <f t="shared" si="180"/>
        <v>ok</v>
      </c>
      <c r="AC1618" s="6">
        <f t="shared" si="181"/>
        <v>18.701224999967963</v>
      </c>
    </row>
    <row r="1619" spans="1:29" x14ac:dyDescent="0.3">
      <c r="A1619" t="s">
        <v>42</v>
      </c>
      <c r="B1619">
        <v>3052</v>
      </c>
      <c r="C1619" t="s">
        <v>47</v>
      </c>
      <c r="D1619" t="s">
        <v>24</v>
      </c>
      <c r="E1619" t="s">
        <v>39</v>
      </c>
      <c r="F1619" t="s">
        <v>36</v>
      </c>
      <c r="G1619" t="s">
        <v>64</v>
      </c>
      <c r="H1619" s="1">
        <v>45177.348703703705</v>
      </c>
      <c r="I1619" s="1">
        <v>45179.348703703705</v>
      </c>
      <c r="J1619" s="1">
        <v>45177.390370370369</v>
      </c>
      <c r="K1619" s="2">
        <v>45177.381114074073</v>
      </c>
      <c r="L1619" t="s">
        <v>28</v>
      </c>
      <c r="M1619" s="2">
        <v>45182.432897175924</v>
      </c>
      <c r="N1619" t="s">
        <v>38</v>
      </c>
      <c r="P1619">
        <v>5</v>
      </c>
      <c r="R1619" t="s">
        <v>50</v>
      </c>
      <c r="S1619" t="s">
        <v>40</v>
      </c>
      <c r="T1619" t="s">
        <v>63</v>
      </c>
      <c r="U1619">
        <v>55.378051999999997</v>
      </c>
      <c r="V1619">
        <v>-3.4359730000000002</v>
      </c>
      <c r="W1619" t="str">
        <f t="shared" si="176"/>
        <v>ok</v>
      </c>
      <c r="X1619" t="str">
        <f t="shared" si="182"/>
        <v>ok</v>
      </c>
      <c r="Y1619" t="str">
        <f t="shared" si="177"/>
        <v>ok</v>
      </c>
      <c r="Z1619" t="str">
        <f t="shared" si="178"/>
        <v>ok</v>
      </c>
      <c r="AA1619" s="4" t="str">
        <f t="shared" si="179"/>
        <v>ok</v>
      </c>
      <c r="AB1619" s="4" t="str">
        <f t="shared" si="180"/>
        <v>ok</v>
      </c>
      <c r="AC1619" s="6">
        <f t="shared" si="181"/>
        <v>122.02064333326416</v>
      </c>
    </row>
    <row r="1620" spans="1:29" x14ac:dyDescent="0.3">
      <c r="A1620" t="s">
        <v>22</v>
      </c>
      <c r="B1620">
        <v>3053</v>
      </c>
      <c r="C1620" t="s">
        <v>33</v>
      </c>
      <c r="D1620" t="s">
        <v>24</v>
      </c>
      <c r="E1620" t="s">
        <v>39</v>
      </c>
      <c r="F1620" t="s">
        <v>36</v>
      </c>
      <c r="G1620" t="s">
        <v>54</v>
      </c>
      <c r="H1620" s="1">
        <v>45177.952280092592</v>
      </c>
      <c r="I1620" s="1">
        <v>45179.952280092592</v>
      </c>
      <c r="J1620" s="1">
        <v>45177.993946759256</v>
      </c>
      <c r="K1620" s="2">
        <v>45177.977189722224</v>
      </c>
      <c r="L1620" t="s">
        <v>28</v>
      </c>
      <c r="M1620" s="2">
        <v>45179.700719745371</v>
      </c>
      <c r="N1620" t="s">
        <v>28</v>
      </c>
      <c r="O1620" s="2">
        <v>45179.022164930553</v>
      </c>
      <c r="P1620">
        <v>7</v>
      </c>
      <c r="Q1620">
        <v>4</v>
      </c>
      <c r="R1620" t="s">
        <v>50</v>
      </c>
      <c r="S1620" t="s">
        <v>40</v>
      </c>
      <c r="T1620" t="s">
        <v>56</v>
      </c>
      <c r="U1620">
        <v>52.536273000000001</v>
      </c>
      <c r="V1620">
        <v>19.050639</v>
      </c>
      <c r="W1620" t="str">
        <f t="shared" si="176"/>
        <v>ok</v>
      </c>
      <c r="X1620" t="str">
        <f t="shared" si="182"/>
        <v>ok</v>
      </c>
      <c r="Y1620" t="str">
        <f t="shared" si="177"/>
        <v>check</v>
      </c>
      <c r="Z1620" t="str">
        <f t="shared" si="178"/>
        <v>ok</v>
      </c>
      <c r="AA1620" s="4" t="str">
        <f t="shared" si="179"/>
        <v>ok</v>
      </c>
      <c r="AB1620" s="4" t="str">
        <f t="shared" si="180"/>
        <v>ok</v>
      </c>
      <c r="AC1620" s="6">
        <f t="shared" si="181"/>
        <v>41.962551666714717</v>
      </c>
    </row>
    <row r="1621" spans="1:29" x14ac:dyDescent="0.3">
      <c r="A1621" t="s">
        <v>32</v>
      </c>
      <c r="B1621">
        <v>3054</v>
      </c>
      <c r="C1621" t="s">
        <v>23</v>
      </c>
      <c r="D1621" t="s">
        <v>43</v>
      </c>
      <c r="E1621" t="s">
        <v>48</v>
      </c>
      <c r="F1621" t="s">
        <v>26</v>
      </c>
      <c r="G1621" t="s">
        <v>49</v>
      </c>
      <c r="H1621" s="1">
        <v>45177.848483796297</v>
      </c>
      <c r="I1621" s="1">
        <v>45178.848483796297</v>
      </c>
      <c r="J1621" s="1">
        <v>45177.849872685183</v>
      </c>
      <c r="K1621" s="2">
        <v>45177.848565173612</v>
      </c>
      <c r="L1621" t="s">
        <v>28</v>
      </c>
      <c r="N1621" t="s">
        <v>38</v>
      </c>
      <c r="P1621">
        <v>6</v>
      </c>
      <c r="R1621" t="s">
        <v>39</v>
      </c>
      <c r="S1621" t="s">
        <v>30</v>
      </c>
      <c r="T1621" t="s">
        <v>63</v>
      </c>
      <c r="U1621">
        <v>55.378051999999997</v>
      </c>
      <c r="V1621">
        <v>-3.4359730000000002</v>
      </c>
      <c r="W1621" t="str">
        <f t="shared" si="176"/>
        <v>ok</v>
      </c>
      <c r="X1621" t="str">
        <f t="shared" si="182"/>
        <v>ok</v>
      </c>
      <c r="Y1621" t="str">
        <f t="shared" si="177"/>
        <v>ok</v>
      </c>
      <c r="Z1621" t="str">
        <f t="shared" si="178"/>
        <v>ok</v>
      </c>
      <c r="AA1621" s="4" t="str">
        <f t="shared" si="179"/>
        <v>ok</v>
      </c>
      <c r="AB1621" s="4" t="str">
        <f t="shared" si="180"/>
        <v>no resolution</v>
      </c>
      <c r="AC1621" s="6" t="str">
        <f t="shared" si="181"/>
        <v/>
      </c>
    </row>
    <row r="1622" spans="1:29" x14ac:dyDescent="0.3">
      <c r="A1622" t="s">
        <v>32</v>
      </c>
      <c r="B1622">
        <v>3055</v>
      </c>
      <c r="C1622" t="s">
        <v>23</v>
      </c>
      <c r="D1622" t="s">
        <v>34</v>
      </c>
      <c r="E1622" t="s">
        <v>39</v>
      </c>
      <c r="F1622" t="s">
        <v>36</v>
      </c>
      <c r="G1622" t="s">
        <v>54</v>
      </c>
      <c r="H1622" s="1">
        <v>45178.556759259256</v>
      </c>
      <c r="I1622" s="1">
        <v>45180.556759259256</v>
      </c>
      <c r="J1622" s="1">
        <v>45178.558148148149</v>
      </c>
      <c r="K1622" s="2">
        <v>45178.557086851855</v>
      </c>
      <c r="L1622" t="s">
        <v>28</v>
      </c>
      <c r="N1622" t="s">
        <v>38</v>
      </c>
      <c r="P1622">
        <v>2</v>
      </c>
      <c r="R1622" t="s">
        <v>50</v>
      </c>
      <c r="S1622" t="s">
        <v>40</v>
      </c>
      <c r="T1622" t="s">
        <v>63</v>
      </c>
      <c r="U1622">
        <v>55.378051999999997</v>
      </c>
      <c r="V1622">
        <v>-3.4359730000000002</v>
      </c>
      <c r="W1622" t="str">
        <f t="shared" si="176"/>
        <v>ok</v>
      </c>
      <c r="X1622" t="str">
        <f t="shared" si="182"/>
        <v>ok</v>
      </c>
      <c r="Y1622" t="str">
        <f t="shared" si="177"/>
        <v>ok</v>
      </c>
      <c r="Z1622" t="str">
        <f t="shared" si="178"/>
        <v>ok</v>
      </c>
      <c r="AA1622" s="4" t="str">
        <f t="shared" si="179"/>
        <v>ok</v>
      </c>
      <c r="AB1622" s="4" t="str">
        <f t="shared" si="180"/>
        <v>no resolution</v>
      </c>
      <c r="AC1622" s="6" t="str">
        <f t="shared" si="181"/>
        <v/>
      </c>
    </row>
    <row r="1623" spans="1:29" x14ac:dyDescent="0.3">
      <c r="A1623" t="s">
        <v>32</v>
      </c>
      <c r="B1623">
        <v>3056</v>
      </c>
      <c r="C1623" t="s">
        <v>23</v>
      </c>
      <c r="D1623" t="s">
        <v>24</v>
      </c>
      <c r="E1623" t="s">
        <v>35</v>
      </c>
      <c r="F1623" t="s">
        <v>26</v>
      </c>
      <c r="G1623" t="s">
        <v>60</v>
      </c>
      <c r="H1623" s="1">
        <v>45178.640879629631</v>
      </c>
      <c r="I1623" s="1">
        <v>45180.640879629631</v>
      </c>
      <c r="J1623" s="1">
        <v>45178.682546296295</v>
      </c>
      <c r="K1623" s="2">
        <v>45178.647320752316</v>
      </c>
      <c r="L1623" t="s">
        <v>28</v>
      </c>
      <c r="N1623" t="s">
        <v>38</v>
      </c>
      <c r="P1623">
        <v>3</v>
      </c>
      <c r="R1623" t="s">
        <v>50</v>
      </c>
      <c r="S1623" t="s">
        <v>30</v>
      </c>
      <c r="T1623" t="s">
        <v>51</v>
      </c>
      <c r="U1623">
        <v>39.673369999999998</v>
      </c>
      <c r="V1623">
        <v>-4.7677259999999997</v>
      </c>
      <c r="W1623" t="str">
        <f t="shared" si="176"/>
        <v>ok</v>
      </c>
      <c r="X1623" t="str">
        <f t="shared" si="182"/>
        <v>ok</v>
      </c>
      <c r="Y1623" t="str">
        <f t="shared" si="177"/>
        <v>ok</v>
      </c>
      <c r="Z1623" t="str">
        <f t="shared" si="178"/>
        <v>ok</v>
      </c>
      <c r="AA1623" s="4" t="str">
        <f t="shared" si="179"/>
        <v>ok</v>
      </c>
      <c r="AB1623" s="4" t="str">
        <f t="shared" si="180"/>
        <v>no resolution</v>
      </c>
      <c r="AC1623" s="6" t="str">
        <f t="shared" si="181"/>
        <v/>
      </c>
    </row>
    <row r="1624" spans="1:29" x14ac:dyDescent="0.3">
      <c r="A1624" t="s">
        <v>42</v>
      </c>
      <c r="B1624">
        <v>3057</v>
      </c>
      <c r="C1624" t="s">
        <v>23</v>
      </c>
      <c r="D1624" t="s">
        <v>43</v>
      </c>
      <c r="E1624" t="s">
        <v>25</v>
      </c>
      <c r="F1624" t="s">
        <v>26</v>
      </c>
      <c r="G1624" t="s">
        <v>60</v>
      </c>
      <c r="H1624" s="1">
        <v>45178.297303240739</v>
      </c>
      <c r="I1624" s="1">
        <v>45179.297303240739</v>
      </c>
      <c r="J1624" s="1">
        <v>45178.298692129632</v>
      </c>
      <c r="K1624" s="2">
        <v>45178.297545231479</v>
      </c>
      <c r="L1624" t="s">
        <v>28</v>
      </c>
      <c r="M1624" s="2">
        <v>45178.615792199074</v>
      </c>
      <c r="N1624" t="s">
        <v>28</v>
      </c>
      <c r="P1624">
        <v>2</v>
      </c>
      <c r="R1624" t="s">
        <v>50</v>
      </c>
      <c r="S1624" t="s">
        <v>30</v>
      </c>
      <c r="T1624" t="s">
        <v>65</v>
      </c>
      <c r="U1624">
        <v>46.149166399999999</v>
      </c>
      <c r="V1624">
        <v>14.9860106</v>
      </c>
      <c r="W1624" t="str">
        <f t="shared" si="176"/>
        <v>ok</v>
      </c>
      <c r="X1624" t="str">
        <f t="shared" si="182"/>
        <v>ok</v>
      </c>
      <c r="Y1624" t="str">
        <f t="shared" si="177"/>
        <v>ok</v>
      </c>
      <c r="Z1624" t="str">
        <f t="shared" si="178"/>
        <v>ok</v>
      </c>
      <c r="AA1624" s="4" t="str">
        <f t="shared" si="179"/>
        <v>ok</v>
      </c>
      <c r="AB1624" s="4" t="str">
        <f t="shared" si="180"/>
        <v>ok</v>
      </c>
      <c r="AC1624" s="6">
        <f t="shared" si="181"/>
        <v>7.6437350000487641</v>
      </c>
    </row>
    <row r="1625" spans="1:29" x14ac:dyDescent="0.3">
      <c r="A1625" t="s">
        <v>22</v>
      </c>
      <c r="B1625">
        <v>3058</v>
      </c>
      <c r="C1625" t="s">
        <v>33</v>
      </c>
      <c r="D1625" t="s">
        <v>34</v>
      </c>
      <c r="E1625" t="s">
        <v>25</v>
      </c>
      <c r="F1625" t="s">
        <v>26</v>
      </c>
      <c r="G1625" t="s">
        <v>60</v>
      </c>
      <c r="H1625" s="1">
        <v>45178.260069444441</v>
      </c>
      <c r="I1625" s="1">
        <v>45180.260069444441</v>
      </c>
      <c r="J1625" s="1">
        <v>45178.261458333334</v>
      </c>
      <c r="K1625" s="2">
        <v>45178.26103115741</v>
      </c>
      <c r="L1625" t="s">
        <v>28</v>
      </c>
      <c r="M1625" s="2">
        <v>45179.833200833331</v>
      </c>
      <c r="N1625" t="s">
        <v>28</v>
      </c>
      <c r="O1625" s="2">
        <v>45185.830910138888</v>
      </c>
      <c r="P1625">
        <v>3</v>
      </c>
      <c r="Q1625">
        <v>2</v>
      </c>
      <c r="R1625" t="s">
        <v>29</v>
      </c>
      <c r="S1625" t="s">
        <v>30</v>
      </c>
      <c r="T1625" t="s">
        <v>53</v>
      </c>
      <c r="U1625">
        <v>39.368279000000001</v>
      </c>
      <c r="V1625">
        <v>21.863140999999999</v>
      </c>
      <c r="W1625" t="str">
        <f t="shared" si="176"/>
        <v>ok</v>
      </c>
      <c r="X1625" t="str">
        <f t="shared" si="182"/>
        <v>ok</v>
      </c>
      <c r="Y1625" t="str">
        <f t="shared" si="177"/>
        <v>ok</v>
      </c>
      <c r="Z1625" t="str">
        <f t="shared" si="178"/>
        <v>ok</v>
      </c>
      <c r="AA1625" s="4" t="str">
        <f t="shared" si="179"/>
        <v>ok</v>
      </c>
      <c r="AB1625" s="4" t="str">
        <f t="shared" si="180"/>
        <v>ok</v>
      </c>
      <c r="AC1625" s="6">
        <f t="shared" si="181"/>
        <v>37.755153333360795</v>
      </c>
    </row>
    <row r="1626" spans="1:29" x14ac:dyDescent="0.3">
      <c r="A1626" t="s">
        <v>32</v>
      </c>
      <c r="B1626">
        <v>3068</v>
      </c>
      <c r="C1626" t="s">
        <v>33</v>
      </c>
      <c r="D1626" t="s">
        <v>43</v>
      </c>
      <c r="E1626" t="s">
        <v>35</v>
      </c>
      <c r="F1626" t="s">
        <v>36</v>
      </c>
      <c r="G1626" t="s">
        <v>37</v>
      </c>
      <c r="H1626" s="1">
        <v>45179.383888888886</v>
      </c>
      <c r="I1626" s="1">
        <v>45180.383888888886</v>
      </c>
      <c r="J1626" s="1">
        <v>45179.385277777779</v>
      </c>
      <c r="K1626" s="2">
        <v>45179.385119583334</v>
      </c>
      <c r="L1626" t="s">
        <v>28</v>
      </c>
      <c r="N1626" t="s">
        <v>38</v>
      </c>
      <c r="P1626">
        <v>6</v>
      </c>
      <c r="R1626" t="s">
        <v>29</v>
      </c>
      <c r="S1626" t="s">
        <v>40</v>
      </c>
      <c r="T1626" t="s">
        <v>56</v>
      </c>
      <c r="U1626">
        <v>52.536273000000001</v>
      </c>
      <c r="V1626">
        <v>19.050639</v>
      </c>
      <c r="W1626" t="str">
        <f t="shared" si="176"/>
        <v>ok</v>
      </c>
      <c r="X1626" t="str">
        <f t="shared" si="182"/>
        <v>ok</v>
      </c>
      <c r="Y1626" t="str">
        <f t="shared" si="177"/>
        <v>ok</v>
      </c>
      <c r="Z1626" t="str">
        <f t="shared" si="178"/>
        <v>ok</v>
      </c>
      <c r="AA1626" s="4" t="str">
        <f t="shared" si="179"/>
        <v>ok</v>
      </c>
      <c r="AB1626" s="4" t="str">
        <f t="shared" si="180"/>
        <v>no resolution</v>
      </c>
      <c r="AC1626" s="6" t="str">
        <f t="shared" si="181"/>
        <v/>
      </c>
    </row>
    <row r="1627" spans="1:29" x14ac:dyDescent="0.3">
      <c r="A1627" t="s">
        <v>22</v>
      </c>
      <c r="B1627">
        <v>3069</v>
      </c>
      <c r="C1627" t="s">
        <v>47</v>
      </c>
      <c r="D1627" t="s">
        <v>43</v>
      </c>
      <c r="E1627" t="s">
        <v>59</v>
      </c>
      <c r="F1627" t="s">
        <v>26</v>
      </c>
      <c r="G1627" t="s">
        <v>52</v>
      </c>
      <c r="H1627" s="1">
        <v>45179.134664351855</v>
      </c>
      <c r="I1627" s="1">
        <v>45180.134664351855</v>
      </c>
      <c r="J1627" s="1">
        <v>45179.136053240742</v>
      </c>
      <c r="K1627" s="2">
        <v>45179.138730891202</v>
      </c>
      <c r="L1627" t="s">
        <v>38</v>
      </c>
      <c r="M1627" s="2">
        <v>45179.219599282405</v>
      </c>
      <c r="N1627" t="s">
        <v>28</v>
      </c>
      <c r="O1627" s="2">
        <v>45181.073483472224</v>
      </c>
      <c r="P1627">
        <v>9</v>
      </c>
      <c r="Q1627">
        <v>5</v>
      </c>
      <c r="R1627" t="s">
        <v>29</v>
      </c>
      <c r="S1627" t="s">
        <v>30</v>
      </c>
      <c r="T1627" t="s">
        <v>57</v>
      </c>
      <c r="U1627">
        <v>51.165691000000002</v>
      </c>
      <c r="V1627">
        <v>10.451525999999999</v>
      </c>
      <c r="W1627" t="str">
        <f t="shared" si="176"/>
        <v>ok</v>
      </c>
      <c r="X1627" t="str">
        <f t="shared" si="182"/>
        <v>ok</v>
      </c>
      <c r="Y1627" t="str">
        <f t="shared" si="177"/>
        <v>ok</v>
      </c>
      <c r="Z1627" t="str">
        <f t="shared" si="178"/>
        <v>ok</v>
      </c>
      <c r="AA1627" s="4" t="str">
        <f t="shared" si="179"/>
        <v>ok</v>
      </c>
      <c r="AB1627" s="4" t="str">
        <f t="shared" si="180"/>
        <v>ok</v>
      </c>
      <c r="AC1627" s="6">
        <f t="shared" si="181"/>
        <v>2.0384383331984282</v>
      </c>
    </row>
    <row r="1628" spans="1:29" x14ac:dyDescent="0.3">
      <c r="A1628" t="s">
        <v>42</v>
      </c>
      <c r="B1628">
        <v>3070</v>
      </c>
      <c r="C1628" t="s">
        <v>47</v>
      </c>
      <c r="D1628" t="s">
        <v>43</v>
      </c>
      <c r="E1628" t="s">
        <v>35</v>
      </c>
      <c r="F1628" t="s">
        <v>26</v>
      </c>
      <c r="G1628" t="s">
        <v>45</v>
      </c>
      <c r="H1628" s="1">
        <v>45179.849050925928</v>
      </c>
      <c r="I1628" s="1">
        <v>45180.849050925928</v>
      </c>
      <c r="J1628" s="1">
        <v>45179.850439814814</v>
      </c>
      <c r="K1628" s="2">
        <v>45179.850147083336</v>
      </c>
      <c r="L1628" t="s">
        <v>28</v>
      </c>
      <c r="M1628" s="2">
        <v>45180.556708599535</v>
      </c>
      <c r="N1628" t="s">
        <v>28</v>
      </c>
      <c r="P1628">
        <v>60</v>
      </c>
      <c r="R1628" t="s">
        <v>50</v>
      </c>
      <c r="S1628" t="s">
        <v>30</v>
      </c>
      <c r="T1628" t="s">
        <v>61</v>
      </c>
      <c r="U1628">
        <v>42.724992499999999</v>
      </c>
      <c r="V1628">
        <v>25.483303899999999</v>
      </c>
      <c r="W1628" t="str">
        <f t="shared" si="176"/>
        <v>ok</v>
      </c>
      <c r="X1628" t="str">
        <f t="shared" si="182"/>
        <v>ok</v>
      </c>
      <c r="Y1628" t="str">
        <f t="shared" si="177"/>
        <v>ok</v>
      </c>
      <c r="Z1628" t="str">
        <f t="shared" si="178"/>
        <v>ok</v>
      </c>
      <c r="AA1628" s="4" t="str">
        <f t="shared" si="179"/>
        <v>ok</v>
      </c>
      <c r="AB1628" s="4" t="str">
        <f t="shared" si="180"/>
        <v>ok</v>
      </c>
      <c r="AC1628" s="6">
        <f t="shared" si="181"/>
        <v>16.98378416657215</v>
      </c>
    </row>
    <row r="1629" spans="1:29" x14ac:dyDescent="0.3">
      <c r="A1629" t="s">
        <v>42</v>
      </c>
      <c r="B1629">
        <v>3071</v>
      </c>
      <c r="C1629" t="s">
        <v>23</v>
      </c>
      <c r="D1629" t="s">
        <v>43</v>
      </c>
      <c r="E1629" t="s">
        <v>44</v>
      </c>
      <c r="F1629" t="s">
        <v>26</v>
      </c>
      <c r="G1629" t="s">
        <v>49</v>
      </c>
      <c r="H1629" s="1">
        <v>45179.275034722225</v>
      </c>
      <c r="I1629" s="1">
        <v>45180.275034722225</v>
      </c>
      <c r="J1629" s="1">
        <v>45179.276423611111</v>
      </c>
      <c r="K1629" s="2">
        <v>45179.275166388892</v>
      </c>
      <c r="L1629" t="s">
        <v>28</v>
      </c>
      <c r="M1629" s="2">
        <v>45180.041965254626</v>
      </c>
      <c r="N1629" t="s">
        <v>28</v>
      </c>
      <c r="P1629">
        <v>5</v>
      </c>
      <c r="R1629" t="s">
        <v>50</v>
      </c>
      <c r="S1629" t="s">
        <v>30</v>
      </c>
      <c r="T1629" t="s">
        <v>51</v>
      </c>
      <c r="U1629">
        <v>39.673369999999998</v>
      </c>
      <c r="V1629">
        <v>-4.7677259999999997</v>
      </c>
      <c r="W1629" t="str">
        <f t="shared" si="176"/>
        <v>ok</v>
      </c>
      <c r="X1629" t="str">
        <f t="shared" si="182"/>
        <v>ok</v>
      </c>
      <c r="Y1629" t="str">
        <f t="shared" si="177"/>
        <v>ok</v>
      </c>
      <c r="Z1629" t="str">
        <f t="shared" si="178"/>
        <v>ok</v>
      </c>
      <c r="AA1629" s="4" t="str">
        <f t="shared" si="179"/>
        <v>ok</v>
      </c>
      <c r="AB1629" s="4" t="str">
        <f t="shared" si="180"/>
        <v>ok</v>
      </c>
      <c r="AC1629" s="6">
        <f t="shared" si="181"/>
        <v>18.406332777638454</v>
      </c>
    </row>
    <row r="1630" spans="1:29" x14ac:dyDescent="0.3">
      <c r="A1630" t="s">
        <v>32</v>
      </c>
      <c r="B1630">
        <v>3072</v>
      </c>
      <c r="C1630" t="s">
        <v>47</v>
      </c>
      <c r="D1630" t="s">
        <v>43</v>
      </c>
      <c r="E1630" t="s">
        <v>35</v>
      </c>
      <c r="F1630" t="s">
        <v>26</v>
      </c>
      <c r="G1630" t="s">
        <v>60</v>
      </c>
      <c r="H1630" s="1">
        <v>45180.501226851855</v>
      </c>
      <c r="I1630" s="1">
        <v>45181.501226851855</v>
      </c>
      <c r="J1630" s="1">
        <v>45180.502615740741</v>
      </c>
      <c r="K1630" s="2">
        <v>45180.501751631942</v>
      </c>
      <c r="L1630" t="s">
        <v>28</v>
      </c>
      <c r="N1630" t="s">
        <v>38</v>
      </c>
      <c r="P1630">
        <v>6</v>
      </c>
      <c r="R1630" t="s">
        <v>50</v>
      </c>
      <c r="S1630" t="s">
        <v>30</v>
      </c>
      <c r="T1630" t="s">
        <v>53</v>
      </c>
      <c r="U1630">
        <v>39.368279000000001</v>
      </c>
      <c r="V1630">
        <v>21.863140999999999</v>
      </c>
      <c r="W1630" t="str">
        <f t="shared" si="176"/>
        <v>ok</v>
      </c>
      <c r="X1630" t="str">
        <f t="shared" si="182"/>
        <v>ok</v>
      </c>
      <c r="Y1630" t="str">
        <f t="shared" si="177"/>
        <v>ok</v>
      </c>
      <c r="Z1630" t="str">
        <f t="shared" si="178"/>
        <v>ok</v>
      </c>
      <c r="AA1630" s="4" t="str">
        <f t="shared" si="179"/>
        <v>ok</v>
      </c>
      <c r="AB1630" s="4" t="str">
        <f t="shared" si="180"/>
        <v>no resolution</v>
      </c>
      <c r="AC1630" s="6" t="str">
        <f t="shared" si="181"/>
        <v/>
      </c>
    </row>
    <row r="1631" spans="1:29" x14ac:dyDescent="0.3">
      <c r="A1631" t="s">
        <v>22</v>
      </c>
      <c r="B1631">
        <v>3073</v>
      </c>
      <c r="C1631" t="s">
        <v>23</v>
      </c>
      <c r="D1631" t="s">
        <v>24</v>
      </c>
      <c r="E1631" t="s">
        <v>48</v>
      </c>
      <c r="F1631" t="s">
        <v>26</v>
      </c>
      <c r="G1631" t="s">
        <v>60</v>
      </c>
      <c r="H1631" s="1">
        <v>45180.27065972222</v>
      </c>
      <c r="I1631" s="1">
        <v>45182.27065972222</v>
      </c>
      <c r="J1631" s="1">
        <v>45180.312326388892</v>
      </c>
      <c r="K1631" s="2">
        <v>45180.298570497682</v>
      </c>
      <c r="L1631" t="s">
        <v>28</v>
      </c>
      <c r="M1631" s="2">
        <v>45185.767947511573</v>
      </c>
      <c r="N1631" t="s">
        <v>38</v>
      </c>
      <c r="O1631" s="2">
        <v>45185.819581770833</v>
      </c>
      <c r="P1631">
        <v>2</v>
      </c>
      <c r="Q1631">
        <v>5</v>
      </c>
      <c r="R1631" t="s">
        <v>50</v>
      </c>
      <c r="S1631" t="s">
        <v>30</v>
      </c>
      <c r="T1631" t="s">
        <v>58</v>
      </c>
      <c r="U1631">
        <v>49.8037633</v>
      </c>
      <c r="V1631">
        <v>15.4749126</v>
      </c>
      <c r="W1631" t="str">
        <f t="shared" si="176"/>
        <v>ok</v>
      </c>
      <c r="X1631" t="str">
        <f t="shared" si="182"/>
        <v>ok</v>
      </c>
      <c r="Y1631" t="str">
        <f t="shared" si="177"/>
        <v>ok</v>
      </c>
      <c r="Z1631" t="str">
        <f t="shared" si="178"/>
        <v>ok</v>
      </c>
      <c r="AA1631" s="4" t="str">
        <f t="shared" si="179"/>
        <v>ok</v>
      </c>
      <c r="AB1631" s="4" t="str">
        <f t="shared" si="180"/>
        <v>ok</v>
      </c>
      <c r="AC1631" s="6">
        <f t="shared" si="181"/>
        <v>131.93490694445791</v>
      </c>
    </row>
    <row r="1632" spans="1:29" x14ac:dyDescent="0.3">
      <c r="A1632" t="s">
        <v>22</v>
      </c>
      <c r="B1632">
        <v>3074</v>
      </c>
      <c r="C1632" t="s">
        <v>23</v>
      </c>
      <c r="D1632" t="s">
        <v>43</v>
      </c>
      <c r="E1632" t="s">
        <v>44</v>
      </c>
      <c r="F1632" t="s">
        <v>26</v>
      </c>
      <c r="G1632" t="s">
        <v>49</v>
      </c>
      <c r="H1632" s="1">
        <v>45180.236793981479</v>
      </c>
      <c r="I1632" s="1">
        <v>45181.236793981479</v>
      </c>
      <c r="J1632" s="1">
        <v>45180.238182870373</v>
      </c>
      <c r="K1632" s="2">
        <v>45180.23694534722</v>
      </c>
      <c r="L1632" t="s">
        <v>28</v>
      </c>
      <c r="M1632" s="2">
        <v>45180.908387314812</v>
      </c>
      <c r="N1632" t="s">
        <v>28</v>
      </c>
      <c r="O1632" s="2">
        <v>45185.940470497684</v>
      </c>
      <c r="P1632">
        <v>9</v>
      </c>
      <c r="Q1632">
        <v>5</v>
      </c>
      <c r="R1632" t="s">
        <v>55</v>
      </c>
      <c r="S1632" t="s">
        <v>30</v>
      </c>
      <c r="T1632" t="s">
        <v>53</v>
      </c>
      <c r="U1632">
        <v>39.368279000000001</v>
      </c>
      <c r="V1632">
        <v>21.863140999999999</v>
      </c>
      <c r="W1632" t="str">
        <f t="shared" si="176"/>
        <v>ok</v>
      </c>
      <c r="X1632" t="str">
        <f t="shared" si="182"/>
        <v>ok</v>
      </c>
      <c r="Y1632" t="str">
        <f t="shared" si="177"/>
        <v>ok</v>
      </c>
      <c r="Z1632" t="str">
        <f t="shared" si="178"/>
        <v>ok</v>
      </c>
      <c r="AA1632" s="4" t="str">
        <f t="shared" si="179"/>
        <v>ok</v>
      </c>
      <c r="AB1632" s="4" t="str">
        <f t="shared" si="180"/>
        <v>ok</v>
      </c>
      <c r="AC1632" s="6">
        <f t="shared" si="181"/>
        <v>16.118239999981597</v>
      </c>
    </row>
    <row r="1633" spans="1:29" x14ac:dyDescent="0.3">
      <c r="A1633" t="s">
        <v>42</v>
      </c>
      <c r="B1633">
        <v>3075</v>
      </c>
      <c r="C1633" t="s">
        <v>47</v>
      </c>
      <c r="D1633" t="s">
        <v>24</v>
      </c>
      <c r="E1633" t="s">
        <v>39</v>
      </c>
      <c r="F1633" t="s">
        <v>26</v>
      </c>
      <c r="G1633" t="s">
        <v>27</v>
      </c>
      <c r="H1633" s="1">
        <v>45180.994525462964</v>
      </c>
      <c r="I1633" s="1">
        <v>45182.994525462964</v>
      </c>
      <c r="J1633" s="1">
        <v>45181.036192129628</v>
      </c>
      <c r="K1633" s="2">
        <v>45181.020817627315</v>
      </c>
      <c r="L1633" t="s">
        <v>28</v>
      </c>
      <c r="M1633" s="2">
        <v>45186.126597997689</v>
      </c>
      <c r="N1633" t="s">
        <v>38</v>
      </c>
      <c r="P1633">
        <v>1</v>
      </c>
      <c r="R1633" t="s">
        <v>50</v>
      </c>
      <c r="S1633" t="s">
        <v>30</v>
      </c>
      <c r="T1633" t="s">
        <v>46</v>
      </c>
      <c r="U1633">
        <v>47.696471899999999</v>
      </c>
      <c r="V1633">
        <v>13.3457347</v>
      </c>
      <c r="W1633" t="str">
        <f t="shared" si="176"/>
        <v>ok</v>
      </c>
      <c r="X1633" t="str">
        <f t="shared" si="182"/>
        <v>ok</v>
      </c>
      <c r="Y1633" t="str">
        <f t="shared" si="177"/>
        <v>ok</v>
      </c>
      <c r="Z1633" t="str">
        <f t="shared" si="178"/>
        <v>ok</v>
      </c>
      <c r="AA1633" s="4" t="str">
        <f t="shared" si="179"/>
        <v>ok</v>
      </c>
      <c r="AB1633" s="4" t="str">
        <f t="shared" si="180"/>
        <v>ok</v>
      </c>
      <c r="AC1633" s="6">
        <f t="shared" si="181"/>
        <v>123.16974083340028</v>
      </c>
    </row>
    <row r="1634" spans="1:29" x14ac:dyDescent="0.3">
      <c r="A1634" t="s">
        <v>42</v>
      </c>
      <c r="B1634">
        <v>3076</v>
      </c>
      <c r="C1634" t="s">
        <v>33</v>
      </c>
      <c r="D1634" t="s">
        <v>43</v>
      </c>
      <c r="E1634" t="s">
        <v>67</v>
      </c>
      <c r="F1634" t="s">
        <v>26</v>
      </c>
      <c r="G1634" t="s">
        <v>52</v>
      </c>
      <c r="H1634" s="1">
        <v>45180.292604166665</v>
      </c>
      <c r="I1634" s="1">
        <v>45181.292604166665</v>
      </c>
      <c r="J1634" s="1">
        <v>45180.293993055559</v>
      </c>
      <c r="K1634" s="2">
        <v>45180.293127824072</v>
      </c>
      <c r="L1634" t="s">
        <v>28</v>
      </c>
      <c r="M1634" s="2">
        <v>45180.594076516201</v>
      </c>
      <c r="N1634" t="s">
        <v>28</v>
      </c>
      <c r="P1634">
        <v>4</v>
      </c>
      <c r="R1634" t="s">
        <v>29</v>
      </c>
      <c r="S1634" t="s">
        <v>30</v>
      </c>
      <c r="T1634" t="s">
        <v>41</v>
      </c>
      <c r="U1634">
        <v>43.036776000000003</v>
      </c>
      <c r="V1634">
        <v>12.678565000000001</v>
      </c>
      <c r="W1634" t="str">
        <f t="shared" si="176"/>
        <v>ok</v>
      </c>
      <c r="X1634" t="str">
        <f t="shared" si="182"/>
        <v>ok</v>
      </c>
      <c r="Y1634" t="str">
        <f t="shared" si="177"/>
        <v>ok</v>
      </c>
      <c r="Z1634" t="str">
        <f t="shared" si="178"/>
        <v>ok</v>
      </c>
      <c r="AA1634" s="4" t="str">
        <f t="shared" si="179"/>
        <v>ok</v>
      </c>
      <c r="AB1634" s="4" t="str">
        <f t="shared" si="180"/>
        <v>ok</v>
      </c>
      <c r="AC1634" s="6">
        <f t="shared" si="181"/>
        <v>7.2353363888687454</v>
      </c>
    </row>
    <row r="1635" spans="1:29" x14ac:dyDescent="0.3">
      <c r="A1635" t="s">
        <v>42</v>
      </c>
      <c r="B1635">
        <v>3077</v>
      </c>
      <c r="C1635" t="s">
        <v>23</v>
      </c>
      <c r="D1635" t="s">
        <v>24</v>
      </c>
      <c r="E1635" t="s">
        <v>59</v>
      </c>
      <c r="F1635" t="s">
        <v>36</v>
      </c>
      <c r="G1635" t="s">
        <v>64</v>
      </c>
      <c r="H1635" s="1">
        <v>45180.027511574073</v>
      </c>
      <c r="I1635" s="1">
        <v>45182.027511574073</v>
      </c>
      <c r="J1635" s="1">
        <v>45180.069178240738</v>
      </c>
      <c r="K1635" s="2">
        <v>45180.066775624997</v>
      </c>
      <c r="L1635" t="s">
        <v>28</v>
      </c>
      <c r="M1635" s="2">
        <v>45180.881359710649</v>
      </c>
      <c r="N1635" t="s">
        <v>28</v>
      </c>
      <c r="P1635">
        <v>5</v>
      </c>
      <c r="R1635" t="s">
        <v>29</v>
      </c>
      <c r="S1635" t="s">
        <v>40</v>
      </c>
      <c r="T1635" t="s">
        <v>66</v>
      </c>
      <c r="U1635">
        <v>48.864716000000001</v>
      </c>
      <c r="V1635">
        <v>2.3490139999999999</v>
      </c>
      <c r="W1635" t="str">
        <f t="shared" si="176"/>
        <v>ok</v>
      </c>
      <c r="X1635" t="str">
        <f t="shared" si="182"/>
        <v>ok</v>
      </c>
      <c r="Y1635" t="str">
        <f t="shared" si="177"/>
        <v>ok</v>
      </c>
      <c r="Z1635" t="str">
        <f t="shared" si="178"/>
        <v>ok</v>
      </c>
      <c r="AA1635" s="4" t="str">
        <f t="shared" si="179"/>
        <v>ok</v>
      </c>
      <c r="AB1635" s="4" t="str">
        <f t="shared" si="180"/>
        <v>ok</v>
      </c>
      <c r="AC1635" s="6">
        <f t="shared" si="181"/>
        <v>20.492355277820025</v>
      </c>
    </row>
    <row r="1636" spans="1:29" x14ac:dyDescent="0.3">
      <c r="A1636" t="s">
        <v>22</v>
      </c>
      <c r="B1636">
        <v>3078</v>
      </c>
      <c r="C1636" t="s">
        <v>23</v>
      </c>
      <c r="D1636" t="s">
        <v>24</v>
      </c>
      <c r="E1636" t="s">
        <v>25</v>
      </c>
      <c r="F1636" t="s">
        <v>36</v>
      </c>
      <c r="G1636" t="s">
        <v>37</v>
      </c>
      <c r="H1636" s="1">
        <v>45180.078125</v>
      </c>
      <c r="I1636" s="1">
        <v>45182.078125</v>
      </c>
      <c r="J1636" s="1">
        <v>45180.119791666664</v>
      </c>
      <c r="K1636" s="2">
        <v>45180.116235520836</v>
      </c>
      <c r="L1636" t="s">
        <v>28</v>
      </c>
      <c r="M1636" s="2">
        <v>45180.765489004632</v>
      </c>
      <c r="N1636" t="s">
        <v>28</v>
      </c>
      <c r="O1636" s="2">
        <v>45186.794520104166</v>
      </c>
      <c r="P1636">
        <v>3</v>
      </c>
      <c r="Q1636">
        <v>5</v>
      </c>
      <c r="R1636" t="s">
        <v>50</v>
      </c>
      <c r="S1636" t="s">
        <v>40</v>
      </c>
      <c r="T1636" t="s">
        <v>66</v>
      </c>
      <c r="U1636">
        <v>48.864716000000001</v>
      </c>
      <c r="V1636">
        <v>2.3490139999999999</v>
      </c>
      <c r="W1636" t="str">
        <f t="shared" si="176"/>
        <v>ok</v>
      </c>
      <c r="X1636" t="str">
        <f t="shared" si="182"/>
        <v>ok</v>
      </c>
      <c r="Y1636" t="str">
        <f t="shared" si="177"/>
        <v>ok</v>
      </c>
      <c r="Z1636" t="str">
        <f t="shared" si="178"/>
        <v>ok</v>
      </c>
      <c r="AA1636" s="4" t="str">
        <f t="shared" si="179"/>
        <v>ok</v>
      </c>
      <c r="AB1636" s="4" t="str">
        <f t="shared" si="180"/>
        <v>ok</v>
      </c>
      <c r="AC1636" s="6">
        <f t="shared" si="181"/>
        <v>16.496736111177597</v>
      </c>
    </row>
    <row r="1637" spans="1:29" x14ac:dyDescent="0.3">
      <c r="A1637" t="s">
        <v>22</v>
      </c>
      <c r="B1637">
        <v>3079</v>
      </c>
      <c r="C1637" t="s">
        <v>23</v>
      </c>
      <c r="D1637" t="s">
        <v>24</v>
      </c>
      <c r="E1637" t="s">
        <v>25</v>
      </c>
      <c r="F1637" t="s">
        <v>26</v>
      </c>
      <c r="G1637" t="s">
        <v>45</v>
      </c>
      <c r="H1637" s="1">
        <v>45180.675555555557</v>
      </c>
      <c r="I1637" s="1">
        <v>45182.675555555557</v>
      </c>
      <c r="J1637" s="1">
        <v>45180.717222222222</v>
      </c>
      <c r="K1637" s="2">
        <v>45180.724235150461</v>
      </c>
      <c r="L1637" t="s">
        <v>38</v>
      </c>
      <c r="M1637" s="2">
        <v>45184.182409328707</v>
      </c>
      <c r="N1637" t="s">
        <v>38</v>
      </c>
      <c r="O1637" s="2">
        <v>45184.675594895831</v>
      </c>
      <c r="P1637">
        <v>2</v>
      </c>
      <c r="Q1637">
        <v>4</v>
      </c>
      <c r="R1637" t="s">
        <v>50</v>
      </c>
      <c r="S1637" t="s">
        <v>30</v>
      </c>
      <c r="T1637" t="s">
        <v>63</v>
      </c>
      <c r="U1637">
        <v>55.378051999999997</v>
      </c>
      <c r="V1637">
        <v>-3.4359730000000002</v>
      </c>
      <c r="W1637" t="str">
        <f t="shared" si="176"/>
        <v>ok</v>
      </c>
      <c r="X1637" t="str">
        <f t="shared" si="182"/>
        <v>ok</v>
      </c>
      <c r="Y1637" t="str">
        <f t="shared" si="177"/>
        <v>ok</v>
      </c>
      <c r="Z1637" t="str">
        <f t="shared" si="178"/>
        <v>ok</v>
      </c>
      <c r="AA1637" s="4" t="str">
        <f t="shared" si="179"/>
        <v>ok</v>
      </c>
      <c r="AB1637" s="4" t="str">
        <f t="shared" si="180"/>
        <v>ok</v>
      </c>
      <c r="AC1637" s="6">
        <f t="shared" si="181"/>
        <v>84.16449055558769</v>
      </c>
    </row>
    <row r="1638" spans="1:29" x14ac:dyDescent="0.3">
      <c r="A1638" t="s">
        <v>22</v>
      </c>
      <c r="B1638">
        <v>3080</v>
      </c>
      <c r="C1638" t="s">
        <v>23</v>
      </c>
      <c r="D1638" t="s">
        <v>43</v>
      </c>
      <c r="E1638" t="s">
        <v>62</v>
      </c>
      <c r="F1638" t="s">
        <v>26</v>
      </c>
      <c r="G1638" t="s">
        <v>49</v>
      </c>
      <c r="H1638" s="1">
        <v>45181.635358796295</v>
      </c>
      <c r="I1638" s="1">
        <v>45182.635358796295</v>
      </c>
      <c r="J1638" s="1">
        <v>45181.636747685188</v>
      </c>
      <c r="K1638" s="2">
        <v>45181.636223657406</v>
      </c>
      <c r="L1638" t="s">
        <v>28</v>
      </c>
      <c r="M1638" s="2">
        <v>45181.73653736111</v>
      </c>
      <c r="N1638" t="s">
        <v>28</v>
      </c>
      <c r="O1638" s="2">
        <v>45186.643562638892</v>
      </c>
      <c r="P1638">
        <v>7</v>
      </c>
      <c r="Q1638">
        <v>5</v>
      </c>
      <c r="R1638" t="s">
        <v>55</v>
      </c>
      <c r="S1638" t="s">
        <v>30</v>
      </c>
      <c r="T1638" t="s">
        <v>57</v>
      </c>
      <c r="U1638">
        <v>51.165691000000002</v>
      </c>
      <c r="V1638">
        <v>10.451525999999999</v>
      </c>
      <c r="W1638" t="str">
        <f t="shared" si="176"/>
        <v>ok</v>
      </c>
      <c r="X1638" t="str">
        <f t="shared" si="182"/>
        <v>ok</v>
      </c>
      <c r="Y1638" t="str">
        <f t="shared" si="177"/>
        <v>ok</v>
      </c>
      <c r="Z1638" t="str">
        <f t="shared" si="178"/>
        <v>ok</v>
      </c>
      <c r="AA1638" s="4" t="str">
        <f t="shared" si="179"/>
        <v>ok</v>
      </c>
      <c r="AB1638" s="4" t="str">
        <f t="shared" si="180"/>
        <v>ok</v>
      </c>
      <c r="AC1638" s="6">
        <f t="shared" si="181"/>
        <v>2.4282855555647984</v>
      </c>
    </row>
    <row r="1639" spans="1:29" x14ac:dyDescent="0.3">
      <c r="A1639" t="s">
        <v>42</v>
      </c>
      <c r="B1639">
        <v>3081</v>
      </c>
      <c r="C1639" t="s">
        <v>33</v>
      </c>
      <c r="D1639" t="s">
        <v>43</v>
      </c>
      <c r="E1639" t="s">
        <v>25</v>
      </c>
      <c r="F1639" t="s">
        <v>26</v>
      </c>
      <c r="G1639" t="s">
        <v>45</v>
      </c>
      <c r="H1639" s="1">
        <v>45181.962442129632</v>
      </c>
      <c r="I1639" s="1">
        <v>45182.962442129632</v>
      </c>
      <c r="J1639" s="1">
        <v>45181.963831018518</v>
      </c>
      <c r="K1639" s="2">
        <v>45181.965746215275</v>
      </c>
      <c r="L1639" t="s">
        <v>38</v>
      </c>
      <c r="M1639" s="2">
        <v>45182.392964907405</v>
      </c>
      <c r="N1639" t="s">
        <v>28</v>
      </c>
      <c r="P1639">
        <v>2</v>
      </c>
      <c r="R1639" t="s">
        <v>50</v>
      </c>
      <c r="S1639" t="s">
        <v>30</v>
      </c>
      <c r="T1639" t="s">
        <v>57</v>
      </c>
      <c r="U1639">
        <v>51.165691000000002</v>
      </c>
      <c r="V1639">
        <v>10.451525999999999</v>
      </c>
      <c r="W1639" t="str">
        <f t="shared" si="176"/>
        <v>ok</v>
      </c>
      <c r="X1639" t="str">
        <f t="shared" si="182"/>
        <v>ok</v>
      </c>
      <c r="Y1639" t="str">
        <f t="shared" si="177"/>
        <v>ok</v>
      </c>
      <c r="Z1639" t="str">
        <f t="shared" si="178"/>
        <v>ok</v>
      </c>
      <c r="AA1639" s="4" t="str">
        <f t="shared" si="179"/>
        <v>ok</v>
      </c>
      <c r="AB1639" s="4" t="str">
        <f t="shared" si="180"/>
        <v>ok</v>
      </c>
      <c r="AC1639" s="6">
        <f t="shared" si="181"/>
        <v>10.332546666555572</v>
      </c>
    </row>
    <row r="1640" spans="1:29" x14ac:dyDescent="0.3">
      <c r="A1640" t="s">
        <v>42</v>
      </c>
      <c r="B1640">
        <v>3082</v>
      </c>
      <c r="C1640" t="s">
        <v>23</v>
      </c>
      <c r="D1640" t="s">
        <v>43</v>
      </c>
      <c r="E1640" t="s">
        <v>25</v>
      </c>
      <c r="F1640" t="s">
        <v>36</v>
      </c>
      <c r="G1640" t="s">
        <v>37</v>
      </c>
      <c r="H1640" s="1">
        <v>45181.563090277778</v>
      </c>
      <c r="I1640" s="1">
        <v>45182.563090277778</v>
      </c>
      <c r="J1640" s="1">
        <v>45181.564479166664</v>
      </c>
      <c r="K1640" s="2">
        <v>45181.563123888889</v>
      </c>
      <c r="L1640" t="s">
        <v>28</v>
      </c>
      <c r="M1640" s="2">
        <v>45183.252926782407</v>
      </c>
      <c r="N1640" t="s">
        <v>38</v>
      </c>
      <c r="P1640">
        <v>6</v>
      </c>
      <c r="R1640" t="s">
        <v>39</v>
      </c>
      <c r="S1640" t="s">
        <v>40</v>
      </c>
      <c r="T1640" t="s">
        <v>66</v>
      </c>
      <c r="U1640">
        <v>48.864716000000001</v>
      </c>
      <c r="V1640">
        <v>2.3490139999999999</v>
      </c>
      <c r="W1640" t="str">
        <f t="shared" si="176"/>
        <v>ok</v>
      </c>
      <c r="X1640" t="str">
        <f t="shared" si="182"/>
        <v>ok</v>
      </c>
      <c r="Y1640" t="str">
        <f t="shared" si="177"/>
        <v>ok</v>
      </c>
      <c r="Z1640" t="str">
        <f t="shared" si="178"/>
        <v>ok</v>
      </c>
      <c r="AA1640" s="4" t="str">
        <f t="shared" si="179"/>
        <v>ok</v>
      </c>
      <c r="AB1640" s="4" t="str">
        <f t="shared" si="180"/>
        <v>ok</v>
      </c>
      <c r="AC1640" s="6">
        <f t="shared" si="181"/>
        <v>40.556076111097354</v>
      </c>
    </row>
    <row r="1641" spans="1:29" x14ac:dyDescent="0.3">
      <c r="A1641" t="s">
        <v>22</v>
      </c>
      <c r="B1641">
        <v>3083</v>
      </c>
      <c r="C1641" t="s">
        <v>47</v>
      </c>
      <c r="D1641" t="s">
        <v>43</v>
      </c>
      <c r="E1641" t="s">
        <v>67</v>
      </c>
      <c r="F1641" t="s">
        <v>26</v>
      </c>
      <c r="G1641" t="s">
        <v>52</v>
      </c>
      <c r="H1641" s="1">
        <v>45181.071145833332</v>
      </c>
      <c r="I1641" s="1">
        <v>45182.071145833332</v>
      </c>
      <c r="J1641" s="1">
        <v>45181.072534722225</v>
      </c>
      <c r="K1641" s="2">
        <v>45181.071593946763</v>
      </c>
      <c r="L1641" t="s">
        <v>28</v>
      </c>
      <c r="M1641" s="2">
        <v>45181.453940740743</v>
      </c>
      <c r="N1641" t="s">
        <v>28</v>
      </c>
      <c r="O1641" s="2">
        <v>45183.120587245372</v>
      </c>
      <c r="P1641">
        <v>4</v>
      </c>
      <c r="Q1641">
        <v>4</v>
      </c>
      <c r="R1641" t="s">
        <v>29</v>
      </c>
      <c r="S1641" t="s">
        <v>30</v>
      </c>
      <c r="T1641" t="s">
        <v>56</v>
      </c>
      <c r="U1641">
        <v>52.536273000000001</v>
      </c>
      <c r="V1641">
        <v>19.050639</v>
      </c>
      <c r="W1641" t="str">
        <f t="shared" si="176"/>
        <v>ok</v>
      </c>
      <c r="X1641" t="str">
        <f t="shared" si="182"/>
        <v>ok</v>
      </c>
      <c r="Y1641" t="str">
        <f t="shared" si="177"/>
        <v>ok</v>
      </c>
      <c r="Z1641" t="str">
        <f t="shared" si="178"/>
        <v>ok</v>
      </c>
      <c r="AA1641" s="4" t="str">
        <f t="shared" si="179"/>
        <v>ok</v>
      </c>
      <c r="AB1641" s="4" t="str">
        <f t="shared" si="180"/>
        <v>ok</v>
      </c>
      <c r="AC1641" s="6">
        <f t="shared" si="181"/>
        <v>9.1870777778676711</v>
      </c>
    </row>
    <row r="1642" spans="1:29" x14ac:dyDescent="0.3">
      <c r="A1642" t="s">
        <v>22</v>
      </c>
      <c r="B1642">
        <v>3084</v>
      </c>
      <c r="C1642" t="s">
        <v>23</v>
      </c>
      <c r="D1642" t="s">
        <v>24</v>
      </c>
      <c r="E1642" t="s">
        <v>59</v>
      </c>
      <c r="F1642" t="s">
        <v>36</v>
      </c>
      <c r="G1642" t="s">
        <v>37</v>
      </c>
      <c r="H1642" s="1">
        <v>45181.91065972222</v>
      </c>
      <c r="I1642" s="1">
        <v>45183.91065972222</v>
      </c>
      <c r="J1642" s="1">
        <v>45181.952326388891</v>
      </c>
      <c r="K1642" s="2">
        <v>45181.92516136574</v>
      </c>
      <c r="L1642" t="s">
        <v>28</v>
      </c>
      <c r="M1642" s="2">
        <v>45183.712712256944</v>
      </c>
      <c r="N1642" t="s">
        <v>28</v>
      </c>
      <c r="O1642" s="2">
        <v>45187.939442569441</v>
      </c>
      <c r="P1642">
        <v>10</v>
      </c>
      <c r="Q1642">
        <v>4</v>
      </c>
      <c r="R1642" t="s">
        <v>55</v>
      </c>
      <c r="S1642" t="s">
        <v>40</v>
      </c>
      <c r="T1642" t="s">
        <v>66</v>
      </c>
      <c r="U1642">
        <v>48.864716000000001</v>
      </c>
      <c r="V1642">
        <v>2.3490139999999999</v>
      </c>
      <c r="W1642" t="str">
        <f t="shared" si="176"/>
        <v>ok</v>
      </c>
      <c r="X1642" t="str">
        <f t="shared" si="182"/>
        <v>ok</v>
      </c>
      <c r="Y1642" t="str">
        <f t="shared" si="177"/>
        <v>ok</v>
      </c>
      <c r="Z1642" t="str">
        <f t="shared" si="178"/>
        <v>ok</v>
      </c>
      <c r="AA1642" s="4" t="str">
        <f t="shared" si="179"/>
        <v>ok</v>
      </c>
      <c r="AB1642" s="4" t="str">
        <f t="shared" si="180"/>
        <v>ok</v>
      </c>
      <c r="AC1642" s="6">
        <f t="shared" si="181"/>
        <v>43.249260833370499</v>
      </c>
    </row>
    <row r="1643" spans="1:29" x14ac:dyDescent="0.3">
      <c r="A1643" t="s">
        <v>22</v>
      </c>
      <c r="B1643">
        <v>3085</v>
      </c>
      <c r="C1643" t="s">
        <v>33</v>
      </c>
      <c r="D1643" t="s">
        <v>43</v>
      </c>
      <c r="E1643" t="s">
        <v>44</v>
      </c>
      <c r="F1643" t="s">
        <v>26</v>
      </c>
      <c r="G1643" t="s">
        <v>49</v>
      </c>
      <c r="H1643" s="1">
        <v>45181.229178240741</v>
      </c>
      <c r="I1643" s="1">
        <v>45182.229178240741</v>
      </c>
      <c r="J1643" s="1">
        <v>45181.230567129627</v>
      </c>
      <c r="K1643" s="2">
        <v>45181.22939310185</v>
      </c>
      <c r="L1643" t="s">
        <v>28</v>
      </c>
      <c r="M1643" s="2">
        <v>45181.58728230324</v>
      </c>
      <c r="N1643" t="s">
        <v>28</v>
      </c>
      <c r="O1643" s="2">
        <v>45187.144206249999</v>
      </c>
      <c r="P1643">
        <v>6</v>
      </c>
      <c r="Q1643">
        <v>5</v>
      </c>
      <c r="R1643" t="s">
        <v>55</v>
      </c>
      <c r="S1643" t="s">
        <v>30</v>
      </c>
      <c r="T1643" t="s">
        <v>53</v>
      </c>
      <c r="U1643">
        <v>39.368279000000001</v>
      </c>
      <c r="V1643">
        <v>21.863140999999999</v>
      </c>
      <c r="W1643" t="str">
        <f t="shared" si="176"/>
        <v>ok</v>
      </c>
      <c r="X1643" t="str">
        <f t="shared" si="182"/>
        <v>ok</v>
      </c>
      <c r="Y1643" t="str">
        <f t="shared" si="177"/>
        <v>ok</v>
      </c>
      <c r="Z1643" t="str">
        <f t="shared" si="178"/>
        <v>ok</v>
      </c>
      <c r="AA1643" s="4" t="str">
        <f t="shared" si="179"/>
        <v>ok</v>
      </c>
      <c r="AB1643" s="4" t="str">
        <f t="shared" si="180"/>
        <v>ok</v>
      </c>
      <c r="AC1643" s="6">
        <f t="shared" si="181"/>
        <v>8.594497499987483</v>
      </c>
    </row>
    <row r="1644" spans="1:29" x14ac:dyDescent="0.3">
      <c r="A1644" t="s">
        <v>32</v>
      </c>
      <c r="B1644">
        <v>3086</v>
      </c>
      <c r="C1644" t="s">
        <v>23</v>
      </c>
      <c r="D1644" t="s">
        <v>43</v>
      </c>
      <c r="E1644" t="s">
        <v>25</v>
      </c>
      <c r="F1644" t="s">
        <v>26</v>
      </c>
      <c r="G1644" t="s">
        <v>27</v>
      </c>
      <c r="H1644" s="1">
        <v>45181.299085648148</v>
      </c>
      <c r="I1644" s="1">
        <v>45182.299085648148</v>
      </c>
      <c r="J1644" s="1">
        <v>45181.300474537034</v>
      </c>
      <c r="K1644" s="2">
        <v>45181.299197685184</v>
      </c>
      <c r="L1644" t="s">
        <v>28</v>
      </c>
      <c r="N1644" t="s">
        <v>38</v>
      </c>
      <c r="P1644">
        <v>5</v>
      </c>
      <c r="R1644" t="s">
        <v>29</v>
      </c>
      <c r="S1644" t="s">
        <v>30</v>
      </c>
      <c r="T1644" t="s">
        <v>51</v>
      </c>
      <c r="U1644">
        <v>39.673369999999998</v>
      </c>
      <c r="V1644">
        <v>-4.7677259999999997</v>
      </c>
      <c r="W1644" t="str">
        <f t="shared" si="176"/>
        <v>ok</v>
      </c>
      <c r="X1644" t="str">
        <f t="shared" si="182"/>
        <v>ok</v>
      </c>
      <c r="Y1644" t="str">
        <f t="shared" si="177"/>
        <v>ok</v>
      </c>
      <c r="Z1644" t="str">
        <f t="shared" si="178"/>
        <v>ok</v>
      </c>
      <c r="AA1644" s="4" t="str">
        <f t="shared" si="179"/>
        <v>ok</v>
      </c>
      <c r="AB1644" s="4" t="str">
        <f t="shared" si="180"/>
        <v>no resolution</v>
      </c>
      <c r="AC1644" s="6" t="str">
        <f t="shared" si="181"/>
        <v/>
      </c>
    </row>
    <row r="1645" spans="1:29" x14ac:dyDescent="0.3">
      <c r="A1645" t="s">
        <v>42</v>
      </c>
      <c r="B1645">
        <v>3087</v>
      </c>
      <c r="C1645" t="s">
        <v>23</v>
      </c>
      <c r="D1645" t="s">
        <v>24</v>
      </c>
      <c r="E1645" t="s">
        <v>48</v>
      </c>
      <c r="F1645" t="s">
        <v>26</v>
      </c>
      <c r="G1645" t="s">
        <v>60</v>
      </c>
      <c r="H1645" s="1">
        <v>45182.340428240743</v>
      </c>
      <c r="I1645" s="1">
        <v>45184.340428240743</v>
      </c>
      <c r="J1645" s="1">
        <v>45182.382094907407</v>
      </c>
      <c r="K1645" s="2">
        <v>45182.345539421294</v>
      </c>
      <c r="L1645" t="s">
        <v>28</v>
      </c>
      <c r="M1645" s="2">
        <v>45183.853150219904</v>
      </c>
      <c r="N1645" t="s">
        <v>28</v>
      </c>
      <c r="P1645">
        <v>6</v>
      </c>
      <c r="R1645" t="s">
        <v>50</v>
      </c>
      <c r="S1645" t="s">
        <v>30</v>
      </c>
      <c r="T1645" t="s">
        <v>58</v>
      </c>
      <c r="U1645">
        <v>49.8037633</v>
      </c>
      <c r="V1645">
        <v>15.4749126</v>
      </c>
      <c r="W1645" t="str">
        <f t="shared" si="176"/>
        <v>ok</v>
      </c>
      <c r="X1645" t="str">
        <f t="shared" si="182"/>
        <v>ok</v>
      </c>
      <c r="Y1645" t="str">
        <f t="shared" si="177"/>
        <v>ok</v>
      </c>
      <c r="Z1645" t="str">
        <f t="shared" si="178"/>
        <v>ok</v>
      </c>
      <c r="AA1645" s="4" t="str">
        <f t="shared" si="179"/>
        <v>ok</v>
      </c>
      <c r="AB1645" s="4" t="str">
        <f t="shared" si="180"/>
        <v>ok</v>
      </c>
      <c r="AC1645" s="6">
        <f t="shared" si="181"/>
        <v>36.305327499867417</v>
      </c>
    </row>
    <row r="1646" spans="1:29" x14ac:dyDescent="0.3">
      <c r="A1646" t="s">
        <v>42</v>
      </c>
      <c r="B1646">
        <v>3088</v>
      </c>
      <c r="C1646" t="s">
        <v>23</v>
      </c>
      <c r="D1646" t="s">
        <v>24</v>
      </c>
      <c r="E1646" t="s">
        <v>35</v>
      </c>
      <c r="F1646" t="s">
        <v>26</v>
      </c>
      <c r="G1646" t="s">
        <v>45</v>
      </c>
      <c r="H1646" s="1">
        <v>45182.310844907406</v>
      </c>
      <c r="I1646" s="1">
        <v>45184.310844907406</v>
      </c>
      <c r="J1646" s="1">
        <v>45182.352511574078</v>
      </c>
      <c r="K1646" s="2">
        <v>45182.327821539351</v>
      </c>
      <c r="L1646" t="s">
        <v>28</v>
      </c>
      <c r="M1646" s="2">
        <v>45184.199215115739</v>
      </c>
      <c r="N1646" t="s">
        <v>28</v>
      </c>
      <c r="P1646">
        <v>2</v>
      </c>
      <c r="R1646" t="s">
        <v>50</v>
      </c>
      <c r="S1646" t="s">
        <v>30</v>
      </c>
      <c r="T1646" t="s">
        <v>56</v>
      </c>
      <c r="U1646">
        <v>52.536273000000001</v>
      </c>
      <c r="V1646">
        <v>19.050639</v>
      </c>
      <c r="W1646" t="str">
        <f t="shared" si="176"/>
        <v>ok</v>
      </c>
      <c r="X1646" t="str">
        <f t="shared" si="182"/>
        <v>ok</v>
      </c>
      <c r="Y1646" t="str">
        <f t="shared" si="177"/>
        <v>ok</v>
      </c>
      <c r="Z1646" t="str">
        <f t="shared" si="178"/>
        <v>ok</v>
      </c>
      <c r="AA1646" s="4" t="str">
        <f t="shared" si="179"/>
        <v>ok</v>
      </c>
      <c r="AB1646" s="4" t="str">
        <f t="shared" si="180"/>
        <v>ok</v>
      </c>
      <c r="AC1646" s="6">
        <f t="shared" si="181"/>
        <v>45.320884999993723</v>
      </c>
    </row>
    <row r="1647" spans="1:29" x14ac:dyDescent="0.3">
      <c r="A1647" t="s">
        <v>42</v>
      </c>
      <c r="B1647">
        <v>3089</v>
      </c>
      <c r="C1647" t="s">
        <v>33</v>
      </c>
      <c r="D1647" t="s">
        <v>24</v>
      </c>
      <c r="E1647" t="s">
        <v>48</v>
      </c>
      <c r="F1647" t="s">
        <v>26</v>
      </c>
      <c r="G1647" t="s">
        <v>49</v>
      </c>
      <c r="H1647" s="1">
        <v>45182.951261574075</v>
      </c>
      <c r="I1647" s="1">
        <v>45184.951261574075</v>
      </c>
      <c r="J1647" s="1">
        <v>45182.992928240739</v>
      </c>
      <c r="K1647" s="2">
        <v>45182.985921782405</v>
      </c>
      <c r="L1647" t="s">
        <v>28</v>
      </c>
      <c r="M1647" s="2">
        <v>45184.537111597223</v>
      </c>
      <c r="N1647" t="s">
        <v>28</v>
      </c>
      <c r="P1647">
        <v>1</v>
      </c>
      <c r="R1647" t="s">
        <v>50</v>
      </c>
      <c r="S1647" t="s">
        <v>30</v>
      </c>
      <c r="T1647" t="s">
        <v>51</v>
      </c>
      <c r="U1647">
        <v>39.673369999999998</v>
      </c>
      <c r="V1647">
        <v>-4.7677259999999997</v>
      </c>
      <c r="W1647" t="str">
        <f t="shared" si="176"/>
        <v>ok</v>
      </c>
      <c r="X1647" t="str">
        <f t="shared" si="182"/>
        <v>ok</v>
      </c>
      <c r="Y1647" t="str">
        <f t="shared" si="177"/>
        <v>ok</v>
      </c>
      <c r="Z1647" t="str">
        <f t="shared" si="178"/>
        <v>ok</v>
      </c>
      <c r="AA1647" s="4" t="str">
        <f t="shared" si="179"/>
        <v>ok</v>
      </c>
      <c r="AB1647" s="4" t="str">
        <f t="shared" si="180"/>
        <v>ok</v>
      </c>
      <c r="AC1647" s="6">
        <f t="shared" si="181"/>
        <v>38.060400555550586</v>
      </c>
    </row>
    <row r="1648" spans="1:29" x14ac:dyDescent="0.3">
      <c r="A1648" t="s">
        <v>22</v>
      </c>
      <c r="B1648">
        <v>3090</v>
      </c>
      <c r="C1648" t="s">
        <v>47</v>
      </c>
      <c r="D1648" t="s">
        <v>24</v>
      </c>
      <c r="E1648" t="s">
        <v>48</v>
      </c>
      <c r="F1648" t="s">
        <v>26</v>
      </c>
      <c r="G1648" t="s">
        <v>60</v>
      </c>
      <c r="H1648" s="1">
        <v>45182.777037037034</v>
      </c>
      <c r="I1648" s="1">
        <v>45184.777037037034</v>
      </c>
      <c r="J1648" s="1">
        <v>45182.818703703706</v>
      </c>
      <c r="K1648" s="2">
        <v>45182.813497916664</v>
      </c>
      <c r="L1648" t="s">
        <v>28</v>
      </c>
      <c r="M1648" s="2">
        <v>45187.120732777781</v>
      </c>
      <c r="N1648" t="s">
        <v>38</v>
      </c>
      <c r="O1648" s="2">
        <v>45189.04561429398</v>
      </c>
      <c r="P1648">
        <v>3</v>
      </c>
      <c r="Q1648">
        <v>2</v>
      </c>
      <c r="R1648" t="s">
        <v>50</v>
      </c>
      <c r="S1648" t="s">
        <v>30</v>
      </c>
      <c r="T1648" t="s">
        <v>58</v>
      </c>
      <c r="U1648">
        <v>49.8037633</v>
      </c>
      <c r="V1648">
        <v>15.4749126</v>
      </c>
      <c r="W1648" t="str">
        <f t="shared" si="176"/>
        <v>ok</v>
      </c>
      <c r="X1648" t="str">
        <f t="shared" si="182"/>
        <v>ok</v>
      </c>
      <c r="Y1648" t="str">
        <f t="shared" si="177"/>
        <v>ok</v>
      </c>
      <c r="Z1648" t="str">
        <f t="shared" si="178"/>
        <v>ok</v>
      </c>
      <c r="AA1648" s="4" t="str">
        <f t="shared" si="179"/>
        <v>ok</v>
      </c>
      <c r="AB1648" s="4" t="str">
        <f t="shared" si="180"/>
        <v>ok</v>
      </c>
      <c r="AC1648" s="6">
        <f t="shared" si="181"/>
        <v>104.24869777791901</v>
      </c>
    </row>
    <row r="1649" spans="1:29" x14ac:dyDescent="0.3">
      <c r="A1649" t="s">
        <v>22</v>
      </c>
      <c r="B1649">
        <v>3091</v>
      </c>
      <c r="C1649" t="s">
        <v>47</v>
      </c>
      <c r="D1649" t="s">
        <v>24</v>
      </c>
      <c r="E1649" t="s">
        <v>59</v>
      </c>
      <c r="F1649" t="s">
        <v>26</v>
      </c>
      <c r="G1649" t="s">
        <v>60</v>
      </c>
      <c r="H1649" s="1">
        <v>45182.235115740739</v>
      </c>
      <c r="I1649" s="1">
        <v>45184.235115740739</v>
      </c>
      <c r="J1649" s="1">
        <v>45182.276782407411</v>
      </c>
      <c r="K1649" s="2">
        <v>45182.241991006944</v>
      </c>
      <c r="L1649" t="s">
        <v>28</v>
      </c>
      <c r="M1649" s="2">
        <v>45183.298277719907</v>
      </c>
      <c r="N1649" t="s">
        <v>28</v>
      </c>
      <c r="O1649" s="2">
        <v>45185.383812048611</v>
      </c>
      <c r="P1649">
        <v>2</v>
      </c>
      <c r="Q1649">
        <v>1</v>
      </c>
      <c r="R1649" t="s">
        <v>29</v>
      </c>
      <c r="S1649" t="s">
        <v>30</v>
      </c>
      <c r="T1649" t="s">
        <v>66</v>
      </c>
      <c r="U1649">
        <v>48.864716000000001</v>
      </c>
      <c r="V1649">
        <v>2.3490139999999999</v>
      </c>
      <c r="W1649" t="str">
        <f t="shared" si="176"/>
        <v>ok</v>
      </c>
      <c r="X1649" t="str">
        <f t="shared" si="182"/>
        <v>ok</v>
      </c>
      <c r="Y1649" t="str">
        <f t="shared" si="177"/>
        <v>ok</v>
      </c>
      <c r="Z1649" t="str">
        <f t="shared" si="178"/>
        <v>ok</v>
      </c>
      <c r="AA1649" s="4" t="str">
        <f t="shared" si="179"/>
        <v>ok</v>
      </c>
      <c r="AB1649" s="4" t="str">
        <f t="shared" si="180"/>
        <v>ok</v>
      </c>
      <c r="AC1649" s="6">
        <f t="shared" si="181"/>
        <v>25.515887500019744</v>
      </c>
    </row>
    <row r="1650" spans="1:29" x14ac:dyDescent="0.3">
      <c r="A1650" t="s">
        <v>22</v>
      </c>
      <c r="B1650">
        <v>3092</v>
      </c>
      <c r="C1650" t="s">
        <v>47</v>
      </c>
      <c r="D1650" t="s">
        <v>43</v>
      </c>
      <c r="E1650" t="s">
        <v>39</v>
      </c>
      <c r="F1650" t="s">
        <v>26</v>
      </c>
      <c r="G1650" t="s">
        <v>60</v>
      </c>
      <c r="H1650" s="1">
        <v>45183.100254629629</v>
      </c>
      <c r="I1650" s="1">
        <v>45184.100254629629</v>
      </c>
      <c r="J1650" s="1">
        <v>45183.101643518516</v>
      </c>
      <c r="K1650" s="2">
        <v>45183.104412962966</v>
      </c>
      <c r="L1650" t="s">
        <v>38</v>
      </c>
      <c r="M1650" s="2">
        <v>45184.014242731479</v>
      </c>
      <c r="N1650" t="s">
        <v>28</v>
      </c>
      <c r="O1650" s="2">
        <v>45184.70888997685</v>
      </c>
      <c r="P1650">
        <v>9</v>
      </c>
      <c r="Q1650">
        <v>4</v>
      </c>
      <c r="R1650" t="s">
        <v>50</v>
      </c>
      <c r="S1650" t="s">
        <v>30</v>
      </c>
      <c r="T1650" t="s">
        <v>46</v>
      </c>
      <c r="U1650">
        <v>47.696471899999999</v>
      </c>
      <c r="V1650">
        <v>13.3457347</v>
      </c>
      <c r="W1650" t="str">
        <f t="shared" si="176"/>
        <v>ok</v>
      </c>
      <c r="X1650" t="str">
        <f t="shared" si="182"/>
        <v>ok</v>
      </c>
      <c r="Y1650" t="str">
        <f t="shared" si="177"/>
        <v>ok</v>
      </c>
      <c r="Z1650" t="str">
        <f t="shared" si="178"/>
        <v>ok</v>
      </c>
      <c r="AA1650" s="4" t="str">
        <f t="shared" si="179"/>
        <v>ok</v>
      </c>
      <c r="AB1650" s="4" t="str">
        <f t="shared" si="180"/>
        <v>ok</v>
      </c>
      <c r="AC1650" s="6">
        <f t="shared" si="181"/>
        <v>21.935714444378391</v>
      </c>
    </row>
    <row r="1651" spans="1:29" x14ac:dyDescent="0.3">
      <c r="A1651" t="s">
        <v>22</v>
      </c>
      <c r="B1651">
        <v>3093</v>
      </c>
      <c r="C1651" t="s">
        <v>23</v>
      </c>
      <c r="D1651" t="s">
        <v>24</v>
      </c>
      <c r="E1651" t="s">
        <v>25</v>
      </c>
      <c r="F1651" t="s">
        <v>36</v>
      </c>
      <c r="G1651" t="s">
        <v>37</v>
      </c>
      <c r="H1651" s="1">
        <v>45183.681979166664</v>
      </c>
      <c r="I1651" s="1">
        <v>45185.681979166664</v>
      </c>
      <c r="J1651" s="1">
        <v>45183.723645833335</v>
      </c>
      <c r="K1651" s="2">
        <v>45183.721184224538</v>
      </c>
      <c r="L1651" t="s">
        <v>28</v>
      </c>
      <c r="M1651" s="2">
        <v>45185.519006967595</v>
      </c>
      <c r="N1651" t="s">
        <v>28</v>
      </c>
      <c r="O1651" s="2">
        <v>45186.244923530096</v>
      </c>
      <c r="P1651">
        <v>9</v>
      </c>
      <c r="Q1651">
        <v>2</v>
      </c>
      <c r="R1651" t="s">
        <v>50</v>
      </c>
      <c r="S1651" t="s">
        <v>40</v>
      </c>
      <c r="T1651" t="s">
        <v>56</v>
      </c>
      <c r="U1651">
        <v>52.536273000000001</v>
      </c>
      <c r="V1651">
        <v>19.050639</v>
      </c>
      <c r="W1651" t="str">
        <f t="shared" si="176"/>
        <v>ok</v>
      </c>
      <c r="X1651" t="str">
        <f t="shared" si="182"/>
        <v>ok</v>
      </c>
      <c r="Y1651" t="str">
        <f t="shared" si="177"/>
        <v>ok</v>
      </c>
      <c r="Z1651" t="str">
        <f t="shared" si="178"/>
        <v>ok</v>
      </c>
      <c r="AA1651" s="4" t="str">
        <f t="shared" si="179"/>
        <v>ok</v>
      </c>
      <c r="AB1651" s="4" t="str">
        <f t="shared" si="180"/>
        <v>ok</v>
      </c>
      <c r="AC1651" s="6">
        <f t="shared" si="181"/>
        <v>44.088667222356889</v>
      </c>
    </row>
    <row r="1652" spans="1:29" x14ac:dyDescent="0.3">
      <c r="A1652" t="s">
        <v>42</v>
      </c>
      <c r="B1652">
        <v>3094</v>
      </c>
      <c r="C1652" t="s">
        <v>23</v>
      </c>
      <c r="D1652" t="s">
        <v>24</v>
      </c>
      <c r="E1652" t="s">
        <v>48</v>
      </c>
      <c r="F1652" t="s">
        <v>26</v>
      </c>
      <c r="G1652" t="s">
        <v>49</v>
      </c>
      <c r="H1652" s="1">
        <v>45183.078611111108</v>
      </c>
      <c r="I1652" s="1">
        <v>45185.078611111108</v>
      </c>
      <c r="J1652" s="1">
        <v>45183.12027777778</v>
      </c>
      <c r="K1652" s="2">
        <v>45183.086543159719</v>
      </c>
      <c r="L1652" t="s">
        <v>28</v>
      </c>
      <c r="M1652" s="2">
        <v>45183.902850196762</v>
      </c>
      <c r="N1652" t="s">
        <v>28</v>
      </c>
      <c r="P1652">
        <v>1</v>
      </c>
      <c r="R1652" t="s">
        <v>29</v>
      </c>
      <c r="S1652" t="s">
        <v>30</v>
      </c>
      <c r="T1652" t="s">
        <v>63</v>
      </c>
      <c r="U1652">
        <v>55.378051999999997</v>
      </c>
      <c r="V1652">
        <v>-3.4359730000000002</v>
      </c>
      <c r="W1652" t="str">
        <f t="shared" si="176"/>
        <v>ok</v>
      </c>
      <c r="X1652" t="str">
        <f t="shared" si="182"/>
        <v>ok</v>
      </c>
      <c r="Y1652" t="str">
        <f t="shared" si="177"/>
        <v>ok</v>
      </c>
      <c r="Z1652" t="str">
        <f t="shared" si="178"/>
        <v>ok</v>
      </c>
      <c r="AA1652" s="4" t="str">
        <f t="shared" si="179"/>
        <v>ok</v>
      </c>
      <c r="AB1652" s="4" t="str">
        <f t="shared" si="180"/>
        <v>ok</v>
      </c>
      <c r="AC1652" s="6">
        <f t="shared" si="181"/>
        <v>19.781738055695314</v>
      </c>
    </row>
    <row r="1653" spans="1:29" x14ac:dyDescent="0.3">
      <c r="A1653" t="s">
        <v>32</v>
      </c>
      <c r="B1653">
        <v>3095</v>
      </c>
      <c r="C1653" t="s">
        <v>23</v>
      </c>
      <c r="D1653" t="s">
        <v>24</v>
      </c>
      <c r="E1653" t="s">
        <v>44</v>
      </c>
      <c r="F1653" t="s">
        <v>26</v>
      </c>
      <c r="G1653" t="s">
        <v>45</v>
      </c>
      <c r="H1653" s="1">
        <v>45183.540393518517</v>
      </c>
      <c r="I1653" s="1">
        <v>45185.540393518517</v>
      </c>
      <c r="J1653" s="1">
        <v>45183.582060185188</v>
      </c>
      <c r="K1653" s="2">
        <v>45183.561024166665</v>
      </c>
      <c r="L1653" t="s">
        <v>28</v>
      </c>
      <c r="N1653" t="s">
        <v>38</v>
      </c>
      <c r="P1653">
        <v>2</v>
      </c>
      <c r="R1653" t="s">
        <v>39</v>
      </c>
      <c r="S1653" t="s">
        <v>30</v>
      </c>
      <c r="T1653" t="s">
        <v>56</v>
      </c>
      <c r="U1653">
        <v>52.536273000000001</v>
      </c>
      <c r="V1653">
        <v>19.050639</v>
      </c>
      <c r="W1653" t="str">
        <f t="shared" si="176"/>
        <v>ok</v>
      </c>
      <c r="X1653" t="str">
        <f t="shared" si="182"/>
        <v>ok</v>
      </c>
      <c r="Y1653" t="str">
        <f t="shared" si="177"/>
        <v>ok</v>
      </c>
      <c r="Z1653" t="str">
        <f t="shared" si="178"/>
        <v>ok</v>
      </c>
      <c r="AA1653" s="4" t="str">
        <f t="shared" si="179"/>
        <v>ok</v>
      </c>
      <c r="AB1653" s="4" t="str">
        <f t="shared" si="180"/>
        <v>no resolution</v>
      </c>
      <c r="AC1653" s="6" t="str">
        <f t="shared" si="181"/>
        <v/>
      </c>
    </row>
    <row r="1654" spans="1:29" x14ac:dyDescent="0.3">
      <c r="A1654" t="s">
        <v>22</v>
      </c>
      <c r="B1654">
        <v>3096</v>
      </c>
      <c r="C1654" t="s">
        <v>23</v>
      </c>
      <c r="D1654" t="s">
        <v>24</v>
      </c>
      <c r="E1654" t="s">
        <v>44</v>
      </c>
      <c r="F1654" t="s">
        <v>26</v>
      </c>
      <c r="G1654" t="s">
        <v>49</v>
      </c>
      <c r="H1654" s="1">
        <v>45184.098171296297</v>
      </c>
      <c r="I1654" s="1">
        <v>45186.098171296297</v>
      </c>
      <c r="J1654" s="1">
        <v>45184.139837962961</v>
      </c>
      <c r="K1654" s="2">
        <v>45184.106500879629</v>
      </c>
      <c r="L1654" t="s">
        <v>28</v>
      </c>
      <c r="M1654" s="2">
        <v>45184.590972523147</v>
      </c>
      <c r="N1654" t="s">
        <v>28</v>
      </c>
      <c r="O1654" s="2">
        <v>45186.374883391203</v>
      </c>
      <c r="P1654">
        <v>2</v>
      </c>
      <c r="Q1654">
        <v>5</v>
      </c>
      <c r="R1654" t="s">
        <v>29</v>
      </c>
      <c r="S1654" t="s">
        <v>30</v>
      </c>
      <c r="T1654" t="s">
        <v>56</v>
      </c>
      <c r="U1654">
        <v>52.536273000000001</v>
      </c>
      <c r="V1654">
        <v>19.050639</v>
      </c>
      <c r="W1654" t="str">
        <f t="shared" si="176"/>
        <v>ok</v>
      </c>
      <c r="X1654" t="str">
        <f t="shared" si="182"/>
        <v>ok</v>
      </c>
      <c r="Y1654" t="str">
        <f t="shared" si="177"/>
        <v>ok</v>
      </c>
      <c r="Z1654" t="str">
        <f t="shared" si="178"/>
        <v>ok</v>
      </c>
      <c r="AA1654" s="4" t="str">
        <f t="shared" si="179"/>
        <v>ok</v>
      </c>
      <c r="AB1654" s="4" t="str">
        <f t="shared" si="180"/>
        <v>ok</v>
      </c>
      <c r="AC1654" s="6">
        <f t="shared" si="181"/>
        <v>11.827229444403201</v>
      </c>
    </row>
    <row r="1655" spans="1:29" x14ac:dyDescent="0.3">
      <c r="A1655" t="s">
        <v>32</v>
      </c>
      <c r="B1655">
        <v>3097</v>
      </c>
      <c r="C1655" t="s">
        <v>23</v>
      </c>
      <c r="D1655" t="s">
        <v>43</v>
      </c>
      <c r="E1655" t="s">
        <v>25</v>
      </c>
      <c r="F1655" t="s">
        <v>26</v>
      </c>
      <c r="G1655" t="s">
        <v>60</v>
      </c>
      <c r="H1655" s="1">
        <v>45184.967789351853</v>
      </c>
      <c r="I1655" s="1">
        <v>45185.967789351853</v>
      </c>
      <c r="J1655" s="1">
        <v>45184.969178240739</v>
      </c>
      <c r="K1655" s="2">
        <v>45184.968016527775</v>
      </c>
      <c r="L1655" t="s">
        <v>28</v>
      </c>
      <c r="N1655" t="s">
        <v>38</v>
      </c>
      <c r="P1655">
        <v>60</v>
      </c>
      <c r="R1655" t="s">
        <v>50</v>
      </c>
      <c r="S1655" t="s">
        <v>30</v>
      </c>
      <c r="T1655" t="s">
        <v>56</v>
      </c>
      <c r="U1655">
        <v>52.536273000000001</v>
      </c>
      <c r="V1655">
        <v>19.050639</v>
      </c>
      <c r="W1655" t="str">
        <f t="shared" si="176"/>
        <v>ok</v>
      </c>
      <c r="X1655" t="str">
        <f t="shared" si="182"/>
        <v>ok</v>
      </c>
      <c r="Y1655" t="str">
        <f t="shared" si="177"/>
        <v>ok</v>
      </c>
      <c r="Z1655" t="str">
        <f t="shared" si="178"/>
        <v>ok</v>
      </c>
      <c r="AA1655" s="4" t="str">
        <f t="shared" si="179"/>
        <v>ok</v>
      </c>
      <c r="AB1655" s="4" t="str">
        <f t="shared" si="180"/>
        <v>no resolution</v>
      </c>
      <c r="AC1655" s="6" t="str">
        <f t="shared" si="181"/>
        <v/>
      </c>
    </row>
    <row r="1656" spans="1:29" x14ac:dyDescent="0.3">
      <c r="A1656" t="s">
        <v>22</v>
      </c>
      <c r="B1656">
        <v>3098</v>
      </c>
      <c r="C1656" t="s">
        <v>33</v>
      </c>
      <c r="D1656" t="s">
        <v>43</v>
      </c>
      <c r="E1656" t="s">
        <v>48</v>
      </c>
      <c r="F1656" t="s">
        <v>36</v>
      </c>
      <c r="G1656" t="s">
        <v>37</v>
      </c>
      <c r="H1656" s="1">
        <v>45184.411597222221</v>
      </c>
      <c r="I1656" s="1">
        <v>45185.411597222221</v>
      </c>
      <c r="J1656" s="1">
        <v>45184.412986111114</v>
      </c>
      <c r="K1656" s="2">
        <v>45184.411683437502</v>
      </c>
      <c r="L1656" t="s">
        <v>28</v>
      </c>
      <c r="M1656" s="2">
        <v>45188.270862511577</v>
      </c>
      <c r="N1656" t="s">
        <v>38</v>
      </c>
      <c r="O1656" s="2">
        <v>45188.610669016205</v>
      </c>
      <c r="P1656">
        <v>6</v>
      </c>
      <c r="Q1656">
        <v>4</v>
      </c>
      <c r="R1656" t="s">
        <v>55</v>
      </c>
      <c r="S1656" t="s">
        <v>40</v>
      </c>
      <c r="T1656" t="s">
        <v>65</v>
      </c>
      <c r="U1656">
        <v>46.149166399999999</v>
      </c>
      <c r="V1656">
        <v>14.9860106</v>
      </c>
      <c r="W1656" t="str">
        <f t="shared" si="176"/>
        <v>ok</v>
      </c>
      <c r="X1656" t="str">
        <f t="shared" si="182"/>
        <v>ok</v>
      </c>
      <c r="Y1656" t="str">
        <f t="shared" si="177"/>
        <v>ok</v>
      </c>
      <c r="Z1656" t="str">
        <f t="shared" si="178"/>
        <v>ok</v>
      </c>
      <c r="AA1656" s="4" t="str">
        <f t="shared" si="179"/>
        <v>ok</v>
      </c>
      <c r="AB1656" s="4" t="str">
        <f t="shared" si="180"/>
        <v>ok</v>
      </c>
      <c r="AC1656" s="6">
        <f t="shared" si="181"/>
        <v>92.622366944560781</v>
      </c>
    </row>
    <row r="1657" spans="1:29" x14ac:dyDescent="0.3">
      <c r="A1657" t="s">
        <v>22</v>
      </c>
      <c r="B1657">
        <v>3099</v>
      </c>
      <c r="C1657" t="s">
        <v>47</v>
      </c>
      <c r="D1657" t="s">
        <v>43</v>
      </c>
      <c r="E1657" t="s">
        <v>44</v>
      </c>
      <c r="F1657" t="s">
        <v>26</v>
      </c>
      <c r="G1657" t="s">
        <v>60</v>
      </c>
      <c r="H1657" s="1">
        <v>45184.106990740744</v>
      </c>
      <c r="I1657" s="1">
        <v>45185.106990740744</v>
      </c>
      <c r="J1657" s="1">
        <v>45184.10837962963</v>
      </c>
      <c r="K1657" s="2">
        <v>45184.107484664353</v>
      </c>
      <c r="L1657" t="s">
        <v>28</v>
      </c>
      <c r="M1657" s="2">
        <v>45184.920364097219</v>
      </c>
      <c r="N1657" t="s">
        <v>28</v>
      </c>
      <c r="O1657" s="2">
        <v>45186.514812928239</v>
      </c>
      <c r="P1657">
        <v>5</v>
      </c>
      <c r="Q1657">
        <v>2</v>
      </c>
      <c r="R1657" t="s">
        <v>50</v>
      </c>
      <c r="S1657" t="s">
        <v>30</v>
      </c>
      <c r="T1657" t="s">
        <v>46</v>
      </c>
      <c r="U1657">
        <v>47.696471899999999</v>
      </c>
      <c r="V1657">
        <v>13.3457347</v>
      </c>
      <c r="W1657" t="str">
        <f t="shared" si="176"/>
        <v>ok</v>
      </c>
      <c r="X1657" t="str">
        <f t="shared" si="182"/>
        <v>ok</v>
      </c>
      <c r="Y1657" t="str">
        <f t="shared" si="177"/>
        <v>ok</v>
      </c>
      <c r="Z1657" t="str">
        <f t="shared" si="178"/>
        <v>ok</v>
      </c>
      <c r="AA1657" s="4" t="str">
        <f t="shared" si="179"/>
        <v>ok</v>
      </c>
      <c r="AB1657" s="4" t="str">
        <f t="shared" si="180"/>
        <v>ok</v>
      </c>
      <c r="AC1657" s="6">
        <f t="shared" si="181"/>
        <v>19.520960555411875</v>
      </c>
    </row>
    <row r="1658" spans="1:29" x14ac:dyDescent="0.3">
      <c r="A1658" t="s">
        <v>42</v>
      </c>
      <c r="B1658">
        <v>3100</v>
      </c>
      <c r="C1658" t="s">
        <v>47</v>
      </c>
      <c r="D1658" t="s">
        <v>34</v>
      </c>
      <c r="E1658" t="s">
        <v>48</v>
      </c>
      <c r="F1658" t="s">
        <v>26</v>
      </c>
      <c r="G1658" t="s">
        <v>27</v>
      </c>
      <c r="H1658" s="1">
        <v>45184.508634259262</v>
      </c>
      <c r="I1658" s="1">
        <v>45186.508634259262</v>
      </c>
      <c r="J1658" s="1">
        <v>45184.510023148148</v>
      </c>
      <c r="K1658" s="2">
        <v>45184.509487025462</v>
      </c>
      <c r="L1658" t="s">
        <v>28</v>
      </c>
      <c r="M1658" s="2">
        <v>45184.81508709491</v>
      </c>
      <c r="N1658" t="s">
        <v>28</v>
      </c>
      <c r="P1658">
        <v>1</v>
      </c>
      <c r="R1658" t="s">
        <v>39</v>
      </c>
      <c r="S1658" t="s">
        <v>30</v>
      </c>
      <c r="T1658" t="s">
        <v>63</v>
      </c>
      <c r="U1658">
        <v>55.378051999999997</v>
      </c>
      <c r="V1658">
        <v>-3.4359730000000002</v>
      </c>
      <c r="W1658" t="str">
        <f t="shared" si="176"/>
        <v>ok</v>
      </c>
      <c r="X1658" t="str">
        <f t="shared" si="182"/>
        <v>ok</v>
      </c>
      <c r="Y1658" t="str">
        <f t="shared" si="177"/>
        <v>ok</v>
      </c>
      <c r="Z1658" t="str">
        <f t="shared" si="178"/>
        <v>ok</v>
      </c>
      <c r="AA1658" s="4" t="str">
        <f t="shared" si="179"/>
        <v>ok</v>
      </c>
      <c r="AB1658" s="4" t="str">
        <f t="shared" si="180"/>
        <v>ok</v>
      </c>
      <c r="AC1658" s="6">
        <f t="shared" si="181"/>
        <v>7.3548680555541068</v>
      </c>
    </row>
    <row r="1659" spans="1:29" x14ac:dyDescent="0.3">
      <c r="A1659" t="s">
        <v>22</v>
      </c>
      <c r="B1659">
        <v>3101</v>
      </c>
      <c r="C1659" t="s">
        <v>33</v>
      </c>
      <c r="D1659" t="s">
        <v>43</v>
      </c>
      <c r="E1659" t="s">
        <v>48</v>
      </c>
      <c r="F1659" t="s">
        <v>26</v>
      </c>
      <c r="G1659" t="s">
        <v>52</v>
      </c>
      <c r="H1659" s="1">
        <v>45184.313391203701</v>
      </c>
      <c r="I1659" s="1">
        <v>45185.313391203701</v>
      </c>
      <c r="J1659" s="1">
        <v>45184.314780092594</v>
      </c>
      <c r="K1659" s="2">
        <v>45184.313534490742</v>
      </c>
      <c r="L1659" t="s">
        <v>28</v>
      </c>
      <c r="M1659" s="2">
        <v>45189.678370960646</v>
      </c>
      <c r="N1659" t="s">
        <v>38</v>
      </c>
      <c r="O1659" s="2">
        <v>45191.53310202546</v>
      </c>
      <c r="P1659">
        <v>6</v>
      </c>
      <c r="Q1659">
        <v>3</v>
      </c>
      <c r="R1659" t="s">
        <v>55</v>
      </c>
      <c r="S1659" t="s">
        <v>30</v>
      </c>
      <c r="T1659" t="s">
        <v>57</v>
      </c>
      <c r="U1659">
        <v>51.165691000000002</v>
      </c>
      <c r="V1659">
        <v>10.451525999999999</v>
      </c>
      <c r="W1659" t="str">
        <f t="shared" si="176"/>
        <v>ok</v>
      </c>
      <c r="X1659" t="str">
        <f t="shared" si="182"/>
        <v>ok</v>
      </c>
      <c r="Y1659" t="str">
        <f t="shared" si="177"/>
        <v>ok</v>
      </c>
      <c r="Z1659" t="str">
        <f t="shared" si="178"/>
        <v>ok</v>
      </c>
      <c r="AA1659" s="4" t="str">
        <f t="shared" si="179"/>
        <v>ok</v>
      </c>
      <c r="AB1659" s="4" t="str">
        <f t="shared" si="180"/>
        <v>ok</v>
      </c>
      <c r="AC1659" s="6">
        <f t="shared" si="181"/>
        <v>128.75951416668249</v>
      </c>
    </row>
    <row r="1660" spans="1:29" x14ac:dyDescent="0.3">
      <c r="A1660" t="s">
        <v>22</v>
      </c>
      <c r="B1660">
        <v>3102</v>
      </c>
      <c r="C1660" t="s">
        <v>47</v>
      </c>
      <c r="D1660" t="s">
        <v>43</v>
      </c>
      <c r="E1660" t="s">
        <v>35</v>
      </c>
      <c r="F1660" t="s">
        <v>26</v>
      </c>
      <c r="G1660" t="s">
        <v>52</v>
      </c>
      <c r="H1660" s="1">
        <v>45184.409004629626</v>
      </c>
      <c r="I1660" s="1">
        <v>45185.409004629626</v>
      </c>
      <c r="J1660" s="1">
        <v>45184.410393518519</v>
      </c>
      <c r="K1660" s="2">
        <v>45184.410260543984</v>
      </c>
      <c r="L1660" t="s">
        <v>28</v>
      </c>
      <c r="M1660" s="2">
        <v>45184.853291874999</v>
      </c>
      <c r="N1660" t="s">
        <v>28</v>
      </c>
      <c r="O1660" s="2">
        <v>45187.799397800925</v>
      </c>
      <c r="P1660">
        <v>6</v>
      </c>
      <c r="Q1660">
        <v>4</v>
      </c>
      <c r="R1660" t="s">
        <v>50</v>
      </c>
      <c r="S1660" t="s">
        <v>30</v>
      </c>
      <c r="T1660" t="s">
        <v>56</v>
      </c>
      <c r="U1660">
        <v>52.536273000000001</v>
      </c>
      <c r="V1660">
        <v>19.050639</v>
      </c>
      <c r="W1660" t="str">
        <f t="shared" si="176"/>
        <v>ok</v>
      </c>
      <c r="X1660" t="str">
        <f t="shared" si="182"/>
        <v>ok</v>
      </c>
      <c r="Y1660" t="str">
        <f t="shared" si="177"/>
        <v>ok</v>
      </c>
      <c r="Z1660" t="str">
        <f t="shared" si="178"/>
        <v>ok</v>
      </c>
      <c r="AA1660" s="4" t="str">
        <f t="shared" si="179"/>
        <v>ok</v>
      </c>
      <c r="AB1660" s="4" t="str">
        <f t="shared" si="180"/>
        <v>ok</v>
      </c>
      <c r="AC1660" s="6">
        <f t="shared" si="181"/>
        <v>10.66289388894802</v>
      </c>
    </row>
    <row r="1661" spans="1:29" x14ac:dyDescent="0.3">
      <c r="A1661" t="s">
        <v>22</v>
      </c>
      <c r="B1661">
        <v>3103</v>
      </c>
      <c r="C1661" t="s">
        <v>23</v>
      </c>
      <c r="D1661" t="s">
        <v>34</v>
      </c>
      <c r="E1661" t="s">
        <v>48</v>
      </c>
      <c r="F1661" t="s">
        <v>36</v>
      </c>
      <c r="G1661" t="s">
        <v>54</v>
      </c>
      <c r="H1661" s="1">
        <v>45184.563935185186</v>
      </c>
      <c r="I1661" s="1">
        <v>45186.563935185186</v>
      </c>
      <c r="J1661" s="1">
        <v>45184.565324074072</v>
      </c>
      <c r="K1661" s="2">
        <v>45184.565562546297</v>
      </c>
      <c r="L1661" t="s">
        <v>38</v>
      </c>
      <c r="M1661" s="2">
        <v>45185.471317361109</v>
      </c>
      <c r="N1661" t="s">
        <v>28</v>
      </c>
      <c r="O1661" s="2">
        <v>45188.269118321761</v>
      </c>
      <c r="P1661">
        <v>6</v>
      </c>
      <c r="Q1661">
        <v>5</v>
      </c>
      <c r="R1661" t="s">
        <v>50</v>
      </c>
      <c r="S1661" t="s">
        <v>40</v>
      </c>
      <c r="T1661" t="s">
        <v>58</v>
      </c>
      <c r="U1661">
        <v>49.8037633</v>
      </c>
      <c r="V1661">
        <v>15.4749126</v>
      </c>
      <c r="W1661" t="str">
        <f t="shared" si="176"/>
        <v>ok</v>
      </c>
      <c r="X1661" t="str">
        <f t="shared" si="182"/>
        <v>ok</v>
      </c>
      <c r="Y1661" t="str">
        <f t="shared" si="177"/>
        <v>ok</v>
      </c>
      <c r="Z1661" t="str">
        <f t="shared" si="178"/>
        <v>ok</v>
      </c>
      <c r="AA1661" s="4" t="str">
        <f t="shared" si="179"/>
        <v>ok</v>
      </c>
      <c r="AB1661" s="4" t="str">
        <f t="shared" si="180"/>
        <v>ok</v>
      </c>
      <c r="AC1661" s="6">
        <f t="shared" si="181"/>
        <v>21.777172222151421</v>
      </c>
    </row>
    <row r="1662" spans="1:29" x14ac:dyDescent="0.3">
      <c r="A1662" t="s">
        <v>42</v>
      </c>
      <c r="B1662">
        <v>3104</v>
      </c>
      <c r="C1662" t="s">
        <v>23</v>
      </c>
      <c r="D1662" t="s">
        <v>43</v>
      </c>
      <c r="E1662" t="s">
        <v>44</v>
      </c>
      <c r="F1662" t="s">
        <v>26</v>
      </c>
      <c r="G1662" t="s">
        <v>52</v>
      </c>
      <c r="H1662" s="1">
        <v>45185.900578703702</v>
      </c>
      <c r="I1662" s="1">
        <v>45186.900578703702</v>
      </c>
      <c r="J1662" s="1">
        <v>45185.901967592596</v>
      </c>
      <c r="K1662" s="2">
        <v>45185.901821400461</v>
      </c>
      <c r="L1662" t="s">
        <v>28</v>
      </c>
      <c r="M1662" s="2">
        <v>45188.905369305554</v>
      </c>
      <c r="N1662" t="s">
        <v>38</v>
      </c>
      <c r="P1662">
        <v>6</v>
      </c>
      <c r="R1662" t="s">
        <v>39</v>
      </c>
      <c r="S1662" t="s">
        <v>30</v>
      </c>
      <c r="T1662" t="s">
        <v>31</v>
      </c>
      <c r="U1662">
        <v>53.094023999999997</v>
      </c>
      <c r="V1662">
        <v>-8.0196749999999994</v>
      </c>
      <c r="W1662" t="str">
        <f t="shared" si="176"/>
        <v>ok</v>
      </c>
      <c r="X1662" t="str">
        <f t="shared" si="182"/>
        <v>ok</v>
      </c>
      <c r="Y1662" t="str">
        <f t="shared" si="177"/>
        <v>ok</v>
      </c>
      <c r="Z1662" t="str">
        <f t="shared" si="178"/>
        <v>ok</v>
      </c>
      <c r="AA1662" s="4" t="str">
        <f t="shared" si="179"/>
        <v>ok</v>
      </c>
      <c r="AB1662" s="4" t="str">
        <f t="shared" si="180"/>
        <v>ok</v>
      </c>
      <c r="AC1662" s="6">
        <f t="shared" si="181"/>
        <v>72.114974444441032</v>
      </c>
    </row>
    <row r="1663" spans="1:29" x14ac:dyDescent="0.3">
      <c r="A1663" t="s">
        <v>22</v>
      </c>
      <c r="B1663">
        <v>3105</v>
      </c>
      <c r="C1663" t="s">
        <v>23</v>
      </c>
      <c r="D1663" t="s">
        <v>24</v>
      </c>
      <c r="E1663" t="s">
        <v>35</v>
      </c>
      <c r="F1663" t="s">
        <v>36</v>
      </c>
      <c r="G1663" t="s">
        <v>64</v>
      </c>
      <c r="H1663" s="1">
        <v>45185.144270833334</v>
      </c>
      <c r="I1663" s="1">
        <v>45187.144270833334</v>
      </c>
      <c r="J1663" s="1">
        <v>45185.185937499999</v>
      </c>
      <c r="K1663" s="2">
        <v>45185.174763275463</v>
      </c>
      <c r="L1663" t="s">
        <v>28</v>
      </c>
      <c r="M1663" s="2">
        <v>45185.474926226852</v>
      </c>
      <c r="N1663" t="s">
        <v>28</v>
      </c>
      <c r="O1663" s="2">
        <v>45189.327145000003</v>
      </c>
      <c r="P1663">
        <v>2</v>
      </c>
      <c r="Q1663">
        <v>1</v>
      </c>
      <c r="R1663" t="s">
        <v>50</v>
      </c>
      <c r="S1663" t="s">
        <v>40</v>
      </c>
      <c r="T1663" t="s">
        <v>51</v>
      </c>
      <c r="U1663">
        <v>39.673369999999998</v>
      </c>
      <c r="V1663">
        <v>-4.7677259999999997</v>
      </c>
      <c r="W1663" t="str">
        <f t="shared" si="176"/>
        <v>ok</v>
      </c>
      <c r="X1663" t="str">
        <f t="shared" si="182"/>
        <v>ok</v>
      </c>
      <c r="Y1663" t="str">
        <f t="shared" si="177"/>
        <v>ok</v>
      </c>
      <c r="Z1663" t="str">
        <f t="shared" si="178"/>
        <v>ok</v>
      </c>
      <c r="AA1663" s="4" t="str">
        <f t="shared" si="179"/>
        <v>ok</v>
      </c>
      <c r="AB1663" s="4" t="str">
        <f t="shared" si="180"/>
        <v>ok</v>
      </c>
      <c r="AC1663" s="6">
        <f t="shared" si="181"/>
        <v>7.9357294444344006</v>
      </c>
    </row>
    <row r="1664" spans="1:29" x14ac:dyDescent="0.3">
      <c r="A1664" t="s">
        <v>42</v>
      </c>
      <c r="B1664">
        <v>3120</v>
      </c>
      <c r="C1664" t="s">
        <v>33</v>
      </c>
      <c r="D1664" t="s">
        <v>43</v>
      </c>
      <c r="E1664" t="s">
        <v>35</v>
      </c>
      <c r="F1664" t="s">
        <v>26</v>
      </c>
      <c r="G1664" t="s">
        <v>27</v>
      </c>
      <c r="H1664" s="1">
        <v>45186.166875000003</v>
      </c>
      <c r="I1664" s="1">
        <v>45187.166875000003</v>
      </c>
      <c r="J1664" s="1">
        <v>45186.168263888889</v>
      </c>
      <c r="K1664" s="2">
        <v>45186.167746932872</v>
      </c>
      <c r="L1664" t="s">
        <v>28</v>
      </c>
      <c r="M1664" s="2">
        <v>45186.807248761572</v>
      </c>
      <c r="N1664" t="s">
        <v>28</v>
      </c>
      <c r="P1664">
        <v>5</v>
      </c>
      <c r="R1664" t="s">
        <v>39</v>
      </c>
      <c r="S1664" t="s">
        <v>30</v>
      </c>
      <c r="T1664" t="s">
        <v>63</v>
      </c>
      <c r="U1664">
        <v>55.378051999999997</v>
      </c>
      <c r="V1664">
        <v>-3.4359730000000002</v>
      </c>
      <c r="W1664" t="str">
        <f t="shared" si="176"/>
        <v>ok</v>
      </c>
      <c r="X1664" t="str">
        <f t="shared" si="182"/>
        <v>ok</v>
      </c>
      <c r="Y1664" t="str">
        <f t="shared" si="177"/>
        <v>ok</v>
      </c>
      <c r="Z1664" t="str">
        <f t="shared" si="178"/>
        <v>ok</v>
      </c>
      <c r="AA1664" s="4" t="str">
        <f t="shared" si="179"/>
        <v>ok</v>
      </c>
      <c r="AB1664" s="4" t="str">
        <f t="shared" si="180"/>
        <v>ok</v>
      </c>
      <c r="AC1664" s="6">
        <f t="shared" si="181"/>
        <v>15.368970277660992</v>
      </c>
    </row>
    <row r="1665" spans="1:29" x14ac:dyDescent="0.3">
      <c r="A1665" t="s">
        <v>22</v>
      </c>
      <c r="B1665">
        <v>3122</v>
      </c>
      <c r="C1665" t="s">
        <v>47</v>
      </c>
      <c r="D1665" t="s">
        <v>24</v>
      </c>
      <c r="E1665" t="s">
        <v>35</v>
      </c>
      <c r="F1665" t="s">
        <v>26</v>
      </c>
      <c r="G1665" t="s">
        <v>27</v>
      </c>
      <c r="H1665" s="1">
        <v>45186.319039351853</v>
      </c>
      <c r="I1665" s="1">
        <v>45188.319039351853</v>
      </c>
      <c r="J1665" s="1">
        <v>45186.360706018517</v>
      </c>
      <c r="K1665" s="2">
        <v>45186.35392306713</v>
      </c>
      <c r="L1665" t="s">
        <v>28</v>
      </c>
      <c r="M1665" s="2">
        <v>45187.819591446758</v>
      </c>
      <c r="N1665" t="s">
        <v>28</v>
      </c>
      <c r="O1665" s="2">
        <v>45190.022118078705</v>
      </c>
      <c r="P1665">
        <v>9</v>
      </c>
      <c r="Q1665">
        <v>1</v>
      </c>
      <c r="R1665" t="s">
        <v>50</v>
      </c>
      <c r="S1665" t="s">
        <v>30</v>
      </c>
      <c r="T1665" t="s">
        <v>41</v>
      </c>
      <c r="U1665">
        <v>43.036776000000003</v>
      </c>
      <c r="V1665">
        <v>12.678565000000001</v>
      </c>
      <c r="W1665" t="str">
        <f t="shared" si="176"/>
        <v>ok</v>
      </c>
      <c r="X1665" t="str">
        <f t="shared" si="182"/>
        <v>ok</v>
      </c>
      <c r="Y1665" t="str">
        <f t="shared" si="177"/>
        <v>ok</v>
      </c>
      <c r="Z1665" t="str">
        <f t="shared" si="178"/>
        <v>ok</v>
      </c>
      <c r="AA1665" s="4" t="str">
        <f t="shared" si="179"/>
        <v>ok</v>
      </c>
      <c r="AB1665" s="4" t="str">
        <f t="shared" si="180"/>
        <v>ok</v>
      </c>
      <c r="AC1665" s="6">
        <f t="shared" si="181"/>
        <v>36.013250277726911</v>
      </c>
    </row>
    <row r="1666" spans="1:29" x14ac:dyDescent="0.3">
      <c r="A1666" t="s">
        <v>22</v>
      </c>
      <c r="B1666">
        <v>3124</v>
      </c>
      <c r="C1666" t="s">
        <v>23</v>
      </c>
      <c r="D1666" t="s">
        <v>24</v>
      </c>
      <c r="E1666" t="s">
        <v>59</v>
      </c>
      <c r="F1666" t="s">
        <v>26</v>
      </c>
      <c r="G1666" t="s">
        <v>60</v>
      </c>
      <c r="H1666" s="1">
        <v>45187.916550925926</v>
      </c>
      <c r="I1666" s="1">
        <v>45189.916550925926</v>
      </c>
      <c r="J1666" s="1">
        <v>45187.95821759259</v>
      </c>
      <c r="K1666" s="2">
        <v>45187.938171226851</v>
      </c>
      <c r="L1666" t="s">
        <v>28</v>
      </c>
      <c r="M1666" s="2">
        <v>45188.105582777775</v>
      </c>
      <c r="N1666" t="s">
        <v>28</v>
      </c>
      <c r="O1666" s="2">
        <v>45191.138735520835</v>
      </c>
      <c r="P1666">
        <v>2</v>
      </c>
      <c r="Q1666">
        <v>5</v>
      </c>
      <c r="R1666" t="s">
        <v>50</v>
      </c>
      <c r="S1666" t="s">
        <v>30</v>
      </c>
      <c r="T1666" t="s">
        <v>58</v>
      </c>
      <c r="U1666">
        <v>49.8037633</v>
      </c>
      <c r="V1666">
        <v>15.4749126</v>
      </c>
      <c r="W1666" t="str">
        <f t="shared" ref="W1666:W1729" si="183">IF(K1666&lt;H1666,"check","ok")</f>
        <v>ok</v>
      </c>
      <c r="X1666" t="str">
        <f t="shared" si="182"/>
        <v>ok</v>
      </c>
      <c r="Y1666" t="str">
        <f t="shared" ref="Y1666:Y1729" si="184">IF(AND(M1666&lt;&gt;"",O1666&lt;&gt;"",O1666&lt;M1666),"check","ok")</f>
        <v>ok</v>
      </c>
      <c r="Z1666" t="str">
        <f t="shared" ref="Z1666:Z1729" si="185">IF(AND(OR(CA1666="Closed",A1666="Resolved"),M1666=""),"check","ok")</f>
        <v>ok</v>
      </c>
      <c r="AA1666" s="4" t="str">
        <f t="shared" ref="AA1666:AA1729" si="186">IF(K1666="","no response",IF(OR(AND(K1666&lt;=J1666,L1666="Within SLA"),AND(K1666&gt;J1666,L1666="SLA Violated")),"ok","check"))</f>
        <v>ok</v>
      </c>
      <c r="AB1666" s="4" t="str">
        <f t="shared" ref="AB1666:AB1729" si="187">IF(M1666="","no resolution",IF(OR(AND(M1666&lt;=I1666,N1666="Within SLA"),AND(M1666&gt;I1666,N1666="SLA Violated")),"ok","check"))</f>
        <v>ok</v>
      </c>
      <c r="AC1666" s="6">
        <f t="shared" ref="AC1666:AC1729" si="188">IF(M1666="","",(M1666-H1666)*24)</f>
        <v>4.5367644443758763</v>
      </c>
    </row>
    <row r="1667" spans="1:29" x14ac:dyDescent="0.3">
      <c r="A1667" t="s">
        <v>22</v>
      </c>
      <c r="B1667">
        <v>3125</v>
      </c>
      <c r="C1667" t="s">
        <v>33</v>
      </c>
      <c r="D1667" t="s">
        <v>43</v>
      </c>
      <c r="E1667" t="s">
        <v>44</v>
      </c>
      <c r="F1667" t="s">
        <v>36</v>
      </c>
      <c r="G1667" t="s">
        <v>64</v>
      </c>
      <c r="H1667" s="1">
        <v>45187.782824074071</v>
      </c>
      <c r="I1667" s="1">
        <v>45188.782824074071</v>
      </c>
      <c r="J1667" s="1">
        <v>45187.784212962964</v>
      </c>
      <c r="K1667" s="2">
        <v>45187.782872071759</v>
      </c>
      <c r="L1667" t="s">
        <v>28</v>
      </c>
      <c r="M1667" s="2">
        <v>45187.960748703706</v>
      </c>
      <c r="N1667" t="s">
        <v>28</v>
      </c>
      <c r="O1667" s="2">
        <v>45188.893943298608</v>
      </c>
      <c r="P1667">
        <v>5</v>
      </c>
      <c r="Q1667">
        <v>3</v>
      </c>
      <c r="R1667" t="s">
        <v>55</v>
      </c>
      <c r="S1667" t="s">
        <v>40</v>
      </c>
      <c r="T1667" t="s">
        <v>61</v>
      </c>
      <c r="U1667">
        <v>42.724992499999999</v>
      </c>
      <c r="V1667">
        <v>25.483303899999999</v>
      </c>
      <c r="W1667" t="str">
        <f t="shared" si="183"/>
        <v>ok</v>
      </c>
      <c r="X1667" t="str">
        <f t="shared" ref="X1667:X1730" si="189">IF(AND(M1667&lt;&gt;"",M1667&lt;H1667),"check","ok")</f>
        <v>ok</v>
      </c>
      <c r="Y1667" t="str">
        <f t="shared" si="184"/>
        <v>ok</v>
      </c>
      <c r="Z1667" t="str">
        <f t="shared" si="185"/>
        <v>ok</v>
      </c>
      <c r="AA1667" s="4" t="str">
        <f t="shared" si="186"/>
        <v>ok</v>
      </c>
      <c r="AB1667" s="4" t="str">
        <f t="shared" si="187"/>
        <v>ok</v>
      </c>
      <c r="AC1667" s="6">
        <f t="shared" si="188"/>
        <v>4.2701911112526432</v>
      </c>
    </row>
    <row r="1668" spans="1:29" x14ac:dyDescent="0.3">
      <c r="A1668" t="s">
        <v>22</v>
      </c>
      <c r="B1668">
        <v>3126</v>
      </c>
      <c r="C1668" t="s">
        <v>23</v>
      </c>
      <c r="D1668" t="s">
        <v>24</v>
      </c>
      <c r="E1668" t="s">
        <v>39</v>
      </c>
      <c r="F1668" t="s">
        <v>26</v>
      </c>
      <c r="G1668" t="s">
        <v>27</v>
      </c>
      <c r="H1668" s="1">
        <v>45187.109456018516</v>
      </c>
      <c r="I1668" s="1">
        <v>45189.109456018516</v>
      </c>
      <c r="J1668" s="1">
        <v>45187.151122685187</v>
      </c>
      <c r="K1668" s="2">
        <v>45187.123401423611</v>
      </c>
      <c r="L1668" t="s">
        <v>28</v>
      </c>
      <c r="M1668" s="2">
        <v>45188.738866030093</v>
      </c>
      <c r="N1668" t="s">
        <v>28</v>
      </c>
      <c r="O1668" s="2">
        <v>45189.475767361109</v>
      </c>
      <c r="P1668">
        <v>7</v>
      </c>
      <c r="Q1668">
        <v>1</v>
      </c>
      <c r="R1668" t="s">
        <v>50</v>
      </c>
      <c r="S1668" t="s">
        <v>30</v>
      </c>
      <c r="T1668" t="s">
        <v>61</v>
      </c>
      <c r="U1668">
        <v>42.724992499999999</v>
      </c>
      <c r="V1668">
        <v>25.483303899999999</v>
      </c>
      <c r="W1668" t="str">
        <f t="shared" si="183"/>
        <v>ok</v>
      </c>
      <c r="X1668" t="str">
        <f t="shared" si="189"/>
        <v>ok</v>
      </c>
      <c r="Y1668" t="str">
        <f t="shared" si="184"/>
        <v>ok</v>
      </c>
      <c r="Z1668" t="str">
        <f t="shared" si="185"/>
        <v>ok</v>
      </c>
      <c r="AA1668" s="4" t="str">
        <f t="shared" si="186"/>
        <v>ok</v>
      </c>
      <c r="AB1668" s="4" t="str">
        <f t="shared" si="187"/>
        <v>ok</v>
      </c>
      <c r="AC1668" s="6">
        <f t="shared" si="188"/>
        <v>39.105840277858078</v>
      </c>
    </row>
    <row r="1669" spans="1:29" x14ac:dyDescent="0.3">
      <c r="A1669" t="s">
        <v>22</v>
      </c>
      <c r="B1669">
        <v>3127</v>
      </c>
      <c r="C1669" t="s">
        <v>47</v>
      </c>
      <c r="D1669" t="s">
        <v>24</v>
      </c>
      <c r="E1669" t="s">
        <v>39</v>
      </c>
      <c r="F1669" t="s">
        <v>26</v>
      </c>
      <c r="G1669" t="s">
        <v>52</v>
      </c>
      <c r="H1669" s="1">
        <v>45187.435335648152</v>
      </c>
      <c r="I1669" s="1">
        <v>45189.435335648152</v>
      </c>
      <c r="J1669" s="1">
        <v>45187.477002314816</v>
      </c>
      <c r="K1669" s="2">
        <v>45187.466972048613</v>
      </c>
      <c r="L1669" t="s">
        <v>28</v>
      </c>
      <c r="M1669" s="2">
        <v>45189.076990821763</v>
      </c>
      <c r="N1669" t="s">
        <v>28</v>
      </c>
      <c r="O1669" s="2">
        <v>45191.026860659724</v>
      </c>
      <c r="P1669">
        <v>3</v>
      </c>
      <c r="Q1669">
        <v>2</v>
      </c>
      <c r="R1669" t="s">
        <v>29</v>
      </c>
      <c r="S1669" t="s">
        <v>30</v>
      </c>
      <c r="T1669" t="s">
        <v>46</v>
      </c>
      <c r="U1669">
        <v>47.696471899999999</v>
      </c>
      <c r="V1669">
        <v>13.3457347</v>
      </c>
      <c r="W1669" t="str">
        <f t="shared" si="183"/>
        <v>ok</v>
      </c>
      <c r="X1669" t="str">
        <f t="shared" si="189"/>
        <v>ok</v>
      </c>
      <c r="Y1669" t="str">
        <f t="shared" si="184"/>
        <v>ok</v>
      </c>
      <c r="Z1669" t="str">
        <f t="shared" si="185"/>
        <v>ok</v>
      </c>
      <c r="AA1669" s="4" t="str">
        <f t="shared" si="186"/>
        <v>ok</v>
      </c>
      <c r="AB1669" s="4" t="str">
        <f t="shared" si="187"/>
        <v>ok</v>
      </c>
      <c r="AC1669" s="6">
        <f t="shared" si="188"/>
        <v>39.399724166665692</v>
      </c>
    </row>
    <row r="1670" spans="1:29" x14ac:dyDescent="0.3">
      <c r="A1670" t="s">
        <v>22</v>
      </c>
      <c r="B1670">
        <v>3128</v>
      </c>
      <c r="C1670" t="s">
        <v>47</v>
      </c>
      <c r="D1670" t="s">
        <v>43</v>
      </c>
      <c r="E1670" t="s">
        <v>67</v>
      </c>
      <c r="F1670" t="s">
        <v>26</v>
      </c>
      <c r="G1670" t="s">
        <v>60</v>
      </c>
      <c r="H1670" s="1">
        <v>45187.799930555557</v>
      </c>
      <c r="I1670" s="1">
        <v>45188.799930555557</v>
      </c>
      <c r="J1670" s="1">
        <v>45187.801319444443</v>
      </c>
      <c r="K1670" s="2">
        <v>45187.799963807869</v>
      </c>
      <c r="L1670" t="s">
        <v>28</v>
      </c>
      <c r="M1670" s="2">
        <v>45191.417708738423</v>
      </c>
      <c r="N1670" t="s">
        <v>38</v>
      </c>
      <c r="O1670" s="2">
        <v>45191.663505381941</v>
      </c>
      <c r="P1670">
        <v>6</v>
      </c>
      <c r="Q1670">
        <v>3</v>
      </c>
      <c r="R1670" t="s">
        <v>29</v>
      </c>
      <c r="S1670" t="s">
        <v>30</v>
      </c>
      <c r="T1670" t="s">
        <v>57</v>
      </c>
      <c r="U1670">
        <v>51.165691000000002</v>
      </c>
      <c r="V1670">
        <v>10.451525999999999</v>
      </c>
      <c r="W1670" t="str">
        <f t="shared" si="183"/>
        <v>ok</v>
      </c>
      <c r="X1670" t="str">
        <f t="shared" si="189"/>
        <v>ok</v>
      </c>
      <c r="Y1670" t="str">
        <f t="shared" si="184"/>
        <v>ok</v>
      </c>
      <c r="Z1670" t="str">
        <f t="shared" si="185"/>
        <v>ok</v>
      </c>
      <c r="AA1670" s="4" t="str">
        <f t="shared" si="186"/>
        <v>ok</v>
      </c>
      <c r="AB1670" s="4" t="str">
        <f t="shared" si="187"/>
        <v>ok</v>
      </c>
      <c r="AC1670" s="6">
        <f t="shared" si="188"/>
        <v>86.826676388795022</v>
      </c>
    </row>
    <row r="1671" spans="1:29" x14ac:dyDescent="0.3">
      <c r="A1671" t="s">
        <v>42</v>
      </c>
      <c r="B1671">
        <v>3130</v>
      </c>
      <c r="C1671" t="s">
        <v>33</v>
      </c>
      <c r="D1671" t="s">
        <v>24</v>
      </c>
      <c r="E1671" t="s">
        <v>35</v>
      </c>
      <c r="F1671" t="s">
        <v>36</v>
      </c>
      <c r="G1671" t="s">
        <v>54</v>
      </c>
      <c r="H1671" s="1">
        <v>45187.916689814818</v>
      </c>
      <c r="I1671" s="1">
        <v>45189.916689814818</v>
      </c>
      <c r="J1671" s="1">
        <v>45187.958356481482</v>
      </c>
      <c r="K1671" s="2">
        <v>45187.925535358794</v>
      </c>
      <c r="L1671" t="s">
        <v>28</v>
      </c>
      <c r="M1671" s="2">
        <v>45189.079508460651</v>
      </c>
      <c r="N1671" t="s">
        <v>28</v>
      </c>
      <c r="P1671">
        <v>2</v>
      </c>
      <c r="R1671" t="s">
        <v>55</v>
      </c>
      <c r="S1671" t="s">
        <v>40</v>
      </c>
      <c r="T1671" t="s">
        <v>46</v>
      </c>
      <c r="U1671">
        <v>47.696471899999999</v>
      </c>
      <c r="V1671">
        <v>13.3457347</v>
      </c>
      <c r="W1671" t="str">
        <f t="shared" si="183"/>
        <v>ok</v>
      </c>
      <c r="X1671" t="str">
        <f t="shared" si="189"/>
        <v>ok</v>
      </c>
      <c r="Y1671" t="str">
        <f t="shared" si="184"/>
        <v>ok</v>
      </c>
      <c r="Z1671" t="str">
        <f t="shared" si="185"/>
        <v>ok</v>
      </c>
      <c r="AA1671" s="4" t="str">
        <f t="shared" si="186"/>
        <v>ok</v>
      </c>
      <c r="AB1671" s="4" t="str">
        <f t="shared" si="187"/>
        <v>ok</v>
      </c>
      <c r="AC1671" s="6">
        <f t="shared" si="188"/>
        <v>27.907647499989253</v>
      </c>
    </row>
    <row r="1672" spans="1:29" x14ac:dyDescent="0.3">
      <c r="A1672" t="s">
        <v>22</v>
      </c>
      <c r="B1672">
        <v>3132</v>
      </c>
      <c r="C1672" t="s">
        <v>23</v>
      </c>
      <c r="D1672" t="s">
        <v>43</v>
      </c>
      <c r="E1672" t="s">
        <v>62</v>
      </c>
      <c r="F1672" t="s">
        <v>26</v>
      </c>
      <c r="G1672" t="s">
        <v>60</v>
      </c>
      <c r="H1672" s="1">
        <v>45187.285694444443</v>
      </c>
      <c r="I1672" s="1">
        <v>45188.285694444443</v>
      </c>
      <c r="J1672" s="1">
        <v>45187.287083333336</v>
      </c>
      <c r="K1672" s="2">
        <v>45187.288133587965</v>
      </c>
      <c r="L1672" t="s">
        <v>38</v>
      </c>
      <c r="M1672" s="2">
        <v>45190.151788206022</v>
      </c>
      <c r="N1672" t="s">
        <v>38</v>
      </c>
      <c r="O1672" s="2">
        <v>45191.95132310185</v>
      </c>
      <c r="P1672">
        <v>9</v>
      </c>
      <c r="Q1672">
        <v>2</v>
      </c>
      <c r="R1672" t="s">
        <v>55</v>
      </c>
      <c r="S1672" t="s">
        <v>30</v>
      </c>
      <c r="T1672" t="s">
        <v>57</v>
      </c>
      <c r="U1672">
        <v>51.165691000000002</v>
      </c>
      <c r="V1672">
        <v>10.451525999999999</v>
      </c>
      <c r="W1672" t="str">
        <f t="shared" si="183"/>
        <v>ok</v>
      </c>
      <c r="X1672" t="str">
        <f t="shared" si="189"/>
        <v>ok</v>
      </c>
      <c r="Y1672" t="str">
        <f t="shared" si="184"/>
        <v>ok</v>
      </c>
      <c r="Z1672" t="str">
        <f t="shared" si="185"/>
        <v>ok</v>
      </c>
      <c r="AA1672" s="4" t="str">
        <f t="shared" si="186"/>
        <v>ok</v>
      </c>
      <c r="AB1672" s="4" t="str">
        <f t="shared" si="187"/>
        <v>ok</v>
      </c>
      <c r="AC1672" s="6">
        <f t="shared" si="188"/>
        <v>68.78625027788803</v>
      </c>
    </row>
    <row r="1673" spans="1:29" x14ac:dyDescent="0.3">
      <c r="A1673" t="s">
        <v>22</v>
      </c>
      <c r="B1673">
        <v>3133</v>
      </c>
      <c r="C1673" t="s">
        <v>47</v>
      </c>
      <c r="D1673" t="s">
        <v>24</v>
      </c>
      <c r="E1673" t="s">
        <v>35</v>
      </c>
      <c r="F1673" t="s">
        <v>26</v>
      </c>
      <c r="G1673" t="s">
        <v>52</v>
      </c>
      <c r="H1673" s="1">
        <v>45187.480254629627</v>
      </c>
      <c r="I1673" s="1">
        <v>45189.480254629627</v>
      </c>
      <c r="J1673" s="1">
        <v>45187.521921296298</v>
      </c>
      <c r="K1673" s="2">
        <v>45187.642705335646</v>
      </c>
      <c r="L1673" t="s">
        <v>38</v>
      </c>
      <c r="M1673" s="2">
        <v>45187.874282824072</v>
      </c>
      <c r="N1673" t="s">
        <v>28</v>
      </c>
      <c r="O1673" s="2">
        <v>45192.645517557874</v>
      </c>
      <c r="P1673">
        <v>3</v>
      </c>
      <c r="Q1673">
        <v>5</v>
      </c>
      <c r="R1673" t="s">
        <v>50</v>
      </c>
      <c r="S1673" t="s">
        <v>30</v>
      </c>
      <c r="T1673" t="s">
        <v>65</v>
      </c>
      <c r="U1673">
        <v>46.149166399999999</v>
      </c>
      <c r="V1673">
        <v>14.9860106</v>
      </c>
      <c r="W1673" t="str">
        <f t="shared" si="183"/>
        <v>ok</v>
      </c>
      <c r="X1673" t="str">
        <f t="shared" si="189"/>
        <v>ok</v>
      </c>
      <c r="Y1673" t="str">
        <f t="shared" si="184"/>
        <v>ok</v>
      </c>
      <c r="Z1673" t="str">
        <f t="shared" si="185"/>
        <v>ok</v>
      </c>
      <c r="AA1673" s="4" t="str">
        <f t="shared" si="186"/>
        <v>ok</v>
      </c>
      <c r="AB1673" s="4" t="str">
        <f t="shared" si="187"/>
        <v>ok</v>
      </c>
      <c r="AC1673" s="6">
        <f t="shared" si="188"/>
        <v>9.4566766666830517</v>
      </c>
    </row>
    <row r="1674" spans="1:29" x14ac:dyDescent="0.3">
      <c r="A1674" t="s">
        <v>22</v>
      </c>
      <c r="B1674">
        <v>3134</v>
      </c>
      <c r="C1674" t="s">
        <v>33</v>
      </c>
      <c r="D1674" t="s">
        <v>24</v>
      </c>
      <c r="E1674" t="s">
        <v>39</v>
      </c>
      <c r="F1674" t="s">
        <v>26</v>
      </c>
      <c r="G1674" t="s">
        <v>45</v>
      </c>
      <c r="H1674" s="1">
        <v>45187.6174537037</v>
      </c>
      <c r="I1674" s="1">
        <v>45189.6174537037</v>
      </c>
      <c r="J1674" s="1">
        <v>45187.659120370372</v>
      </c>
      <c r="K1674" s="2">
        <v>45187.618988287039</v>
      </c>
      <c r="L1674" t="s">
        <v>28</v>
      </c>
      <c r="M1674" s="2">
        <v>45189.73603083333</v>
      </c>
      <c r="N1674" t="s">
        <v>38</v>
      </c>
      <c r="O1674" s="2">
        <v>45191.561467731481</v>
      </c>
      <c r="P1674">
        <v>2</v>
      </c>
      <c r="Q1674">
        <v>4</v>
      </c>
      <c r="R1674" t="s">
        <v>55</v>
      </c>
      <c r="S1674" t="s">
        <v>30</v>
      </c>
      <c r="T1674" t="s">
        <v>61</v>
      </c>
      <c r="U1674">
        <v>42.724992499999999</v>
      </c>
      <c r="V1674">
        <v>25.483303899999999</v>
      </c>
      <c r="W1674" t="str">
        <f t="shared" si="183"/>
        <v>ok</v>
      </c>
      <c r="X1674" t="str">
        <f t="shared" si="189"/>
        <v>ok</v>
      </c>
      <c r="Y1674" t="str">
        <f t="shared" si="184"/>
        <v>ok</v>
      </c>
      <c r="Z1674" t="str">
        <f t="shared" si="185"/>
        <v>ok</v>
      </c>
      <c r="AA1674" s="4" t="str">
        <f t="shared" si="186"/>
        <v>ok</v>
      </c>
      <c r="AB1674" s="4" t="str">
        <f t="shared" si="187"/>
        <v>ok</v>
      </c>
      <c r="AC1674" s="6">
        <f t="shared" si="188"/>
        <v>50.845851111109369</v>
      </c>
    </row>
    <row r="1675" spans="1:29" x14ac:dyDescent="0.3">
      <c r="A1675" t="s">
        <v>32</v>
      </c>
      <c r="B1675">
        <v>3135</v>
      </c>
      <c r="C1675" t="s">
        <v>23</v>
      </c>
      <c r="D1675" t="s">
        <v>24</v>
      </c>
      <c r="E1675" t="s">
        <v>35</v>
      </c>
      <c r="F1675" t="s">
        <v>26</v>
      </c>
      <c r="G1675" t="s">
        <v>52</v>
      </c>
      <c r="H1675" s="1">
        <v>45188.487129629626</v>
      </c>
      <c r="I1675" s="1">
        <v>45190.487129629626</v>
      </c>
      <c r="J1675" s="1">
        <v>45188.528796296298</v>
      </c>
      <c r="K1675" s="2">
        <v>45188.499611620369</v>
      </c>
      <c r="L1675" t="s">
        <v>28</v>
      </c>
      <c r="N1675" t="s">
        <v>38</v>
      </c>
      <c r="P1675">
        <v>10</v>
      </c>
      <c r="R1675" t="s">
        <v>39</v>
      </c>
      <c r="S1675" t="s">
        <v>30</v>
      </c>
      <c r="T1675" t="s">
        <v>41</v>
      </c>
      <c r="U1675">
        <v>43.036776000000003</v>
      </c>
      <c r="V1675">
        <v>12.678565000000001</v>
      </c>
      <c r="W1675" t="str">
        <f t="shared" si="183"/>
        <v>ok</v>
      </c>
      <c r="X1675" t="str">
        <f t="shared" si="189"/>
        <v>ok</v>
      </c>
      <c r="Y1675" t="str">
        <f t="shared" si="184"/>
        <v>ok</v>
      </c>
      <c r="Z1675" t="str">
        <f t="shared" si="185"/>
        <v>ok</v>
      </c>
      <c r="AA1675" s="4" t="str">
        <f t="shared" si="186"/>
        <v>ok</v>
      </c>
      <c r="AB1675" s="4" t="str">
        <f t="shared" si="187"/>
        <v>no resolution</v>
      </c>
      <c r="AC1675" s="6" t="str">
        <f t="shared" si="188"/>
        <v/>
      </c>
    </row>
    <row r="1676" spans="1:29" x14ac:dyDescent="0.3">
      <c r="A1676" t="s">
        <v>22</v>
      </c>
      <c r="B1676">
        <v>3136</v>
      </c>
      <c r="C1676" t="s">
        <v>33</v>
      </c>
      <c r="D1676" t="s">
        <v>24</v>
      </c>
      <c r="E1676" t="s">
        <v>25</v>
      </c>
      <c r="F1676" t="s">
        <v>36</v>
      </c>
      <c r="G1676" t="s">
        <v>54</v>
      </c>
      <c r="H1676" s="1">
        <v>45188.292326388888</v>
      </c>
      <c r="I1676" s="1">
        <v>45190.292326388888</v>
      </c>
      <c r="J1676" s="1">
        <v>45188.333993055552</v>
      </c>
      <c r="K1676" s="2">
        <v>45188.331533194447</v>
      </c>
      <c r="L1676" t="s">
        <v>28</v>
      </c>
      <c r="M1676" s="2">
        <v>45189.867796932871</v>
      </c>
      <c r="N1676" t="s">
        <v>28</v>
      </c>
      <c r="O1676" s="2">
        <v>45192.980992164354</v>
      </c>
      <c r="P1676">
        <v>2</v>
      </c>
      <c r="Q1676">
        <v>4</v>
      </c>
      <c r="R1676" t="s">
        <v>50</v>
      </c>
      <c r="S1676" t="s">
        <v>40</v>
      </c>
      <c r="T1676" t="s">
        <v>51</v>
      </c>
      <c r="U1676">
        <v>39.673369999999998</v>
      </c>
      <c r="V1676">
        <v>-4.7677259999999997</v>
      </c>
      <c r="W1676" t="str">
        <f t="shared" si="183"/>
        <v>ok</v>
      </c>
      <c r="X1676" t="str">
        <f t="shared" si="189"/>
        <v>ok</v>
      </c>
      <c r="Y1676" t="str">
        <f t="shared" si="184"/>
        <v>ok</v>
      </c>
      <c r="Z1676" t="str">
        <f t="shared" si="185"/>
        <v>ok</v>
      </c>
      <c r="AA1676" s="4" t="str">
        <f t="shared" si="186"/>
        <v>ok</v>
      </c>
      <c r="AB1676" s="4" t="str">
        <f t="shared" si="187"/>
        <v>ok</v>
      </c>
      <c r="AC1676" s="6">
        <f t="shared" si="188"/>
        <v>37.811293055594433</v>
      </c>
    </row>
    <row r="1677" spans="1:29" x14ac:dyDescent="0.3">
      <c r="A1677" t="s">
        <v>42</v>
      </c>
      <c r="B1677">
        <v>3137</v>
      </c>
      <c r="C1677" t="s">
        <v>47</v>
      </c>
      <c r="D1677" t="s">
        <v>43</v>
      </c>
      <c r="E1677" t="s">
        <v>48</v>
      </c>
      <c r="F1677" t="s">
        <v>26</v>
      </c>
      <c r="G1677" t="s">
        <v>49</v>
      </c>
      <c r="H1677" s="1">
        <v>45188.231990740744</v>
      </c>
      <c r="I1677" s="1">
        <v>45189.231990740744</v>
      </c>
      <c r="J1677" s="1">
        <v>45188.23337962963</v>
      </c>
      <c r="K1677" s="2">
        <v>45188.232370300924</v>
      </c>
      <c r="L1677" t="s">
        <v>28</v>
      </c>
      <c r="M1677" s="2">
        <v>45189.137473240742</v>
      </c>
      <c r="N1677" t="s">
        <v>28</v>
      </c>
      <c r="P1677">
        <v>2</v>
      </c>
      <c r="R1677" t="s">
        <v>50</v>
      </c>
      <c r="S1677" t="s">
        <v>30</v>
      </c>
      <c r="T1677" t="s">
        <v>56</v>
      </c>
      <c r="U1677">
        <v>52.536273000000001</v>
      </c>
      <c r="V1677">
        <v>19.050639</v>
      </c>
      <c r="W1677" t="str">
        <f t="shared" si="183"/>
        <v>ok</v>
      </c>
      <c r="X1677" t="str">
        <f t="shared" si="189"/>
        <v>ok</v>
      </c>
      <c r="Y1677" t="str">
        <f t="shared" si="184"/>
        <v>ok</v>
      </c>
      <c r="Z1677" t="str">
        <f t="shared" si="185"/>
        <v>ok</v>
      </c>
      <c r="AA1677" s="4" t="str">
        <f t="shared" si="186"/>
        <v>ok</v>
      </c>
      <c r="AB1677" s="4" t="str">
        <f t="shared" si="187"/>
        <v>ok</v>
      </c>
      <c r="AC1677" s="6">
        <f t="shared" si="188"/>
        <v>21.731579999963287</v>
      </c>
    </row>
    <row r="1678" spans="1:29" x14ac:dyDescent="0.3">
      <c r="A1678" t="s">
        <v>22</v>
      </c>
      <c r="B1678">
        <v>3138</v>
      </c>
      <c r="C1678" t="s">
        <v>33</v>
      </c>
      <c r="D1678" t="s">
        <v>24</v>
      </c>
      <c r="E1678" t="s">
        <v>48</v>
      </c>
      <c r="F1678" t="s">
        <v>36</v>
      </c>
      <c r="G1678" t="s">
        <v>54</v>
      </c>
      <c r="H1678" s="1">
        <v>45189.067245370374</v>
      </c>
      <c r="I1678" s="1">
        <v>45191.067245370374</v>
      </c>
      <c r="J1678" s="1">
        <v>45189.108912037038</v>
      </c>
      <c r="K1678" s="2">
        <v>45189.077961111114</v>
      </c>
      <c r="L1678" t="s">
        <v>28</v>
      </c>
      <c r="M1678" s="2">
        <v>45190.199089363428</v>
      </c>
      <c r="N1678" t="s">
        <v>28</v>
      </c>
      <c r="O1678" s="2">
        <v>45190.564743344905</v>
      </c>
      <c r="P1678">
        <v>1</v>
      </c>
      <c r="Q1678">
        <v>1</v>
      </c>
      <c r="R1678" t="s">
        <v>29</v>
      </c>
      <c r="S1678" t="s">
        <v>40</v>
      </c>
      <c r="T1678" t="s">
        <v>31</v>
      </c>
      <c r="U1678">
        <v>53.094023999999997</v>
      </c>
      <c r="V1678">
        <v>-8.0196749999999994</v>
      </c>
      <c r="W1678" t="str">
        <f t="shared" si="183"/>
        <v>ok</v>
      </c>
      <c r="X1678" t="str">
        <f t="shared" si="189"/>
        <v>ok</v>
      </c>
      <c r="Y1678" t="str">
        <f t="shared" si="184"/>
        <v>ok</v>
      </c>
      <c r="Z1678" t="str">
        <f t="shared" si="185"/>
        <v>ok</v>
      </c>
      <c r="AA1678" s="4" t="str">
        <f t="shared" si="186"/>
        <v>ok</v>
      </c>
      <c r="AB1678" s="4" t="str">
        <f t="shared" si="187"/>
        <v>ok</v>
      </c>
      <c r="AC1678" s="6">
        <f t="shared" si="188"/>
        <v>27.164255833311472</v>
      </c>
    </row>
    <row r="1679" spans="1:29" x14ac:dyDescent="0.3">
      <c r="A1679" t="s">
        <v>22</v>
      </c>
      <c r="B1679">
        <v>3139</v>
      </c>
      <c r="C1679" t="s">
        <v>23</v>
      </c>
      <c r="D1679" t="s">
        <v>24</v>
      </c>
      <c r="E1679" t="s">
        <v>39</v>
      </c>
      <c r="F1679" t="s">
        <v>36</v>
      </c>
      <c r="G1679" t="s">
        <v>64</v>
      </c>
      <c r="H1679" s="1">
        <v>45189.22451388889</v>
      </c>
      <c r="I1679" s="1">
        <v>45191.22451388889</v>
      </c>
      <c r="J1679" s="1">
        <v>45189.266180555554</v>
      </c>
      <c r="K1679" s="2">
        <v>45189.266179745369</v>
      </c>
      <c r="L1679" t="s">
        <v>28</v>
      </c>
      <c r="M1679" s="2">
        <v>45191.081143055555</v>
      </c>
      <c r="N1679" t="s">
        <v>28</v>
      </c>
      <c r="O1679" s="2">
        <v>45194.409164722223</v>
      </c>
      <c r="P1679">
        <v>1</v>
      </c>
      <c r="Q1679">
        <v>1</v>
      </c>
      <c r="R1679" t="s">
        <v>55</v>
      </c>
      <c r="S1679" t="s">
        <v>40</v>
      </c>
      <c r="T1679" t="s">
        <v>58</v>
      </c>
      <c r="U1679">
        <v>49.8037633</v>
      </c>
      <c r="V1679">
        <v>15.4749126</v>
      </c>
      <c r="W1679" t="str">
        <f t="shared" si="183"/>
        <v>ok</v>
      </c>
      <c r="X1679" t="str">
        <f t="shared" si="189"/>
        <v>ok</v>
      </c>
      <c r="Y1679" t="str">
        <f t="shared" si="184"/>
        <v>ok</v>
      </c>
      <c r="Z1679" t="str">
        <f t="shared" si="185"/>
        <v>ok</v>
      </c>
      <c r="AA1679" s="4" t="str">
        <f t="shared" si="186"/>
        <v>ok</v>
      </c>
      <c r="AB1679" s="4" t="str">
        <f t="shared" si="187"/>
        <v>ok</v>
      </c>
      <c r="AC1679" s="6">
        <f t="shared" si="188"/>
        <v>44.559099999954924</v>
      </c>
    </row>
    <row r="1680" spans="1:29" x14ac:dyDescent="0.3">
      <c r="A1680" t="s">
        <v>42</v>
      </c>
      <c r="B1680">
        <v>3141</v>
      </c>
      <c r="C1680" t="s">
        <v>23</v>
      </c>
      <c r="D1680" t="s">
        <v>34</v>
      </c>
      <c r="E1680" t="s">
        <v>25</v>
      </c>
      <c r="F1680" t="s">
        <v>36</v>
      </c>
      <c r="G1680" t="s">
        <v>64</v>
      </c>
      <c r="H1680" s="1">
        <v>45189.469421296293</v>
      </c>
      <c r="I1680" s="1">
        <v>45191.469421296293</v>
      </c>
      <c r="J1680" s="1">
        <v>45189.470810185187</v>
      </c>
      <c r="K1680" s="2">
        <v>45189.472425532411</v>
      </c>
      <c r="L1680" t="s">
        <v>38</v>
      </c>
      <c r="M1680" s="2">
        <v>45189.554945266202</v>
      </c>
      <c r="N1680" t="s">
        <v>28</v>
      </c>
      <c r="P1680">
        <v>1</v>
      </c>
      <c r="R1680" t="s">
        <v>39</v>
      </c>
      <c r="S1680" t="s">
        <v>40</v>
      </c>
      <c r="T1680" t="s">
        <v>31</v>
      </c>
      <c r="U1680">
        <v>53.094023999999997</v>
      </c>
      <c r="V1680">
        <v>-8.0196749999999994</v>
      </c>
      <c r="W1680" t="str">
        <f t="shared" si="183"/>
        <v>ok</v>
      </c>
      <c r="X1680" t="str">
        <f t="shared" si="189"/>
        <v>ok</v>
      </c>
      <c r="Y1680" t="str">
        <f t="shared" si="184"/>
        <v>ok</v>
      </c>
      <c r="Z1680" t="str">
        <f t="shared" si="185"/>
        <v>ok</v>
      </c>
      <c r="AA1680" s="4" t="str">
        <f t="shared" si="186"/>
        <v>ok</v>
      </c>
      <c r="AB1680" s="4" t="str">
        <f t="shared" si="187"/>
        <v>ok</v>
      </c>
      <c r="AC1680" s="6">
        <f t="shared" si="188"/>
        <v>2.0525752778048627</v>
      </c>
    </row>
    <row r="1681" spans="1:29" x14ac:dyDescent="0.3">
      <c r="A1681" t="s">
        <v>32</v>
      </c>
      <c r="B1681">
        <v>3142</v>
      </c>
      <c r="C1681" t="s">
        <v>47</v>
      </c>
      <c r="D1681" t="s">
        <v>43</v>
      </c>
      <c r="E1681" t="s">
        <v>35</v>
      </c>
      <c r="F1681" t="s">
        <v>36</v>
      </c>
      <c r="G1681" t="s">
        <v>64</v>
      </c>
      <c r="H1681" s="1">
        <v>45189.654062499998</v>
      </c>
      <c r="I1681" s="1">
        <v>45190.654062499998</v>
      </c>
      <c r="J1681" s="1">
        <v>45189.655451388891</v>
      </c>
      <c r="K1681" s="2">
        <v>45189.654805601851</v>
      </c>
      <c r="L1681" t="s">
        <v>28</v>
      </c>
      <c r="N1681" t="s">
        <v>38</v>
      </c>
      <c r="P1681">
        <v>5</v>
      </c>
      <c r="R1681" t="s">
        <v>39</v>
      </c>
      <c r="S1681" t="s">
        <v>40</v>
      </c>
      <c r="T1681" t="s">
        <v>57</v>
      </c>
      <c r="U1681">
        <v>51.165691000000002</v>
      </c>
      <c r="V1681">
        <v>10.451525999999999</v>
      </c>
      <c r="W1681" t="str">
        <f t="shared" si="183"/>
        <v>ok</v>
      </c>
      <c r="X1681" t="str">
        <f t="shared" si="189"/>
        <v>ok</v>
      </c>
      <c r="Y1681" t="str">
        <f t="shared" si="184"/>
        <v>ok</v>
      </c>
      <c r="Z1681" t="str">
        <f t="shared" si="185"/>
        <v>ok</v>
      </c>
      <c r="AA1681" s="4" t="str">
        <f t="shared" si="186"/>
        <v>ok</v>
      </c>
      <c r="AB1681" s="4" t="str">
        <f t="shared" si="187"/>
        <v>no resolution</v>
      </c>
      <c r="AC1681" s="6" t="str">
        <f t="shared" si="188"/>
        <v/>
      </c>
    </row>
    <row r="1682" spans="1:29" x14ac:dyDescent="0.3">
      <c r="A1682" t="s">
        <v>22</v>
      </c>
      <c r="B1682">
        <v>3143</v>
      </c>
      <c r="C1682" t="s">
        <v>23</v>
      </c>
      <c r="D1682" t="s">
        <v>43</v>
      </c>
      <c r="E1682" t="s">
        <v>25</v>
      </c>
      <c r="F1682" t="s">
        <v>36</v>
      </c>
      <c r="G1682" t="s">
        <v>54</v>
      </c>
      <c r="H1682" s="1">
        <v>45189.029537037037</v>
      </c>
      <c r="I1682" s="1">
        <v>45190.029537037037</v>
      </c>
      <c r="J1682" s="1">
        <v>45189.030925925923</v>
      </c>
      <c r="K1682" s="2">
        <v>45189.030576331017</v>
      </c>
      <c r="L1682" t="s">
        <v>28</v>
      </c>
      <c r="M1682" s="2">
        <v>45189.850831736112</v>
      </c>
      <c r="N1682" t="s">
        <v>28</v>
      </c>
      <c r="O1682" s="2">
        <v>45192.766927997684</v>
      </c>
      <c r="P1682">
        <v>8</v>
      </c>
      <c r="Q1682">
        <v>3</v>
      </c>
      <c r="R1682" t="s">
        <v>39</v>
      </c>
      <c r="S1682" t="s">
        <v>40</v>
      </c>
      <c r="T1682" t="s">
        <v>61</v>
      </c>
      <c r="U1682">
        <v>42.724992499999999</v>
      </c>
      <c r="V1682">
        <v>25.483303899999999</v>
      </c>
      <c r="W1682" t="str">
        <f t="shared" si="183"/>
        <v>ok</v>
      </c>
      <c r="X1682" t="str">
        <f t="shared" si="189"/>
        <v>ok</v>
      </c>
      <c r="Y1682" t="str">
        <f t="shared" si="184"/>
        <v>ok</v>
      </c>
      <c r="Z1682" t="str">
        <f t="shared" si="185"/>
        <v>ok</v>
      </c>
      <c r="AA1682" s="4" t="str">
        <f t="shared" si="186"/>
        <v>ok</v>
      </c>
      <c r="AB1682" s="4" t="str">
        <f t="shared" si="187"/>
        <v>ok</v>
      </c>
      <c r="AC1682" s="6">
        <f t="shared" si="188"/>
        <v>19.711072777805384</v>
      </c>
    </row>
    <row r="1683" spans="1:29" x14ac:dyDescent="0.3">
      <c r="A1683" t="s">
        <v>22</v>
      </c>
      <c r="B1683">
        <v>3144</v>
      </c>
      <c r="C1683" t="s">
        <v>47</v>
      </c>
      <c r="D1683" t="s">
        <v>24</v>
      </c>
      <c r="E1683" t="s">
        <v>44</v>
      </c>
      <c r="F1683" t="s">
        <v>26</v>
      </c>
      <c r="G1683" t="s">
        <v>60</v>
      </c>
      <c r="H1683" s="1">
        <v>45190.661423611113</v>
      </c>
      <c r="I1683" s="1">
        <v>45192.661423611113</v>
      </c>
      <c r="J1683" s="1">
        <v>45190.703090277777</v>
      </c>
      <c r="K1683" s="2">
        <v>45190.701626435184</v>
      </c>
      <c r="L1683" t="s">
        <v>28</v>
      </c>
      <c r="M1683" s="2">
        <v>45191.037046296296</v>
      </c>
      <c r="N1683" t="s">
        <v>28</v>
      </c>
      <c r="O1683" s="2">
        <v>45197.3637084375</v>
      </c>
      <c r="P1683">
        <v>2</v>
      </c>
      <c r="Q1683">
        <v>2</v>
      </c>
      <c r="R1683" t="s">
        <v>50</v>
      </c>
      <c r="S1683" t="s">
        <v>30</v>
      </c>
      <c r="T1683" t="s">
        <v>51</v>
      </c>
      <c r="U1683">
        <v>39.673369999999998</v>
      </c>
      <c r="V1683">
        <v>-4.7677259999999997</v>
      </c>
      <c r="W1683" t="str">
        <f t="shared" si="183"/>
        <v>ok</v>
      </c>
      <c r="X1683" t="str">
        <f t="shared" si="189"/>
        <v>ok</v>
      </c>
      <c r="Y1683" t="str">
        <f t="shared" si="184"/>
        <v>ok</v>
      </c>
      <c r="Z1683" t="str">
        <f t="shared" si="185"/>
        <v>ok</v>
      </c>
      <c r="AA1683" s="4" t="str">
        <f t="shared" si="186"/>
        <v>ok</v>
      </c>
      <c r="AB1683" s="4" t="str">
        <f t="shared" si="187"/>
        <v>ok</v>
      </c>
      <c r="AC1683" s="6">
        <f t="shared" si="188"/>
        <v>9.0149444444105029</v>
      </c>
    </row>
    <row r="1684" spans="1:29" x14ac:dyDescent="0.3">
      <c r="A1684" t="s">
        <v>42</v>
      </c>
      <c r="B1684">
        <v>3145</v>
      </c>
      <c r="C1684" t="s">
        <v>47</v>
      </c>
      <c r="D1684" t="s">
        <v>43</v>
      </c>
      <c r="E1684" t="s">
        <v>35</v>
      </c>
      <c r="F1684" t="s">
        <v>36</v>
      </c>
      <c r="G1684" t="s">
        <v>64</v>
      </c>
      <c r="H1684" s="1">
        <v>45190.926249999997</v>
      </c>
      <c r="I1684" s="1">
        <v>45191.926249999997</v>
      </c>
      <c r="J1684" s="1">
        <v>45190.92763888889</v>
      </c>
      <c r="K1684" s="2">
        <v>45190.927509166664</v>
      </c>
      <c r="L1684" t="s">
        <v>28</v>
      </c>
      <c r="M1684" s="2">
        <v>45191.180617650461</v>
      </c>
      <c r="N1684" t="s">
        <v>28</v>
      </c>
      <c r="P1684">
        <v>60</v>
      </c>
      <c r="R1684" t="s">
        <v>29</v>
      </c>
      <c r="S1684" t="s">
        <v>40</v>
      </c>
      <c r="T1684" t="s">
        <v>57</v>
      </c>
      <c r="U1684">
        <v>51.165691000000002</v>
      </c>
      <c r="V1684">
        <v>10.451525999999999</v>
      </c>
      <c r="W1684" t="str">
        <f t="shared" si="183"/>
        <v>ok</v>
      </c>
      <c r="X1684" t="str">
        <f t="shared" si="189"/>
        <v>ok</v>
      </c>
      <c r="Y1684" t="str">
        <f t="shared" si="184"/>
        <v>ok</v>
      </c>
      <c r="Z1684" t="str">
        <f t="shared" si="185"/>
        <v>ok</v>
      </c>
      <c r="AA1684" s="4" t="str">
        <f t="shared" si="186"/>
        <v>ok</v>
      </c>
      <c r="AB1684" s="4" t="str">
        <f t="shared" si="187"/>
        <v>ok</v>
      </c>
      <c r="AC1684" s="6">
        <f t="shared" si="188"/>
        <v>6.104823611152824</v>
      </c>
    </row>
    <row r="1685" spans="1:29" x14ac:dyDescent="0.3">
      <c r="A1685" t="s">
        <v>22</v>
      </c>
      <c r="B1685">
        <v>3146</v>
      </c>
      <c r="C1685" t="s">
        <v>33</v>
      </c>
      <c r="D1685" t="s">
        <v>24</v>
      </c>
      <c r="E1685" t="s">
        <v>48</v>
      </c>
      <c r="F1685" t="s">
        <v>26</v>
      </c>
      <c r="G1685" t="s">
        <v>52</v>
      </c>
      <c r="H1685" s="1">
        <v>45190.965740740743</v>
      </c>
      <c r="I1685" s="1">
        <v>45192.965740740743</v>
      </c>
      <c r="J1685" s="1">
        <v>45191.007407407407</v>
      </c>
      <c r="K1685" s="2">
        <v>45191.004359629631</v>
      </c>
      <c r="L1685" t="s">
        <v>28</v>
      </c>
      <c r="M1685" s="2">
        <v>45192.654436944445</v>
      </c>
      <c r="N1685" t="s">
        <v>28</v>
      </c>
      <c r="O1685" s="2">
        <v>45194.495954108796</v>
      </c>
      <c r="P1685">
        <v>2</v>
      </c>
      <c r="Q1685">
        <v>3</v>
      </c>
      <c r="R1685" t="s">
        <v>55</v>
      </c>
      <c r="S1685" t="s">
        <v>30</v>
      </c>
      <c r="T1685" t="s">
        <v>53</v>
      </c>
      <c r="U1685">
        <v>39.368279000000001</v>
      </c>
      <c r="V1685">
        <v>21.863140999999999</v>
      </c>
      <c r="W1685" t="str">
        <f t="shared" si="183"/>
        <v>ok</v>
      </c>
      <c r="X1685" t="str">
        <f t="shared" si="189"/>
        <v>ok</v>
      </c>
      <c r="Y1685" t="str">
        <f t="shared" si="184"/>
        <v>ok</v>
      </c>
      <c r="Z1685" t="str">
        <f t="shared" si="185"/>
        <v>ok</v>
      </c>
      <c r="AA1685" s="4" t="str">
        <f t="shared" si="186"/>
        <v>ok</v>
      </c>
      <c r="AB1685" s="4" t="str">
        <f t="shared" si="187"/>
        <v>ok</v>
      </c>
      <c r="AC1685" s="6">
        <f t="shared" si="188"/>
        <v>40.528708888858091</v>
      </c>
    </row>
    <row r="1686" spans="1:29" x14ac:dyDescent="0.3">
      <c r="A1686" t="s">
        <v>22</v>
      </c>
      <c r="B1686">
        <v>3147</v>
      </c>
      <c r="C1686" t="s">
        <v>47</v>
      </c>
      <c r="D1686" t="s">
        <v>34</v>
      </c>
      <c r="E1686" t="s">
        <v>25</v>
      </c>
      <c r="F1686" t="s">
        <v>36</v>
      </c>
      <c r="G1686" t="s">
        <v>37</v>
      </c>
      <c r="H1686" s="1">
        <v>45190.599583333336</v>
      </c>
      <c r="I1686" s="1">
        <v>45192.599583333336</v>
      </c>
      <c r="J1686" s="1">
        <v>45190.600972222222</v>
      </c>
      <c r="K1686" s="2">
        <v>45190.600577152778</v>
      </c>
      <c r="L1686" t="s">
        <v>28</v>
      </c>
      <c r="M1686" s="2">
        <v>45191.436075972226</v>
      </c>
      <c r="N1686" t="s">
        <v>28</v>
      </c>
      <c r="O1686" s="2">
        <v>45190.991081192129</v>
      </c>
      <c r="P1686">
        <v>6</v>
      </c>
      <c r="Q1686">
        <v>5</v>
      </c>
      <c r="R1686" t="s">
        <v>39</v>
      </c>
      <c r="S1686" t="s">
        <v>40</v>
      </c>
      <c r="T1686" t="s">
        <v>46</v>
      </c>
      <c r="U1686">
        <v>47.696471899999999</v>
      </c>
      <c r="V1686">
        <v>13.3457347</v>
      </c>
      <c r="W1686" t="str">
        <f t="shared" si="183"/>
        <v>ok</v>
      </c>
      <c r="X1686" t="str">
        <f t="shared" si="189"/>
        <v>ok</v>
      </c>
      <c r="Y1686" t="str">
        <f t="shared" si="184"/>
        <v>check</v>
      </c>
      <c r="Z1686" t="str">
        <f t="shared" si="185"/>
        <v>ok</v>
      </c>
      <c r="AA1686" s="4" t="str">
        <f t="shared" si="186"/>
        <v>ok</v>
      </c>
      <c r="AB1686" s="4" t="str">
        <f t="shared" si="187"/>
        <v>ok</v>
      </c>
      <c r="AC1686" s="6">
        <f t="shared" si="188"/>
        <v>20.075823333347216</v>
      </c>
    </row>
    <row r="1687" spans="1:29" x14ac:dyDescent="0.3">
      <c r="A1687" t="s">
        <v>22</v>
      </c>
      <c r="B1687">
        <v>3148</v>
      </c>
      <c r="C1687" t="s">
        <v>47</v>
      </c>
      <c r="D1687" t="s">
        <v>24</v>
      </c>
      <c r="E1687" t="s">
        <v>48</v>
      </c>
      <c r="F1687" t="s">
        <v>26</v>
      </c>
      <c r="G1687" t="s">
        <v>49</v>
      </c>
      <c r="H1687" s="1">
        <v>45190.326157407406</v>
      </c>
      <c r="I1687" s="1">
        <v>45192.326157407406</v>
      </c>
      <c r="J1687" s="1">
        <v>45190.367824074077</v>
      </c>
      <c r="K1687" s="2">
        <v>45190.347732303242</v>
      </c>
      <c r="L1687" t="s">
        <v>28</v>
      </c>
      <c r="M1687" s="2">
        <v>45195.074516157409</v>
      </c>
      <c r="N1687" t="s">
        <v>38</v>
      </c>
      <c r="O1687" s="2">
        <v>45195.59895738426</v>
      </c>
      <c r="P1687">
        <v>1</v>
      </c>
      <c r="Q1687">
        <v>3</v>
      </c>
      <c r="R1687" t="s">
        <v>50</v>
      </c>
      <c r="S1687" t="s">
        <v>30</v>
      </c>
      <c r="T1687" t="s">
        <v>57</v>
      </c>
      <c r="U1687">
        <v>51.165691000000002</v>
      </c>
      <c r="V1687">
        <v>10.451525999999999</v>
      </c>
      <c r="W1687" t="str">
        <f t="shared" si="183"/>
        <v>ok</v>
      </c>
      <c r="X1687" t="str">
        <f t="shared" si="189"/>
        <v>ok</v>
      </c>
      <c r="Y1687" t="str">
        <f t="shared" si="184"/>
        <v>ok</v>
      </c>
      <c r="Z1687" t="str">
        <f t="shared" si="185"/>
        <v>ok</v>
      </c>
      <c r="AA1687" s="4" t="str">
        <f t="shared" si="186"/>
        <v>ok</v>
      </c>
      <c r="AB1687" s="4" t="str">
        <f t="shared" si="187"/>
        <v>ok</v>
      </c>
      <c r="AC1687" s="6">
        <f t="shared" si="188"/>
        <v>113.96061000006739</v>
      </c>
    </row>
    <row r="1688" spans="1:29" x14ac:dyDescent="0.3">
      <c r="A1688" t="s">
        <v>22</v>
      </c>
      <c r="B1688">
        <v>3149</v>
      </c>
      <c r="C1688" t="s">
        <v>23</v>
      </c>
      <c r="D1688" t="s">
        <v>34</v>
      </c>
      <c r="E1688" t="s">
        <v>25</v>
      </c>
      <c r="F1688" t="s">
        <v>26</v>
      </c>
      <c r="G1688" t="s">
        <v>52</v>
      </c>
      <c r="H1688" s="1">
        <v>45190.79178240741</v>
      </c>
      <c r="I1688" s="1">
        <v>45192.79178240741</v>
      </c>
      <c r="J1688" s="1">
        <v>45190.793171296296</v>
      </c>
      <c r="K1688" s="2">
        <v>45190.792974664349</v>
      </c>
      <c r="L1688" t="s">
        <v>28</v>
      </c>
      <c r="M1688" s="2">
        <v>45191.776737129629</v>
      </c>
      <c r="N1688" t="s">
        <v>28</v>
      </c>
      <c r="O1688" s="2">
        <v>45195.184388935188</v>
      </c>
      <c r="P1688">
        <v>1</v>
      </c>
      <c r="Q1688">
        <v>2</v>
      </c>
      <c r="R1688" t="s">
        <v>39</v>
      </c>
      <c r="S1688" t="s">
        <v>30</v>
      </c>
      <c r="T1688" t="s">
        <v>63</v>
      </c>
      <c r="U1688">
        <v>55.378051999999997</v>
      </c>
      <c r="V1688">
        <v>-3.4359730000000002</v>
      </c>
      <c r="W1688" t="str">
        <f t="shared" si="183"/>
        <v>ok</v>
      </c>
      <c r="X1688" t="str">
        <f t="shared" si="189"/>
        <v>ok</v>
      </c>
      <c r="Y1688" t="str">
        <f t="shared" si="184"/>
        <v>ok</v>
      </c>
      <c r="Z1688" t="str">
        <f t="shared" si="185"/>
        <v>ok</v>
      </c>
      <c r="AA1688" s="4" t="str">
        <f t="shared" si="186"/>
        <v>ok</v>
      </c>
      <c r="AB1688" s="4" t="str">
        <f t="shared" si="187"/>
        <v>ok</v>
      </c>
      <c r="AC1688" s="6">
        <f t="shared" si="188"/>
        <v>23.638913333241362</v>
      </c>
    </row>
    <row r="1689" spans="1:29" x14ac:dyDescent="0.3">
      <c r="A1689" t="s">
        <v>22</v>
      </c>
      <c r="B1689">
        <v>3150</v>
      </c>
      <c r="C1689" t="s">
        <v>23</v>
      </c>
      <c r="D1689" t="s">
        <v>34</v>
      </c>
      <c r="E1689" t="s">
        <v>48</v>
      </c>
      <c r="F1689" t="s">
        <v>36</v>
      </c>
      <c r="G1689" t="s">
        <v>64</v>
      </c>
      <c r="H1689" s="1">
        <v>45190.69195601852</v>
      </c>
      <c r="I1689" s="1">
        <v>45192.69195601852</v>
      </c>
      <c r="J1689" s="1">
        <v>45190.693344907406</v>
      </c>
      <c r="K1689" s="2">
        <v>45190.692753159725</v>
      </c>
      <c r="L1689" t="s">
        <v>28</v>
      </c>
      <c r="M1689" s="2">
        <v>45193.739618113425</v>
      </c>
      <c r="N1689" t="s">
        <v>38</v>
      </c>
      <c r="O1689" s="2">
        <v>45193.896696249998</v>
      </c>
      <c r="P1689">
        <v>1</v>
      </c>
      <c r="Q1689">
        <v>4</v>
      </c>
      <c r="R1689" t="s">
        <v>55</v>
      </c>
      <c r="S1689" t="s">
        <v>40</v>
      </c>
      <c r="T1689" t="s">
        <v>66</v>
      </c>
      <c r="U1689">
        <v>48.864716000000001</v>
      </c>
      <c r="V1689">
        <v>2.3490139999999999</v>
      </c>
      <c r="W1689" t="str">
        <f t="shared" si="183"/>
        <v>ok</v>
      </c>
      <c r="X1689" t="str">
        <f t="shared" si="189"/>
        <v>ok</v>
      </c>
      <c r="Y1689" t="str">
        <f t="shared" si="184"/>
        <v>ok</v>
      </c>
      <c r="Z1689" t="str">
        <f t="shared" si="185"/>
        <v>ok</v>
      </c>
      <c r="AA1689" s="4" t="str">
        <f t="shared" si="186"/>
        <v>ok</v>
      </c>
      <c r="AB1689" s="4" t="str">
        <f t="shared" si="187"/>
        <v>ok</v>
      </c>
      <c r="AC1689" s="6">
        <f t="shared" si="188"/>
        <v>73.1438902777154</v>
      </c>
    </row>
    <row r="1690" spans="1:29" x14ac:dyDescent="0.3">
      <c r="A1690" t="s">
        <v>22</v>
      </c>
      <c r="B1690">
        <v>3151</v>
      </c>
      <c r="C1690" t="s">
        <v>47</v>
      </c>
      <c r="D1690" t="s">
        <v>34</v>
      </c>
      <c r="E1690" t="s">
        <v>25</v>
      </c>
      <c r="F1690" t="s">
        <v>26</v>
      </c>
      <c r="G1690" t="s">
        <v>49</v>
      </c>
      <c r="H1690" s="1">
        <v>45190.434432870374</v>
      </c>
      <c r="I1690" s="1">
        <v>45192.434432870374</v>
      </c>
      <c r="J1690" s="1">
        <v>45190.43582175926</v>
      </c>
      <c r="K1690" s="2">
        <v>45190.437490682867</v>
      </c>
      <c r="L1690" t="s">
        <v>38</v>
      </c>
      <c r="M1690" s="2">
        <v>45192.368675891201</v>
      </c>
      <c r="N1690" t="s">
        <v>28</v>
      </c>
      <c r="O1690" s="2">
        <v>45195.737153333335</v>
      </c>
      <c r="P1690">
        <v>1</v>
      </c>
      <c r="Q1690">
        <v>5</v>
      </c>
      <c r="R1690" t="s">
        <v>50</v>
      </c>
      <c r="S1690" t="s">
        <v>30</v>
      </c>
      <c r="T1690" t="s">
        <v>57</v>
      </c>
      <c r="U1690">
        <v>51.165691000000002</v>
      </c>
      <c r="V1690">
        <v>10.451525999999999</v>
      </c>
      <c r="W1690" t="str">
        <f t="shared" si="183"/>
        <v>ok</v>
      </c>
      <c r="X1690" t="str">
        <f t="shared" si="189"/>
        <v>ok</v>
      </c>
      <c r="Y1690" t="str">
        <f t="shared" si="184"/>
        <v>ok</v>
      </c>
      <c r="Z1690" t="str">
        <f t="shared" si="185"/>
        <v>ok</v>
      </c>
      <c r="AA1690" s="4" t="str">
        <f t="shared" si="186"/>
        <v>ok</v>
      </c>
      <c r="AB1690" s="4" t="str">
        <f t="shared" si="187"/>
        <v>ok</v>
      </c>
      <c r="AC1690" s="6">
        <f t="shared" si="188"/>
        <v>46.421832499851007</v>
      </c>
    </row>
    <row r="1691" spans="1:29" x14ac:dyDescent="0.3">
      <c r="A1691" t="s">
        <v>22</v>
      </c>
      <c r="B1691">
        <v>3152</v>
      </c>
      <c r="C1691" t="s">
        <v>47</v>
      </c>
      <c r="D1691" t="s">
        <v>43</v>
      </c>
      <c r="E1691" t="s">
        <v>48</v>
      </c>
      <c r="F1691" t="s">
        <v>36</v>
      </c>
      <c r="G1691" t="s">
        <v>54</v>
      </c>
      <c r="H1691" s="1">
        <v>45191.058182870373</v>
      </c>
      <c r="I1691" s="1">
        <v>45192.058182870373</v>
      </c>
      <c r="J1691" s="1">
        <v>45191.059571759259</v>
      </c>
      <c r="K1691" s="2">
        <v>45191.062138587964</v>
      </c>
      <c r="L1691" t="s">
        <v>38</v>
      </c>
      <c r="M1691" s="2">
        <v>45191.649593935188</v>
      </c>
      <c r="N1691" t="s">
        <v>28</v>
      </c>
      <c r="O1691" s="2">
        <v>45197.472027592594</v>
      </c>
      <c r="P1691">
        <v>5</v>
      </c>
      <c r="Q1691">
        <v>4</v>
      </c>
      <c r="R1691" t="s">
        <v>29</v>
      </c>
      <c r="S1691" t="s">
        <v>40</v>
      </c>
      <c r="T1691" t="s">
        <v>41</v>
      </c>
      <c r="U1691">
        <v>43.036776000000003</v>
      </c>
      <c r="V1691">
        <v>12.678565000000001</v>
      </c>
      <c r="W1691" t="str">
        <f t="shared" si="183"/>
        <v>ok</v>
      </c>
      <c r="X1691" t="str">
        <f t="shared" si="189"/>
        <v>ok</v>
      </c>
      <c r="Y1691" t="str">
        <f t="shared" si="184"/>
        <v>ok</v>
      </c>
      <c r="Z1691" t="str">
        <f t="shared" si="185"/>
        <v>ok</v>
      </c>
      <c r="AA1691" s="4" t="str">
        <f t="shared" si="186"/>
        <v>ok</v>
      </c>
      <c r="AB1691" s="4" t="str">
        <f t="shared" si="187"/>
        <v>ok</v>
      </c>
      <c r="AC1691" s="6">
        <f t="shared" si="188"/>
        <v>14.193865555571392</v>
      </c>
    </row>
    <row r="1692" spans="1:29" x14ac:dyDescent="0.3">
      <c r="A1692" t="s">
        <v>22</v>
      </c>
      <c r="B1692">
        <v>3153</v>
      </c>
      <c r="C1692" t="s">
        <v>23</v>
      </c>
      <c r="D1692" t="s">
        <v>43</v>
      </c>
      <c r="E1692" t="s">
        <v>59</v>
      </c>
      <c r="F1692" t="s">
        <v>26</v>
      </c>
      <c r="G1692" t="s">
        <v>49</v>
      </c>
      <c r="H1692" s="1">
        <v>45191.662222222221</v>
      </c>
      <c r="I1692" s="1">
        <v>45192.662222222221</v>
      </c>
      <c r="J1692" s="1">
        <v>45191.663611111115</v>
      </c>
      <c r="K1692" s="2">
        <v>45191.662460428241</v>
      </c>
      <c r="L1692" t="s">
        <v>28</v>
      </c>
      <c r="M1692" s="2">
        <v>45194.676351574075</v>
      </c>
      <c r="N1692" t="s">
        <v>38</v>
      </c>
      <c r="O1692" s="2">
        <v>45195.255061284719</v>
      </c>
      <c r="P1692">
        <v>8</v>
      </c>
      <c r="Q1692">
        <v>5</v>
      </c>
      <c r="R1692" t="s">
        <v>50</v>
      </c>
      <c r="S1692" t="s">
        <v>30</v>
      </c>
      <c r="T1692" t="s">
        <v>63</v>
      </c>
      <c r="U1692">
        <v>55.378051999999997</v>
      </c>
      <c r="V1692">
        <v>-3.4359730000000002</v>
      </c>
      <c r="W1692" t="str">
        <f t="shared" si="183"/>
        <v>ok</v>
      </c>
      <c r="X1692" t="str">
        <f t="shared" si="189"/>
        <v>ok</v>
      </c>
      <c r="Y1692" t="str">
        <f t="shared" si="184"/>
        <v>ok</v>
      </c>
      <c r="Z1692" t="str">
        <f t="shared" si="185"/>
        <v>ok</v>
      </c>
      <c r="AA1692" s="4" t="str">
        <f t="shared" si="186"/>
        <v>ok</v>
      </c>
      <c r="AB1692" s="4" t="str">
        <f t="shared" si="187"/>
        <v>ok</v>
      </c>
      <c r="AC1692" s="6">
        <f t="shared" si="188"/>
        <v>72.33910444448702</v>
      </c>
    </row>
    <row r="1693" spans="1:29" x14ac:dyDescent="0.3">
      <c r="A1693" t="s">
        <v>22</v>
      </c>
      <c r="B1693">
        <v>3154</v>
      </c>
      <c r="C1693" t="s">
        <v>23</v>
      </c>
      <c r="D1693" t="s">
        <v>24</v>
      </c>
      <c r="E1693" t="s">
        <v>48</v>
      </c>
      <c r="F1693" t="s">
        <v>26</v>
      </c>
      <c r="G1693" t="s">
        <v>60</v>
      </c>
      <c r="H1693" s="1">
        <v>45191.170277777775</v>
      </c>
      <c r="I1693" s="1">
        <v>45193.170277777775</v>
      </c>
      <c r="J1693" s="1">
        <v>45191.211944444447</v>
      </c>
      <c r="K1693" s="2">
        <v>45191.200318252311</v>
      </c>
      <c r="L1693" t="s">
        <v>28</v>
      </c>
      <c r="M1693" s="2">
        <v>45191.923971689816</v>
      </c>
      <c r="N1693" t="s">
        <v>28</v>
      </c>
      <c r="O1693" s="2">
        <v>45194.090250590278</v>
      </c>
      <c r="P1693">
        <v>1</v>
      </c>
      <c r="Q1693">
        <v>1</v>
      </c>
      <c r="R1693" t="s">
        <v>29</v>
      </c>
      <c r="S1693" t="s">
        <v>30</v>
      </c>
      <c r="T1693" t="s">
        <v>57</v>
      </c>
      <c r="U1693">
        <v>51.165691000000002</v>
      </c>
      <c r="V1693">
        <v>10.451525999999999</v>
      </c>
      <c r="W1693" t="str">
        <f t="shared" si="183"/>
        <v>ok</v>
      </c>
      <c r="X1693" t="str">
        <f t="shared" si="189"/>
        <v>ok</v>
      </c>
      <c r="Y1693" t="str">
        <f t="shared" si="184"/>
        <v>ok</v>
      </c>
      <c r="Z1693" t="str">
        <f t="shared" si="185"/>
        <v>ok</v>
      </c>
      <c r="AA1693" s="4" t="str">
        <f t="shared" si="186"/>
        <v>ok</v>
      </c>
      <c r="AB1693" s="4" t="str">
        <f t="shared" si="187"/>
        <v>ok</v>
      </c>
      <c r="AC1693" s="6">
        <f t="shared" si="188"/>
        <v>18.088653888960835</v>
      </c>
    </row>
    <row r="1694" spans="1:29" x14ac:dyDescent="0.3">
      <c r="A1694" t="s">
        <v>42</v>
      </c>
      <c r="B1694">
        <v>3155</v>
      </c>
      <c r="C1694" t="s">
        <v>23</v>
      </c>
      <c r="D1694" t="s">
        <v>34</v>
      </c>
      <c r="E1694" t="s">
        <v>35</v>
      </c>
      <c r="F1694" t="s">
        <v>26</v>
      </c>
      <c r="G1694" t="s">
        <v>60</v>
      </c>
      <c r="H1694" s="1">
        <v>45191.244537037041</v>
      </c>
      <c r="I1694" s="1">
        <v>45193.244537037041</v>
      </c>
      <c r="J1694" s="1">
        <v>45191.245925925927</v>
      </c>
      <c r="K1694" s="2">
        <v>45191.245722835651</v>
      </c>
      <c r="L1694" t="s">
        <v>28</v>
      </c>
      <c r="M1694" s="2">
        <v>45191.844220486113</v>
      </c>
      <c r="N1694" t="s">
        <v>28</v>
      </c>
      <c r="P1694">
        <v>3</v>
      </c>
      <c r="R1694" t="s">
        <v>55</v>
      </c>
      <c r="S1694" t="s">
        <v>30</v>
      </c>
      <c r="T1694" t="s">
        <v>66</v>
      </c>
      <c r="U1694">
        <v>48.864716000000001</v>
      </c>
      <c r="V1694">
        <v>2.3490139999999999</v>
      </c>
      <c r="W1694" t="str">
        <f t="shared" si="183"/>
        <v>ok</v>
      </c>
      <c r="X1694" t="str">
        <f t="shared" si="189"/>
        <v>ok</v>
      </c>
      <c r="Y1694" t="str">
        <f t="shared" si="184"/>
        <v>ok</v>
      </c>
      <c r="Z1694" t="str">
        <f t="shared" si="185"/>
        <v>ok</v>
      </c>
      <c r="AA1694" s="4" t="str">
        <f t="shared" si="186"/>
        <v>ok</v>
      </c>
      <c r="AB1694" s="4" t="str">
        <f t="shared" si="187"/>
        <v>ok</v>
      </c>
      <c r="AC1694" s="6">
        <f t="shared" si="188"/>
        <v>14.392402777739335</v>
      </c>
    </row>
    <row r="1695" spans="1:29" x14ac:dyDescent="0.3">
      <c r="A1695" t="s">
        <v>22</v>
      </c>
      <c r="B1695">
        <v>3156</v>
      </c>
      <c r="C1695" t="s">
        <v>33</v>
      </c>
      <c r="D1695" t="s">
        <v>34</v>
      </c>
      <c r="E1695" t="s">
        <v>39</v>
      </c>
      <c r="F1695" t="s">
        <v>36</v>
      </c>
      <c r="G1695" t="s">
        <v>64</v>
      </c>
      <c r="H1695" s="1">
        <v>45191.974814814814</v>
      </c>
      <c r="I1695" s="1">
        <v>45193.974814814814</v>
      </c>
      <c r="J1695" s="1">
        <v>45191.976203703707</v>
      </c>
      <c r="K1695" s="2">
        <v>45191.975181631948</v>
      </c>
      <c r="L1695" t="s">
        <v>28</v>
      </c>
      <c r="M1695" s="2">
        <v>45192.045679143521</v>
      </c>
      <c r="N1695" t="s">
        <v>28</v>
      </c>
      <c r="O1695" s="2">
        <v>45194.81268638889</v>
      </c>
      <c r="P1695">
        <v>3</v>
      </c>
      <c r="Q1695">
        <v>5</v>
      </c>
      <c r="R1695" t="s">
        <v>50</v>
      </c>
      <c r="S1695" t="s">
        <v>40</v>
      </c>
      <c r="T1695" t="s">
        <v>63</v>
      </c>
      <c r="U1695">
        <v>55.378051999999997</v>
      </c>
      <c r="V1695">
        <v>-3.4359730000000002</v>
      </c>
      <c r="W1695" t="str">
        <f t="shared" si="183"/>
        <v>ok</v>
      </c>
      <c r="X1695" t="str">
        <f t="shared" si="189"/>
        <v>ok</v>
      </c>
      <c r="Y1695" t="str">
        <f t="shared" si="184"/>
        <v>ok</v>
      </c>
      <c r="Z1695" t="str">
        <f t="shared" si="185"/>
        <v>ok</v>
      </c>
      <c r="AA1695" s="4" t="str">
        <f t="shared" si="186"/>
        <v>ok</v>
      </c>
      <c r="AB1695" s="4" t="str">
        <f t="shared" si="187"/>
        <v>ok</v>
      </c>
      <c r="AC1695" s="6">
        <f t="shared" si="188"/>
        <v>1.7007438889704645</v>
      </c>
    </row>
    <row r="1696" spans="1:29" x14ac:dyDescent="0.3">
      <c r="A1696" t="s">
        <v>42</v>
      </c>
      <c r="B1696">
        <v>3157</v>
      </c>
      <c r="C1696" t="s">
        <v>47</v>
      </c>
      <c r="D1696" t="s">
        <v>43</v>
      </c>
      <c r="E1696" t="s">
        <v>44</v>
      </c>
      <c r="F1696" t="s">
        <v>26</v>
      </c>
      <c r="G1696" t="s">
        <v>45</v>
      </c>
      <c r="H1696" s="1">
        <v>45191.90929398148</v>
      </c>
      <c r="I1696" s="1">
        <v>45192.90929398148</v>
      </c>
      <c r="J1696" s="1">
        <v>45191.910682870373</v>
      </c>
      <c r="K1696" s="2">
        <v>45191.90994607639</v>
      </c>
      <c r="L1696" t="s">
        <v>28</v>
      </c>
      <c r="M1696" s="2">
        <v>45192.291038888892</v>
      </c>
      <c r="N1696" t="s">
        <v>28</v>
      </c>
      <c r="P1696">
        <v>8</v>
      </c>
      <c r="R1696" t="s">
        <v>50</v>
      </c>
      <c r="S1696" t="s">
        <v>30</v>
      </c>
      <c r="T1696" t="s">
        <v>31</v>
      </c>
      <c r="U1696">
        <v>53.094023999999997</v>
      </c>
      <c r="V1696">
        <v>-8.0196749999999994</v>
      </c>
      <c r="W1696" t="str">
        <f t="shared" si="183"/>
        <v>ok</v>
      </c>
      <c r="X1696" t="str">
        <f t="shared" si="189"/>
        <v>ok</v>
      </c>
      <c r="Y1696" t="str">
        <f t="shared" si="184"/>
        <v>ok</v>
      </c>
      <c r="Z1696" t="str">
        <f t="shared" si="185"/>
        <v>ok</v>
      </c>
      <c r="AA1696" s="4" t="str">
        <f t="shared" si="186"/>
        <v>ok</v>
      </c>
      <c r="AB1696" s="4" t="str">
        <f t="shared" si="187"/>
        <v>ok</v>
      </c>
      <c r="AC1696" s="6">
        <f t="shared" si="188"/>
        <v>9.1618777778930962</v>
      </c>
    </row>
    <row r="1697" spans="1:29" x14ac:dyDescent="0.3">
      <c r="A1697" t="s">
        <v>22</v>
      </c>
      <c r="B1697">
        <v>3158</v>
      </c>
      <c r="C1697" t="s">
        <v>23</v>
      </c>
      <c r="D1697" t="s">
        <v>43</v>
      </c>
      <c r="E1697" t="s">
        <v>67</v>
      </c>
      <c r="F1697" t="s">
        <v>26</v>
      </c>
      <c r="G1697" t="s">
        <v>27</v>
      </c>
      <c r="H1697" s="1">
        <v>45191.830706018518</v>
      </c>
      <c r="I1697" s="1">
        <v>45192.830706018518</v>
      </c>
      <c r="J1697" s="1">
        <v>45191.832094907404</v>
      </c>
      <c r="K1697" s="2">
        <v>45191.830997743054</v>
      </c>
      <c r="L1697" t="s">
        <v>28</v>
      </c>
      <c r="M1697" s="2">
        <v>45197.626377488428</v>
      </c>
      <c r="N1697" t="s">
        <v>38</v>
      </c>
      <c r="O1697" s="2">
        <v>45198.898393854164</v>
      </c>
      <c r="P1697">
        <v>2</v>
      </c>
      <c r="Q1697">
        <v>5</v>
      </c>
      <c r="R1697" t="s">
        <v>29</v>
      </c>
      <c r="S1697" t="s">
        <v>30</v>
      </c>
      <c r="T1697" t="s">
        <v>56</v>
      </c>
      <c r="U1697">
        <v>52.536273000000001</v>
      </c>
      <c r="V1697">
        <v>19.050639</v>
      </c>
      <c r="W1697" t="str">
        <f t="shared" si="183"/>
        <v>ok</v>
      </c>
      <c r="X1697" t="str">
        <f t="shared" si="189"/>
        <v>ok</v>
      </c>
      <c r="Y1697" t="str">
        <f t="shared" si="184"/>
        <v>ok</v>
      </c>
      <c r="Z1697" t="str">
        <f t="shared" si="185"/>
        <v>ok</v>
      </c>
      <c r="AA1697" s="4" t="str">
        <f t="shared" si="186"/>
        <v>ok</v>
      </c>
      <c r="AB1697" s="4" t="str">
        <f t="shared" si="187"/>
        <v>ok</v>
      </c>
      <c r="AC1697" s="6">
        <f t="shared" si="188"/>
        <v>139.09611527784728</v>
      </c>
    </row>
    <row r="1698" spans="1:29" x14ac:dyDescent="0.3">
      <c r="A1698" t="s">
        <v>42</v>
      </c>
      <c r="B1698">
        <v>3159</v>
      </c>
      <c r="C1698" t="s">
        <v>47</v>
      </c>
      <c r="D1698" t="s">
        <v>24</v>
      </c>
      <c r="E1698" t="s">
        <v>35</v>
      </c>
      <c r="F1698" t="s">
        <v>36</v>
      </c>
      <c r="G1698" t="s">
        <v>37</v>
      </c>
      <c r="H1698" s="1">
        <v>45191.067604166667</v>
      </c>
      <c r="I1698" s="1">
        <v>45193.067604166667</v>
      </c>
      <c r="J1698" s="1">
        <v>45191.109270833331</v>
      </c>
      <c r="K1698" s="2">
        <v>45191.076827974539</v>
      </c>
      <c r="L1698" t="s">
        <v>28</v>
      </c>
      <c r="M1698" s="2">
        <v>45194.439750104168</v>
      </c>
      <c r="N1698" t="s">
        <v>38</v>
      </c>
      <c r="P1698">
        <v>6</v>
      </c>
      <c r="R1698" t="s">
        <v>29</v>
      </c>
      <c r="S1698" t="s">
        <v>40</v>
      </c>
      <c r="T1698" t="s">
        <v>66</v>
      </c>
      <c r="U1698">
        <v>48.864716000000001</v>
      </c>
      <c r="V1698">
        <v>2.3490139999999999</v>
      </c>
      <c r="W1698" t="str">
        <f t="shared" si="183"/>
        <v>ok</v>
      </c>
      <c r="X1698" t="str">
        <f t="shared" si="189"/>
        <v>ok</v>
      </c>
      <c r="Y1698" t="str">
        <f t="shared" si="184"/>
        <v>ok</v>
      </c>
      <c r="Z1698" t="str">
        <f t="shared" si="185"/>
        <v>ok</v>
      </c>
      <c r="AA1698" s="4" t="str">
        <f t="shared" si="186"/>
        <v>ok</v>
      </c>
      <c r="AB1698" s="4" t="str">
        <f t="shared" si="187"/>
        <v>ok</v>
      </c>
      <c r="AC1698" s="6">
        <f t="shared" si="188"/>
        <v>80.93150250002509</v>
      </c>
    </row>
    <row r="1699" spans="1:29" x14ac:dyDescent="0.3">
      <c r="A1699" t="s">
        <v>22</v>
      </c>
      <c r="B1699">
        <v>3160</v>
      </c>
      <c r="C1699" t="s">
        <v>47</v>
      </c>
      <c r="D1699" t="s">
        <v>34</v>
      </c>
      <c r="E1699" t="s">
        <v>44</v>
      </c>
      <c r="F1699" t="s">
        <v>26</v>
      </c>
      <c r="G1699" t="s">
        <v>45</v>
      </c>
      <c r="H1699" s="1">
        <v>45191.397245370368</v>
      </c>
      <c r="I1699" s="1">
        <v>45193.397245370368</v>
      </c>
      <c r="J1699" s="1">
        <v>45191.398634259262</v>
      </c>
      <c r="K1699" s="2">
        <v>45191.397710949073</v>
      </c>
      <c r="L1699" t="s">
        <v>28</v>
      </c>
      <c r="M1699" s="2">
        <v>45193.233419953707</v>
      </c>
      <c r="N1699" t="s">
        <v>28</v>
      </c>
      <c r="O1699" s="2">
        <v>45193.42755792824</v>
      </c>
      <c r="P1699">
        <v>1</v>
      </c>
      <c r="Q1699">
        <v>3</v>
      </c>
      <c r="R1699" t="s">
        <v>50</v>
      </c>
      <c r="S1699" t="s">
        <v>30</v>
      </c>
      <c r="T1699" t="s">
        <v>57</v>
      </c>
      <c r="U1699">
        <v>51.165691000000002</v>
      </c>
      <c r="V1699">
        <v>10.451525999999999</v>
      </c>
      <c r="W1699" t="str">
        <f t="shared" si="183"/>
        <v>ok</v>
      </c>
      <c r="X1699" t="str">
        <f t="shared" si="189"/>
        <v>ok</v>
      </c>
      <c r="Y1699" t="str">
        <f t="shared" si="184"/>
        <v>ok</v>
      </c>
      <c r="Z1699" t="str">
        <f t="shared" si="185"/>
        <v>ok</v>
      </c>
      <c r="AA1699" s="4" t="str">
        <f t="shared" si="186"/>
        <v>ok</v>
      </c>
      <c r="AB1699" s="4" t="str">
        <f t="shared" si="187"/>
        <v>ok</v>
      </c>
      <c r="AC1699" s="6">
        <f t="shared" si="188"/>
        <v>44.068190000136383</v>
      </c>
    </row>
    <row r="1700" spans="1:29" x14ac:dyDescent="0.3">
      <c r="A1700" t="s">
        <v>42</v>
      </c>
      <c r="B1700">
        <v>3161</v>
      </c>
      <c r="C1700" t="s">
        <v>23</v>
      </c>
      <c r="D1700" t="s">
        <v>43</v>
      </c>
      <c r="E1700" t="s">
        <v>35</v>
      </c>
      <c r="F1700" t="s">
        <v>26</v>
      </c>
      <c r="G1700" t="s">
        <v>49</v>
      </c>
      <c r="H1700" s="1">
        <v>45191.038206018522</v>
      </c>
      <c r="I1700" s="1">
        <v>45192.038206018522</v>
      </c>
      <c r="J1700" s="1">
        <v>45191.039594907408</v>
      </c>
      <c r="K1700" s="2">
        <v>45191.038666157408</v>
      </c>
      <c r="L1700" t="s">
        <v>28</v>
      </c>
      <c r="M1700" s="2">
        <v>45191.593361307867</v>
      </c>
      <c r="N1700" t="s">
        <v>28</v>
      </c>
      <c r="P1700">
        <v>6</v>
      </c>
      <c r="R1700" t="s">
        <v>55</v>
      </c>
      <c r="S1700" t="s">
        <v>30</v>
      </c>
      <c r="T1700" t="s">
        <v>51</v>
      </c>
      <c r="U1700">
        <v>39.673369999999998</v>
      </c>
      <c r="V1700">
        <v>-4.7677259999999997</v>
      </c>
      <c r="W1700" t="str">
        <f t="shared" si="183"/>
        <v>ok</v>
      </c>
      <c r="X1700" t="str">
        <f t="shared" si="189"/>
        <v>ok</v>
      </c>
      <c r="Y1700" t="str">
        <f t="shared" si="184"/>
        <v>ok</v>
      </c>
      <c r="Z1700" t="str">
        <f t="shared" si="185"/>
        <v>ok</v>
      </c>
      <c r="AA1700" s="4" t="str">
        <f t="shared" si="186"/>
        <v>ok</v>
      </c>
      <c r="AB1700" s="4" t="str">
        <f t="shared" si="187"/>
        <v>ok</v>
      </c>
      <c r="AC1700" s="6">
        <f t="shared" si="188"/>
        <v>13.323726944276132</v>
      </c>
    </row>
    <row r="1701" spans="1:29" x14ac:dyDescent="0.3">
      <c r="A1701" t="s">
        <v>22</v>
      </c>
      <c r="B1701">
        <v>3162</v>
      </c>
      <c r="C1701" t="s">
        <v>23</v>
      </c>
      <c r="D1701" t="s">
        <v>24</v>
      </c>
      <c r="E1701" t="s">
        <v>48</v>
      </c>
      <c r="F1701" t="s">
        <v>26</v>
      </c>
      <c r="G1701" t="s">
        <v>27</v>
      </c>
      <c r="H1701" s="1">
        <v>45192.698437500003</v>
      </c>
      <c r="I1701" s="1">
        <v>45194.698437500003</v>
      </c>
      <c r="J1701" s="1">
        <v>45192.740104166667</v>
      </c>
      <c r="K1701" s="2">
        <v>45192.70501597222</v>
      </c>
      <c r="L1701" t="s">
        <v>28</v>
      </c>
      <c r="M1701" s="2">
        <v>45196.211492013892</v>
      </c>
      <c r="N1701" t="s">
        <v>38</v>
      </c>
      <c r="O1701" s="2">
        <v>45197.051040787039</v>
      </c>
      <c r="P1701">
        <v>5</v>
      </c>
      <c r="Q1701">
        <v>1</v>
      </c>
      <c r="R1701" t="s">
        <v>50</v>
      </c>
      <c r="S1701" t="s">
        <v>30</v>
      </c>
      <c r="T1701" t="s">
        <v>51</v>
      </c>
      <c r="U1701">
        <v>39.673369999999998</v>
      </c>
      <c r="V1701">
        <v>-4.7677259999999997</v>
      </c>
      <c r="W1701" t="str">
        <f t="shared" si="183"/>
        <v>ok</v>
      </c>
      <c r="X1701" t="str">
        <f t="shared" si="189"/>
        <v>ok</v>
      </c>
      <c r="Y1701" t="str">
        <f t="shared" si="184"/>
        <v>ok</v>
      </c>
      <c r="Z1701" t="str">
        <f t="shared" si="185"/>
        <v>ok</v>
      </c>
      <c r="AA1701" s="4" t="str">
        <f t="shared" si="186"/>
        <v>ok</v>
      </c>
      <c r="AB1701" s="4" t="str">
        <f t="shared" si="187"/>
        <v>ok</v>
      </c>
      <c r="AC1701" s="6">
        <f t="shared" si="188"/>
        <v>84.313308333337773</v>
      </c>
    </row>
    <row r="1702" spans="1:29" x14ac:dyDescent="0.3">
      <c r="A1702" t="s">
        <v>22</v>
      </c>
      <c r="B1702">
        <v>3163</v>
      </c>
      <c r="C1702" t="s">
        <v>23</v>
      </c>
      <c r="D1702" t="s">
        <v>24</v>
      </c>
      <c r="E1702" t="s">
        <v>25</v>
      </c>
      <c r="F1702" t="s">
        <v>36</v>
      </c>
      <c r="G1702" t="s">
        <v>54</v>
      </c>
      <c r="H1702" s="1">
        <v>45192.024074074077</v>
      </c>
      <c r="I1702" s="1">
        <v>45194.024074074077</v>
      </c>
      <c r="J1702" s="1">
        <v>45192.065740740742</v>
      </c>
      <c r="K1702" s="2">
        <v>45192.064268819442</v>
      </c>
      <c r="L1702" t="s">
        <v>28</v>
      </c>
      <c r="M1702" s="2">
        <v>45193.966862638888</v>
      </c>
      <c r="N1702" t="s">
        <v>28</v>
      </c>
      <c r="O1702" s="2">
        <v>45195.437177418979</v>
      </c>
      <c r="P1702">
        <v>10</v>
      </c>
      <c r="Q1702">
        <v>4</v>
      </c>
      <c r="R1702" t="s">
        <v>39</v>
      </c>
      <c r="S1702" t="s">
        <v>40</v>
      </c>
      <c r="T1702" t="s">
        <v>53</v>
      </c>
      <c r="U1702">
        <v>39.368279000000001</v>
      </c>
      <c r="V1702">
        <v>21.863140999999999</v>
      </c>
      <c r="W1702" t="str">
        <f t="shared" si="183"/>
        <v>ok</v>
      </c>
      <c r="X1702" t="str">
        <f t="shared" si="189"/>
        <v>ok</v>
      </c>
      <c r="Y1702" t="str">
        <f t="shared" si="184"/>
        <v>ok</v>
      </c>
      <c r="Z1702" t="str">
        <f t="shared" si="185"/>
        <v>ok</v>
      </c>
      <c r="AA1702" s="4" t="str">
        <f t="shared" si="186"/>
        <v>ok</v>
      </c>
      <c r="AB1702" s="4" t="str">
        <f t="shared" si="187"/>
        <v>ok</v>
      </c>
      <c r="AC1702" s="6">
        <f t="shared" si="188"/>
        <v>46.626925555465277</v>
      </c>
    </row>
    <row r="1703" spans="1:29" x14ac:dyDescent="0.3">
      <c r="A1703" t="s">
        <v>22</v>
      </c>
      <c r="B1703">
        <v>3164</v>
      </c>
      <c r="C1703" t="s">
        <v>23</v>
      </c>
      <c r="D1703" t="s">
        <v>24</v>
      </c>
      <c r="E1703" t="s">
        <v>44</v>
      </c>
      <c r="F1703" t="s">
        <v>36</v>
      </c>
      <c r="G1703" t="s">
        <v>54</v>
      </c>
      <c r="H1703" s="1">
        <v>45192.064525462964</v>
      </c>
      <c r="I1703" s="1">
        <v>45194.064525462964</v>
      </c>
      <c r="J1703" s="1">
        <v>45192.106192129628</v>
      </c>
      <c r="K1703" s="2">
        <v>45192.083449363425</v>
      </c>
      <c r="L1703" t="s">
        <v>28</v>
      </c>
      <c r="M1703" s="2">
        <v>45193.305459166666</v>
      </c>
      <c r="N1703" t="s">
        <v>28</v>
      </c>
      <c r="O1703" s="2">
        <v>45196.965300729164</v>
      </c>
      <c r="P1703">
        <v>1</v>
      </c>
      <c r="Q1703">
        <v>4</v>
      </c>
      <c r="R1703" t="s">
        <v>50</v>
      </c>
      <c r="S1703" t="s">
        <v>40</v>
      </c>
      <c r="T1703" t="s">
        <v>63</v>
      </c>
      <c r="U1703">
        <v>55.378051999999997</v>
      </c>
      <c r="V1703">
        <v>-3.4359730000000002</v>
      </c>
      <c r="W1703" t="str">
        <f t="shared" si="183"/>
        <v>ok</v>
      </c>
      <c r="X1703" t="str">
        <f t="shared" si="189"/>
        <v>ok</v>
      </c>
      <c r="Y1703" t="str">
        <f t="shared" si="184"/>
        <v>ok</v>
      </c>
      <c r="Z1703" t="str">
        <f t="shared" si="185"/>
        <v>ok</v>
      </c>
      <c r="AA1703" s="4" t="str">
        <f t="shared" si="186"/>
        <v>ok</v>
      </c>
      <c r="AB1703" s="4" t="str">
        <f t="shared" si="187"/>
        <v>ok</v>
      </c>
      <c r="AC1703" s="6">
        <f t="shared" si="188"/>
        <v>29.782408888859209</v>
      </c>
    </row>
    <row r="1704" spans="1:29" x14ac:dyDescent="0.3">
      <c r="A1704" t="s">
        <v>32</v>
      </c>
      <c r="B1704">
        <v>3178</v>
      </c>
      <c r="C1704" t="s">
        <v>23</v>
      </c>
      <c r="D1704" t="s">
        <v>24</v>
      </c>
      <c r="E1704" t="s">
        <v>35</v>
      </c>
      <c r="F1704" t="s">
        <v>26</v>
      </c>
      <c r="G1704" t="s">
        <v>45</v>
      </c>
      <c r="H1704" s="1">
        <v>45193.822476851848</v>
      </c>
      <c r="I1704" s="1">
        <v>45195.822476851848</v>
      </c>
      <c r="J1704" s="1">
        <v>45193.86414351852</v>
      </c>
      <c r="K1704" s="2">
        <v>45193.856348738424</v>
      </c>
      <c r="L1704" t="s">
        <v>28</v>
      </c>
      <c r="N1704" t="s">
        <v>38</v>
      </c>
      <c r="P1704">
        <v>7</v>
      </c>
      <c r="R1704" t="s">
        <v>39</v>
      </c>
      <c r="S1704" t="s">
        <v>30</v>
      </c>
      <c r="T1704" t="s">
        <v>57</v>
      </c>
      <c r="U1704">
        <v>51.165691000000002</v>
      </c>
      <c r="V1704">
        <v>10.451525999999999</v>
      </c>
      <c r="W1704" t="str">
        <f t="shared" si="183"/>
        <v>ok</v>
      </c>
      <c r="X1704" t="str">
        <f t="shared" si="189"/>
        <v>ok</v>
      </c>
      <c r="Y1704" t="str">
        <f t="shared" si="184"/>
        <v>ok</v>
      </c>
      <c r="Z1704" t="str">
        <f t="shared" si="185"/>
        <v>ok</v>
      </c>
      <c r="AA1704" s="4" t="str">
        <f t="shared" si="186"/>
        <v>ok</v>
      </c>
      <c r="AB1704" s="4" t="str">
        <f t="shared" si="187"/>
        <v>no resolution</v>
      </c>
      <c r="AC1704" s="6" t="str">
        <f t="shared" si="188"/>
        <v/>
      </c>
    </row>
    <row r="1705" spans="1:29" x14ac:dyDescent="0.3">
      <c r="A1705" t="s">
        <v>22</v>
      </c>
      <c r="B1705">
        <v>3179</v>
      </c>
      <c r="C1705" t="s">
        <v>47</v>
      </c>
      <c r="D1705" t="s">
        <v>43</v>
      </c>
      <c r="E1705" t="s">
        <v>48</v>
      </c>
      <c r="F1705" t="s">
        <v>36</v>
      </c>
      <c r="G1705" t="s">
        <v>54</v>
      </c>
      <c r="H1705" s="1">
        <v>45193.142847222225</v>
      </c>
      <c r="I1705" s="1">
        <v>45194.142847222225</v>
      </c>
      <c r="J1705" s="1">
        <v>45193.144236111111</v>
      </c>
      <c r="K1705" s="2">
        <v>45193.143823032406</v>
      </c>
      <c r="L1705" t="s">
        <v>28</v>
      </c>
      <c r="M1705" s="2">
        <v>45194.055048680559</v>
      </c>
      <c r="N1705" t="s">
        <v>28</v>
      </c>
      <c r="O1705" s="2">
        <v>45197.370373043981</v>
      </c>
      <c r="P1705">
        <v>60</v>
      </c>
      <c r="Q1705">
        <v>5</v>
      </c>
      <c r="R1705" t="s">
        <v>29</v>
      </c>
      <c r="S1705" t="s">
        <v>40</v>
      </c>
      <c r="T1705" t="s">
        <v>63</v>
      </c>
      <c r="U1705">
        <v>55.378051999999997</v>
      </c>
      <c r="V1705">
        <v>-3.4359730000000002</v>
      </c>
      <c r="W1705" t="str">
        <f t="shared" si="183"/>
        <v>ok</v>
      </c>
      <c r="X1705" t="str">
        <f t="shared" si="189"/>
        <v>ok</v>
      </c>
      <c r="Y1705" t="str">
        <f t="shared" si="184"/>
        <v>ok</v>
      </c>
      <c r="Z1705" t="str">
        <f t="shared" si="185"/>
        <v>ok</v>
      </c>
      <c r="AA1705" s="4" t="str">
        <f t="shared" si="186"/>
        <v>ok</v>
      </c>
      <c r="AB1705" s="4" t="str">
        <f t="shared" si="187"/>
        <v>ok</v>
      </c>
      <c r="AC1705" s="6">
        <f t="shared" si="188"/>
        <v>21.892835000006016</v>
      </c>
    </row>
    <row r="1706" spans="1:29" x14ac:dyDescent="0.3">
      <c r="A1706" t="s">
        <v>32</v>
      </c>
      <c r="B1706">
        <v>3180</v>
      </c>
      <c r="C1706" t="s">
        <v>23</v>
      </c>
      <c r="D1706" t="s">
        <v>43</v>
      </c>
      <c r="E1706" t="s">
        <v>67</v>
      </c>
      <c r="F1706" t="s">
        <v>26</v>
      </c>
      <c r="G1706" t="s">
        <v>49</v>
      </c>
      <c r="H1706" s="1">
        <v>45193.886597222219</v>
      </c>
      <c r="I1706" s="1">
        <v>45194.886597222219</v>
      </c>
      <c r="J1706" s="1">
        <v>45193.887986111113</v>
      </c>
      <c r="K1706" s="2">
        <v>45193.887849664352</v>
      </c>
      <c r="L1706" t="s">
        <v>28</v>
      </c>
      <c r="N1706" t="s">
        <v>38</v>
      </c>
      <c r="P1706">
        <v>8</v>
      </c>
      <c r="R1706" t="s">
        <v>29</v>
      </c>
      <c r="S1706" t="s">
        <v>30</v>
      </c>
      <c r="T1706" t="s">
        <v>57</v>
      </c>
      <c r="U1706">
        <v>51.165691000000002</v>
      </c>
      <c r="V1706">
        <v>10.451525999999999</v>
      </c>
      <c r="W1706" t="str">
        <f t="shared" si="183"/>
        <v>ok</v>
      </c>
      <c r="X1706" t="str">
        <f t="shared" si="189"/>
        <v>ok</v>
      </c>
      <c r="Y1706" t="str">
        <f t="shared" si="184"/>
        <v>ok</v>
      </c>
      <c r="Z1706" t="str">
        <f t="shared" si="185"/>
        <v>ok</v>
      </c>
      <c r="AA1706" s="4" t="str">
        <f t="shared" si="186"/>
        <v>ok</v>
      </c>
      <c r="AB1706" s="4" t="str">
        <f t="shared" si="187"/>
        <v>no resolution</v>
      </c>
      <c r="AC1706" s="6" t="str">
        <f t="shared" si="188"/>
        <v/>
      </c>
    </row>
    <row r="1707" spans="1:29" x14ac:dyDescent="0.3">
      <c r="A1707" t="s">
        <v>22</v>
      </c>
      <c r="B1707">
        <v>3181</v>
      </c>
      <c r="C1707" t="s">
        <v>23</v>
      </c>
      <c r="D1707" t="s">
        <v>43</v>
      </c>
      <c r="E1707" t="s">
        <v>35</v>
      </c>
      <c r="F1707" t="s">
        <v>36</v>
      </c>
      <c r="G1707" t="s">
        <v>37</v>
      </c>
      <c r="H1707" s="1">
        <v>45194.441122685188</v>
      </c>
      <c r="I1707" s="1">
        <v>45195.441122685188</v>
      </c>
      <c r="J1707" s="1">
        <v>45194.442511574074</v>
      </c>
      <c r="K1707" s="2">
        <v>45194.442077916668</v>
      </c>
      <c r="L1707" t="s">
        <v>28</v>
      </c>
      <c r="M1707" s="2">
        <v>45195.12150079861</v>
      </c>
      <c r="N1707" t="s">
        <v>28</v>
      </c>
      <c r="O1707" s="2">
        <v>45195.872456076388</v>
      </c>
      <c r="P1707">
        <v>7</v>
      </c>
      <c r="Q1707">
        <v>4</v>
      </c>
      <c r="R1707" t="s">
        <v>55</v>
      </c>
      <c r="S1707" t="s">
        <v>40</v>
      </c>
      <c r="T1707" t="s">
        <v>41</v>
      </c>
      <c r="U1707">
        <v>43.036776000000003</v>
      </c>
      <c r="V1707">
        <v>12.678565000000001</v>
      </c>
      <c r="W1707" t="str">
        <f t="shared" si="183"/>
        <v>ok</v>
      </c>
      <c r="X1707" t="str">
        <f t="shared" si="189"/>
        <v>ok</v>
      </c>
      <c r="Y1707" t="str">
        <f t="shared" si="184"/>
        <v>ok</v>
      </c>
      <c r="Z1707" t="str">
        <f t="shared" si="185"/>
        <v>ok</v>
      </c>
      <c r="AA1707" s="4" t="str">
        <f t="shared" si="186"/>
        <v>ok</v>
      </c>
      <c r="AB1707" s="4" t="str">
        <f t="shared" si="187"/>
        <v>ok</v>
      </c>
      <c r="AC1707" s="6">
        <f t="shared" si="188"/>
        <v>16.329074722132646</v>
      </c>
    </row>
    <row r="1708" spans="1:29" x14ac:dyDescent="0.3">
      <c r="A1708" t="s">
        <v>22</v>
      </c>
      <c r="B1708">
        <v>3182</v>
      </c>
      <c r="C1708" t="s">
        <v>33</v>
      </c>
      <c r="D1708" t="s">
        <v>24</v>
      </c>
      <c r="E1708" t="s">
        <v>25</v>
      </c>
      <c r="F1708" t="s">
        <v>26</v>
      </c>
      <c r="G1708" t="s">
        <v>60</v>
      </c>
      <c r="H1708" s="1">
        <v>45194.634479166663</v>
      </c>
      <c r="I1708" s="1">
        <v>45196.634479166663</v>
      </c>
      <c r="J1708" s="1">
        <v>45194.676145833335</v>
      </c>
      <c r="K1708" s="2">
        <v>45194.652809791667</v>
      </c>
      <c r="L1708" t="s">
        <v>28</v>
      </c>
      <c r="M1708" s="2">
        <v>45195.833027673609</v>
      </c>
      <c r="N1708" t="s">
        <v>28</v>
      </c>
      <c r="O1708" s="2">
        <v>45201.050870983796</v>
      </c>
      <c r="P1708">
        <v>2</v>
      </c>
      <c r="Q1708">
        <v>5</v>
      </c>
      <c r="R1708" t="s">
        <v>29</v>
      </c>
      <c r="S1708" t="s">
        <v>30</v>
      </c>
      <c r="T1708" t="s">
        <v>46</v>
      </c>
      <c r="U1708">
        <v>47.696471899999999</v>
      </c>
      <c r="V1708">
        <v>13.3457347</v>
      </c>
      <c r="W1708" t="str">
        <f t="shared" si="183"/>
        <v>ok</v>
      </c>
      <c r="X1708" t="str">
        <f t="shared" si="189"/>
        <v>ok</v>
      </c>
      <c r="Y1708" t="str">
        <f t="shared" si="184"/>
        <v>ok</v>
      </c>
      <c r="Z1708" t="str">
        <f t="shared" si="185"/>
        <v>ok</v>
      </c>
      <c r="AA1708" s="4" t="str">
        <f t="shared" si="186"/>
        <v>ok</v>
      </c>
      <c r="AB1708" s="4" t="str">
        <f t="shared" si="187"/>
        <v>ok</v>
      </c>
      <c r="AC1708" s="6">
        <f t="shared" si="188"/>
        <v>28.765164166688919</v>
      </c>
    </row>
    <row r="1709" spans="1:29" x14ac:dyDescent="0.3">
      <c r="A1709" t="s">
        <v>32</v>
      </c>
      <c r="B1709">
        <v>3183</v>
      </c>
      <c r="C1709" t="s">
        <v>33</v>
      </c>
      <c r="D1709" t="s">
        <v>24</v>
      </c>
      <c r="E1709" t="s">
        <v>44</v>
      </c>
      <c r="F1709" t="s">
        <v>26</v>
      </c>
      <c r="G1709" t="s">
        <v>27</v>
      </c>
      <c r="H1709" s="1">
        <v>45194.05909722222</v>
      </c>
      <c r="I1709" s="1">
        <v>45196.05909722222</v>
      </c>
      <c r="J1709" s="1">
        <v>45194.100763888891</v>
      </c>
      <c r="K1709" s="2">
        <v>45194.061067303242</v>
      </c>
      <c r="L1709" t="s">
        <v>28</v>
      </c>
      <c r="N1709" t="s">
        <v>38</v>
      </c>
      <c r="P1709">
        <v>2</v>
      </c>
      <c r="R1709" t="s">
        <v>55</v>
      </c>
      <c r="S1709" t="s">
        <v>30</v>
      </c>
      <c r="T1709" t="s">
        <v>41</v>
      </c>
      <c r="U1709">
        <v>43.036776000000003</v>
      </c>
      <c r="V1709">
        <v>12.678565000000001</v>
      </c>
      <c r="W1709" t="str">
        <f t="shared" si="183"/>
        <v>ok</v>
      </c>
      <c r="X1709" t="str">
        <f t="shared" si="189"/>
        <v>ok</v>
      </c>
      <c r="Y1709" t="str">
        <f t="shared" si="184"/>
        <v>ok</v>
      </c>
      <c r="Z1709" t="str">
        <f t="shared" si="185"/>
        <v>ok</v>
      </c>
      <c r="AA1709" s="4" t="str">
        <f t="shared" si="186"/>
        <v>ok</v>
      </c>
      <c r="AB1709" s="4" t="str">
        <f t="shared" si="187"/>
        <v>no resolution</v>
      </c>
      <c r="AC1709" s="6" t="str">
        <f t="shared" si="188"/>
        <v/>
      </c>
    </row>
    <row r="1710" spans="1:29" x14ac:dyDescent="0.3">
      <c r="A1710" t="s">
        <v>42</v>
      </c>
      <c r="B1710">
        <v>3184</v>
      </c>
      <c r="C1710" t="s">
        <v>47</v>
      </c>
      <c r="D1710" t="s">
        <v>43</v>
      </c>
      <c r="E1710" t="s">
        <v>44</v>
      </c>
      <c r="F1710" t="s">
        <v>36</v>
      </c>
      <c r="G1710" t="s">
        <v>64</v>
      </c>
      <c r="H1710" s="1">
        <v>45194.145069444443</v>
      </c>
      <c r="I1710" s="1">
        <v>45195.145069444443</v>
      </c>
      <c r="J1710" s="1">
        <v>45194.146458333336</v>
      </c>
      <c r="K1710" s="2">
        <v>45194.146250474536</v>
      </c>
      <c r="L1710" t="s">
        <v>28</v>
      </c>
      <c r="M1710" s="2">
        <v>45194.617438136571</v>
      </c>
      <c r="N1710" t="s">
        <v>28</v>
      </c>
      <c r="P1710">
        <v>2</v>
      </c>
      <c r="R1710" t="s">
        <v>39</v>
      </c>
      <c r="S1710" t="s">
        <v>40</v>
      </c>
      <c r="T1710" t="s">
        <v>63</v>
      </c>
      <c r="U1710">
        <v>55.378051999999997</v>
      </c>
      <c r="V1710">
        <v>-3.4359730000000002</v>
      </c>
      <c r="W1710" t="str">
        <f t="shared" si="183"/>
        <v>ok</v>
      </c>
      <c r="X1710" t="str">
        <f t="shared" si="189"/>
        <v>ok</v>
      </c>
      <c r="Y1710" t="str">
        <f t="shared" si="184"/>
        <v>ok</v>
      </c>
      <c r="Z1710" t="str">
        <f t="shared" si="185"/>
        <v>ok</v>
      </c>
      <c r="AA1710" s="4" t="str">
        <f t="shared" si="186"/>
        <v>ok</v>
      </c>
      <c r="AB1710" s="4" t="str">
        <f t="shared" si="187"/>
        <v>ok</v>
      </c>
      <c r="AC1710" s="6">
        <f t="shared" si="188"/>
        <v>11.336848611070309</v>
      </c>
    </row>
    <row r="1711" spans="1:29" x14ac:dyDescent="0.3">
      <c r="A1711" t="s">
        <v>42</v>
      </c>
      <c r="B1711">
        <v>3185</v>
      </c>
      <c r="C1711" t="s">
        <v>23</v>
      </c>
      <c r="D1711" t="s">
        <v>34</v>
      </c>
      <c r="E1711" t="s">
        <v>44</v>
      </c>
      <c r="F1711" t="s">
        <v>26</v>
      </c>
      <c r="G1711" t="s">
        <v>27</v>
      </c>
      <c r="H1711" s="1">
        <v>45194.164918981478</v>
      </c>
      <c r="I1711" s="1">
        <v>45196.164918981478</v>
      </c>
      <c r="J1711" s="1">
        <v>45194.166307870371</v>
      </c>
      <c r="K1711" s="2">
        <v>45194.168937349539</v>
      </c>
      <c r="L1711" t="s">
        <v>38</v>
      </c>
      <c r="M1711" s="2">
        <v>45196.795681087962</v>
      </c>
      <c r="N1711" t="s">
        <v>38</v>
      </c>
      <c r="P1711">
        <v>1</v>
      </c>
      <c r="R1711" t="s">
        <v>29</v>
      </c>
      <c r="S1711" t="s">
        <v>30</v>
      </c>
      <c r="T1711" t="s">
        <v>65</v>
      </c>
      <c r="U1711">
        <v>46.149166399999999</v>
      </c>
      <c r="V1711">
        <v>14.9860106</v>
      </c>
      <c r="W1711" t="str">
        <f t="shared" si="183"/>
        <v>ok</v>
      </c>
      <c r="X1711" t="str">
        <f t="shared" si="189"/>
        <v>ok</v>
      </c>
      <c r="Y1711" t="str">
        <f t="shared" si="184"/>
        <v>ok</v>
      </c>
      <c r="Z1711" t="str">
        <f t="shared" si="185"/>
        <v>ok</v>
      </c>
      <c r="AA1711" s="4" t="str">
        <f t="shared" si="186"/>
        <v>ok</v>
      </c>
      <c r="AB1711" s="4" t="str">
        <f t="shared" si="187"/>
        <v>ok</v>
      </c>
      <c r="AC1711" s="6">
        <f t="shared" si="188"/>
        <v>63.138290555623826</v>
      </c>
    </row>
    <row r="1712" spans="1:29" x14ac:dyDescent="0.3">
      <c r="A1712" t="s">
        <v>42</v>
      </c>
      <c r="B1712">
        <v>3186</v>
      </c>
      <c r="C1712" t="s">
        <v>23</v>
      </c>
      <c r="D1712" t="s">
        <v>34</v>
      </c>
      <c r="E1712" t="s">
        <v>35</v>
      </c>
      <c r="F1712" t="s">
        <v>26</v>
      </c>
      <c r="G1712" t="s">
        <v>60</v>
      </c>
      <c r="H1712" s="1">
        <v>45194.225428240738</v>
      </c>
      <c r="I1712" s="1">
        <v>45196.225428240738</v>
      </c>
      <c r="J1712" s="1">
        <v>45194.226817129631</v>
      </c>
      <c r="K1712" s="2">
        <v>45194.226102962966</v>
      </c>
      <c r="L1712" t="s">
        <v>28</v>
      </c>
      <c r="M1712" s="2">
        <v>45194.724799456017</v>
      </c>
      <c r="N1712" t="s">
        <v>28</v>
      </c>
      <c r="P1712">
        <v>4</v>
      </c>
      <c r="R1712" t="s">
        <v>50</v>
      </c>
      <c r="S1712" t="s">
        <v>30</v>
      </c>
      <c r="T1712" t="s">
        <v>51</v>
      </c>
      <c r="U1712">
        <v>39.673369999999998</v>
      </c>
      <c r="V1712">
        <v>-4.7677259999999997</v>
      </c>
      <c r="W1712" t="str">
        <f t="shared" si="183"/>
        <v>ok</v>
      </c>
      <c r="X1712" t="str">
        <f t="shared" si="189"/>
        <v>ok</v>
      </c>
      <c r="Y1712" t="str">
        <f t="shared" si="184"/>
        <v>ok</v>
      </c>
      <c r="Z1712" t="str">
        <f t="shared" si="185"/>
        <v>ok</v>
      </c>
      <c r="AA1712" s="4" t="str">
        <f t="shared" si="186"/>
        <v>ok</v>
      </c>
      <c r="AB1712" s="4" t="str">
        <f t="shared" si="187"/>
        <v>ok</v>
      </c>
      <c r="AC1712" s="6">
        <f t="shared" si="188"/>
        <v>11.984909166698344</v>
      </c>
    </row>
    <row r="1713" spans="1:29" x14ac:dyDescent="0.3">
      <c r="A1713" t="s">
        <v>22</v>
      </c>
      <c r="B1713">
        <v>3187</v>
      </c>
      <c r="C1713" t="s">
        <v>47</v>
      </c>
      <c r="D1713" t="s">
        <v>43</v>
      </c>
      <c r="E1713" t="s">
        <v>59</v>
      </c>
      <c r="F1713" t="s">
        <v>26</v>
      </c>
      <c r="G1713" t="s">
        <v>27</v>
      </c>
      <c r="H1713" s="1">
        <v>45194.630428240744</v>
      </c>
      <c r="I1713" s="1">
        <v>45195.630428240744</v>
      </c>
      <c r="J1713" s="1">
        <v>45194.63181712963</v>
      </c>
      <c r="K1713" s="2">
        <v>45194.631676041667</v>
      </c>
      <c r="L1713" t="s">
        <v>28</v>
      </c>
      <c r="M1713" s="2">
        <v>45195.188814907408</v>
      </c>
      <c r="N1713" t="s">
        <v>28</v>
      </c>
      <c r="O1713" s="2">
        <v>45197.26654902778</v>
      </c>
      <c r="P1713">
        <v>6</v>
      </c>
      <c r="Q1713">
        <v>1</v>
      </c>
      <c r="R1713" t="s">
        <v>29</v>
      </c>
      <c r="S1713" t="s">
        <v>30</v>
      </c>
      <c r="T1713" t="s">
        <v>56</v>
      </c>
      <c r="U1713">
        <v>52.536273000000001</v>
      </c>
      <c r="V1713">
        <v>19.050639</v>
      </c>
      <c r="W1713" t="str">
        <f t="shared" si="183"/>
        <v>ok</v>
      </c>
      <c r="X1713" t="str">
        <f t="shared" si="189"/>
        <v>ok</v>
      </c>
      <c r="Y1713" t="str">
        <f t="shared" si="184"/>
        <v>ok</v>
      </c>
      <c r="Z1713" t="str">
        <f t="shared" si="185"/>
        <v>ok</v>
      </c>
      <c r="AA1713" s="4" t="str">
        <f t="shared" si="186"/>
        <v>ok</v>
      </c>
      <c r="AB1713" s="4" t="str">
        <f t="shared" si="187"/>
        <v>ok</v>
      </c>
      <c r="AC1713" s="6">
        <f t="shared" si="188"/>
        <v>13.40127999993274</v>
      </c>
    </row>
    <row r="1714" spans="1:29" x14ac:dyDescent="0.3">
      <c r="A1714" t="s">
        <v>22</v>
      </c>
      <c r="B1714">
        <v>3188</v>
      </c>
      <c r="C1714" t="s">
        <v>23</v>
      </c>
      <c r="D1714" t="s">
        <v>34</v>
      </c>
      <c r="E1714" t="s">
        <v>25</v>
      </c>
      <c r="F1714" t="s">
        <v>26</v>
      </c>
      <c r="G1714" t="s">
        <v>52</v>
      </c>
      <c r="H1714" s="1">
        <v>45194.407951388886</v>
      </c>
      <c r="I1714" s="1">
        <v>45196.407951388886</v>
      </c>
      <c r="J1714" s="1">
        <v>45194.40934027778</v>
      </c>
      <c r="K1714" s="2">
        <v>45194.408058113426</v>
      </c>
      <c r="L1714" t="s">
        <v>28</v>
      </c>
      <c r="M1714" s="2">
        <v>45194.771560555557</v>
      </c>
      <c r="N1714" t="s">
        <v>28</v>
      </c>
      <c r="O1714" s="2">
        <v>45199.245795347226</v>
      </c>
      <c r="P1714">
        <v>1</v>
      </c>
      <c r="Q1714">
        <v>4</v>
      </c>
      <c r="R1714" t="s">
        <v>29</v>
      </c>
      <c r="S1714" t="s">
        <v>30</v>
      </c>
      <c r="T1714" t="s">
        <v>61</v>
      </c>
      <c r="U1714">
        <v>42.724992499999999</v>
      </c>
      <c r="V1714">
        <v>25.483303899999999</v>
      </c>
      <c r="W1714" t="str">
        <f t="shared" si="183"/>
        <v>ok</v>
      </c>
      <c r="X1714" t="str">
        <f t="shared" si="189"/>
        <v>ok</v>
      </c>
      <c r="Y1714" t="str">
        <f t="shared" si="184"/>
        <v>ok</v>
      </c>
      <c r="Z1714" t="str">
        <f t="shared" si="185"/>
        <v>ok</v>
      </c>
      <c r="AA1714" s="4" t="str">
        <f t="shared" si="186"/>
        <v>ok</v>
      </c>
      <c r="AB1714" s="4" t="str">
        <f t="shared" si="187"/>
        <v>ok</v>
      </c>
      <c r="AC1714" s="6">
        <f t="shared" si="188"/>
        <v>8.7266200000885874</v>
      </c>
    </row>
    <row r="1715" spans="1:29" x14ac:dyDescent="0.3">
      <c r="A1715" t="s">
        <v>42</v>
      </c>
      <c r="B1715">
        <v>3189</v>
      </c>
      <c r="C1715" t="s">
        <v>23</v>
      </c>
      <c r="D1715" t="s">
        <v>43</v>
      </c>
      <c r="E1715" t="s">
        <v>48</v>
      </c>
      <c r="F1715" t="s">
        <v>26</v>
      </c>
      <c r="G1715" t="s">
        <v>45</v>
      </c>
      <c r="H1715" s="1">
        <v>45194.652789351851</v>
      </c>
      <c r="I1715" s="1">
        <v>45195.652789351851</v>
      </c>
      <c r="J1715" s="1">
        <v>45194.654178240744</v>
      </c>
      <c r="K1715" s="2">
        <v>45194.653569548609</v>
      </c>
      <c r="L1715" t="s">
        <v>28</v>
      </c>
      <c r="M1715" s="2">
        <v>45195.272956539353</v>
      </c>
      <c r="N1715" t="s">
        <v>28</v>
      </c>
      <c r="P1715">
        <v>4</v>
      </c>
      <c r="R1715" t="s">
        <v>29</v>
      </c>
      <c r="S1715" t="s">
        <v>30</v>
      </c>
      <c r="T1715" t="s">
        <v>56</v>
      </c>
      <c r="U1715">
        <v>52.536273000000001</v>
      </c>
      <c r="V1715">
        <v>19.050639</v>
      </c>
      <c r="W1715" t="str">
        <f t="shared" si="183"/>
        <v>ok</v>
      </c>
      <c r="X1715" t="str">
        <f t="shared" si="189"/>
        <v>ok</v>
      </c>
      <c r="Y1715" t="str">
        <f t="shared" si="184"/>
        <v>ok</v>
      </c>
      <c r="Z1715" t="str">
        <f t="shared" si="185"/>
        <v>ok</v>
      </c>
      <c r="AA1715" s="4" t="str">
        <f t="shared" si="186"/>
        <v>ok</v>
      </c>
      <c r="AB1715" s="4" t="str">
        <f t="shared" si="187"/>
        <v>ok</v>
      </c>
      <c r="AC1715" s="6">
        <f t="shared" si="188"/>
        <v>14.884012500056997</v>
      </c>
    </row>
    <row r="1716" spans="1:29" x14ac:dyDescent="0.3">
      <c r="A1716" t="s">
        <v>22</v>
      </c>
      <c r="B1716">
        <v>3190</v>
      </c>
      <c r="C1716" t="s">
        <v>23</v>
      </c>
      <c r="D1716" t="s">
        <v>24</v>
      </c>
      <c r="E1716" t="s">
        <v>44</v>
      </c>
      <c r="F1716" t="s">
        <v>26</v>
      </c>
      <c r="G1716" t="s">
        <v>49</v>
      </c>
      <c r="H1716" s="1">
        <v>45195.952256944445</v>
      </c>
      <c r="I1716" s="1">
        <v>45197.952256944445</v>
      </c>
      <c r="J1716" s="1">
        <v>45195.993923611109</v>
      </c>
      <c r="K1716" s="2">
        <v>45195.96340414352</v>
      </c>
      <c r="L1716" t="s">
        <v>28</v>
      </c>
      <c r="M1716" s="2">
        <v>45196.33075616898</v>
      </c>
      <c r="N1716" t="s">
        <v>28</v>
      </c>
      <c r="O1716" s="2">
        <v>45197.655103564815</v>
      </c>
      <c r="P1716">
        <v>1</v>
      </c>
      <c r="Q1716">
        <v>3</v>
      </c>
      <c r="R1716" t="s">
        <v>29</v>
      </c>
      <c r="S1716" t="s">
        <v>30</v>
      </c>
      <c r="T1716" t="s">
        <v>31</v>
      </c>
      <c r="U1716">
        <v>53.094023999999997</v>
      </c>
      <c r="V1716">
        <v>-8.0196749999999994</v>
      </c>
      <c r="W1716" t="str">
        <f t="shared" si="183"/>
        <v>ok</v>
      </c>
      <c r="X1716" t="str">
        <f t="shared" si="189"/>
        <v>ok</v>
      </c>
      <c r="Y1716" t="str">
        <f t="shared" si="184"/>
        <v>ok</v>
      </c>
      <c r="Z1716" t="str">
        <f t="shared" si="185"/>
        <v>ok</v>
      </c>
      <c r="AA1716" s="4" t="str">
        <f t="shared" si="186"/>
        <v>ok</v>
      </c>
      <c r="AB1716" s="4" t="str">
        <f t="shared" si="187"/>
        <v>ok</v>
      </c>
      <c r="AC1716" s="6">
        <f t="shared" si="188"/>
        <v>9.0839813888305798</v>
      </c>
    </row>
    <row r="1717" spans="1:29" x14ac:dyDescent="0.3">
      <c r="A1717" t="s">
        <v>22</v>
      </c>
      <c r="B1717">
        <v>3191</v>
      </c>
      <c r="C1717" t="s">
        <v>47</v>
      </c>
      <c r="D1717" t="s">
        <v>24</v>
      </c>
      <c r="E1717" t="s">
        <v>48</v>
      </c>
      <c r="F1717" t="s">
        <v>26</v>
      </c>
      <c r="G1717" t="s">
        <v>27</v>
      </c>
      <c r="H1717" s="1">
        <v>45195.649085648147</v>
      </c>
      <c r="I1717" s="1">
        <v>45197.649085648147</v>
      </c>
      <c r="J1717" s="1">
        <v>45195.690752314818</v>
      </c>
      <c r="K1717" s="2">
        <v>45195.683910150467</v>
      </c>
      <c r="L1717" t="s">
        <v>28</v>
      </c>
      <c r="M1717" s="2">
        <v>45200.400121956016</v>
      </c>
      <c r="N1717" t="s">
        <v>38</v>
      </c>
      <c r="O1717" s="2">
        <v>45200.961358194443</v>
      </c>
      <c r="P1717">
        <v>1</v>
      </c>
      <c r="Q1717">
        <v>5</v>
      </c>
      <c r="R1717" t="s">
        <v>39</v>
      </c>
      <c r="S1717" t="s">
        <v>30</v>
      </c>
      <c r="T1717" t="s">
        <v>61</v>
      </c>
      <c r="U1717">
        <v>42.724992499999999</v>
      </c>
      <c r="V1717">
        <v>25.483303899999999</v>
      </c>
      <c r="W1717" t="str">
        <f t="shared" si="183"/>
        <v>ok</v>
      </c>
      <c r="X1717" t="str">
        <f t="shared" si="189"/>
        <v>ok</v>
      </c>
      <c r="Y1717" t="str">
        <f t="shared" si="184"/>
        <v>ok</v>
      </c>
      <c r="Z1717" t="str">
        <f t="shared" si="185"/>
        <v>ok</v>
      </c>
      <c r="AA1717" s="4" t="str">
        <f t="shared" si="186"/>
        <v>ok</v>
      </c>
      <c r="AB1717" s="4" t="str">
        <f t="shared" si="187"/>
        <v>ok</v>
      </c>
      <c r="AC1717" s="6">
        <f t="shared" si="188"/>
        <v>114.02487138885772</v>
      </c>
    </row>
    <row r="1718" spans="1:29" x14ac:dyDescent="0.3">
      <c r="A1718" t="s">
        <v>22</v>
      </c>
      <c r="B1718">
        <v>3192</v>
      </c>
      <c r="C1718" t="s">
        <v>47</v>
      </c>
      <c r="D1718" t="s">
        <v>24</v>
      </c>
      <c r="E1718" t="s">
        <v>35</v>
      </c>
      <c r="F1718" t="s">
        <v>26</v>
      </c>
      <c r="G1718" t="s">
        <v>45</v>
      </c>
      <c r="H1718" s="1">
        <v>45195.720011574071</v>
      </c>
      <c r="I1718" s="1">
        <v>45197.720011574071</v>
      </c>
      <c r="J1718" s="1">
        <v>45195.761678240742</v>
      </c>
      <c r="K1718" s="2">
        <v>45195.745705196758</v>
      </c>
      <c r="L1718" t="s">
        <v>28</v>
      </c>
      <c r="M1718" s="2">
        <v>45196.271377256948</v>
      </c>
      <c r="N1718" t="s">
        <v>28</v>
      </c>
      <c r="O1718" s="2">
        <v>45197.408986469905</v>
      </c>
      <c r="P1718">
        <v>7</v>
      </c>
      <c r="Q1718">
        <v>1</v>
      </c>
      <c r="R1718" t="s">
        <v>50</v>
      </c>
      <c r="S1718" t="s">
        <v>30</v>
      </c>
      <c r="T1718" t="s">
        <v>61</v>
      </c>
      <c r="U1718">
        <v>42.724992499999999</v>
      </c>
      <c r="V1718">
        <v>25.483303899999999</v>
      </c>
      <c r="W1718" t="str">
        <f t="shared" si="183"/>
        <v>ok</v>
      </c>
      <c r="X1718" t="str">
        <f t="shared" si="189"/>
        <v>ok</v>
      </c>
      <c r="Y1718" t="str">
        <f t="shared" si="184"/>
        <v>ok</v>
      </c>
      <c r="Z1718" t="str">
        <f t="shared" si="185"/>
        <v>ok</v>
      </c>
      <c r="AA1718" s="4" t="str">
        <f t="shared" si="186"/>
        <v>ok</v>
      </c>
      <c r="AB1718" s="4" t="str">
        <f t="shared" si="187"/>
        <v>ok</v>
      </c>
      <c r="AC1718" s="6">
        <f t="shared" si="188"/>
        <v>13.232776389049832</v>
      </c>
    </row>
    <row r="1719" spans="1:29" x14ac:dyDescent="0.3">
      <c r="A1719" t="s">
        <v>22</v>
      </c>
      <c r="B1719">
        <v>3193</v>
      </c>
      <c r="C1719" t="s">
        <v>23</v>
      </c>
      <c r="D1719" t="s">
        <v>34</v>
      </c>
      <c r="E1719" t="s">
        <v>25</v>
      </c>
      <c r="F1719" t="s">
        <v>36</v>
      </c>
      <c r="G1719" t="s">
        <v>54</v>
      </c>
      <c r="H1719" s="1">
        <v>45195.458460648151</v>
      </c>
      <c r="I1719" s="1">
        <v>45197.458460648151</v>
      </c>
      <c r="J1719" s="1">
        <v>45195.459849537037</v>
      </c>
      <c r="K1719" s="2">
        <v>45195.458581562503</v>
      </c>
      <c r="L1719" t="s">
        <v>28</v>
      </c>
      <c r="M1719" s="2">
        <v>45197.163273356484</v>
      </c>
      <c r="N1719" t="s">
        <v>28</v>
      </c>
      <c r="O1719" s="2">
        <v>45200.161698055555</v>
      </c>
      <c r="P1719">
        <v>6</v>
      </c>
      <c r="Q1719">
        <v>4</v>
      </c>
      <c r="R1719" t="s">
        <v>39</v>
      </c>
      <c r="S1719" t="s">
        <v>40</v>
      </c>
      <c r="T1719" t="s">
        <v>61</v>
      </c>
      <c r="U1719">
        <v>42.724992499999999</v>
      </c>
      <c r="V1719">
        <v>25.483303899999999</v>
      </c>
      <c r="W1719" t="str">
        <f t="shared" si="183"/>
        <v>ok</v>
      </c>
      <c r="X1719" t="str">
        <f t="shared" si="189"/>
        <v>ok</v>
      </c>
      <c r="Y1719" t="str">
        <f t="shared" si="184"/>
        <v>ok</v>
      </c>
      <c r="Z1719" t="str">
        <f t="shared" si="185"/>
        <v>ok</v>
      </c>
      <c r="AA1719" s="4" t="str">
        <f t="shared" si="186"/>
        <v>ok</v>
      </c>
      <c r="AB1719" s="4" t="str">
        <f t="shared" si="187"/>
        <v>ok</v>
      </c>
      <c r="AC1719" s="6">
        <f t="shared" si="188"/>
        <v>40.915504999982659</v>
      </c>
    </row>
    <row r="1720" spans="1:29" x14ac:dyDescent="0.3">
      <c r="A1720" t="s">
        <v>32</v>
      </c>
      <c r="B1720">
        <v>3194</v>
      </c>
      <c r="C1720" t="s">
        <v>23</v>
      </c>
      <c r="D1720" t="s">
        <v>24</v>
      </c>
      <c r="E1720" t="s">
        <v>35</v>
      </c>
      <c r="F1720" t="s">
        <v>26</v>
      </c>
      <c r="G1720" t="s">
        <v>49</v>
      </c>
      <c r="H1720" s="1">
        <v>45195.538969907408</v>
      </c>
      <c r="I1720" s="1">
        <v>45197.538969907408</v>
      </c>
      <c r="J1720" s="1">
        <v>45195.580636574072</v>
      </c>
      <c r="K1720" s="2">
        <v>45195.552087847223</v>
      </c>
      <c r="L1720" t="s">
        <v>28</v>
      </c>
      <c r="N1720" t="s">
        <v>38</v>
      </c>
      <c r="P1720">
        <v>2</v>
      </c>
      <c r="R1720" t="s">
        <v>50</v>
      </c>
      <c r="S1720" t="s">
        <v>30</v>
      </c>
      <c r="T1720" t="s">
        <v>58</v>
      </c>
      <c r="U1720">
        <v>49.8037633</v>
      </c>
      <c r="V1720">
        <v>15.4749126</v>
      </c>
      <c r="W1720" t="str">
        <f t="shared" si="183"/>
        <v>ok</v>
      </c>
      <c r="X1720" t="str">
        <f t="shared" si="189"/>
        <v>ok</v>
      </c>
      <c r="Y1720" t="str">
        <f t="shared" si="184"/>
        <v>ok</v>
      </c>
      <c r="Z1720" t="str">
        <f t="shared" si="185"/>
        <v>ok</v>
      </c>
      <c r="AA1720" s="4" t="str">
        <f t="shared" si="186"/>
        <v>ok</v>
      </c>
      <c r="AB1720" s="4" t="str">
        <f t="shared" si="187"/>
        <v>no resolution</v>
      </c>
      <c r="AC1720" s="6" t="str">
        <f t="shared" si="188"/>
        <v/>
      </c>
    </row>
    <row r="1721" spans="1:29" x14ac:dyDescent="0.3">
      <c r="A1721" t="s">
        <v>42</v>
      </c>
      <c r="B1721">
        <v>3196</v>
      </c>
      <c r="C1721" t="s">
        <v>47</v>
      </c>
      <c r="D1721" t="s">
        <v>24</v>
      </c>
      <c r="E1721" t="s">
        <v>39</v>
      </c>
      <c r="F1721" t="s">
        <v>36</v>
      </c>
      <c r="G1721" t="s">
        <v>54</v>
      </c>
      <c r="H1721" s="1">
        <v>45196.080613425926</v>
      </c>
      <c r="I1721" s="1">
        <v>45198.080613425926</v>
      </c>
      <c r="J1721" s="1">
        <v>45196.12228009259</v>
      </c>
      <c r="K1721" s="2">
        <v>45196.112826307872</v>
      </c>
      <c r="L1721" t="s">
        <v>28</v>
      </c>
      <c r="M1721" s="2">
        <v>45197.172711793981</v>
      </c>
      <c r="N1721" t="s">
        <v>28</v>
      </c>
      <c r="P1721">
        <v>2</v>
      </c>
      <c r="R1721" t="s">
        <v>29</v>
      </c>
      <c r="S1721" t="s">
        <v>40</v>
      </c>
      <c r="T1721" t="s">
        <v>51</v>
      </c>
      <c r="U1721">
        <v>39.673369999999998</v>
      </c>
      <c r="V1721">
        <v>-4.7677259999999997</v>
      </c>
      <c r="W1721" t="str">
        <f t="shared" si="183"/>
        <v>ok</v>
      </c>
      <c r="X1721" t="str">
        <f t="shared" si="189"/>
        <v>ok</v>
      </c>
      <c r="Y1721" t="str">
        <f t="shared" si="184"/>
        <v>ok</v>
      </c>
      <c r="Z1721" t="str">
        <f t="shared" si="185"/>
        <v>ok</v>
      </c>
      <c r="AA1721" s="4" t="str">
        <f t="shared" si="186"/>
        <v>ok</v>
      </c>
      <c r="AB1721" s="4" t="str">
        <f t="shared" si="187"/>
        <v>ok</v>
      </c>
      <c r="AC1721" s="6">
        <f t="shared" si="188"/>
        <v>26.210360833327286</v>
      </c>
    </row>
    <row r="1722" spans="1:29" x14ac:dyDescent="0.3">
      <c r="A1722" t="s">
        <v>32</v>
      </c>
      <c r="B1722">
        <v>3197</v>
      </c>
      <c r="C1722" t="s">
        <v>23</v>
      </c>
      <c r="D1722" t="s">
        <v>24</v>
      </c>
      <c r="E1722" t="s">
        <v>25</v>
      </c>
      <c r="F1722" t="s">
        <v>26</v>
      </c>
      <c r="G1722" t="s">
        <v>60</v>
      </c>
      <c r="H1722" s="1">
        <v>45196.948113425926</v>
      </c>
      <c r="I1722" s="1">
        <v>45198.948113425926</v>
      </c>
      <c r="J1722" s="1">
        <v>45196.98978009259</v>
      </c>
      <c r="K1722" s="2">
        <v>45196.976431388888</v>
      </c>
      <c r="L1722" t="s">
        <v>28</v>
      </c>
      <c r="N1722" t="s">
        <v>38</v>
      </c>
      <c r="P1722">
        <v>5</v>
      </c>
      <c r="R1722" t="s">
        <v>50</v>
      </c>
      <c r="S1722" t="s">
        <v>30</v>
      </c>
      <c r="T1722" t="s">
        <v>63</v>
      </c>
      <c r="U1722">
        <v>55.378051999999997</v>
      </c>
      <c r="V1722">
        <v>-3.4359730000000002</v>
      </c>
      <c r="W1722" t="str">
        <f t="shared" si="183"/>
        <v>ok</v>
      </c>
      <c r="X1722" t="str">
        <f t="shared" si="189"/>
        <v>ok</v>
      </c>
      <c r="Y1722" t="str">
        <f t="shared" si="184"/>
        <v>ok</v>
      </c>
      <c r="Z1722" t="str">
        <f t="shared" si="185"/>
        <v>ok</v>
      </c>
      <c r="AA1722" s="4" t="str">
        <f t="shared" si="186"/>
        <v>ok</v>
      </c>
      <c r="AB1722" s="4" t="str">
        <f t="shared" si="187"/>
        <v>no resolution</v>
      </c>
      <c r="AC1722" s="6" t="str">
        <f t="shared" si="188"/>
        <v/>
      </c>
    </row>
    <row r="1723" spans="1:29" x14ac:dyDescent="0.3">
      <c r="A1723" t="s">
        <v>22</v>
      </c>
      <c r="B1723">
        <v>3198</v>
      </c>
      <c r="C1723" t="s">
        <v>23</v>
      </c>
      <c r="D1723" t="s">
        <v>43</v>
      </c>
      <c r="E1723" t="s">
        <v>59</v>
      </c>
      <c r="F1723" t="s">
        <v>26</v>
      </c>
      <c r="G1723" t="s">
        <v>45</v>
      </c>
      <c r="H1723" s="1">
        <v>45196.229155092595</v>
      </c>
      <c r="I1723" s="1">
        <v>45197.229155092595</v>
      </c>
      <c r="J1723" s="1">
        <v>45196.230543981481</v>
      </c>
      <c r="K1723" s="2">
        <v>45196.231412928239</v>
      </c>
      <c r="L1723" t="s">
        <v>38</v>
      </c>
      <c r="M1723" s="2">
        <v>45199.500828206015</v>
      </c>
      <c r="N1723" t="s">
        <v>38</v>
      </c>
      <c r="O1723" s="2">
        <v>45201.380705428244</v>
      </c>
      <c r="P1723">
        <v>7</v>
      </c>
      <c r="Q1723">
        <v>1</v>
      </c>
      <c r="R1723" t="s">
        <v>50</v>
      </c>
      <c r="S1723" t="s">
        <v>30</v>
      </c>
      <c r="T1723" t="s">
        <v>63</v>
      </c>
      <c r="U1723">
        <v>55.378051999999997</v>
      </c>
      <c r="V1723">
        <v>-3.4359730000000002</v>
      </c>
      <c r="W1723" t="str">
        <f t="shared" si="183"/>
        <v>ok</v>
      </c>
      <c r="X1723" t="str">
        <f t="shared" si="189"/>
        <v>ok</v>
      </c>
      <c r="Y1723" t="str">
        <f t="shared" si="184"/>
        <v>ok</v>
      </c>
      <c r="Z1723" t="str">
        <f t="shared" si="185"/>
        <v>ok</v>
      </c>
      <c r="AA1723" s="4" t="str">
        <f t="shared" si="186"/>
        <v>ok</v>
      </c>
      <c r="AB1723" s="4" t="str">
        <f t="shared" si="187"/>
        <v>ok</v>
      </c>
      <c r="AC1723" s="6">
        <f t="shared" si="188"/>
        <v>78.520154722093139</v>
      </c>
    </row>
    <row r="1724" spans="1:29" x14ac:dyDescent="0.3">
      <c r="A1724" t="s">
        <v>22</v>
      </c>
      <c r="B1724">
        <v>3200</v>
      </c>
      <c r="C1724" t="s">
        <v>33</v>
      </c>
      <c r="D1724" t="s">
        <v>43</v>
      </c>
      <c r="E1724" t="s">
        <v>48</v>
      </c>
      <c r="F1724" t="s">
        <v>36</v>
      </c>
      <c r="G1724" t="s">
        <v>54</v>
      </c>
      <c r="H1724" s="1">
        <v>45196.260312500002</v>
      </c>
      <c r="I1724" s="1">
        <v>45197.260312500002</v>
      </c>
      <c r="J1724" s="1">
        <v>45196.261701388888</v>
      </c>
      <c r="K1724" s="2">
        <v>45196.263728020836</v>
      </c>
      <c r="L1724" t="s">
        <v>38</v>
      </c>
      <c r="M1724" s="2">
        <v>45196.896704143517</v>
      </c>
      <c r="N1724" t="s">
        <v>28</v>
      </c>
      <c r="O1724" s="2">
        <v>45200.147896759256</v>
      </c>
      <c r="P1724">
        <v>2</v>
      </c>
      <c r="Q1724">
        <v>5</v>
      </c>
      <c r="R1724" t="s">
        <v>50</v>
      </c>
      <c r="S1724" t="s">
        <v>40</v>
      </c>
      <c r="T1724" t="s">
        <v>53</v>
      </c>
      <c r="U1724">
        <v>39.368279000000001</v>
      </c>
      <c r="V1724">
        <v>21.863140999999999</v>
      </c>
      <c r="W1724" t="str">
        <f t="shared" si="183"/>
        <v>ok</v>
      </c>
      <c r="X1724" t="str">
        <f t="shared" si="189"/>
        <v>ok</v>
      </c>
      <c r="Y1724" t="str">
        <f t="shared" si="184"/>
        <v>ok</v>
      </c>
      <c r="Z1724" t="str">
        <f t="shared" si="185"/>
        <v>ok</v>
      </c>
      <c r="AA1724" s="4" t="str">
        <f t="shared" si="186"/>
        <v>ok</v>
      </c>
      <c r="AB1724" s="4" t="str">
        <f t="shared" si="187"/>
        <v>ok</v>
      </c>
      <c r="AC1724" s="6">
        <f t="shared" si="188"/>
        <v>15.273399444355164</v>
      </c>
    </row>
    <row r="1725" spans="1:29" x14ac:dyDescent="0.3">
      <c r="A1725" t="s">
        <v>22</v>
      </c>
      <c r="B1725">
        <v>3201</v>
      </c>
      <c r="C1725" t="s">
        <v>47</v>
      </c>
      <c r="D1725" t="s">
        <v>43</v>
      </c>
      <c r="E1725" t="s">
        <v>48</v>
      </c>
      <c r="F1725" t="s">
        <v>36</v>
      </c>
      <c r="G1725" t="s">
        <v>37</v>
      </c>
      <c r="H1725" s="1">
        <v>45196.244583333333</v>
      </c>
      <c r="I1725" s="1">
        <v>45197.244583333333</v>
      </c>
      <c r="J1725" s="1">
        <v>45196.245972222219</v>
      </c>
      <c r="K1725" s="2">
        <v>45196.245937685184</v>
      </c>
      <c r="L1725" t="s">
        <v>28</v>
      </c>
      <c r="M1725" s="2">
        <v>45202.189518310188</v>
      </c>
      <c r="N1725" t="s">
        <v>38</v>
      </c>
      <c r="O1725" s="2">
        <v>45203.19608105324</v>
      </c>
      <c r="P1725">
        <v>2</v>
      </c>
      <c r="Q1725">
        <v>5</v>
      </c>
      <c r="R1725" t="s">
        <v>55</v>
      </c>
      <c r="S1725" t="s">
        <v>40</v>
      </c>
      <c r="T1725" t="s">
        <v>56</v>
      </c>
      <c r="U1725">
        <v>52.536273000000001</v>
      </c>
      <c r="V1725">
        <v>19.050639</v>
      </c>
      <c r="W1725" t="str">
        <f t="shared" si="183"/>
        <v>ok</v>
      </c>
      <c r="X1725" t="str">
        <f t="shared" si="189"/>
        <v>ok</v>
      </c>
      <c r="Y1725" t="str">
        <f t="shared" si="184"/>
        <v>ok</v>
      </c>
      <c r="Z1725" t="str">
        <f t="shared" si="185"/>
        <v>ok</v>
      </c>
      <c r="AA1725" s="4" t="str">
        <f t="shared" si="186"/>
        <v>ok</v>
      </c>
      <c r="AB1725" s="4" t="str">
        <f t="shared" si="187"/>
        <v>ok</v>
      </c>
      <c r="AC1725" s="6">
        <f t="shared" si="188"/>
        <v>142.67843944451306</v>
      </c>
    </row>
    <row r="1726" spans="1:29" x14ac:dyDescent="0.3">
      <c r="A1726" t="s">
        <v>42</v>
      </c>
      <c r="B1726">
        <v>3202</v>
      </c>
      <c r="C1726" t="s">
        <v>33</v>
      </c>
      <c r="D1726" t="s">
        <v>43</v>
      </c>
      <c r="E1726" t="s">
        <v>35</v>
      </c>
      <c r="F1726" t="s">
        <v>26</v>
      </c>
      <c r="G1726" t="s">
        <v>45</v>
      </c>
      <c r="H1726" s="1">
        <v>45196.375138888892</v>
      </c>
      <c r="I1726" s="1">
        <v>45197.375138888892</v>
      </c>
      <c r="J1726" s="1">
        <v>45196.376527777778</v>
      </c>
      <c r="K1726" s="2">
        <v>45196.376136041668</v>
      </c>
      <c r="L1726" t="s">
        <v>28</v>
      </c>
      <c r="M1726" s="2">
        <v>45197.081138564812</v>
      </c>
      <c r="N1726" t="s">
        <v>28</v>
      </c>
      <c r="P1726">
        <v>6</v>
      </c>
      <c r="R1726" t="s">
        <v>50</v>
      </c>
      <c r="S1726" t="s">
        <v>30</v>
      </c>
      <c r="T1726" t="s">
        <v>61</v>
      </c>
      <c r="U1726">
        <v>42.724992499999999</v>
      </c>
      <c r="V1726">
        <v>25.483303899999999</v>
      </c>
      <c r="W1726" t="str">
        <f t="shared" si="183"/>
        <v>ok</v>
      </c>
      <c r="X1726" t="str">
        <f t="shared" si="189"/>
        <v>ok</v>
      </c>
      <c r="Y1726" t="str">
        <f t="shared" si="184"/>
        <v>ok</v>
      </c>
      <c r="Z1726" t="str">
        <f t="shared" si="185"/>
        <v>ok</v>
      </c>
      <c r="AA1726" s="4" t="str">
        <f t="shared" si="186"/>
        <v>ok</v>
      </c>
      <c r="AB1726" s="4" t="str">
        <f t="shared" si="187"/>
        <v>ok</v>
      </c>
      <c r="AC1726" s="6">
        <f t="shared" si="188"/>
        <v>16.943992222077213</v>
      </c>
    </row>
    <row r="1727" spans="1:29" x14ac:dyDescent="0.3">
      <c r="A1727" t="s">
        <v>32</v>
      </c>
      <c r="B1727">
        <v>3203</v>
      </c>
      <c r="C1727" t="s">
        <v>23</v>
      </c>
      <c r="D1727" t="s">
        <v>43</v>
      </c>
      <c r="E1727" t="s">
        <v>48</v>
      </c>
      <c r="F1727" t="s">
        <v>26</v>
      </c>
      <c r="G1727" t="s">
        <v>27</v>
      </c>
      <c r="H1727" s="1">
        <v>45196.457407407404</v>
      </c>
      <c r="I1727" s="1">
        <v>45197.457407407404</v>
      </c>
      <c r="J1727" s="1">
        <v>45196.458796296298</v>
      </c>
      <c r="K1727" s="2">
        <v>45196.458607650464</v>
      </c>
      <c r="L1727" t="s">
        <v>28</v>
      </c>
      <c r="N1727" t="s">
        <v>38</v>
      </c>
      <c r="P1727">
        <v>6</v>
      </c>
      <c r="R1727" t="s">
        <v>29</v>
      </c>
      <c r="S1727" t="s">
        <v>30</v>
      </c>
      <c r="T1727" t="s">
        <v>66</v>
      </c>
      <c r="U1727">
        <v>48.864716000000001</v>
      </c>
      <c r="V1727">
        <v>2.3490139999999999</v>
      </c>
      <c r="W1727" t="str">
        <f t="shared" si="183"/>
        <v>ok</v>
      </c>
      <c r="X1727" t="str">
        <f t="shared" si="189"/>
        <v>ok</v>
      </c>
      <c r="Y1727" t="str">
        <f t="shared" si="184"/>
        <v>ok</v>
      </c>
      <c r="Z1727" t="str">
        <f t="shared" si="185"/>
        <v>ok</v>
      </c>
      <c r="AA1727" s="4" t="str">
        <f t="shared" si="186"/>
        <v>ok</v>
      </c>
      <c r="AB1727" s="4" t="str">
        <f t="shared" si="187"/>
        <v>no resolution</v>
      </c>
      <c r="AC1727" s="6" t="str">
        <f t="shared" si="188"/>
        <v/>
      </c>
    </row>
    <row r="1728" spans="1:29" x14ac:dyDescent="0.3">
      <c r="A1728" t="s">
        <v>22</v>
      </c>
      <c r="B1728">
        <v>3204</v>
      </c>
      <c r="C1728" t="s">
        <v>23</v>
      </c>
      <c r="D1728" t="s">
        <v>24</v>
      </c>
      <c r="E1728" t="s">
        <v>59</v>
      </c>
      <c r="F1728" t="s">
        <v>36</v>
      </c>
      <c r="G1728" t="s">
        <v>64</v>
      </c>
      <c r="H1728" s="1">
        <v>45196.012523148151</v>
      </c>
      <c r="I1728" s="1">
        <v>45198.012523148151</v>
      </c>
      <c r="J1728" s="1">
        <v>45196.054189814815</v>
      </c>
      <c r="K1728" s="2">
        <v>45196.034143310186</v>
      </c>
      <c r="L1728" t="s">
        <v>28</v>
      </c>
      <c r="M1728" s="2">
        <v>45197.214558252315</v>
      </c>
      <c r="N1728" t="s">
        <v>28</v>
      </c>
      <c r="O1728" s="2">
        <v>45199.176446365738</v>
      </c>
      <c r="P1728">
        <v>9</v>
      </c>
      <c r="Q1728">
        <v>4</v>
      </c>
      <c r="R1728" t="s">
        <v>55</v>
      </c>
      <c r="S1728" t="s">
        <v>40</v>
      </c>
      <c r="T1728" t="s">
        <v>56</v>
      </c>
      <c r="U1728">
        <v>52.536273000000001</v>
      </c>
      <c r="V1728">
        <v>19.050639</v>
      </c>
      <c r="W1728" t="str">
        <f t="shared" si="183"/>
        <v>ok</v>
      </c>
      <c r="X1728" t="str">
        <f t="shared" si="189"/>
        <v>ok</v>
      </c>
      <c r="Y1728" t="str">
        <f t="shared" si="184"/>
        <v>ok</v>
      </c>
      <c r="Z1728" t="str">
        <f t="shared" si="185"/>
        <v>ok</v>
      </c>
      <c r="AA1728" s="4" t="str">
        <f t="shared" si="186"/>
        <v>ok</v>
      </c>
      <c r="AB1728" s="4" t="str">
        <f t="shared" si="187"/>
        <v>ok</v>
      </c>
      <c r="AC1728" s="6">
        <f t="shared" si="188"/>
        <v>28.848842499952298</v>
      </c>
    </row>
    <row r="1729" spans="1:29" x14ac:dyDescent="0.3">
      <c r="A1729" t="s">
        <v>22</v>
      </c>
      <c r="B1729">
        <v>3205</v>
      </c>
      <c r="C1729" t="s">
        <v>23</v>
      </c>
      <c r="D1729" t="s">
        <v>24</v>
      </c>
      <c r="E1729" t="s">
        <v>44</v>
      </c>
      <c r="F1729" t="s">
        <v>26</v>
      </c>
      <c r="G1729" t="s">
        <v>52</v>
      </c>
      <c r="H1729" s="1">
        <v>45196.608564814815</v>
      </c>
      <c r="I1729" s="1">
        <v>45198.608564814815</v>
      </c>
      <c r="J1729" s="1">
        <v>45196.650231481479</v>
      </c>
      <c r="K1729" s="2">
        <v>45196.634530011572</v>
      </c>
      <c r="L1729" t="s">
        <v>28</v>
      </c>
      <c r="M1729" s="2">
        <v>45198.200345127312</v>
      </c>
      <c r="N1729" t="s">
        <v>28</v>
      </c>
      <c r="O1729" s="2">
        <v>45198.084272060187</v>
      </c>
      <c r="P1729">
        <v>3</v>
      </c>
      <c r="Q1729">
        <v>3</v>
      </c>
      <c r="R1729" t="s">
        <v>55</v>
      </c>
      <c r="S1729" t="s">
        <v>30</v>
      </c>
      <c r="T1729" t="s">
        <v>66</v>
      </c>
      <c r="U1729">
        <v>48.864716000000001</v>
      </c>
      <c r="V1729">
        <v>2.3490139999999999</v>
      </c>
      <c r="W1729" t="str">
        <f t="shared" si="183"/>
        <v>ok</v>
      </c>
      <c r="X1729" t="str">
        <f t="shared" si="189"/>
        <v>ok</v>
      </c>
      <c r="Y1729" t="str">
        <f t="shared" si="184"/>
        <v>check</v>
      </c>
      <c r="Z1729" t="str">
        <f t="shared" si="185"/>
        <v>ok</v>
      </c>
      <c r="AA1729" s="4" t="str">
        <f t="shared" si="186"/>
        <v>ok</v>
      </c>
      <c r="AB1729" s="4" t="str">
        <f t="shared" si="187"/>
        <v>ok</v>
      </c>
      <c r="AC1729" s="6">
        <f t="shared" si="188"/>
        <v>38.20272749994183</v>
      </c>
    </row>
    <row r="1730" spans="1:29" x14ac:dyDescent="0.3">
      <c r="A1730" t="s">
        <v>32</v>
      </c>
      <c r="B1730">
        <v>3206</v>
      </c>
      <c r="C1730" t="s">
        <v>47</v>
      </c>
      <c r="D1730" t="s">
        <v>43</v>
      </c>
      <c r="E1730" t="s">
        <v>35</v>
      </c>
      <c r="F1730" t="s">
        <v>26</v>
      </c>
      <c r="G1730" t="s">
        <v>27</v>
      </c>
      <c r="H1730" s="1">
        <v>45197.484918981485</v>
      </c>
      <c r="I1730" s="1">
        <v>45198.484918981485</v>
      </c>
      <c r="J1730" s="1">
        <v>45197.486307870371</v>
      </c>
      <c r="K1730" s="2">
        <v>45197.486251828705</v>
      </c>
      <c r="L1730" t="s">
        <v>28</v>
      </c>
      <c r="N1730" t="s">
        <v>38</v>
      </c>
      <c r="P1730">
        <v>2</v>
      </c>
      <c r="R1730" t="s">
        <v>50</v>
      </c>
      <c r="S1730" t="s">
        <v>30</v>
      </c>
      <c r="T1730" t="s">
        <v>65</v>
      </c>
      <c r="U1730">
        <v>46.149166399999999</v>
      </c>
      <c r="V1730">
        <v>14.9860106</v>
      </c>
      <c r="W1730" t="str">
        <f t="shared" ref="W1730:W1793" si="190">IF(K1730&lt;H1730,"check","ok")</f>
        <v>ok</v>
      </c>
      <c r="X1730" t="str">
        <f t="shared" si="189"/>
        <v>ok</v>
      </c>
      <c r="Y1730" t="str">
        <f t="shared" ref="Y1730:Y1793" si="191">IF(AND(M1730&lt;&gt;"",O1730&lt;&gt;"",O1730&lt;M1730),"check","ok")</f>
        <v>ok</v>
      </c>
      <c r="Z1730" t="str">
        <f t="shared" ref="Z1730:Z1793" si="192">IF(AND(OR(CA1730="Closed",A1730="Resolved"),M1730=""),"check","ok")</f>
        <v>ok</v>
      </c>
      <c r="AA1730" s="4" t="str">
        <f t="shared" ref="AA1730:AA1793" si="193">IF(K1730="","no response",IF(OR(AND(K1730&lt;=J1730,L1730="Within SLA"),AND(K1730&gt;J1730,L1730="SLA Violated")),"ok","check"))</f>
        <v>ok</v>
      </c>
      <c r="AB1730" s="4" t="str">
        <f t="shared" ref="AB1730:AB1793" si="194">IF(M1730="","no resolution",IF(OR(AND(M1730&lt;=I1730,N1730="Within SLA"),AND(M1730&gt;I1730,N1730="SLA Violated")),"ok","check"))</f>
        <v>no resolution</v>
      </c>
      <c r="AC1730" s="6" t="str">
        <f t="shared" ref="AC1730:AC1793" si="195">IF(M1730="","",(M1730-H1730)*24)</f>
        <v/>
      </c>
    </row>
    <row r="1731" spans="1:29" x14ac:dyDescent="0.3">
      <c r="A1731" t="s">
        <v>22</v>
      </c>
      <c r="B1731">
        <v>3207</v>
      </c>
      <c r="C1731" t="s">
        <v>23</v>
      </c>
      <c r="D1731" t="s">
        <v>43</v>
      </c>
      <c r="E1731" t="s">
        <v>44</v>
      </c>
      <c r="F1731" t="s">
        <v>26</v>
      </c>
      <c r="G1731" t="s">
        <v>27</v>
      </c>
      <c r="H1731" s="1">
        <v>45197.103067129632</v>
      </c>
      <c r="I1731" s="1">
        <v>45198.103067129632</v>
      </c>
      <c r="J1731" s="1">
        <v>45197.104456018518</v>
      </c>
      <c r="K1731" s="2">
        <v>45197.106614236109</v>
      </c>
      <c r="L1731" t="s">
        <v>38</v>
      </c>
      <c r="M1731" s="2">
        <v>45197.419037604166</v>
      </c>
      <c r="N1731" t="s">
        <v>28</v>
      </c>
      <c r="O1731" s="2">
        <v>45202.628013518515</v>
      </c>
      <c r="P1731">
        <v>5</v>
      </c>
      <c r="Q1731">
        <v>4</v>
      </c>
      <c r="R1731" t="s">
        <v>29</v>
      </c>
      <c r="S1731" t="s">
        <v>30</v>
      </c>
      <c r="T1731" t="s">
        <v>56</v>
      </c>
      <c r="U1731">
        <v>52.536273000000001</v>
      </c>
      <c r="V1731">
        <v>19.050639</v>
      </c>
      <c r="W1731" t="str">
        <f t="shared" si="190"/>
        <v>ok</v>
      </c>
      <c r="X1731" t="str">
        <f t="shared" ref="X1731:X1794" si="196">IF(AND(M1731&lt;&gt;"",M1731&lt;H1731),"check","ok")</f>
        <v>ok</v>
      </c>
      <c r="Y1731" t="str">
        <f t="shared" si="191"/>
        <v>ok</v>
      </c>
      <c r="Z1731" t="str">
        <f t="shared" si="192"/>
        <v>ok</v>
      </c>
      <c r="AA1731" s="4" t="str">
        <f t="shared" si="193"/>
        <v>ok</v>
      </c>
      <c r="AB1731" s="4" t="str">
        <f t="shared" si="194"/>
        <v>ok</v>
      </c>
      <c r="AC1731" s="6">
        <f t="shared" si="195"/>
        <v>7.5832913888152689</v>
      </c>
    </row>
    <row r="1732" spans="1:29" x14ac:dyDescent="0.3">
      <c r="A1732" t="s">
        <v>42</v>
      </c>
      <c r="B1732">
        <v>3208</v>
      </c>
      <c r="C1732" t="s">
        <v>47</v>
      </c>
      <c r="D1732" t="s">
        <v>24</v>
      </c>
      <c r="E1732" t="s">
        <v>39</v>
      </c>
      <c r="F1732" t="s">
        <v>26</v>
      </c>
      <c r="G1732" t="s">
        <v>27</v>
      </c>
      <c r="H1732" s="1">
        <v>45197.338796296295</v>
      </c>
      <c r="I1732" s="1">
        <v>45199.338796296295</v>
      </c>
      <c r="J1732" s="1">
        <v>45197.380462962959</v>
      </c>
      <c r="K1732" s="2">
        <v>45197.363483761575</v>
      </c>
      <c r="L1732" t="s">
        <v>28</v>
      </c>
      <c r="M1732" s="2">
        <v>45198.496260092594</v>
      </c>
      <c r="N1732" t="s">
        <v>28</v>
      </c>
      <c r="P1732">
        <v>8</v>
      </c>
      <c r="R1732" t="s">
        <v>39</v>
      </c>
      <c r="S1732" t="s">
        <v>30</v>
      </c>
      <c r="T1732" t="s">
        <v>61</v>
      </c>
      <c r="U1732">
        <v>42.724992499999999</v>
      </c>
      <c r="V1732">
        <v>25.483303899999999</v>
      </c>
      <c r="W1732" t="str">
        <f t="shared" si="190"/>
        <v>ok</v>
      </c>
      <c r="X1732" t="str">
        <f t="shared" si="196"/>
        <v>ok</v>
      </c>
      <c r="Y1732" t="str">
        <f t="shared" si="191"/>
        <v>ok</v>
      </c>
      <c r="Z1732" t="str">
        <f t="shared" si="192"/>
        <v>ok</v>
      </c>
      <c r="AA1732" s="4" t="str">
        <f t="shared" si="193"/>
        <v>ok</v>
      </c>
      <c r="AB1732" s="4" t="str">
        <f t="shared" si="194"/>
        <v>ok</v>
      </c>
      <c r="AC1732" s="6">
        <f t="shared" si="195"/>
        <v>27.779131111165043</v>
      </c>
    </row>
    <row r="1733" spans="1:29" x14ac:dyDescent="0.3">
      <c r="A1733" t="s">
        <v>22</v>
      </c>
      <c r="B1733">
        <v>3209</v>
      </c>
      <c r="C1733" t="s">
        <v>33</v>
      </c>
      <c r="D1733" t="s">
        <v>24</v>
      </c>
      <c r="E1733" t="s">
        <v>35</v>
      </c>
      <c r="F1733" t="s">
        <v>26</v>
      </c>
      <c r="G1733" t="s">
        <v>45</v>
      </c>
      <c r="H1733" s="1">
        <v>45197.613194444442</v>
      </c>
      <c r="I1733" s="1">
        <v>45199.613194444442</v>
      </c>
      <c r="J1733" s="1">
        <v>45197.654861111114</v>
      </c>
      <c r="K1733" s="2">
        <v>45197.633550972219</v>
      </c>
      <c r="L1733" t="s">
        <v>28</v>
      </c>
      <c r="M1733" s="2">
        <v>45201.893440196756</v>
      </c>
      <c r="N1733" t="s">
        <v>38</v>
      </c>
      <c r="O1733" s="2">
        <v>45203.310746724535</v>
      </c>
      <c r="P1733">
        <v>1</v>
      </c>
      <c r="Q1733">
        <v>3</v>
      </c>
      <c r="R1733" t="s">
        <v>39</v>
      </c>
      <c r="S1733" t="s">
        <v>30</v>
      </c>
      <c r="T1733" t="s">
        <v>41</v>
      </c>
      <c r="U1733">
        <v>43.036776000000003</v>
      </c>
      <c r="V1733">
        <v>12.678565000000001</v>
      </c>
      <c r="W1733" t="str">
        <f t="shared" si="190"/>
        <v>ok</v>
      </c>
      <c r="X1733" t="str">
        <f t="shared" si="196"/>
        <v>ok</v>
      </c>
      <c r="Y1733" t="str">
        <f t="shared" si="191"/>
        <v>ok</v>
      </c>
      <c r="Z1733" t="str">
        <f t="shared" si="192"/>
        <v>ok</v>
      </c>
      <c r="AA1733" s="4" t="str">
        <f t="shared" si="193"/>
        <v>ok</v>
      </c>
      <c r="AB1733" s="4" t="str">
        <f t="shared" si="194"/>
        <v>ok</v>
      </c>
      <c r="AC1733" s="6">
        <f t="shared" si="195"/>
        <v>102.72589805553434</v>
      </c>
    </row>
    <row r="1734" spans="1:29" x14ac:dyDescent="0.3">
      <c r="A1734" t="s">
        <v>22</v>
      </c>
      <c r="B1734">
        <v>3210</v>
      </c>
      <c r="C1734" t="s">
        <v>23</v>
      </c>
      <c r="D1734" t="s">
        <v>24</v>
      </c>
      <c r="E1734" t="s">
        <v>67</v>
      </c>
      <c r="F1734" t="s">
        <v>26</v>
      </c>
      <c r="G1734" t="s">
        <v>45</v>
      </c>
      <c r="H1734" s="1">
        <v>45197.787800925929</v>
      </c>
      <c r="I1734" s="1">
        <v>45199.787800925929</v>
      </c>
      <c r="J1734" s="1">
        <v>45197.829467592594</v>
      </c>
      <c r="K1734" s="2">
        <v>45197.789210532406</v>
      </c>
      <c r="L1734" t="s">
        <v>28</v>
      </c>
      <c r="M1734" s="2">
        <v>45200.704247453701</v>
      </c>
      <c r="N1734" t="s">
        <v>38</v>
      </c>
      <c r="O1734" s="2">
        <v>45201.404026851851</v>
      </c>
      <c r="P1734">
        <v>1</v>
      </c>
      <c r="Q1734">
        <v>1</v>
      </c>
      <c r="R1734" t="s">
        <v>29</v>
      </c>
      <c r="S1734" t="s">
        <v>30</v>
      </c>
      <c r="T1734" t="s">
        <v>56</v>
      </c>
      <c r="U1734">
        <v>52.536273000000001</v>
      </c>
      <c r="V1734">
        <v>19.050639</v>
      </c>
      <c r="W1734" t="str">
        <f t="shared" si="190"/>
        <v>ok</v>
      </c>
      <c r="X1734" t="str">
        <f t="shared" si="196"/>
        <v>ok</v>
      </c>
      <c r="Y1734" t="str">
        <f t="shared" si="191"/>
        <v>ok</v>
      </c>
      <c r="Z1734" t="str">
        <f t="shared" si="192"/>
        <v>ok</v>
      </c>
      <c r="AA1734" s="4" t="str">
        <f t="shared" si="193"/>
        <v>ok</v>
      </c>
      <c r="AB1734" s="4" t="str">
        <f t="shared" si="194"/>
        <v>ok</v>
      </c>
      <c r="AC1734" s="6">
        <f t="shared" si="195"/>
        <v>69.994716666522436</v>
      </c>
    </row>
    <row r="1735" spans="1:29" x14ac:dyDescent="0.3">
      <c r="A1735" t="s">
        <v>22</v>
      </c>
      <c r="B1735">
        <v>3211</v>
      </c>
      <c r="C1735" t="s">
        <v>47</v>
      </c>
      <c r="D1735" t="s">
        <v>43</v>
      </c>
      <c r="E1735" t="s">
        <v>62</v>
      </c>
      <c r="F1735" t="s">
        <v>26</v>
      </c>
      <c r="G1735" t="s">
        <v>52</v>
      </c>
      <c r="H1735" s="1">
        <v>45197.321759259263</v>
      </c>
      <c r="I1735" s="1">
        <v>45198.321759259263</v>
      </c>
      <c r="J1735" s="1">
        <v>45197.323148148149</v>
      </c>
      <c r="K1735" s="2">
        <v>45197.322197685186</v>
      </c>
      <c r="L1735" t="s">
        <v>28</v>
      </c>
      <c r="M1735" s="2">
        <v>45197.485821944443</v>
      </c>
      <c r="N1735" t="s">
        <v>28</v>
      </c>
      <c r="O1735" s="2">
        <v>45199.931376550929</v>
      </c>
      <c r="P1735">
        <v>6</v>
      </c>
      <c r="Q1735">
        <v>3</v>
      </c>
      <c r="R1735" t="s">
        <v>55</v>
      </c>
      <c r="S1735" t="s">
        <v>30</v>
      </c>
      <c r="T1735" t="s">
        <v>41</v>
      </c>
      <c r="U1735">
        <v>43.036776000000003</v>
      </c>
      <c r="V1735">
        <v>12.678565000000001</v>
      </c>
      <c r="W1735" t="str">
        <f t="shared" si="190"/>
        <v>ok</v>
      </c>
      <c r="X1735" t="str">
        <f t="shared" si="196"/>
        <v>ok</v>
      </c>
      <c r="Y1735" t="str">
        <f t="shared" si="191"/>
        <v>ok</v>
      </c>
      <c r="Z1735" t="str">
        <f t="shared" si="192"/>
        <v>ok</v>
      </c>
      <c r="AA1735" s="4" t="str">
        <f t="shared" si="193"/>
        <v>ok</v>
      </c>
      <c r="AB1735" s="4" t="str">
        <f t="shared" si="194"/>
        <v>ok</v>
      </c>
      <c r="AC1735" s="6">
        <f t="shared" si="195"/>
        <v>3.9375044443295337</v>
      </c>
    </row>
    <row r="1736" spans="1:29" x14ac:dyDescent="0.3">
      <c r="A1736" t="s">
        <v>32</v>
      </c>
      <c r="B1736">
        <v>3212</v>
      </c>
      <c r="C1736" t="s">
        <v>47</v>
      </c>
      <c r="D1736" t="s">
        <v>43</v>
      </c>
      <c r="E1736" t="s">
        <v>67</v>
      </c>
      <c r="F1736" t="s">
        <v>26</v>
      </c>
      <c r="G1736" t="s">
        <v>60</v>
      </c>
      <c r="H1736" s="1">
        <v>45197.786203703705</v>
      </c>
      <c r="I1736" s="1">
        <v>45198.786203703705</v>
      </c>
      <c r="J1736" s="1">
        <v>45197.787592592591</v>
      </c>
      <c r="K1736" s="2">
        <v>45197.786303796296</v>
      </c>
      <c r="L1736" t="s">
        <v>28</v>
      </c>
      <c r="N1736" t="s">
        <v>38</v>
      </c>
      <c r="P1736">
        <v>4</v>
      </c>
      <c r="R1736" t="s">
        <v>29</v>
      </c>
      <c r="S1736" t="s">
        <v>30</v>
      </c>
      <c r="T1736" t="s">
        <v>53</v>
      </c>
      <c r="U1736">
        <v>39.368279000000001</v>
      </c>
      <c r="V1736">
        <v>21.863140999999999</v>
      </c>
      <c r="W1736" t="str">
        <f t="shared" si="190"/>
        <v>ok</v>
      </c>
      <c r="X1736" t="str">
        <f t="shared" si="196"/>
        <v>ok</v>
      </c>
      <c r="Y1736" t="str">
        <f t="shared" si="191"/>
        <v>ok</v>
      </c>
      <c r="Z1736" t="str">
        <f t="shared" si="192"/>
        <v>ok</v>
      </c>
      <c r="AA1736" s="4" t="str">
        <f t="shared" si="193"/>
        <v>ok</v>
      </c>
      <c r="AB1736" s="4" t="str">
        <f t="shared" si="194"/>
        <v>no resolution</v>
      </c>
      <c r="AC1736" s="6" t="str">
        <f t="shared" si="195"/>
        <v/>
      </c>
    </row>
    <row r="1737" spans="1:29" x14ac:dyDescent="0.3">
      <c r="A1737" t="s">
        <v>22</v>
      </c>
      <c r="B1737">
        <v>3214</v>
      </c>
      <c r="C1737" t="s">
        <v>23</v>
      </c>
      <c r="D1737" t="s">
        <v>24</v>
      </c>
      <c r="E1737" t="s">
        <v>44</v>
      </c>
      <c r="F1737" t="s">
        <v>26</v>
      </c>
      <c r="G1737" t="s">
        <v>27</v>
      </c>
      <c r="H1737" s="1">
        <v>45198.069236111114</v>
      </c>
      <c r="I1737" s="1">
        <v>45200.069236111114</v>
      </c>
      <c r="J1737" s="1">
        <v>45198.110902777778</v>
      </c>
      <c r="K1737" s="2">
        <v>45198.093710324072</v>
      </c>
      <c r="L1737" t="s">
        <v>28</v>
      </c>
      <c r="M1737" s="2">
        <v>45198.788880555556</v>
      </c>
      <c r="N1737" t="s">
        <v>28</v>
      </c>
      <c r="O1737" s="2">
        <v>45200.710922418984</v>
      </c>
      <c r="P1737">
        <v>1</v>
      </c>
      <c r="Q1737">
        <v>2</v>
      </c>
      <c r="R1737" t="s">
        <v>39</v>
      </c>
      <c r="S1737" t="s">
        <v>30</v>
      </c>
      <c r="T1737" t="s">
        <v>66</v>
      </c>
      <c r="U1737">
        <v>48.864716000000001</v>
      </c>
      <c r="V1737">
        <v>2.3490139999999999</v>
      </c>
      <c r="W1737" t="str">
        <f t="shared" si="190"/>
        <v>ok</v>
      </c>
      <c r="X1737" t="str">
        <f t="shared" si="196"/>
        <v>ok</v>
      </c>
      <c r="Y1737" t="str">
        <f t="shared" si="191"/>
        <v>ok</v>
      </c>
      <c r="Z1737" t="str">
        <f t="shared" si="192"/>
        <v>ok</v>
      </c>
      <c r="AA1737" s="4" t="str">
        <f t="shared" si="193"/>
        <v>ok</v>
      </c>
      <c r="AB1737" s="4" t="str">
        <f t="shared" si="194"/>
        <v>ok</v>
      </c>
      <c r="AC1737" s="6">
        <f t="shared" si="195"/>
        <v>17.271466666599736</v>
      </c>
    </row>
    <row r="1738" spans="1:29" x14ac:dyDescent="0.3">
      <c r="A1738" t="s">
        <v>22</v>
      </c>
      <c r="B1738">
        <v>3215</v>
      </c>
      <c r="C1738" t="s">
        <v>23</v>
      </c>
      <c r="D1738" t="s">
        <v>24</v>
      </c>
      <c r="E1738" t="s">
        <v>35</v>
      </c>
      <c r="F1738" t="s">
        <v>26</v>
      </c>
      <c r="G1738" t="s">
        <v>49</v>
      </c>
      <c r="H1738" s="1">
        <v>45198.986967592595</v>
      </c>
      <c r="I1738" s="1">
        <v>45200.986967592595</v>
      </c>
      <c r="J1738" s="1">
        <v>45199.028634259259</v>
      </c>
      <c r="K1738" s="2">
        <v>45199.009812083335</v>
      </c>
      <c r="L1738" t="s">
        <v>28</v>
      </c>
      <c r="M1738" s="2">
        <v>45199.017263530091</v>
      </c>
      <c r="N1738" t="s">
        <v>28</v>
      </c>
      <c r="O1738" s="2">
        <v>45205.972829467595</v>
      </c>
      <c r="P1738">
        <v>9</v>
      </c>
      <c r="Q1738">
        <v>5</v>
      </c>
      <c r="R1738" t="s">
        <v>50</v>
      </c>
      <c r="S1738" t="s">
        <v>30</v>
      </c>
      <c r="T1738" t="s">
        <v>63</v>
      </c>
      <c r="U1738">
        <v>55.378051999999997</v>
      </c>
      <c r="V1738">
        <v>-3.4359730000000002</v>
      </c>
      <c r="W1738" t="str">
        <f t="shared" si="190"/>
        <v>ok</v>
      </c>
      <c r="X1738" t="str">
        <f t="shared" si="196"/>
        <v>ok</v>
      </c>
      <c r="Y1738" t="str">
        <f t="shared" si="191"/>
        <v>ok</v>
      </c>
      <c r="Z1738" t="str">
        <f t="shared" si="192"/>
        <v>ok</v>
      </c>
      <c r="AA1738" s="4" t="str">
        <f t="shared" si="193"/>
        <v>ok</v>
      </c>
      <c r="AB1738" s="4" t="str">
        <f t="shared" si="194"/>
        <v>ok</v>
      </c>
      <c r="AC1738" s="6">
        <f t="shared" si="195"/>
        <v>0.72710249992087483</v>
      </c>
    </row>
    <row r="1739" spans="1:29" x14ac:dyDescent="0.3">
      <c r="A1739" t="s">
        <v>42</v>
      </c>
      <c r="B1739">
        <v>3216</v>
      </c>
      <c r="C1739" t="s">
        <v>33</v>
      </c>
      <c r="D1739" t="s">
        <v>24</v>
      </c>
      <c r="E1739" t="s">
        <v>35</v>
      </c>
      <c r="F1739" t="s">
        <v>26</v>
      </c>
      <c r="G1739" t="s">
        <v>27</v>
      </c>
      <c r="H1739" s="1">
        <v>45198.406921296293</v>
      </c>
      <c r="I1739" s="1">
        <v>45200.406921296293</v>
      </c>
      <c r="J1739" s="1">
        <v>45198.448587962965</v>
      </c>
      <c r="K1739" s="2">
        <v>45198.442398703701</v>
      </c>
      <c r="L1739" t="s">
        <v>28</v>
      </c>
      <c r="M1739" s="2">
        <v>45199.613742048612</v>
      </c>
      <c r="N1739" t="s">
        <v>28</v>
      </c>
      <c r="P1739">
        <v>1</v>
      </c>
      <c r="R1739" t="s">
        <v>55</v>
      </c>
      <c r="S1739" t="s">
        <v>30</v>
      </c>
      <c r="T1739" t="s">
        <v>61</v>
      </c>
      <c r="U1739">
        <v>42.724992499999999</v>
      </c>
      <c r="V1739">
        <v>25.483303899999999</v>
      </c>
      <c r="W1739" t="str">
        <f t="shared" si="190"/>
        <v>ok</v>
      </c>
      <c r="X1739" t="str">
        <f t="shared" si="196"/>
        <v>ok</v>
      </c>
      <c r="Y1739" t="str">
        <f t="shared" si="191"/>
        <v>ok</v>
      </c>
      <c r="Z1739" t="str">
        <f t="shared" si="192"/>
        <v>ok</v>
      </c>
      <c r="AA1739" s="4" t="str">
        <f t="shared" si="193"/>
        <v>ok</v>
      </c>
      <c r="AB1739" s="4" t="str">
        <f t="shared" si="194"/>
        <v>ok</v>
      </c>
      <c r="AC1739" s="6">
        <f t="shared" si="195"/>
        <v>28.963698055653367</v>
      </c>
    </row>
    <row r="1740" spans="1:29" x14ac:dyDescent="0.3">
      <c r="A1740" t="s">
        <v>22</v>
      </c>
      <c r="B1740">
        <v>3218</v>
      </c>
      <c r="C1740" t="s">
        <v>47</v>
      </c>
      <c r="D1740" t="s">
        <v>24</v>
      </c>
      <c r="E1740" t="s">
        <v>48</v>
      </c>
      <c r="F1740" t="s">
        <v>26</v>
      </c>
      <c r="G1740" t="s">
        <v>27</v>
      </c>
      <c r="H1740" s="1">
        <v>45199.056689814817</v>
      </c>
      <c r="I1740" s="1">
        <v>45201.056689814817</v>
      </c>
      <c r="J1740" s="1">
        <v>45199.098356481481</v>
      </c>
      <c r="K1740" s="2">
        <v>45199.083311921298</v>
      </c>
      <c r="L1740" t="s">
        <v>28</v>
      </c>
      <c r="M1740" s="2">
        <v>45203.954254247685</v>
      </c>
      <c r="N1740" t="s">
        <v>38</v>
      </c>
      <c r="O1740" s="2">
        <v>45204.304696504631</v>
      </c>
      <c r="P1740">
        <v>8</v>
      </c>
      <c r="Q1740">
        <v>5</v>
      </c>
      <c r="R1740" t="s">
        <v>50</v>
      </c>
      <c r="S1740" t="s">
        <v>30</v>
      </c>
      <c r="T1740" t="s">
        <v>53</v>
      </c>
      <c r="U1740">
        <v>39.368279000000001</v>
      </c>
      <c r="V1740">
        <v>21.863140999999999</v>
      </c>
      <c r="W1740" t="str">
        <f t="shared" si="190"/>
        <v>ok</v>
      </c>
      <c r="X1740" t="str">
        <f t="shared" si="196"/>
        <v>ok</v>
      </c>
      <c r="Y1740" t="str">
        <f t="shared" si="191"/>
        <v>ok</v>
      </c>
      <c r="Z1740" t="str">
        <f t="shared" si="192"/>
        <v>ok</v>
      </c>
      <c r="AA1740" s="4" t="str">
        <f t="shared" si="193"/>
        <v>ok</v>
      </c>
      <c r="AB1740" s="4" t="str">
        <f t="shared" si="194"/>
        <v>ok</v>
      </c>
      <c r="AC1740" s="6">
        <f t="shared" si="195"/>
        <v>117.54154638882028</v>
      </c>
    </row>
    <row r="1741" spans="1:29" x14ac:dyDescent="0.3">
      <c r="A1741" t="s">
        <v>42</v>
      </c>
      <c r="B1741">
        <v>3219</v>
      </c>
      <c r="C1741" t="s">
        <v>23</v>
      </c>
      <c r="D1741" t="s">
        <v>34</v>
      </c>
      <c r="E1741" t="s">
        <v>48</v>
      </c>
      <c r="F1741" t="s">
        <v>26</v>
      </c>
      <c r="G1741" t="s">
        <v>27</v>
      </c>
      <c r="H1741" s="1">
        <v>45199.12060185185</v>
      </c>
      <c r="I1741" s="1">
        <v>45201.12060185185</v>
      </c>
      <c r="J1741" s="1">
        <v>45199.121990740743</v>
      </c>
      <c r="K1741" s="2">
        <v>45199.12446496528</v>
      </c>
      <c r="L1741" t="s">
        <v>38</v>
      </c>
      <c r="M1741" s="2">
        <v>45204.509018611112</v>
      </c>
      <c r="N1741" t="s">
        <v>38</v>
      </c>
      <c r="P1741">
        <v>1</v>
      </c>
      <c r="R1741" t="s">
        <v>39</v>
      </c>
      <c r="S1741" t="s">
        <v>30</v>
      </c>
      <c r="T1741" t="s">
        <v>41</v>
      </c>
      <c r="U1741">
        <v>43.036776000000003</v>
      </c>
      <c r="V1741">
        <v>12.678565000000001</v>
      </c>
      <c r="W1741" t="str">
        <f t="shared" si="190"/>
        <v>ok</v>
      </c>
      <c r="X1741" t="str">
        <f t="shared" si="196"/>
        <v>ok</v>
      </c>
      <c r="Y1741" t="str">
        <f t="shared" si="191"/>
        <v>ok</v>
      </c>
      <c r="Z1741" t="str">
        <f t="shared" si="192"/>
        <v>ok</v>
      </c>
      <c r="AA1741" s="4" t="str">
        <f t="shared" si="193"/>
        <v>ok</v>
      </c>
      <c r="AB1741" s="4" t="str">
        <f t="shared" si="194"/>
        <v>ok</v>
      </c>
      <c r="AC1741" s="6">
        <f t="shared" si="195"/>
        <v>129.32200222229585</v>
      </c>
    </row>
    <row r="1742" spans="1:29" x14ac:dyDescent="0.3">
      <c r="A1742" t="s">
        <v>22</v>
      </c>
      <c r="B1742">
        <v>3220</v>
      </c>
      <c r="C1742" t="s">
        <v>23</v>
      </c>
      <c r="D1742" t="s">
        <v>24</v>
      </c>
      <c r="E1742" t="s">
        <v>25</v>
      </c>
      <c r="F1742" t="s">
        <v>36</v>
      </c>
      <c r="G1742" t="s">
        <v>64</v>
      </c>
      <c r="H1742" s="1">
        <v>45199.68136574074</v>
      </c>
      <c r="I1742" s="1">
        <v>45201.68136574074</v>
      </c>
      <c r="J1742" s="1">
        <v>45199.723032407404</v>
      </c>
      <c r="K1742" s="2">
        <v>45199.714952453702</v>
      </c>
      <c r="L1742" t="s">
        <v>28</v>
      </c>
      <c r="M1742" s="2">
        <v>45199.86682181713</v>
      </c>
      <c r="N1742" t="s">
        <v>28</v>
      </c>
      <c r="O1742" s="2">
        <v>45203.503156643521</v>
      </c>
      <c r="P1742">
        <v>6</v>
      </c>
      <c r="Q1742">
        <v>1</v>
      </c>
      <c r="R1742" t="s">
        <v>50</v>
      </c>
      <c r="S1742" t="s">
        <v>40</v>
      </c>
      <c r="T1742" t="s">
        <v>66</v>
      </c>
      <c r="U1742">
        <v>48.864716000000001</v>
      </c>
      <c r="V1742">
        <v>2.3490139999999999</v>
      </c>
      <c r="W1742" t="str">
        <f t="shared" si="190"/>
        <v>ok</v>
      </c>
      <c r="X1742" t="str">
        <f t="shared" si="196"/>
        <v>ok</v>
      </c>
      <c r="Y1742" t="str">
        <f t="shared" si="191"/>
        <v>ok</v>
      </c>
      <c r="Z1742" t="str">
        <f t="shared" si="192"/>
        <v>ok</v>
      </c>
      <c r="AA1742" s="4" t="str">
        <f t="shared" si="193"/>
        <v>ok</v>
      </c>
      <c r="AB1742" s="4" t="str">
        <f t="shared" si="194"/>
        <v>ok</v>
      </c>
      <c r="AC1742" s="6">
        <f t="shared" si="195"/>
        <v>4.4509458333486691</v>
      </c>
    </row>
    <row r="1743" spans="1:29" x14ac:dyDescent="0.3">
      <c r="A1743" t="s">
        <v>42</v>
      </c>
      <c r="B1743">
        <v>3228</v>
      </c>
      <c r="C1743" t="s">
        <v>23</v>
      </c>
      <c r="D1743" t="s">
        <v>34</v>
      </c>
      <c r="E1743" t="s">
        <v>48</v>
      </c>
      <c r="F1743" t="s">
        <v>26</v>
      </c>
      <c r="G1743" t="s">
        <v>45</v>
      </c>
      <c r="H1743" s="1">
        <v>45200.522835648146</v>
      </c>
      <c r="I1743" s="1">
        <v>45202.522835648146</v>
      </c>
      <c r="J1743" s="1">
        <v>45200.524224537039</v>
      </c>
      <c r="K1743" s="2">
        <v>45200.523692766204</v>
      </c>
      <c r="L1743" t="s">
        <v>28</v>
      </c>
      <c r="M1743" s="2">
        <v>45202.50326203704</v>
      </c>
      <c r="N1743" t="s">
        <v>28</v>
      </c>
      <c r="P1743">
        <v>5</v>
      </c>
      <c r="R1743" t="s">
        <v>50</v>
      </c>
      <c r="S1743" t="s">
        <v>30</v>
      </c>
      <c r="T1743" t="s">
        <v>41</v>
      </c>
      <c r="U1743">
        <v>43.036776000000003</v>
      </c>
      <c r="V1743">
        <v>12.678565000000001</v>
      </c>
      <c r="W1743" t="str">
        <f t="shared" si="190"/>
        <v>ok</v>
      </c>
      <c r="X1743" t="str">
        <f t="shared" si="196"/>
        <v>ok</v>
      </c>
      <c r="Y1743" t="str">
        <f t="shared" si="191"/>
        <v>ok</v>
      </c>
      <c r="Z1743" t="str">
        <f t="shared" si="192"/>
        <v>ok</v>
      </c>
      <c r="AA1743" s="4" t="str">
        <f t="shared" si="193"/>
        <v>ok</v>
      </c>
      <c r="AB1743" s="4" t="str">
        <f t="shared" si="194"/>
        <v>ok</v>
      </c>
      <c r="AC1743" s="6">
        <f t="shared" si="195"/>
        <v>47.530233333469369</v>
      </c>
    </row>
    <row r="1744" spans="1:29" x14ac:dyDescent="0.3">
      <c r="A1744" t="s">
        <v>42</v>
      </c>
      <c r="B1744">
        <v>3229</v>
      </c>
      <c r="C1744" t="s">
        <v>23</v>
      </c>
      <c r="D1744" t="s">
        <v>34</v>
      </c>
      <c r="E1744" t="s">
        <v>35</v>
      </c>
      <c r="F1744" t="s">
        <v>26</v>
      </c>
      <c r="G1744" t="s">
        <v>49</v>
      </c>
      <c r="H1744" s="1">
        <v>45201.102951388886</v>
      </c>
      <c r="I1744" s="1">
        <v>45203.102951388886</v>
      </c>
      <c r="J1744" s="1">
        <v>45201.10434027778</v>
      </c>
      <c r="K1744" s="2">
        <v>45201.103671574077</v>
      </c>
      <c r="L1744" t="s">
        <v>28</v>
      </c>
      <c r="M1744" s="2">
        <v>45205.433406851851</v>
      </c>
      <c r="N1744" t="s">
        <v>38</v>
      </c>
      <c r="P1744">
        <v>4</v>
      </c>
      <c r="R1744" t="s">
        <v>29</v>
      </c>
      <c r="S1744" t="s">
        <v>30</v>
      </c>
      <c r="T1744" t="s">
        <v>63</v>
      </c>
      <c r="U1744">
        <v>55.378051999999997</v>
      </c>
      <c r="V1744">
        <v>-3.4359730000000002</v>
      </c>
      <c r="W1744" t="str">
        <f t="shared" si="190"/>
        <v>ok</v>
      </c>
      <c r="X1744" t="str">
        <f t="shared" si="196"/>
        <v>ok</v>
      </c>
      <c r="Y1744" t="str">
        <f t="shared" si="191"/>
        <v>ok</v>
      </c>
      <c r="Z1744" t="str">
        <f t="shared" si="192"/>
        <v>ok</v>
      </c>
      <c r="AA1744" s="4" t="str">
        <f t="shared" si="193"/>
        <v>ok</v>
      </c>
      <c r="AB1744" s="4" t="str">
        <f t="shared" si="194"/>
        <v>ok</v>
      </c>
      <c r="AC1744" s="6">
        <f t="shared" si="195"/>
        <v>103.93093111115741</v>
      </c>
    </row>
    <row r="1745" spans="1:29" x14ac:dyDescent="0.3">
      <c r="A1745" t="s">
        <v>42</v>
      </c>
      <c r="B1745">
        <v>3230</v>
      </c>
      <c r="C1745" t="s">
        <v>47</v>
      </c>
      <c r="D1745" t="s">
        <v>24</v>
      </c>
      <c r="E1745" t="s">
        <v>48</v>
      </c>
      <c r="F1745" t="s">
        <v>26</v>
      </c>
      <c r="G1745" t="s">
        <v>27</v>
      </c>
      <c r="H1745" s="1">
        <v>45201.752986111111</v>
      </c>
      <c r="I1745" s="1">
        <v>45203.752986111111</v>
      </c>
      <c r="J1745" s="1">
        <v>45201.794652777775</v>
      </c>
      <c r="K1745" s="2">
        <v>45201.895006053244</v>
      </c>
      <c r="L1745" t="s">
        <v>38</v>
      </c>
      <c r="M1745" s="2">
        <v>45201.777323437498</v>
      </c>
      <c r="N1745" t="s">
        <v>28</v>
      </c>
      <c r="P1745">
        <v>1</v>
      </c>
      <c r="R1745" t="s">
        <v>55</v>
      </c>
      <c r="S1745" t="s">
        <v>30</v>
      </c>
      <c r="T1745" t="s">
        <v>31</v>
      </c>
      <c r="U1745">
        <v>53.094023999999997</v>
      </c>
      <c r="V1745">
        <v>-8.0196749999999994</v>
      </c>
      <c r="W1745" t="str">
        <f t="shared" si="190"/>
        <v>ok</v>
      </c>
      <c r="X1745" t="str">
        <f t="shared" si="196"/>
        <v>ok</v>
      </c>
      <c r="Y1745" t="str">
        <f t="shared" si="191"/>
        <v>ok</v>
      </c>
      <c r="Z1745" t="str">
        <f t="shared" si="192"/>
        <v>ok</v>
      </c>
      <c r="AA1745" s="4" t="str">
        <f t="shared" si="193"/>
        <v>ok</v>
      </c>
      <c r="AB1745" s="4" t="str">
        <f t="shared" si="194"/>
        <v>ok</v>
      </c>
      <c r="AC1745" s="6">
        <f t="shared" si="195"/>
        <v>0.58409583329921588</v>
      </c>
    </row>
    <row r="1746" spans="1:29" x14ac:dyDescent="0.3">
      <c r="A1746" t="s">
        <v>42</v>
      </c>
      <c r="B1746">
        <v>3231</v>
      </c>
      <c r="C1746" t="s">
        <v>33</v>
      </c>
      <c r="D1746" t="s">
        <v>43</v>
      </c>
      <c r="E1746" t="s">
        <v>25</v>
      </c>
      <c r="F1746" t="s">
        <v>26</v>
      </c>
      <c r="G1746" t="s">
        <v>60</v>
      </c>
      <c r="H1746" s="1">
        <v>45201.346666666665</v>
      </c>
      <c r="I1746" s="1">
        <v>45202.346666666665</v>
      </c>
      <c r="J1746" s="1">
        <v>45201.348055555558</v>
      </c>
      <c r="K1746" s="2">
        <v>45201.347213923611</v>
      </c>
      <c r="L1746" t="s">
        <v>28</v>
      </c>
      <c r="M1746" s="2">
        <v>45202.086915428241</v>
      </c>
      <c r="N1746" t="s">
        <v>28</v>
      </c>
      <c r="P1746">
        <v>60</v>
      </c>
      <c r="R1746" t="s">
        <v>50</v>
      </c>
      <c r="S1746" t="s">
        <v>30</v>
      </c>
      <c r="T1746" t="s">
        <v>41</v>
      </c>
      <c r="U1746">
        <v>43.036776000000003</v>
      </c>
      <c r="V1746">
        <v>12.678565000000001</v>
      </c>
      <c r="W1746" t="str">
        <f t="shared" si="190"/>
        <v>ok</v>
      </c>
      <c r="X1746" t="str">
        <f t="shared" si="196"/>
        <v>ok</v>
      </c>
      <c r="Y1746" t="str">
        <f t="shared" si="191"/>
        <v>ok</v>
      </c>
      <c r="Z1746" t="str">
        <f t="shared" si="192"/>
        <v>ok</v>
      </c>
      <c r="AA1746" s="4" t="str">
        <f t="shared" si="193"/>
        <v>ok</v>
      </c>
      <c r="AB1746" s="4" t="str">
        <f t="shared" si="194"/>
        <v>ok</v>
      </c>
      <c r="AC1746" s="6">
        <f t="shared" si="195"/>
        <v>17.765970277832821</v>
      </c>
    </row>
    <row r="1747" spans="1:29" x14ac:dyDescent="0.3">
      <c r="A1747" t="s">
        <v>42</v>
      </c>
      <c r="B1747">
        <v>3232</v>
      </c>
      <c r="C1747" t="s">
        <v>23</v>
      </c>
      <c r="D1747" t="s">
        <v>43</v>
      </c>
      <c r="E1747" t="s">
        <v>35</v>
      </c>
      <c r="F1747" t="s">
        <v>36</v>
      </c>
      <c r="G1747" t="s">
        <v>64</v>
      </c>
      <c r="H1747" s="1">
        <v>45201.854722222219</v>
      </c>
      <c r="I1747" s="1">
        <v>45202.854722222219</v>
      </c>
      <c r="J1747" s="1">
        <v>45201.856111111112</v>
      </c>
      <c r="K1747" s="2">
        <v>45201.856006423608</v>
      </c>
      <c r="L1747" t="s">
        <v>28</v>
      </c>
      <c r="M1747" s="2">
        <v>45202.246797071763</v>
      </c>
      <c r="N1747" t="s">
        <v>28</v>
      </c>
      <c r="P1747">
        <v>2</v>
      </c>
      <c r="R1747" t="s">
        <v>55</v>
      </c>
      <c r="S1747" t="s">
        <v>40</v>
      </c>
      <c r="T1747" t="s">
        <v>51</v>
      </c>
      <c r="U1747">
        <v>39.673369999999998</v>
      </c>
      <c r="V1747">
        <v>-4.7677259999999997</v>
      </c>
      <c r="W1747" t="str">
        <f t="shared" si="190"/>
        <v>ok</v>
      </c>
      <c r="X1747" t="str">
        <f t="shared" si="196"/>
        <v>ok</v>
      </c>
      <c r="Y1747" t="str">
        <f t="shared" si="191"/>
        <v>ok</v>
      </c>
      <c r="Z1747" t="str">
        <f t="shared" si="192"/>
        <v>ok</v>
      </c>
      <c r="AA1747" s="4" t="str">
        <f t="shared" si="193"/>
        <v>ok</v>
      </c>
      <c r="AB1747" s="4" t="str">
        <f t="shared" si="194"/>
        <v>ok</v>
      </c>
      <c r="AC1747" s="6">
        <f t="shared" si="195"/>
        <v>9.4097963890526444</v>
      </c>
    </row>
    <row r="1748" spans="1:29" x14ac:dyDescent="0.3">
      <c r="A1748" t="s">
        <v>22</v>
      </c>
      <c r="B1748">
        <v>3233</v>
      </c>
      <c r="C1748" t="s">
        <v>47</v>
      </c>
      <c r="D1748" t="s">
        <v>34</v>
      </c>
      <c r="E1748" t="s">
        <v>39</v>
      </c>
      <c r="F1748" t="s">
        <v>26</v>
      </c>
      <c r="G1748" t="s">
        <v>27</v>
      </c>
      <c r="H1748" s="1">
        <v>45201.254131944443</v>
      </c>
      <c r="I1748" s="1">
        <v>45203.254131944443</v>
      </c>
      <c r="J1748" s="1">
        <v>45201.255520833336</v>
      </c>
      <c r="K1748" s="2">
        <v>45201.25469105324</v>
      </c>
      <c r="L1748" t="s">
        <v>28</v>
      </c>
      <c r="M1748" s="2">
        <v>45203.062802280096</v>
      </c>
      <c r="N1748" t="s">
        <v>28</v>
      </c>
      <c r="O1748" s="2">
        <v>45207.43473912037</v>
      </c>
      <c r="P1748">
        <v>5</v>
      </c>
      <c r="Q1748">
        <v>2</v>
      </c>
      <c r="R1748" t="s">
        <v>50</v>
      </c>
      <c r="S1748" t="s">
        <v>30</v>
      </c>
      <c r="T1748" t="s">
        <v>56</v>
      </c>
      <c r="U1748">
        <v>52.536273000000001</v>
      </c>
      <c r="V1748">
        <v>19.050639</v>
      </c>
      <c r="W1748" t="str">
        <f t="shared" si="190"/>
        <v>ok</v>
      </c>
      <c r="X1748" t="str">
        <f t="shared" si="196"/>
        <v>ok</v>
      </c>
      <c r="Y1748" t="str">
        <f t="shared" si="191"/>
        <v>ok</v>
      </c>
      <c r="Z1748" t="str">
        <f t="shared" si="192"/>
        <v>ok</v>
      </c>
      <c r="AA1748" s="4" t="str">
        <f t="shared" si="193"/>
        <v>ok</v>
      </c>
      <c r="AB1748" s="4" t="str">
        <f t="shared" si="194"/>
        <v>ok</v>
      </c>
      <c r="AC1748" s="6">
        <f t="shared" si="195"/>
        <v>43.408088055672124</v>
      </c>
    </row>
    <row r="1749" spans="1:29" x14ac:dyDescent="0.3">
      <c r="A1749" t="s">
        <v>42</v>
      </c>
      <c r="B1749">
        <v>3234</v>
      </c>
      <c r="C1749" t="s">
        <v>23</v>
      </c>
      <c r="D1749" t="s">
        <v>24</v>
      </c>
      <c r="E1749" t="s">
        <v>35</v>
      </c>
      <c r="F1749" t="s">
        <v>26</v>
      </c>
      <c r="G1749" t="s">
        <v>52</v>
      </c>
      <c r="H1749" s="1">
        <v>45201.96943287037</v>
      </c>
      <c r="I1749" s="1">
        <v>45203.96943287037</v>
      </c>
      <c r="J1749" s="1">
        <v>45202.011099537034</v>
      </c>
      <c r="K1749" s="2">
        <v>45201.997072569444</v>
      </c>
      <c r="L1749" t="s">
        <v>28</v>
      </c>
      <c r="M1749" s="2">
        <v>45205.264985081019</v>
      </c>
      <c r="N1749" t="s">
        <v>38</v>
      </c>
      <c r="P1749">
        <v>8</v>
      </c>
      <c r="R1749" t="s">
        <v>50</v>
      </c>
      <c r="S1749" t="s">
        <v>30</v>
      </c>
      <c r="T1749" t="s">
        <v>63</v>
      </c>
      <c r="U1749">
        <v>55.378051999999997</v>
      </c>
      <c r="V1749">
        <v>-3.4359730000000002</v>
      </c>
      <c r="W1749" t="str">
        <f t="shared" si="190"/>
        <v>ok</v>
      </c>
      <c r="X1749" t="str">
        <f t="shared" si="196"/>
        <v>ok</v>
      </c>
      <c r="Y1749" t="str">
        <f t="shared" si="191"/>
        <v>ok</v>
      </c>
      <c r="Z1749" t="str">
        <f t="shared" si="192"/>
        <v>ok</v>
      </c>
      <c r="AA1749" s="4" t="str">
        <f t="shared" si="193"/>
        <v>ok</v>
      </c>
      <c r="AB1749" s="4" t="str">
        <f t="shared" si="194"/>
        <v>ok</v>
      </c>
      <c r="AC1749" s="6">
        <f t="shared" si="195"/>
        <v>79.093253055587411</v>
      </c>
    </row>
    <row r="1750" spans="1:29" x14ac:dyDescent="0.3">
      <c r="A1750" t="s">
        <v>22</v>
      </c>
      <c r="B1750">
        <v>3235</v>
      </c>
      <c r="C1750" t="s">
        <v>47</v>
      </c>
      <c r="D1750" t="s">
        <v>34</v>
      </c>
      <c r="E1750" t="s">
        <v>39</v>
      </c>
      <c r="F1750" t="s">
        <v>26</v>
      </c>
      <c r="G1750" t="s">
        <v>52</v>
      </c>
      <c r="H1750" s="1">
        <v>45201.134826388887</v>
      </c>
      <c r="I1750" s="1">
        <v>45203.134826388887</v>
      </c>
      <c r="J1750" s="1">
        <v>45201.13621527778</v>
      </c>
      <c r="K1750" s="2">
        <v>45201.138367083331</v>
      </c>
      <c r="L1750" t="s">
        <v>38</v>
      </c>
      <c r="M1750" s="2">
        <v>45202.233743217592</v>
      </c>
      <c r="N1750" t="s">
        <v>28</v>
      </c>
      <c r="O1750" s="2">
        <v>45202.003026203703</v>
      </c>
      <c r="P1750">
        <v>2</v>
      </c>
      <c r="Q1750">
        <v>3</v>
      </c>
      <c r="R1750" t="s">
        <v>29</v>
      </c>
      <c r="S1750" t="s">
        <v>30</v>
      </c>
      <c r="T1750" t="s">
        <v>46</v>
      </c>
      <c r="U1750">
        <v>47.696471899999999</v>
      </c>
      <c r="V1750">
        <v>13.3457347</v>
      </c>
      <c r="W1750" t="str">
        <f t="shared" si="190"/>
        <v>ok</v>
      </c>
      <c r="X1750" t="str">
        <f t="shared" si="196"/>
        <v>ok</v>
      </c>
      <c r="Y1750" t="str">
        <f t="shared" si="191"/>
        <v>check</v>
      </c>
      <c r="Z1750" t="str">
        <f t="shared" si="192"/>
        <v>ok</v>
      </c>
      <c r="AA1750" s="4" t="str">
        <f t="shared" si="193"/>
        <v>ok</v>
      </c>
      <c r="AB1750" s="4" t="str">
        <f t="shared" si="194"/>
        <v>ok</v>
      </c>
      <c r="AC1750" s="6">
        <f t="shared" si="195"/>
        <v>26.374003888922743</v>
      </c>
    </row>
    <row r="1751" spans="1:29" x14ac:dyDescent="0.3">
      <c r="A1751" t="s">
        <v>42</v>
      </c>
      <c r="B1751">
        <v>3236</v>
      </c>
      <c r="C1751" t="s">
        <v>47</v>
      </c>
      <c r="D1751" t="s">
        <v>24</v>
      </c>
      <c r="E1751" t="s">
        <v>59</v>
      </c>
      <c r="F1751" t="s">
        <v>36</v>
      </c>
      <c r="G1751" t="s">
        <v>64</v>
      </c>
      <c r="H1751" s="1">
        <v>45202.056481481479</v>
      </c>
      <c r="I1751" s="1">
        <v>45204.056481481479</v>
      </c>
      <c r="J1751" s="1">
        <v>45202.09814814815</v>
      </c>
      <c r="K1751" s="2">
        <v>45202.076075462966</v>
      </c>
      <c r="L1751" t="s">
        <v>28</v>
      </c>
      <c r="M1751" s="2">
        <v>45203.36168840278</v>
      </c>
      <c r="N1751" t="s">
        <v>28</v>
      </c>
      <c r="P1751">
        <v>1</v>
      </c>
      <c r="R1751" t="s">
        <v>50</v>
      </c>
      <c r="S1751" t="s">
        <v>40</v>
      </c>
      <c r="T1751" t="s">
        <v>53</v>
      </c>
      <c r="U1751">
        <v>39.368279000000001</v>
      </c>
      <c r="V1751">
        <v>21.863140999999999</v>
      </c>
      <c r="W1751" t="str">
        <f t="shared" si="190"/>
        <v>ok</v>
      </c>
      <c r="X1751" t="str">
        <f t="shared" si="196"/>
        <v>ok</v>
      </c>
      <c r="Y1751" t="str">
        <f t="shared" si="191"/>
        <v>ok</v>
      </c>
      <c r="Z1751" t="str">
        <f t="shared" si="192"/>
        <v>ok</v>
      </c>
      <c r="AA1751" s="4" t="str">
        <f t="shared" si="193"/>
        <v>ok</v>
      </c>
      <c r="AB1751" s="4" t="str">
        <f t="shared" si="194"/>
        <v>ok</v>
      </c>
      <c r="AC1751" s="6">
        <f t="shared" si="195"/>
        <v>31.324966111220419</v>
      </c>
    </row>
    <row r="1752" spans="1:29" x14ac:dyDescent="0.3">
      <c r="A1752" t="s">
        <v>22</v>
      </c>
      <c r="B1752">
        <v>3237</v>
      </c>
      <c r="C1752" t="s">
        <v>47</v>
      </c>
      <c r="D1752" t="s">
        <v>43</v>
      </c>
      <c r="E1752" t="s">
        <v>62</v>
      </c>
      <c r="F1752" t="s">
        <v>26</v>
      </c>
      <c r="G1752" t="s">
        <v>52</v>
      </c>
      <c r="H1752" s="1">
        <v>45202.366296296299</v>
      </c>
      <c r="I1752" s="1">
        <v>45203.366296296299</v>
      </c>
      <c r="J1752" s="1">
        <v>45202.367685185185</v>
      </c>
      <c r="K1752" s="2">
        <v>45202.368434768519</v>
      </c>
      <c r="L1752" t="s">
        <v>38</v>
      </c>
      <c r="M1752" s="2">
        <v>45203.361345254627</v>
      </c>
      <c r="N1752" t="s">
        <v>28</v>
      </c>
      <c r="O1752" s="2">
        <v>45205.084007523146</v>
      </c>
      <c r="P1752">
        <v>5</v>
      </c>
      <c r="Q1752">
        <v>4</v>
      </c>
      <c r="R1752" t="s">
        <v>55</v>
      </c>
      <c r="S1752" t="s">
        <v>30</v>
      </c>
      <c r="T1752" t="s">
        <v>56</v>
      </c>
      <c r="U1752">
        <v>52.536273000000001</v>
      </c>
      <c r="V1752">
        <v>19.050639</v>
      </c>
      <c r="W1752" t="str">
        <f t="shared" si="190"/>
        <v>ok</v>
      </c>
      <c r="X1752" t="str">
        <f t="shared" si="196"/>
        <v>ok</v>
      </c>
      <c r="Y1752" t="str">
        <f t="shared" si="191"/>
        <v>ok</v>
      </c>
      <c r="Z1752" t="str">
        <f t="shared" si="192"/>
        <v>ok</v>
      </c>
      <c r="AA1752" s="4" t="str">
        <f t="shared" si="193"/>
        <v>ok</v>
      </c>
      <c r="AB1752" s="4" t="str">
        <f t="shared" si="194"/>
        <v>ok</v>
      </c>
      <c r="AC1752" s="6">
        <f t="shared" si="195"/>
        <v>23.881174999871291</v>
      </c>
    </row>
    <row r="1753" spans="1:29" x14ac:dyDescent="0.3">
      <c r="A1753" t="s">
        <v>42</v>
      </c>
      <c r="B1753">
        <v>3238</v>
      </c>
      <c r="C1753" t="s">
        <v>23</v>
      </c>
      <c r="D1753" t="s">
        <v>43</v>
      </c>
      <c r="E1753" t="s">
        <v>48</v>
      </c>
      <c r="F1753" t="s">
        <v>26</v>
      </c>
      <c r="G1753" t="s">
        <v>60</v>
      </c>
      <c r="H1753" s="1">
        <v>45202.119004629632</v>
      </c>
      <c r="I1753" s="1">
        <v>45203.119004629632</v>
      </c>
      <c r="J1753" s="1">
        <v>45202.120393518519</v>
      </c>
      <c r="K1753" s="2">
        <v>45202.120235810187</v>
      </c>
      <c r="L1753" t="s">
        <v>28</v>
      </c>
      <c r="M1753" s="2">
        <v>45203.012244710648</v>
      </c>
      <c r="N1753" t="s">
        <v>28</v>
      </c>
      <c r="P1753">
        <v>8</v>
      </c>
      <c r="R1753" t="s">
        <v>29</v>
      </c>
      <c r="S1753" t="s">
        <v>30</v>
      </c>
      <c r="T1753" t="s">
        <v>41</v>
      </c>
      <c r="U1753">
        <v>43.036776000000003</v>
      </c>
      <c r="V1753">
        <v>12.678565000000001</v>
      </c>
      <c r="W1753" t="str">
        <f t="shared" si="190"/>
        <v>ok</v>
      </c>
      <c r="X1753" t="str">
        <f t="shared" si="196"/>
        <v>ok</v>
      </c>
      <c r="Y1753" t="str">
        <f t="shared" si="191"/>
        <v>ok</v>
      </c>
      <c r="Z1753" t="str">
        <f t="shared" si="192"/>
        <v>ok</v>
      </c>
      <c r="AA1753" s="4" t="str">
        <f t="shared" si="193"/>
        <v>ok</v>
      </c>
      <c r="AB1753" s="4" t="str">
        <f t="shared" si="194"/>
        <v>ok</v>
      </c>
      <c r="AC1753" s="6">
        <f t="shared" si="195"/>
        <v>21.437761944369413</v>
      </c>
    </row>
    <row r="1754" spans="1:29" x14ac:dyDescent="0.3">
      <c r="A1754" t="s">
        <v>22</v>
      </c>
      <c r="B1754">
        <v>3239</v>
      </c>
      <c r="C1754" t="s">
        <v>33</v>
      </c>
      <c r="D1754" t="s">
        <v>24</v>
      </c>
      <c r="E1754" t="s">
        <v>35</v>
      </c>
      <c r="F1754" t="s">
        <v>36</v>
      </c>
      <c r="G1754" t="s">
        <v>64</v>
      </c>
      <c r="H1754" s="1">
        <v>45202.098287037035</v>
      </c>
      <c r="I1754" s="1">
        <v>45204.098287037035</v>
      </c>
      <c r="J1754" s="1">
        <v>45202.139953703707</v>
      </c>
      <c r="K1754" s="2">
        <v>45202.110233298612</v>
      </c>
      <c r="L1754" t="s">
        <v>28</v>
      </c>
      <c r="M1754" s="2">
        <v>45203.812875821757</v>
      </c>
      <c r="N1754" t="s">
        <v>28</v>
      </c>
      <c r="O1754" s="2">
        <v>45205.366806226855</v>
      </c>
      <c r="P1754">
        <v>1</v>
      </c>
      <c r="Q1754">
        <v>3</v>
      </c>
      <c r="R1754" t="s">
        <v>29</v>
      </c>
      <c r="S1754" t="s">
        <v>40</v>
      </c>
      <c r="T1754" t="s">
        <v>51</v>
      </c>
      <c r="U1754">
        <v>39.673369999999998</v>
      </c>
      <c r="V1754">
        <v>-4.7677259999999997</v>
      </c>
      <c r="W1754" t="str">
        <f t="shared" si="190"/>
        <v>ok</v>
      </c>
      <c r="X1754" t="str">
        <f t="shared" si="196"/>
        <v>ok</v>
      </c>
      <c r="Y1754" t="str">
        <f t="shared" si="191"/>
        <v>ok</v>
      </c>
      <c r="Z1754" t="str">
        <f t="shared" si="192"/>
        <v>ok</v>
      </c>
      <c r="AA1754" s="4" t="str">
        <f t="shared" si="193"/>
        <v>ok</v>
      </c>
      <c r="AB1754" s="4" t="str">
        <f t="shared" si="194"/>
        <v>ok</v>
      </c>
      <c r="AC1754" s="6">
        <f t="shared" si="195"/>
        <v>41.150130833324511</v>
      </c>
    </row>
    <row r="1755" spans="1:29" x14ac:dyDescent="0.3">
      <c r="A1755" t="s">
        <v>42</v>
      </c>
      <c r="B1755">
        <v>3240</v>
      </c>
      <c r="C1755" t="s">
        <v>23</v>
      </c>
      <c r="D1755" t="s">
        <v>43</v>
      </c>
      <c r="E1755" t="s">
        <v>25</v>
      </c>
      <c r="F1755" t="s">
        <v>36</v>
      </c>
      <c r="G1755" t="s">
        <v>54</v>
      </c>
      <c r="H1755" s="1">
        <v>45202.955428240741</v>
      </c>
      <c r="I1755" s="1">
        <v>45203.955428240741</v>
      </c>
      <c r="J1755" s="1">
        <v>45202.956817129627</v>
      </c>
      <c r="K1755" s="2">
        <v>45202.956230613425</v>
      </c>
      <c r="L1755" t="s">
        <v>28</v>
      </c>
      <c r="M1755" s="2">
        <v>45206.625753101849</v>
      </c>
      <c r="N1755" t="s">
        <v>38</v>
      </c>
      <c r="P1755">
        <v>2</v>
      </c>
      <c r="R1755" t="s">
        <v>39</v>
      </c>
      <c r="S1755" t="s">
        <v>40</v>
      </c>
      <c r="T1755" t="s">
        <v>63</v>
      </c>
      <c r="U1755">
        <v>55.378051999999997</v>
      </c>
      <c r="V1755">
        <v>-3.4359730000000002</v>
      </c>
      <c r="W1755" t="str">
        <f t="shared" si="190"/>
        <v>ok</v>
      </c>
      <c r="X1755" t="str">
        <f t="shared" si="196"/>
        <v>ok</v>
      </c>
      <c r="Y1755" t="str">
        <f t="shared" si="191"/>
        <v>ok</v>
      </c>
      <c r="Z1755" t="str">
        <f t="shared" si="192"/>
        <v>ok</v>
      </c>
      <c r="AA1755" s="4" t="str">
        <f t="shared" si="193"/>
        <v>ok</v>
      </c>
      <c r="AB1755" s="4" t="str">
        <f t="shared" si="194"/>
        <v>ok</v>
      </c>
      <c r="AC1755" s="6">
        <f t="shared" si="195"/>
        <v>88.087796666601207</v>
      </c>
    </row>
    <row r="1756" spans="1:29" x14ac:dyDescent="0.3">
      <c r="A1756" t="s">
        <v>32</v>
      </c>
      <c r="B1756">
        <v>3241</v>
      </c>
      <c r="C1756" t="s">
        <v>47</v>
      </c>
      <c r="D1756" t="s">
        <v>24</v>
      </c>
      <c r="E1756" t="s">
        <v>48</v>
      </c>
      <c r="F1756" t="s">
        <v>26</v>
      </c>
      <c r="G1756" t="s">
        <v>49</v>
      </c>
      <c r="H1756" s="1">
        <v>45202.670752314814</v>
      </c>
      <c r="I1756" s="1">
        <v>45204.670752314814</v>
      </c>
      <c r="J1756" s="1">
        <v>45202.712418981479</v>
      </c>
      <c r="K1756" s="2">
        <v>45202.704090520834</v>
      </c>
      <c r="L1756" t="s">
        <v>28</v>
      </c>
      <c r="N1756" t="s">
        <v>38</v>
      </c>
      <c r="P1756">
        <v>1</v>
      </c>
      <c r="R1756" t="s">
        <v>50</v>
      </c>
      <c r="S1756" t="s">
        <v>30</v>
      </c>
      <c r="T1756" t="s">
        <v>65</v>
      </c>
      <c r="U1756">
        <v>46.149166399999999</v>
      </c>
      <c r="V1756">
        <v>14.9860106</v>
      </c>
      <c r="W1756" t="str">
        <f t="shared" si="190"/>
        <v>ok</v>
      </c>
      <c r="X1756" t="str">
        <f t="shared" si="196"/>
        <v>ok</v>
      </c>
      <c r="Y1756" t="str">
        <f t="shared" si="191"/>
        <v>ok</v>
      </c>
      <c r="Z1756" t="str">
        <f t="shared" si="192"/>
        <v>ok</v>
      </c>
      <c r="AA1756" s="4" t="str">
        <f t="shared" si="193"/>
        <v>ok</v>
      </c>
      <c r="AB1756" s="4" t="str">
        <f t="shared" si="194"/>
        <v>no resolution</v>
      </c>
      <c r="AC1756" s="6" t="str">
        <f t="shared" si="195"/>
        <v/>
      </c>
    </row>
    <row r="1757" spans="1:29" x14ac:dyDescent="0.3">
      <c r="A1757" t="s">
        <v>22</v>
      </c>
      <c r="B1757">
        <v>3242</v>
      </c>
      <c r="C1757" t="s">
        <v>33</v>
      </c>
      <c r="D1757" t="s">
        <v>43</v>
      </c>
      <c r="E1757" t="s">
        <v>44</v>
      </c>
      <c r="F1757" t="s">
        <v>36</v>
      </c>
      <c r="G1757" t="s">
        <v>64</v>
      </c>
      <c r="H1757" s="1">
        <v>45202.511782407404</v>
      </c>
      <c r="I1757" s="1">
        <v>45203.511782407404</v>
      </c>
      <c r="J1757" s="1">
        <v>45202.513171296298</v>
      </c>
      <c r="K1757" s="2">
        <v>45202.512753668983</v>
      </c>
      <c r="L1757" t="s">
        <v>28</v>
      </c>
      <c r="M1757" s="2">
        <v>45207.059197905095</v>
      </c>
      <c r="N1757" t="s">
        <v>38</v>
      </c>
      <c r="O1757" s="2">
        <v>45208.278706504629</v>
      </c>
      <c r="P1757">
        <v>2</v>
      </c>
      <c r="Q1757">
        <v>4</v>
      </c>
      <c r="R1757" t="s">
        <v>50</v>
      </c>
      <c r="S1757" t="s">
        <v>40</v>
      </c>
      <c r="T1757" t="s">
        <v>56</v>
      </c>
      <c r="U1757">
        <v>52.536273000000001</v>
      </c>
      <c r="V1757">
        <v>19.050639</v>
      </c>
      <c r="W1757" t="str">
        <f t="shared" si="190"/>
        <v>ok</v>
      </c>
      <c r="X1757" t="str">
        <f t="shared" si="196"/>
        <v>ok</v>
      </c>
      <c r="Y1757" t="str">
        <f t="shared" si="191"/>
        <v>ok</v>
      </c>
      <c r="Z1757" t="str">
        <f t="shared" si="192"/>
        <v>ok</v>
      </c>
      <c r="AA1757" s="4" t="str">
        <f t="shared" si="193"/>
        <v>ok</v>
      </c>
      <c r="AB1757" s="4" t="str">
        <f t="shared" si="194"/>
        <v>ok</v>
      </c>
      <c r="AC1757" s="6">
        <f t="shared" si="195"/>
        <v>109.13797194458311</v>
      </c>
    </row>
    <row r="1758" spans="1:29" x14ac:dyDescent="0.3">
      <c r="A1758" t="s">
        <v>32</v>
      </c>
      <c r="B1758">
        <v>3243</v>
      </c>
      <c r="C1758" t="s">
        <v>47</v>
      </c>
      <c r="D1758" t="s">
        <v>24</v>
      </c>
      <c r="E1758" t="s">
        <v>35</v>
      </c>
      <c r="F1758" t="s">
        <v>36</v>
      </c>
      <c r="G1758" t="s">
        <v>37</v>
      </c>
      <c r="H1758" s="1">
        <v>45203.049444444441</v>
      </c>
      <c r="I1758" s="1">
        <v>45205.049444444441</v>
      </c>
      <c r="J1758" s="1">
        <v>45203.091111111113</v>
      </c>
      <c r="K1758" s="2">
        <v>45203.053821550922</v>
      </c>
      <c r="L1758" t="s">
        <v>28</v>
      </c>
      <c r="N1758" t="s">
        <v>38</v>
      </c>
      <c r="P1758">
        <v>4</v>
      </c>
      <c r="R1758" t="s">
        <v>39</v>
      </c>
      <c r="S1758" t="s">
        <v>40</v>
      </c>
      <c r="T1758" t="s">
        <v>63</v>
      </c>
      <c r="U1758">
        <v>55.378051999999997</v>
      </c>
      <c r="V1758">
        <v>-3.4359730000000002</v>
      </c>
      <c r="W1758" t="str">
        <f t="shared" si="190"/>
        <v>ok</v>
      </c>
      <c r="X1758" t="str">
        <f t="shared" si="196"/>
        <v>ok</v>
      </c>
      <c r="Y1758" t="str">
        <f t="shared" si="191"/>
        <v>ok</v>
      </c>
      <c r="Z1758" t="str">
        <f t="shared" si="192"/>
        <v>ok</v>
      </c>
      <c r="AA1758" s="4" t="str">
        <f t="shared" si="193"/>
        <v>ok</v>
      </c>
      <c r="AB1758" s="4" t="str">
        <f t="shared" si="194"/>
        <v>no resolution</v>
      </c>
      <c r="AC1758" s="6" t="str">
        <f t="shared" si="195"/>
        <v/>
      </c>
    </row>
    <row r="1759" spans="1:29" x14ac:dyDescent="0.3">
      <c r="A1759" t="s">
        <v>22</v>
      </c>
      <c r="B1759">
        <v>3244</v>
      </c>
      <c r="C1759" t="s">
        <v>23</v>
      </c>
      <c r="D1759" t="s">
        <v>24</v>
      </c>
      <c r="E1759" t="s">
        <v>35</v>
      </c>
      <c r="F1759" t="s">
        <v>26</v>
      </c>
      <c r="G1759" t="s">
        <v>27</v>
      </c>
      <c r="H1759" s="1">
        <v>45203.888009259259</v>
      </c>
      <c r="I1759" s="1">
        <v>45205.888009259259</v>
      </c>
      <c r="J1759" s="1">
        <v>45203.929675925923</v>
      </c>
      <c r="K1759" s="2">
        <v>45203.924073136572</v>
      </c>
      <c r="L1759" t="s">
        <v>28</v>
      </c>
      <c r="M1759" s="2">
        <v>45204.125988356478</v>
      </c>
      <c r="N1759" t="s">
        <v>28</v>
      </c>
      <c r="O1759" s="2">
        <v>45205.220985925924</v>
      </c>
      <c r="P1759">
        <v>9</v>
      </c>
      <c r="Q1759">
        <v>2</v>
      </c>
      <c r="R1759" t="s">
        <v>29</v>
      </c>
      <c r="S1759" t="s">
        <v>30</v>
      </c>
      <c r="T1759" t="s">
        <v>57</v>
      </c>
      <c r="U1759">
        <v>51.165691000000002</v>
      </c>
      <c r="V1759">
        <v>10.451525999999999</v>
      </c>
      <c r="W1759" t="str">
        <f t="shared" si="190"/>
        <v>ok</v>
      </c>
      <c r="X1759" t="str">
        <f t="shared" si="196"/>
        <v>ok</v>
      </c>
      <c r="Y1759" t="str">
        <f t="shared" si="191"/>
        <v>ok</v>
      </c>
      <c r="Z1759" t="str">
        <f t="shared" si="192"/>
        <v>ok</v>
      </c>
      <c r="AA1759" s="4" t="str">
        <f t="shared" si="193"/>
        <v>ok</v>
      </c>
      <c r="AB1759" s="4" t="str">
        <f t="shared" si="194"/>
        <v>ok</v>
      </c>
      <c r="AC1759" s="6">
        <f t="shared" si="195"/>
        <v>5.711498333257623</v>
      </c>
    </row>
    <row r="1760" spans="1:29" x14ac:dyDescent="0.3">
      <c r="A1760" t="s">
        <v>22</v>
      </c>
      <c r="B1760">
        <v>3245</v>
      </c>
      <c r="C1760" t="s">
        <v>33</v>
      </c>
      <c r="D1760" t="s">
        <v>24</v>
      </c>
      <c r="E1760" t="s">
        <v>39</v>
      </c>
      <c r="F1760" t="s">
        <v>26</v>
      </c>
      <c r="G1760" t="s">
        <v>49</v>
      </c>
      <c r="H1760" s="1">
        <v>45203.156793981485</v>
      </c>
      <c r="I1760" s="1">
        <v>45205.156793981485</v>
      </c>
      <c r="J1760" s="1">
        <v>45203.198460648149</v>
      </c>
      <c r="K1760" s="2">
        <v>45203.180205509256</v>
      </c>
      <c r="L1760" t="s">
        <v>28</v>
      </c>
      <c r="M1760" s="2">
        <v>45204.554609166669</v>
      </c>
      <c r="N1760" t="s">
        <v>28</v>
      </c>
      <c r="O1760" s="2">
        <v>45210.143511631948</v>
      </c>
      <c r="P1760">
        <v>8</v>
      </c>
      <c r="Q1760">
        <v>3</v>
      </c>
      <c r="R1760" t="s">
        <v>50</v>
      </c>
      <c r="S1760" t="s">
        <v>30</v>
      </c>
      <c r="T1760" t="s">
        <v>53</v>
      </c>
      <c r="U1760">
        <v>39.368279000000001</v>
      </c>
      <c r="V1760">
        <v>21.863140999999999</v>
      </c>
      <c r="W1760" t="str">
        <f t="shared" si="190"/>
        <v>ok</v>
      </c>
      <c r="X1760" t="str">
        <f t="shared" si="196"/>
        <v>ok</v>
      </c>
      <c r="Y1760" t="str">
        <f t="shared" si="191"/>
        <v>ok</v>
      </c>
      <c r="Z1760" t="str">
        <f t="shared" si="192"/>
        <v>ok</v>
      </c>
      <c r="AA1760" s="4" t="str">
        <f t="shared" si="193"/>
        <v>ok</v>
      </c>
      <c r="AB1760" s="4" t="str">
        <f t="shared" si="194"/>
        <v>ok</v>
      </c>
      <c r="AC1760" s="6">
        <f t="shared" si="195"/>
        <v>33.547564444423188</v>
      </c>
    </row>
    <row r="1761" spans="1:29" x14ac:dyDescent="0.3">
      <c r="A1761" t="s">
        <v>22</v>
      </c>
      <c r="B1761">
        <v>3246</v>
      </c>
      <c r="C1761" t="s">
        <v>23</v>
      </c>
      <c r="D1761" t="s">
        <v>24</v>
      </c>
      <c r="E1761" t="s">
        <v>35</v>
      </c>
      <c r="F1761" t="s">
        <v>26</v>
      </c>
      <c r="G1761" t="s">
        <v>45</v>
      </c>
      <c r="H1761" s="1">
        <v>45203.563009259262</v>
      </c>
      <c r="I1761" s="1">
        <v>45205.563009259262</v>
      </c>
      <c r="J1761" s="1">
        <v>45203.604675925926</v>
      </c>
      <c r="K1761" s="2">
        <v>45203.592165243055</v>
      </c>
      <c r="L1761" t="s">
        <v>28</v>
      </c>
      <c r="M1761" s="2">
        <v>45207.174998206021</v>
      </c>
      <c r="N1761" t="s">
        <v>38</v>
      </c>
      <c r="O1761" s="2">
        <v>45208.771024502312</v>
      </c>
      <c r="P1761">
        <v>7</v>
      </c>
      <c r="Q1761">
        <v>3</v>
      </c>
      <c r="R1761" t="s">
        <v>50</v>
      </c>
      <c r="S1761" t="s">
        <v>30</v>
      </c>
      <c r="T1761" t="s">
        <v>58</v>
      </c>
      <c r="U1761">
        <v>49.8037633</v>
      </c>
      <c r="V1761">
        <v>15.4749126</v>
      </c>
      <c r="W1761" t="str">
        <f t="shared" si="190"/>
        <v>ok</v>
      </c>
      <c r="X1761" t="str">
        <f t="shared" si="196"/>
        <v>ok</v>
      </c>
      <c r="Y1761" t="str">
        <f t="shared" si="191"/>
        <v>ok</v>
      </c>
      <c r="Z1761" t="str">
        <f t="shared" si="192"/>
        <v>ok</v>
      </c>
      <c r="AA1761" s="4" t="str">
        <f t="shared" si="193"/>
        <v>ok</v>
      </c>
      <c r="AB1761" s="4" t="str">
        <f t="shared" si="194"/>
        <v>ok</v>
      </c>
      <c r="AC1761" s="6">
        <f t="shared" si="195"/>
        <v>86.687734722218011</v>
      </c>
    </row>
    <row r="1762" spans="1:29" x14ac:dyDescent="0.3">
      <c r="A1762" t="s">
        <v>42</v>
      </c>
      <c r="B1762">
        <v>3247</v>
      </c>
      <c r="C1762" t="s">
        <v>23</v>
      </c>
      <c r="D1762" t="s">
        <v>43</v>
      </c>
      <c r="E1762" t="s">
        <v>35</v>
      </c>
      <c r="F1762" t="s">
        <v>36</v>
      </c>
      <c r="G1762" t="s">
        <v>37</v>
      </c>
      <c r="H1762" s="1">
        <v>45203.022268518522</v>
      </c>
      <c r="I1762" s="1">
        <v>45204.022268518522</v>
      </c>
      <c r="J1762" s="1">
        <v>45203.023657407408</v>
      </c>
      <c r="K1762" s="2">
        <v>45203.023580428242</v>
      </c>
      <c r="L1762" t="s">
        <v>28</v>
      </c>
      <c r="M1762" s="2">
        <v>45203.475871585651</v>
      </c>
      <c r="N1762" t="s">
        <v>28</v>
      </c>
      <c r="P1762">
        <v>2</v>
      </c>
      <c r="R1762" t="s">
        <v>29</v>
      </c>
      <c r="S1762" t="s">
        <v>40</v>
      </c>
      <c r="T1762" t="s">
        <v>63</v>
      </c>
      <c r="U1762">
        <v>55.378051999999997</v>
      </c>
      <c r="V1762">
        <v>-3.4359730000000002</v>
      </c>
      <c r="W1762" t="str">
        <f t="shared" si="190"/>
        <v>ok</v>
      </c>
      <c r="X1762" t="str">
        <f t="shared" si="196"/>
        <v>ok</v>
      </c>
      <c r="Y1762" t="str">
        <f t="shared" si="191"/>
        <v>ok</v>
      </c>
      <c r="Z1762" t="str">
        <f t="shared" si="192"/>
        <v>ok</v>
      </c>
      <c r="AA1762" s="4" t="str">
        <f t="shared" si="193"/>
        <v>ok</v>
      </c>
      <c r="AB1762" s="4" t="str">
        <f t="shared" si="194"/>
        <v>ok</v>
      </c>
      <c r="AC1762" s="6">
        <f t="shared" si="195"/>
        <v>10.886473611113615</v>
      </c>
    </row>
    <row r="1763" spans="1:29" x14ac:dyDescent="0.3">
      <c r="A1763" t="s">
        <v>42</v>
      </c>
      <c r="B1763">
        <v>3248</v>
      </c>
      <c r="C1763" t="s">
        <v>47</v>
      </c>
      <c r="D1763" t="s">
        <v>24</v>
      </c>
      <c r="E1763" t="s">
        <v>35</v>
      </c>
      <c r="F1763" t="s">
        <v>26</v>
      </c>
      <c r="G1763" t="s">
        <v>60</v>
      </c>
      <c r="H1763" s="1">
        <v>45203.294259259259</v>
      </c>
      <c r="I1763" s="1">
        <v>45205.294259259259</v>
      </c>
      <c r="J1763" s="1">
        <v>45203.335925925923</v>
      </c>
      <c r="K1763" s="2">
        <v>45203.311448321758</v>
      </c>
      <c r="L1763" t="s">
        <v>28</v>
      </c>
      <c r="M1763" s="2">
        <v>45203.660919513888</v>
      </c>
      <c r="N1763" t="s">
        <v>28</v>
      </c>
      <c r="P1763">
        <v>1</v>
      </c>
      <c r="R1763" t="s">
        <v>55</v>
      </c>
      <c r="S1763" t="s">
        <v>30</v>
      </c>
      <c r="T1763" t="s">
        <v>61</v>
      </c>
      <c r="U1763">
        <v>42.724992499999999</v>
      </c>
      <c r="V1763">
        <v>25.483303899999999</v>
      </c>
      <c r="W1763" t="str">
        <f t="shared" si="190"/>
        <v>ok</v>
      </c>
      <c r="X1763" t="str">
        <f t="shared" si="196"/>
        <v>ok</v>
      </c>
      <c r="Y1763" t="str">
        <f t="shared" si="191"/>
        <v>ok</v>
      </c>
      <c r="Z1763" t="str">
        <f t="shared" si="192"/>
        <v>ok</v>
      </c>
      <c r="AA1763" s="4" t="str">
        <f t="shared" si="193"/>
        <v>ok</v>
      </c>
      <c r="AB1763" s="4" t="str">
        <f t="shared" si="194"/>
        <v>ok</v>
      </c>
      <c r="AC1763" s="6">
        <f t="shared" si="195"/>
        <v>8.7998461110983044</v>
      </c>
    </row>
    <row r="1764" spans="1:29" x14ac:dyDescent="0.3">
      <c r="A1764" t="s">
        <v>42</v>
      </c>
      <c r="B1764">
        <v>3249</v>
      </c>
      <c r="C1764" t="s">
        <v>47</v>
      </c>
      <c r="D1764" t="s">
        <v>24</v>
      </c>
      <c r="E1764" t="s">
        <v>35</v>
      </c>
      <c r="F1764" t="s">
        <v>26</v>
      </c>
      <c r="G1764" t="s">
        <v>27</v>
      </c>
      <c r="H1764" s="1">
        <v>45203.396805555552</v>
      </c>
      <c r="I1764" s="1">
        <v>45205.396805555552</v>
      </c>
      <c r="J1764" s="1">
        <v>45203.438472222224</v>
      </c>
      <c r="K1764" s="2">
        <v>45203.408715173609</v>
      </c>
      <c r="L1764" t="s">
        <v>28</v>
      </c>
      <c r="M1764" s="2">
        <v>45204.957844178243</v>
      </c>
      <c r="N1764" t="s">
        <v>28</v>
      </c>
      <c r="P1764">
        <v>10</v>
      </c>
      <c r="R1764" t="s">
        <v>50</v>
      </c>
      <c r="S1764" t="s">
        <v>30</v>
      </c>
      <c r="T1764" t="s">
        <v>51</v>
      </c>
      <c r="U1764">
        <v>39.673369999999998</v>
      </c>
      <c r="V1764">
        <v>-4.7677259999999997</v>
      </c>
      <c r="W1764" t="str">
        <f t="shared" si="190"/>
        <v>ok</v>
      </c>
      <c r="X1764" t="str">
        <f t="shared" si="196"/>
        <v>ok</v>
      </c>
      <c r="Y1764" t="str">
        <f t="shared" si="191"/>
        <v>ok</v>
      </c>
      <c r="Z1764" t="str">
        <f t="shared" si="192"/>
        <v>ok</v>
      </c>
      <c r="AA1764" s="4" t="str">
        <f t="shared" si="193"/>
        <v>ok</v>
      </c>
      <c r="AB1764" s="4" t="str">
        <f t="shared" si="194"/>
        <v>ok</v>
      </c>
      <c r="AC1764" s="6">
        <f t="shared" si="195"/>
        <v>37.464926944579929</v>
      </c>
    </row>
    <row r="1765" spans="1:29" x14ac:dyDescent="0.3">
      <c r="A1765" t="s">
        <v>32</v>
      </c>
      <c r="B1765">
        <v>3250</v>
      </c>
      <c r="C1765" t="s">
        <v>23</v>
      </c>
      <c r="D1765" t="s">
        <v>24</v>
      </c>
      <c r="E1765" t="s">
        <v>35</v>
      </c>
      <c r="F1765" t="s">
        <v>26</v>
      </c>
      <c r="G1765" t="s">
        <v>60</v>
      </c>
      <c r="H1765" s="1">
        <v>45204.215740740743</v>
      </c>
      <c r="I1765" s="1">
        <v>45206.215740740743</v>
      </c>
      <c r="J1765" s="1">
        <v>45204.257407407407</v>
      </c>
      <c r="K1765" s="2">
        <v>45204.236969050929</v>
      </c>
      <c r="L1765" t="s">
        <v>28</v>
      </c>
      <c r="N1765" t="s">
        <v>38</v>
      </c>
      <c r="P1765">
        <v>1</v>
      </c>
      <c r="R1765" t="s">
        <v>55</v>
      </c>
      <c r="S1765" t="s">
        <v>30</v>
      </c>
      <c r="T1765" t="s">
        <v>63</v>
      </c>
      <c r="U1765">
        <v>55.378051999999997</v>
      </c>
      <c r="V1765">
        <v>-3.4359730000000002</v>
      </c>
      <c r="W1765" t="str">
        <f t="shared" si="190"/>
        <v>ok</v>
      </c>
      <c r="X1765" t="str">
        <f t="shared" si="196"/>
        <v>ok</v>
      </c>
      <c r="Y1765" t="str">
        <f t="shared" si="191"/>
        <v>ok</v>
      </c>
      <c r="Z1765" t="str">
        <f t="shared" si="192"/>
        <v>ok</v>
      </c>
      <c r="AA1765" s="4" t="str">
        <f t="shared" si="193"/>
        <v>ok</v>
      </c>
      <c r="AB1765" s="4" t="str">
        <f t="shared" si="194"/>
        <v>no resolution</v>
      </c>
      <c r="AC1765" s="6" t="str">
        <f t="shared" si="195"/>
        <v/>
      </c>
    </row>
    <row r="1766" spans="1:29" x14ac:dyDescent="0.3">
      <c r="A1766" t="s">
        <v>42</v>
      </c>
      <c r="B1766">
        <v>3251</v>
      </c>
      <c r="C1766" t="s">
        <v>33</v>
      </c>
      <c r="D1766" t="s">
        <v>34</v>
      </c>
      <c r="E1766" t="s">
        <v>39</v>
      </c>
      <c r="F1766" t="s">
        <v>26</v>
      </c>
      <c r="G1766" t="s">
        <v>45</v>
      </c>
      <c r="H1766" s="1">
        <v>45204.698564814818</v>
      </c>
      <c r="I1766" s="1">
        <v>45206.698564814818</v>
      </c>
      <c r="J1766" s="1">
        <v>45204.699953703705</v>
      </c>
      <c r="K1766" s="2">
        <v>45204.699413541668</v>
      </c>
      <c r="L1766" t="s">
        <v>28</v>
      </c>
      <c r="M1766" s="2">
        <v>45205.330761377314</v>
      </c>
      <c r="N1766" t="s">
        <v>28</v>
      </c>
      <c r="P1766">
        <v>3</v>
      </c>
      <c r="R1766" t="s">
        <v>39</v>
      </c>
      <c r="S1766" t="s">
        <v>30</v>
      </c>
      <c r="T1766" t="s">
        <v>56</v>
      </c>
      <c r="U1766">
        <v>52.536273000000001</v>
      </c>
      <c r="V1766">
        <v>19.050639</v>
      </c>
      <c r="W1766" t="str">
        <f t="shared" si="190"/>
        <v>ok</v>
      </c>
      <c r="X1766" t="str">
        <f t="shared" si="196"/>
        <v>ok</v>
      </c>
      <c r="Y1766" t="str">
        <f t="shared" si="191"/>
        <v>ok</v>
      </c>
      <c r="Z1766" t="str">
        <f t="shared" si="192"/>
        <v>ok</v>
      </c>
      <c r="AA1766" s="4" t="str">
        <f t="shared" si="193"/>
        <v>ok</v>
      </c>
      <c r="AB1766" s="4" t="str">
        <f t="shared" si="194"/>
        <v>ok</v>
      </c>
      <c r="AC1766" s="6">
        <f t="shared" si="195"/>
        <v>15.172717499895953</v>
      </c>
    </row>
    <row r="1767" spans="1:29" x14ac:dyDescent="0.3">
      <c r="A1767" t="s">
        <v>22</v>
      </c>
      <c r="B1767">
        <v>3252</v>
      </c>
      <c r="C1767" t="s">
        <v>33</v>
      </c>
      <c r="D1767" t="s">
        <v>24</v>
      </c>
      <c r="E1767" t="s">
        <v>35</v>
      </c>
      <c r="F1767" t="s">
        <v>26</v>
      </c>
      <c r="G1767" t="s">
        <v>49</v>
      </c>
      <c r="H1767" s="1">
        <v>45204.170891203707</v>
      </c>
      <c r="I1767" s="1">
        <v>45206.170891203707</v>
      </c>
      <c r="J1767" s="1">
        <v>45204.212557870371</v>
      </c>
      <c r="K1767" s="2">
        <v>45204.18041458333</v>
      </c>
      <c r="L1767" t="s">
        <v>28</v>
      </c>
      <c r="M1767" s="2">
        <v>45209.544408935188</v>
      </c>
      <c r="N1767" t="s">
        <v>38</v>
      </c>
      <c r="O1767" s="2">
        <v>45210.840791273149</v>
      </c>
      <c r="P1767">
        <v>4</v>
      </c>
      <c r="Q1767">
        <v>5</v>
      </c>
      <c r="R1767" t="s">
        <v>50</v>
      </c>
      <c r="S1767" t="s">
        <v>30</v>
      </c>
      <c r="T1767" t="s">
        <v>56</v>
      </c>
      <c r="U1767">
        <v>52.536273000000001</v>
      </c>
      <c r="V1767">
        <v>19.050639</v>
      </c>
      <c r="W1767" t="str">
        <f t="shared" si="190"/>
        <v>ok</v>
      </c>
      <c r="X1767" t="str">
        <f t="shared" si="196"/>
        <v>ok</v>
      </c>
      <c r="Y1767" t="str">
        <f t="shared" si="191"/>
        <v>ok</v>
      </c>
      <c r="Z1767" t="str">
        <f t="shared" si="192"/>
        <v>ok</v>
      </c>
      <c r="AA1767" s="4" t="str">
        <f t="shared" si="193"/>
        <v>ok</v>
      </c>
      <c r="AB1767" s="4" t="str">
        <f t="shared" si="194"/>
        <v>ok</v>
      </c>
      <c r="AC1767" s="6">
        <f t="shared" si="195"/>
        <v>128.96442555554677</v>
      </c>
    </row>
    <row r="1768" spans="1:29" x14ac:dyDescent="0.3">
      <c r="A1768" t="s">
        <v>22</v>
      </c>
      <c r="B1768">
        <v>3253</v>
      </c>
      <c r="C1768" t="s">
        <v>23</v>
      </c>
      <c r="D1768" t="s">
        <v>24</v>
      </c>
      <c r="E1768" t="s">
        <v>48</v>
      </c>
      <c r="F1768" t="s">
        <v>26</v>
      </c>
      <c r="G1768" t="s">
        <v>27</v>
      </c>
      <c r="H1768" s="1">
        <v>45204.521296296298</v>
      </c>
      <c r="I1768" s="1">
        <v>45206.521296296298</v>
      </c>
      <c r="J1768" s="1">
        <v>45204.562962962962</v>
      </c>
      <c r="K1768" s="2">
        <v>45204.541368043981</v>
      </c>
      <c r="L1768" t="s">
        <v>28</v>
      </c>
      <c r="M1768" s="2">
        <v>45205.200509131944</v>
      </c>
      <c r="N1768" t="s">
        <v>28</v>
      </c>
      <c r="O1768" s="2">
        <v>45208.826713101851</v>
      </c>
      <c r="P1768">
        <v>6</v>
      </c>
      <c r="Q1768">
        <v>4</v>
      </c>
      <c r="R1768" t="s">
        <v>50</v>
      </c>
      <c r="S1768" t="s">
        <v>30</v>
      </c>
      <c r="T1768" t="s">
        <v>65</v>
      </c>
      <c r="U1768">
        <v>46.149166399999999</v>
      </c>
      <c r="V1768">
        <v>14.9860106</v>
      </c>
      <c r="W1768" t="str">
        <f t="shared" si="190"/>
        <v>ok</v>
      </c>
      <c r="X1768" t="str">
        <f t="shared" si="196"/>
        <v>ok</v>
      </c>
      <c r="Y1768" t="str">
        <f t="shared" si="191"/>
        <v>ok</v>
      </c>
      <c r="Z1768" t="str">
        <f t="shared" si="192"/>
        <v>ok</v>
      </c>
      <c r="AA1768" s="4" t="str">
        <f t="shared" si="193"/>
        <v>ok</v>
      </c>
      <c r="AB1768" s="4" t="str">
        <f t="shared" si="194"/>
        <v>ok</v>
      </c>
      <c r="AC1768" s="6">
        <f t="shared" si="195"/>
        <v>16.301108055515215</v>
      </c>
    </row>
    <row r="1769" spans="1:29" x14ac:dyDescent="0.3">
      <c r="A1769" t="s">
        <v>42</v>
      </c>
      <c r="B1769">
        <v>3254</v>
      </c>
      <c r="C1769" t="s">
        <v>33</v>
      </c>
      <c r="D1769" t="s">
        <v>24</v>
      </c>
      <c r="E1769" t="s">
        <v>25</v>
      </c>
      <c r="F1769" t="s">
        <v>26</v>
      </c>
      <c r="G1769" t="s">
        <v>52</v>
      </c>
      <c r="H1769" s="1">
        <v>45204.908437500002</v>
      </c>
      <c r="I1769" s="1">
        <v>45206.908437500002</v>
      </c>
      <c r="J1769" s="1">
        <v>45204.950104166666</v>
      </c>
      <c r="K1769" s="2">
        <v>45204.938930567128</v>
      </c>
      <c r="L1769" t="s">
        <v>28</v>
      </c>
      <c r="M1769" s="2">
        <v>45206.325887800929</v>
      </c>
      <c r="N1769" t="s">
        <v>28</v>
      </c>
      <c r="P1769">
        <v>3</v>
      </c>
      <c r="R1769" t="s">
        <v>50</v>
      </c>
      <c r="S1769" t="s">
        <v>30</v>
      </c>
      <c r="T1769" t="s">
        <v>66</v>
      </c>
      <c r="U1769">
        <v>48.864716000000001</v>
      </c>
      <c r="V1769">
        <v>2.3490139999999999</v>
      </c>
      <c r="W1769" t="str">
        <f t="shared" si="190"/>
        <v>ok</v>
      </c>
      <c r="X1769" t="str">
        <f t="shared" si="196"/>
        <v>ok</v>
      </c>
      <c r="Y1769" t="str">
        <f t="shared" si="191"/>
        <v>ok</v>
      </c>
      <c r="Z1769" t="str">
        <f t="shared" si="192"/>
        <v>ok</v>
      </c>
      <c r="AA1769" s="4" t="str">
        <f t="shared" si="193"/>
        <v>ok</v>
      </c>
      <c r="AB1769" s="4" t="str">
        <f t="shared" si="194"/>
        <v>ok</v>
      </c>
      <c r="AC1769" s="6">
        <f t="shared" si="195"/>
        <v>34.01880722225178</v>
      </c>
    </row>
    <row r="1770" spans="1:29" x14ac:dyDescent="0.3">
      <c r="A1770" t="s">
        <v>32</v>
      </c>
      <c r="B1770">
        <v>3255</v>
      </c>
      <c r="C1770" t="s">
        <v>23</v>
      </c>
      <c r="D1770" t="s">
        <v>24</v>
      </c>
      <c r="E1770" t="s">
        <v>48</v>
      </c>
      <c r="F1770" t="s">
        <v>36</v>
      </c>
      <c r="G1770" t="s">
        <v>37</v>
      </c>
      <c r="H1770" s="1">
        <v>45204.253159722219</v>
      </c>
      <c r="I1770" s="1">
        <v>45206.253159722219</v>
      </c>
      <c r="J1770" s="1">
        <v>45204.29482638889</v>
      </c>
      <c r="K1770" s="2">
        <v>45204.261585370368</v>
      </c>
      <c r="L1770" t="s">
        <v>28</v>
      </c>
      <c r="N1770" t="s">
        <v>38</v>
      </c>
      <c r="P1770">
        <v>1</v>
      </c>
      <c r="R1770" t="s">
        <v>50</v>
      </c>
      <c r="S1770" t="s">
        <v>40</v>
      </c>
      <c r="T1770" t="s">
        <v>41</v>
      </c>
      <c r="U1770">
        <v>43.036776000000003</v>
      </c>
      <c r="V1770">
        <v>12.678565000000001</v>
      </c>
      <c r="W1770" t="str">
        <f t="shared" si="190"/>
        <v>ok</v>
      </c>
      <c r="X1770" t="str">
        <f t="shared" si="196"/>
        <v>ok</v>
      </c>
      <c r="Y1770" t="str">
        <f t="shared" si="191"/>
        <v>ok</v>
      </c>
      <c r="Z1770" t="str">
        <f t="shared" si="192"/>
        <v>ok</v>
      </c>
      <c r="AA1770" s="4" t="str">
        <f t="shared" si="193"/>
        <v>ok</v>
      </c>
      <c r="AB1770" s="4" t="str">
        <f t="shared" si="194"/>
        <v>no resolution</v>
      </c>
      <c r="AC1770" s="6" t="str">
        <f t="shared" si="195"/>
        <v/>
      </c>
    </row>
    <row r="1771" spans="1:29" x14ac:dyDescent="0.3">
      <c r="A1771" t="s">
        <v>22</v>
      </c>
      <c r="B1771">
        <v>3256</v>
      </c>
      <c r="C1771" t="s">
        <v>23</v>
      </c>
      <c r="D1771" t="s">
        <v>43</v>
      </c>
      <c r="E1771" t="s">
        <v>62</v>
      </c>
      <c r="F1771" t="s">
        <v>26</v>
      </c>
      <c r="G1771" t="s">
        <v>27</v>
      </c>
      <c r="H1771" s="1">
        <v>45204.280613425923</v>
      </c>
      <c r="I1771" s="1">
        <v>45205.280613425923</v>
      </c>
      <c r="J1771" s="1">
        <v>45204.282002314816</v>
      </c>
      <c r="K1771" s="2">
        <v>45204.281566006946</v>
      </c>
      <c r="L1771" t="s">
        <v>28</v>
      </c>
      <c r="M1771" s="2">
        <v>45208.766022222226</v>
      </c>
      <c r="N1771" t="s">
        <v>38</v>
      </c>
      <c r="O1771" s="2">
        <v>45208.805131284724</v>
      </c>
      <c r="P1771">
        <v>6</v>
      </c>
      <c r="Q1771">
        <v>4</v>
      </c>
      <c r="R1771" t="s">
        <v>55</v>
      </c>
      <c r="S1771" t="s">
        <v>30</v>
      </c>
      <c r="T1771" t="s">
        <v>46</v>
      </c>
      <c r="U1771">
        <v>47.696471899999999</v>
      </c>
      <c r="V1771">
        <v>13.3457347</v>
      </c>
      <c r="W1771" t="str">
        <f t="shared" si="190"/>
        <v>ok</v>
      </c>
      <c r="X1771" t="str">
        <f t="shared" si="196"/>
        <v>ok</v>
      </c>
      <c r="Y1771" t="str">
        <f t="shared" si="191"/>
        <v>ok</v>
      </c>
      <c r="Z1771" t="str">
        <f t="shared" si="192"/>
        <v>ok</v>
      </c>
      <c r="AA1771" s="4" t="str">
        <f t="shared" si="193"/>
        <v>ok</v>
      </c>
      <c r="AB1771" s="4" t="str">
        <f t="shared" si="194"/>
        <v>ok</v>
      </c>
      <c r="AC1771" s="6">
        <f t="shared" si="195"/>
        <v>107.64981111127418</v>
      </c>
    </row>
    <row r="1772" spans="1:29" x14ac:dyDescent="0.3">
      <c r="A1772" t="s">
        <v>42</v>
      </c>
      <c r="B1772">
        <v>3257</v>
      </c>
      <c r="C1772" t="s">
        <v>47</v>
      </c>
      <c r="D1772" t="s">
        <v>24</v>
      </c>
      <c r="E1772" t="s">
        <v>25</v>
      </c>
      <c r="F1772" t="s">
        <v>36</v>
      </c>
      <c r="G1772" t="s">
        <v>54</v>
      </c>
      <c r="H1772" s="1">
        <v>45205.137974537036</v>
      </c>
      <c r="I1772" s="1">
        <v>45207.137974537036</v>
      </c>
      <c r="J1772" s="1">
        <v>45205.1796412037</v>
      </c>
      <c r="K1772" s="2">
        <v>45205.151843194442</v>
      </c>
      <c r="L1772" t="s">
        <v>28</v>
      </c>
      <c r="M1772" s="2">
        <v>45205.341049513889</v>
      </c>
      <c r="N1772" t="s">
        <v>28</v>
      </c>
      <c r="P1772">
        <v>1</v>
      </c>
      <c r="R1772" t="s">
        <v>39</v>
      </c>
      <c r="S1772" t="s">
        <v>40</v>
      </c>
      <c r="T1772" t="s">
        <v>63</v>
      </c>
      <c r="U1772">
        <v>55.378051999999997</v>
      </c>
      <c r="V1772">
        <v>-3.4359730000000002</v>
      </c>
      <c r="W1772" t="str">
        <f t="shared" si="190"/>
        <v>ok</v>
      </c>
      <c r="X1772" t="str">
        <f t="shared" si="196"/>
        <v>ok</v>
      </c>
      <c r="Y1772" t="str">
        <f t="shared" si="191"/>
        <v>ok</v>
      </c>
      <c r="Z1772" t="str">
        <f t="shared" si="192"/>
        <v>ok</v>
      </c>
      <c r="AA1772" s="4" t="str">
        <f t="shared" si="193"/>
        <v>ok</v>
      </c>
      <c r="AB1772" s="4" t="str">
        <f t="shared" si="194"/>
        <v>ok</v>
      </c>
      <c r="AC1772" s="6">
        <f t="shared" si="195"/>
        <v>4.873799444467295</v>
      </c>
    </row>
    <row r="1773" spans="1:29" x14ac:dyDescent="0.3">
      <c r="A1773" t="s">
        <v>22</v>
      </c>
      <c r="B1773">
        <v>3258</v>
      </c>
      <c r="C1773" t="s">
        <v>23</v>
      </c>
      <c r="D1773" t="s">
        <v>34</v>
      </c>
      <c r="E1773" t="s">
        <v>48</v>
      </c>
      <c r="F1773" t="s">
        <v>36</v>
      </c>
      <c r="G1773" t="s">
        <v>54</v>
      </c>
      <c r="H1773" s="1">
        <v>45205.334629629629</v>
      </c>
      <c r="I1773" s="1">
        <v>45207.334629629629</v>
      </c>
      <c r="J1773" s="1">
        <v>45205.336018518516</v>
      </c>
      <c r="K1773" s="2">
        <v>45205.335590879629</v>
      </c>
      <c r="L1773" t="s">
        <v>28</v>
      </c>
      <c r="M1773" s="2">
        <v>45206.007285474538</v>
      </c>
      <c r="N1773" t="s">
        <v>28</v>
      </c>
      <c r="O1773" s="2">
        <v>45209.646041168984</v>
      </c>
      <c r="P1773">
        <v>2</v>
      </c>
      <c r="Q1773">
        <v>3</v>
      </c>
      <c r="R1773" t="s">
        <v>50</v>
      </c>
      <c r="S1773" t="s">
        <v>40</v>
      </c>
      <c r="T1773" t="s">
        <v>41</v>
      </c>
      <c r="U1773">
        <v>43.036776000000003</v>
      </c>
      <c r="V1773">
        <v>12.678565000000001</v>
      </c>
      <c r="W1773" t="str">
        <f t="shared" si="190"/>
        <v>ok</v>
      </c>
      <c r="X1773" t="str">
        <f t="shared" si="196"/>
        <v>ok</v>
      </c>
      <c r="Y1773" t="str">
        <f t="shared" si="191"/>
        <v>ok</v>
      </c>
      <c r="Z1773" t="str">
        <f t="shared" si="192"/>
        <v>ok</v>
      </c>
      <c r="AA1773" s="4" t="str">
        <f t="shared" si="193"/>
        <v>ok</v>
      </c>
      <c r="AB1773" s="4" t="str">
        <f t="shared" si="194"/>
        <v>ok</v>
      </c>
      <c r="AC1773" s="6">
        <f t="shared" si="195"/>
        <v>16.143740277795587</v>
      </c>
    </row>
    <row r="1774" spans="1:29" x14ac:dyDescent="0.3">
      <c r="A1774" t="s">
        <v>22</v>
      </c>
      <c r="B1774">
        <v>3259</v>
      </c>
      <c r="C1774" t="s">
        <v>47</v>
      </c>
      <c r="D1774" t="s">
        <v>24</v>
      </c>
      <c r="E1774" t="s">
        <v>48</v>
      </c>
      <c r="F1774" t="s">
        <v>26</v>
      </c>
      <c r="G1774" t="s">
        <v>60</v>
      </c>
      <c r="H1774" s="1">
        <v>45205.887337962966</v>
      </c>
      <c r="I1774" s="1">
        <v>45207.887337962966</v>
      </c>
      <c r="J1774" s="1">
        <v>45205.92900462963</v>
      </c>
      <c r="K1774" s="2">
        <v>45205.891750439812</v>
      </c>
      <c r="L1774" t="s">
        <v>28</v>
      </c>
      <c r="M1774" s="2">
        <v>45207.813122337961</v>
      </c>
      <c r="N1774" t="s">
        <v>28</v>
      </c>
      <c r="O1774" s="2">
        <v>45207.501778124999</v>
      </c>
      <c r="P1774">
        <v>9</v>
      </c>
      <c r="Q1774">
        <v>2</v>
      </c>
      <c r="R1774" t="s">
        <v>29</v>
      </c>
      <c r="S1774" t="s">
        <v>30</v>
      </c>
      <c r="T1774" t="s">
        <v>51</v>
      </c>
      <c r="U1774">
        <v>39.673369999999998</v>
      </c>
      <c r="V1774">
        <v>-4.7677259999999997</v>
      </c>
      <c r="W1774" t="str">
        <f t="shared" si="190"/>
        <v>ok</v>
      </c>
      <c r="X1774" t="str">
        <f t="shared" si="196"/>
        <v>ok</v>
      </c>
      <c r="Y1774" t="str">
        <f t="shared" si="191"/>
        <v>check</v>
      </c>
      <c r="Z1774" t="str">
        <f t="shared" si="192"/>
        <v>ok</v>
      </c>
      <c r="AA1774" s="4" t="str">
        <f t="shared" si="193"/>
        <v>ok</v>
      </c>
      <c r="AB1774" s="4" t="str">
        <f t="shared" si="194"/>
        <v>ok</v>
      </c>
      <c r="AC1774" s="6">
        <f t="shared" si="195"/>
        <v>46.218824999872595</v>
      </c>
    </row>
    <row r="1775" spans="1:29" x14ac:dyDescent="0.3">
      <c r="A1775" t="s">
        <v>32</v>
      </c>
      <c r="B1775">
        <v>3260</v>
      </c>
      <c r="C1775" t="s">
        <v>47</v>
      </c>
      <c r="D1775" t="s">
        <v>43</v>
      </c>
      <c r="E1775" t="s">
        <v>62</v>
      </c>
      <c r="F1775" t="s">
        <v>26</v>
      </c>
      <c r="G1775" t="s">
        <v>52</v>
      </c>
      <c r="H1775" s="1">
        <v>45205.610196759262</v>
      </c>
      <c r="I1775" s="1">
        <v>45206.610196759262</v>
      </c>
      <c r="J1775" s="1">
        <v>45205.611585648148</v>
      </c>
      <c r="K1775" s="2">
        <v>45205.610800254632</v>
      </c>
      <c r="L1775" t="s">
        <v>28</v>
      </c>
      <c r="N1775" t="s">
        <v>38</v>
      </c>
      <c r="P1775">
        <v>5</v>
      </c>
      <c r="R1775" t="s">
        <v>55</v>
      </c>
      <c r="S1775" t="s">
        <v>30</v>
      </c>
      <c r="T1775" t="s">
        <v>63</v>
      </c>
      <c r="U1775">
        <v>55.378051999999997</v>
      </c>
      <c r="V1775">
        <v>-3.4359730000000002</v>
      </c>
      <c r="W1775" t="str">
        <f t="shared" si="190"/>
        <v>ok</v>
      </c>
      <c r="X1775" t="str">
        <f t="shared" si="196"/>
        <v>ok</v>
      </c>
      <c r="Y1775" t="str">
        <f t="shared" si="191"/>
        <v>ok</v>
      </c>
      <c r="Z1775" t="str">
        <f t="shared" si="192"/>
        <v>ok</v>
      </c>
      <c r="AA1775" s="4" t="str">
        <f t="shared" si="193"/>
        <v>ok</v>
      </c>
      <c r="AB1775" s="4" t="str">
        <f t="shared" si="194"/>
        <v>no resolution</v>
      </c>
      <c r="AC1775" s="6" t="str">
        <f t="shared" si="195"/>
        <v/>
      </c>
    </row>
    <row r="1776" spans="1:29" x14ac:dyDescent="0.3">
      <c r="A1776" t="s">
        <v>22</v>
      </c>
      <c r="B1776">
        <v>3261</v>
      </c>
      <c r="C1776" t="s">
        <v>23</v>
      </c>
      <c r="D1776" t="s">
        <v>43</v>
      </c>
      <c r="E1776" t="s">
        <v>25</v>
      </c>
      <c r="F1776" t="s">
        <v>26</v>
      </c>
      <c r="G1776" t="s">
        <v>60</v>
      </c>
      <c r="H1776" s="1">
        <v>45205.307974537034</v>
      </c>
      <c r="I1776" s="1">
        <v>45206.307974537034</v>
      </c>
      <c r="J1776" s="1">
        <v>45205.309363425928</v>
      </c>
      <c r="K1776" s="2">
        <v>45205.308780219908</v>
      </c>
      <c r="L1776" t="s">
        <v>28</v>
      </c>
      <c r="M1776" s="2">
        <v>45205.679740081017</v>
      </c>
      <c r="N1776" t="s">
        <v>28</v>
      </c>
      <c r="O1776" s="2">
        <v>45207.616708217596</v>
      </c>
      <c r="P1776">
        <v>6</v>
      </c>
      <c r="Q1776">
        <v>3</v>
      </c>
      <c r="R1776" t="s">
        <v>29</v>
      </c>
      <c r="S1776" t="s">
        <v>30</v>
      </c>
      <c r="T1776" t="s">
        <v>41</v>
      </c>
      <c r="U1776">
        <v>43.036776000000003</v>
      </c>
      <c r="V1776">
        <v>12.678565000000001</v>
      </c>
      <c r="W1776" t="str">
        <f t="shared" si="190"/>
        <v>ok</v>
      </c>
      <c r="X1776" t="str">
        <f t="shared" si="196"/>
        <v>ok</v>
      </c>
      <c r="Y1776" t="str">
        <f t="shared" si="191"/>
        <v>ok</v>
      </c>
      <c r="Z1776" t="str">
        <f t="shared" si="192"/>
        <v>ok</v>
      </c>
      <c r="AA1776" s="4" t="str">
        <f t="shared" si="193"/>
        <v>ok</v>
      </c>
      <c r="AB1776" s="4" t="str">
        <f t="shared" si="194"/>
        <v>ok</v>
      </c>
      <c r="AC1776" s="6">
        <f t="shared" si="195"/>
        <v>8.9223730555968359</v>
      </c>
    </row>
    <row r="1777" spans="1:29" x14ac:dyDescent="0.3">
      <c r="A1777" t="s">
        <v>42</v>
      </c>
      <c r="B1777">
        <v>3262</v>
      </c>
      <c r="C1777" t="s">
        <v>23</v>
      </c>
      <c r="D1777" t="s">
        <v>34</v>
      </c>
      <c r="E1777" t="s">
        <v>35</v>
      </c>
      <c r="F1777" t="s">
        <v>26</v>
      </c>
      <c r="G1777" t="s">
        <v>45</v>
      </c>
      <c r="H1777" s="1">
        <v>45205.246620370373</v>
      </c>
      <c r="I1777" s="1">
        <v>45207.246620370373</v>
      </c>
      <c r="J1777" s="1">
        <v>45205.24800925926</v>
      </c>
      <c r="K1777" s="2">
        <v>45205.247559675925</v>
      </c>
      <c r="L1777" t="s">
        <v>28</v>
      </c>
      <c r="M1777" s="2">
        <v>45206.785501099534</v>
      </c>
      <c r="N1777" t="s">
        <v>28</v>
      </c>
      <c r="P1777">
        <v>5</v>
      </c>
      <c r="R1777" t="s">
        <v>50</v>
      </c>
      <c r="S1777" t="s">
        <v>30</v>
      </c>
      <c r="T1777" t="s">
        <v>58</v>
      </c>
      <c r="U1777">
        <v>49.8037633</v>
      </c>
      <c r="V1777">
        <v>15.4749126</v>
      </c>
      <c r="W1777" t="str">
        <f t="shared" si="190"/>
        <v>ok</v>
      </c>
      <c r="X1777" t="str">
        <f t="shared" si="196"/>
        <v>ok</v>
      </c>
      <c r="Y1777" t="str">
        <f t="shared" si="191"/>
        <v>ok</v>
      </c>
      <c r="Z1777" t="str">
        <f t="shared" si="192"/>
        <v>ok</v>
      </c>
      <c r="AA1777" s="4" t="str">
        <f t="shared" si="193"/>
        <v>ok</v>
      </c>
      <c r="AB1777" s="4" t="str">
        <f t="shared" si="194"/>
        <v>ok</v>
      </c>
      <c r="AC1777" s="6">
        <f t="shared" si="195"/>
        <v>36.933137499843724</v>
      </c>
    </row>
    <row r="1778" spans="1:29" x14ac:dyDescent="0.3">
      <c r="A1778" t="s">
        <v>22</v>
      </c>
      <c r="B1778">
        <v>3263</v>
      </c>
      <c r="C1778" t="s">
        <v>47</v>
      </c>
      <c r="D1778" t="s">
        <v>24</v>
      </c>
      <c r="E1778" t="s">
        <v>35</v>
      </c>
      <c r="F1778" t="s">
        <v>26</v>
      </c>
      <c r="G1778" t="s">
        <v>52</v>
      </c>
      <c r="H1778" s="1">
        <v>45205.132418981484</v>
      </c>
      <c r="I1778" s="1">
        <v>45207.132418981484</v>
      </c>
      <c r="J1778" s="1">
        <v>45205.174085648148</v>
      </c>
      <c r="K1778" s="2">
        <v>45205.142008391202</v>
      </c>
      <c r="L1778" t="s">
        <v>28</v>
      </c>
      <c r="M1778" s="2">
        <v>45209.747869606479</v>
      </c>
      <c r="N1778" t="s">
        <v>38</v>
      </c>
      <c r="O1778" s="2">
        <v>45211.706206539355</v>
      </c>
      <c r="P1778">
        <v>2</v>
      </c>
      <c r="Q1778">
        <v>3</v>
      </c>
      <c r="R1778" t="s">
        <v>29</v>
      </c>
      <c r="S1778" t="s">
        <v>30</v>
      </c>
      <c r="T1778" t="s">
        <v>41</v>
      </c>
      <c r="U1778">
        <v>43.036776000000003</v>
      </c>
      <c r="V1778">
        <v>12.678565000000001</v>
      </c>
      <c r="W1778" t="str">
        <f t="shared" si="190"/>
        <v>ok</v>
      </c>
      <c r="X1778" t="str">
        <f t="shared" si="196"/>
        <v>ok</v>
      </c>
      <c r="Y1778" t="str">
        <f t="shared" si="191"/>
        <v>ok</v>
      </c>
      <c r="Z1778" t="str">
        <f t="shared" si="192"/>
        <v>ok</v>
      </c>
      <c r="AA1778" s="4" t="str">
        <f t="shared" si="193"/>
        <v>ok</v>
      </c>
      <c r="AB1778" s="4" t="str">
        <f t="shared" si="194"/>
        <v>ok</v>
      </c>
      <c r="AC1778" s="6">
        <f t="shared" si="195"/>
        <v>110.7708149998798</v>
      </c>
    </row>
    <row r="1779" spans="1:29" x14ac:dyDescent="0.3">
      <c r="A1779" t="s">
        <v>22</v>
      </c>
      <c r="B1779">
        <v>3264</v>
      </c>
      <c r="C1779" t="s">
        <v>47</v>
      </c>
      <c r="D1779" t="s">
        <v>43</v>
      </c>
      <c r="E1779" t="s">
        <v>25</v>
      </c>
      <c r="F1779" t="s">
        <v>26</v>
      </c>
      <c r="G1779" t="s">
        <v>49</v>
      </c>
      <c r="H1779" s="1">
        <v>45205.02071759259</v>
      </c>
      <c r="I1779" s="1">
        <v>45206.02071759259</v>
      </c>
      <c r="J1779" s="1">
        <v>45205.022106481483</v>
      </c>
      <c r="K1779" s="2">
        <v>45205.023212175925</v>
      </c>
      <c r="L1779" t="s">
        <v>38</v>
      </c>
      <c r="M1779" s="2">
        <v>45209.815392129633</v>
      </c>
      <c r="N1779" t="s">
        <v>38</v>
      </c>
      <c r="O1779" s="2">
        <v>45210.239343287038</v>
      </c>
      <c r="P1779">
        <v>6</v>
      </c>
      <c r="Q1779">
        <v>3</v>
      </c>
      <c r="R1779" t="s">
        <v>50</v>
      </c>
      <c r="S1779" t="s">
        <v>30</v>
      </c>
      <c r="T1779" t="s">
        <v>51</v>
      </c>
      <c r="U1779">
        <v>39.673369999999998</v>
      </c>
      <c r="V1779">
        <v>-4.7677259999999997</v>
      </c>
      <c r="W1779" t="str">
        <f t="shared" si="190"/>
        <v>ok</v>
      </c>
      <c r="X1779" t="str">
        <f t="shared" si="196"/>
        <v>ok</v>
      </c>
      <c r="Y1779" t="str">
        <f t="shared" si="191"/>
        <v>ok</v>
      </c>
      <c r="Z1779" t="str">
        <f t="shared" si="192"/>
        <v>ok</v>
      </c>
      <c r="AA1779" s="4" t="str">
        <f t="shared" si="193"/>
        <v>ok</v>
      </c>
      <c r="AB1779" s="4" t="str">
        <f t="shared" si="194"/>
        <v>ok</v>
      </c>
      <c r="AC1779" s="6">
        <f t="shared" si="195"/>
        <v>115.07218888902571</v>
      </c>
    </row>
    <row r="1780" spans="1:29" x14ac:dyDescent="0.3">
      <c r="A1780" t="s">
        <v>22</v>
      </c>
      <c r="B1780">
        <v>3265</v>
      </c>
      <c r="C1780" t="s">
        <v>23</v>
      </c>
      <c r="D1780" t="s">
        <v>24</v>
      </c>
      <c r="E1780" t="s">
        <v>35</v>
      </c>
      <c r="F1780" t="s">
        <v>36</v>
      </c>
      <c r="G1780" t="s">
        <v>37</v>
      </c>
      <c r="H1780" s="1">
        <v>45205.998449074075</v>
      </c>
      <c r="I1780" s="1">
        <v>45207.998449074075</v>
      </c>
      <c r="J1780" s="1">
        <v>45206.04011574074</v>
      </c>
      <c r="K1780" s="2">
        <v>45206.038858182874</v>
      </c>
      <c r="L1780" t="s">
        <v>28</v>
      </c>
      <c r="M1780" s="2">
        <v>45207.711940358793</v>
      </c>
      <c r="N1780" t="s">
        <v>28</v>
      </c>
      <c r="O1780" s="2">
        <v>45210.590015925925</v>
      </c>
      <c r="P1780">
        <v>1</v>
      </c>
      <c r="Q1780">
        <v>2</v>
      </c>
      <c r="R1780" t="s">
        <v>55</v>
      </c>
      <c r="S1780" t="s">
        <v>40</v>
      </c>
      <c r="T1780" t="s">
        <v>57</v>
      </c>
      <c r="U1780">
        <v>51.165691000000002</v>
      </c>
      <c r="V1780">
        <v>10.451525999999999</v>
      </c>
      <c r="W1780" t="str">
        <f t="shared" si="190"/>
        <v>ok</v>
      </c>
      <c r="X1780" t="str">
        <f t="shared" si="196"/>
        <v>ok</v>
      </c>
      <c r="Y1780" t="str">
        <f t="shared" si="191"/>
        <v>ok</v>
      </c>
      <c r="Z1780" t="str">
        <f t="shared" si="192"/>
        <v>ok</v>
      </c>
      <c r="AA1780" s="4" t="str">
        <f t="shared" si="193"/>
        <v>ok</v>
      </c>
      <c r="AB1780" s="4" t="str">
        <f t="shared" si="194"/>
        <v>ok</v>
      </c>
      <c r="AC1780" s="6">
        <f t="shared" si="195"/>
        <v>41.123790833225939</v>
      </c>
    </row>
    <row r="1781" spans="1:29" x14ac:dyDescent="0.3">
      <c r="A1781" t="s">
        <v>42</v>
      </c>
      <c r="B1781">
        <v>3266</v>
      </c>
      <c r="C1781" t="s">
        <v>47</v>
      </c>
      <c r="D1781" t="s">
        <v>24</v>
      </c>
      <c r="E1781" t="s">
        <v>59</v>
      </c>
      <c r="F1781" t="s">
        <v>36</v>
      </c>
      <c r="G1781" t="s">
        <v>64</v>
      </c>
      <c r="H1781" s="1">
        <v>45205.783067129632</v>
      </c>
      <c r="I1781" s="1">
        <v>45207.783067129632</v>
      </c>
      <c r="J1781" s="1">
        <v>45205.824733796297</v>
      </c>
      <c r="K1781" s="2">
        <v>45205.96367203704</v>
      </c>
      <c r="L1781" t="s">
        <v>38</v>
      </c>
      <c r="M1781" s="2">
        <v>45206.808723506947</v>
      </c>
      <c r="N1781" t="s">
        <v>28</v>
      </c>
      <c r="P1781">
        <v>1</v>
      </c>
      <c r="R1781" t="s">
        <v>39</v>
      </c>
      <c r="S1781" t="s">
        <v>40</v>
      </c>
      <c r="T1781" t="s">
        <v>31</v>
      </c>
      <c r="U1781">
        <v>53.094023999999997</v>
      </c>
      <c r="V1781">
        <v>-8.0196749999999994</v>
      </c>
      <c r="W1781" t="str">
        <f t="shared" si="190"/>
        <v>ok</v>
      </c>
      <c r="X1781" t="str">
        <f t="shared" si="196"/>
        <v>ok</v>
      </c>
      <c r="Y1781" t="str">
        <f t="shared" si="191"/>
        <v>ok</v>
      </c>
      <c r="Z1781" t="str">
        <f t="shared" si="192"/>
        <v>ok</v>
      </c>
      <c r="AA1781" s="4" t="str">
        <f t="shared" si="193"/>
        <v>ok</v>
      </c>
      <c r="AB1781" s="4" t="str">
        <f t="shared" si="194"/>
        <v>ok</v>
      </c>
      <c r="AC1781" s="6">
        <f t="shared" si="195"/>
        <v>24.615753055550158</v>
      </c>
    </row>
    <row r="1782" spans="1:29" x14ac:dyDescent="0.3">
      <c r="A1782" t="s">
        <v>42</v>
      </c>
      <c r="B1782">
        <v>3267</v>
      </c>
      <c r="C1782" t="s">
        <v>23</v>
      </c>
      <c r="D1782" t="s">
        <v>43</v>
      </c>
      <c r="E1782" t="s">
        <v>35</v>
      </c>
      <c r="F1782" t="s">
        <v>26</v>
      </c>
      <c r="G1782" t="s">
        <v>45</v>
      </c>
      <c r="H1782" s="1">
        <v>45206.714247685188</v>
      </c>
      <c r="I1782" s="1">
        <v>45207.714247685188</v>
      </c>
      <c r="J1782" s="1">
        <v>45206.715636574074</v>
      </c>
      <c r="K1782" s="2">
        <v>45206.714963356484</v>
      </c>
      <c r="L1782" t="s">
        <v>28</v>
      </c>
      <c r="M1782" s="2">
        <v>45207.10221665509</v>
      </c>
      <c r="N1782" t="s">
        <v>28</v>
      </c>
      <c r="P1782">
        <v>7</v>
      </c>
      <c r="R1782" t="s">
        <v>29</v>
      </c>
      <c r="S1782" t="s">
        <v>30</v>
      </c>
      <c r="T1782" t="s">
        <v>56</v>
      </c>
      <c r="U1782">
        <v>52.536273000000001</v>
      </c>
      <c r="V1782">
        <v>19.050639</v>
      </c>
      <c r="W1782" t="str">
        <f t="shared" si="190"/>
        <v>ok</v>
      </c>
      <c r="X1782" t="str">
        <f t="shared" si="196"/>
        <v>ok</v>
      </c>
      <c r="Y1782" t="str">
        <f t="shared" si="191"/>
        <v>ok</v>
      </c>
      <c r="Z1782" t="str">
        <f t="shared" si="192"/>
        <v>ok</v>
      </c>
      <c r="AA1782" s="4" t="str">
        <f t="shared" si="193"/>
        <v>ok</v>
      </c>
      <c r="AB1782" s="4" t="str">
        <f t="shared" si="194"/>
        <v>ok</v>
      </c>
      <c r="AC1782" s="6">
        <f t="shared" si="195"/>
        <v>9.311255277658347</v>
      </c>
    </row>
    <row r="1783" spans="1:29" x14ac:dyDescent="0.3">
      <c r="A1783" t="s">
        <v>22</v>
      </c>
      <c r="B1783">
        <v>3269</v>
      </c>
      <c r="C1783" t="s">
        <v>23</v>
      </c>
      <c r="D1783" t="s">
        <v>43</v>
      </c>
      <c r="E1783" t="s">
        <v>35</v>
      </c>
      <c r="F1783" t="s">
        <v>36</v>
      </c>
      <c r="G1783" t="s">
        <v>54</v>
      </c>
      <c r="H1783" s="1">
        <v>45206.250659722224</v>
      </c>
      <c r="I1783" s="1">
        <v>45207.250659722224</v>
      </c>
      <c r="J1783" s="1">
        <v>45206.25204861111</v>
      </c>
      <c r="K1783" s="2">
        <v>45206.252005439812</v>
      </c>
      <c r="L1783" t="s">
        <v>28</v>
      </c>
      <c r="M1783" s="2">
        <v>45206.460360509256</v>
      </c>
      <c r="N1783" t="s">
        <v>28</v>
      </c>
      <c r="O1783" s="2">
        <v>45208.019959282406</v>
      </c>
      <c r="P1783">
        <v>9</v>
      </c>
      <c r="Q1783">
        <v>1</v>
      </c>
      <c r="R1783" t="s">
        <v>50</v>
      </c>
      <c r="S1783" t="s">
        <v>40</v>
      </c>
      <c r="T1783" t="s">
        <v>53</v>
      </c>
      <c r="U1783">
        <v>39.368279000000001</v>
      </c>
      <c r="V1783">
        <v>21.863140999999999</v>
      </c>
      <c r="W1783" t="str">
        <f t="shared" si="190"/>
        <v>ok</v>
      </c>
      <c r="X1783" t="str">
        <f t="shared" si="196"/>
        <v>ok</v>
      </c>
      <c r="Y1783" t="str">
        <f t="shared" si="191"/>
        <v>ok</v>
      </c>
      <c r="Z1783" t="str">
        <f t="shared" si="192"/>
        <v>ok</v>
      </c>
      <c r="AA1783" s="4" t="str">
        <f t="shared" si="193"/>
        <v>ok</v>
      </c>
      <c r="AB1783" s="4" t="str">
        <f t="shared" si="194"/>
        <v>ok</v>
      </c>
      <c r="AC1783" s="6">
        <f t="shared" si="195"/>
        <v>5.0328188887797296</v>
      </c>
    </row>
    <row r="1784" spans="1:29" x14ac:dyDescent="0.3">
      <c r="A1784" t="s">
        <v>32</v>
      </c>
      <c r="B1784">
        <v>3271</v>
      </c>
      <c r="C1784" t="s">
        <v>23</v>
      </c>
      <c r="D1784" t="s">
        <v>24</v>
      </c>
      <c r="E1784" t="s">
        <v>44</v>
      </c>
      <c r="F1784" t="s">
        <v>26</v>
      </c>
      <c r="G1784" t="s">
        <v>52</v>
      </c>
      <c r="H1784" s="1">
        <v>45206.146458333336</v>
      </c>
      <c r="I1784" s="1">
        <v>45208.146458333336</v>
      </c>
      <c r="J1784" s="1">
        <v>45206.188125000001</v>
      </c>
      <c r="K1784" s="2">
        <v>45206.167045798611</v>
      </c>
      <c r="L1784" t="s">
        <v>28</v>
      </c>
      <c r="N1784" t="s">
        <v>38</v>
      </c>
      <c r="P1784">
        <v>1</v>
      </c>
      <c r="R1784" t="s">
        <v>29</v>
      </c>
      <c r="S1784" t="s">
        <v>30</v>
      </c>
      <c r="T1784" t="s">
        <v>41</v>
      </c>
      <c r="U1784">
        <v>43.036776000000003</v>
      </c>
      <c r="V1784">
        <v>12.678565000000001</v>
      </c>
      <c r="W1784" t="str">
        <f t="shared" si="190"/>
        <v>ok</v>
      </c>
      <c r="X1784" t="str">
        <f t="shared" si="196"/>
        <v>ok</v>
      </c>
      <c r="Y1784" t="str">
        <f t="shared" si="191"/>
        <v>ok</v>
      </c>
      <c r="Z1784" t="str">
        <f t="shared" si="192"/>
        <v>ok</v>
      </c>
      <c r="AA1784" s="4" t="str">
        <f t="shared" si="193"/>
        <v>ok</v>
      </c>
      <c r="AB1784" s="4" t="str">
        <f t="shared" si="194"/>
        <v>no resolution</v>
      </c>
      <c r="AC1784" s="6" t="str">
        <f t="shared" si="195"/>
        <v/>
      </c>
    </row>
    <row r="1785" spans="1:29" x14ac:dyDescent="0.3">
      <c r="A1785" t="s">
        <v>22</v>
      </c>
      <c r="B1785">
        <v>3272</v>
      </c>
      <c r="C1785" t="s">
        <v>47</v>
      </c>
      <c r="D1785" t="s">
        <v>43</v>
      </c>
      <c r="E1785" t="s">
        <v>39</v>
      </c>
      <c r="F1785" t="s">
        <v>26</v>
      </c>
      <c r="G1785" t="s">
        <v>27</v>
      </c>
      <c r="H1785" s="1">
        <v>45206.692361111112</v>
      </c>
      <c r="I1785" s="1">
        <v>45207.692361111112</v>
      </c>
      <c r="J1785" s="1">
        <v>45206.693749999999</v>
      </c>
      <c r="K1785" s="2">
        <v>45206.692749305555</v>
      </c>
      <c r="L1785" t="s">
        <v>28</v>
      </c>
      <c r="M1785" s="2">
        <v>45208.117310185182</v>
      </c>
      <c r="N1785" t="s">
        <v>38</v>
      </c>
      <c r="O1785" s="2">
        <v>45209.531220509256</v>
      </c>
      <c r="P1785">
        <v>2</v>
      </c>
      <c r="Q1785">
        <v>4</v>
      </c>
      <c r="R1785" t="s">
        <v>29</v>
      </c>
      <c r="S1785" t="s">
        <v>30</v>
      </c>
      <c r="T1785" t="s">
        <v>46</v>
      </c>
      <c r="U1785">
        <v>47.696471899999999</v>
      </c>
      <c r="V1785">
        <v>13.3457347</v>
      </c>
      <c r="W1785" t="str">
        <f t="shared" si="190"/>
        <v>ok</v>
      </c>
      <c r="X1785" t="str">
        <f t="shared" si="196"/>
        <v>ok</v>
      </c>
      <c r="Y1785" t="str">
        <f t="shared" si="191"/>
        <v>ok</v>
      </c>
      <c r="Z1785" t="str">
        <f t="shared" si="192"/>
        <v>ok</v>
      </c>
      <c r="AA1785" s="4" t="str">
        <f t="shared" si="193"/>
        <v>ok</v>
      </c>
      <c r="AB1785" s="4" t="str">
        <f t="shared" si="194"/>
        <v>ok</v>
      </c>
      <c r="AC1785" s="6">
        <f t="shared" si="195"/>
        <v>34.198777777666692</v>
      </c>
    </row>
    <row r="1786" spans="1:29" x14ac:dyDescent="0.3">
      <c r="A1786" t="s">
        <v>22</v>
      </c>
      <c r="B1786">
        <v>3279</v>
      </c>
      <c r="C1786" t="s">
        <v>23</v>
      </c>
      <c r="D1786" t="s">
        <v>43</v>
      </c>
      <c r="E1786" t="s">
        <v>59</v>
      </c>
      <c r="F1786" t="s">
        <v>36</v>
      </c>
      <c r="G1786" t="s">
        <v>54</v>
      </c>
      <c r="H1786" s="1">
        <v>45207.38921296296</v>
      </c>
      <c r="I1786" s="1">
        <v>45208.38921296296</v>
      </c>
      <c r="J1786" s="1">
        <v>45207.390601851854</v>
      </c>
      <c r="K1786" s="2">
        <v>45207.389340891204</v>
      </c>
      <c r="L1786" t="s">
        <v>28</v>
      </c>
      <c r="M1786" s="2">
        <v>45207.92029047454</v>
      </c>
      <c r="N1786" t="s">
        <v>28</v>
      </c>
      <c r="O1786" s="2">
        <v>45213.36143986111</v>
      </c>
      <c r="P1786">
        <v>5</v>
      </c>
      <c r="Q1786">
        <v>5</v>
      </c>
      <c r="R1786" t="s">
        <v>55</v>
      </c>
      <c r="S1786" t="s">
        <v>40</v>
      </c>
      <c r="T1786" t="s">
        <v>51</v>
      </c>
      <c r="U1786">
        <v>39.673369999999998</v>
      </c>
      <c r="V1786">
        <v>-4.7677259999999997</v>
      </c>
      <c r="W1786" t="str">
        <f t="shared" si="190"/>
        <v>ok</v>
      </c>
      <c r="X1786" t="str">
        <f t="shared" si="196"/>
        <v>ok</v>
      </c>
      <c r="Y1786" t="str">
        <f t="shared" si="191"/>
        <v>ok</v>
      </c>
      <c r="Z1786" t="str">
        <f t="shared" si="192"/>
        <v>ok</v>
      </c>
      <c r="AA1786" s="4" t="str">
        <f t="shared" si="193"/>
        <v>ok</v>
      </c>
      <c r="AB1786" s="4" t="str">
        <f t="shared" si="194"/>
        <v>ok</v>
      </c>
      <c r="AC1786" s="6">
        <f t="shared" si="195"/>
        <v>12.745860277907923</v>
      </c>
    </row>
    <row r="1787" spans="1:29" x14ac:dyDescent="0.3">
      <c r="A1787" t="s">
        <v>22</v>
      </c>
      <c r="B1787">
        <v>3281</v>
      </c>
      <c r="C1787" t="s">
        <v>23</v>
      </c>
      <c r="D1787" t="s">
        <v>43</v>
      </c>
      <c r="E1787" t="s">
        <v>35</v>
      </c>
      <c r="F1787" t="s">
        <v>36</v>
      </c>
      <c r="G1787" t="s">
        <v>37</v>
      </c>
      <c r="H1787" s="1">
        <v>45208.293437499997</v>
      </c>
      <c r="I1787" s="1">
        <v>45209.293437499997</v>
      </c>
      <c r="J1787" s="1">
        <v>45208.29482638889</v>
      </c>
      <c r="K1787" s="2">
        <v>45208.293892766203</v>
      </c>
      <c r="L1787" t="s">
        <v>28</v>
      </c>
      <c r="M1787" s="2">
        <v>45212.259523298613</v>
      </c>
      <c r="N1787" t="s">
        <v>38</v>
      </c>
      <c r="O1787" s="2">
        <v>45213.987591793979</v>
      </c>
      <c r="P1787">
        <v>4</v>
      </c>
      <c r="Q1787">
        <v>5</v>
      </c>
      <c r="R1787" t="s">
        <v>50</v>
      </c>
      <c r="S1787" t="s">
        <v>40</v>
      </c>
      <c r="T1787" t="s">
        <v>53</v>
      </c>
      <c r="U1787">
        <v>39.368279000000001</v>
      </c>
      <c r="V1787">
        <v>21.863140999999999</v>
      </c>
      <c r="W1787" t="str">
        <f t="shared" si="190"/>
        <v>ok</v>
      </c>
      <c r="X1787" t="str">
        <f t="shared" si="196"/>
        <v>ok</v>
      </c>
      <c r="Y1787" t="str">
        <f t="shared" si="191"/>
        <v>ok</v>
      </c>
      <c r="Z1787" t="str">
        <f t="shared" si="192"/>
        <v>ok</v>
      </c>
      <c r="AA1787" s="4" t="str">
        <f t="shared" si="193"/>
        <v>ok</v>
      </c>
      <c r="AB1787" s="4" t="str">
        <f t="shared" si="194"/>
        <v>ok</v>
      </c>
      <c r="AC1787" s="6">
        <f t="shared" si="195"/>
        <v>95.186059166793711</v>
      </c>
    </row>
    <row r="1788" spans="1:29" x14ac:dyDescent="0.3">
      <c r="A1788" t="s">
        <v>22</v>
      </c>
      <c r="B1788">
        <v>3282</v>
      </c>
      <c r="C1788" t="s">
        <v>47</v>
      </c>
      <c r="D1788" t="s">
        <v>24</v>
      </c>
      <c r="E1788" t="s">
        <v>59</v>
      </c>
      <c r="F1788" t="s">
        <v>26</v>
      </c>
      <c r="G1788" t="s">
        <v>60</v>
      </c>
      <c r="H1788" s="1">
        <v>45208.626909722225</v>
      </c>
      <c r="I1788" s="1">
        <v>45210.626909722225</v>
      </c>
      <c r="J1788" s="1">
        <v>45208.668576388889</v>
      </c>
      <c r="K1788" s="2">
        <v>45208.651876562501</v>
      </c>
      <c r="L1788" t="s">
        <v>28</v>
      </c>
      <c r="M1788" s="2">
        <v>45208.642672627313</v>
      </c>
      <c r="N1788" t="s">
        <v>28</v>
      </c>
      <c r="O1788" s="2">
        <v>45210.34423884259</v>
      </c>
      <c r="P1788">
        <v>6</v>
      </c>
      <c r="Q1788">
        <v>5</v>
      </c>
      <c r="R1788" t="s">
        <v>50</v>
      </c>
      <c r="S1788" t="s">
        <v>30</v>
      </c>
      <c r="T1788" t="s">
        <v>58</v>
      </c>
      <c r="U1788">
        <v>49.8037633</v>
      </c>
      <c r="V1788">
        <v>15.4749126</v>
      </c>
      <c r="W1788" t="str">
        <f t="shared" si="190"/>
        <v>ok</v>
      </c>
      <c r="X1788" t="str">
        <f t="shared" si="196"/>
        <v>ok</v>
      </c>
      <c r="Y1788" t="str">
        <f t="shared" si="191"/>
        <v>ok</v>
      </c>
      <c r="Z1788" t="str">
        <f t="shared" si="192"/>
        <v>ok</v>
      </c>
      <c r="AA1788" s="4" t="str">
        <f t="shared" si="193"/>
        <v>ok</v>
      </c>
      <c r="AB1788" s="4" t="str">
        <f t="shared" si="194"/>
        <v>ok</v>
      </c>
      <c r="AC1788" s="6">
        <f t="shared" si="195"/>
        <v>0.37830972211668268</v>
      </c>
    </row>
    <row r="1789" spans="1:29" x14ac:dyDescent="0.3">
      <c r="A1789" t="s">
        <v>42</v>
      </c>
      <c r="B1789">
        <v>3283</v>
      </c>
      <c r="C1789" t="s">
        <v>33</v>
      </c>
      <c r="D1789" t="s">
        <v>24</v>
      </c>
      <c r="E1789" t="s">
        <v>35</v>
      </c>
      <c r="F1789" t="s">
        <v>26</v>
      </c>
      <c r="G1789" t="s">
        <v>45</v>
      </c>
      <c r="H1789" s="1">
        <v>45208.299155092594</v>
      </c>
      <c r="I1789" s="1">
        <v>45210.299155092594</v>
      </c>
      <c r="J1789" s="1">
        <v>45208.340821759259</v>
      </c>
      <c r="K1789" s="2">
        <v>45208.320767569443</v>
      </c>
      <c r="L1789" t="s">
        <v>28</v>
      </c>
      <c r="M1789" s="2">
        <v>45209.975274861114</v>
      </c>
      <c r="N1789" t="s">
        <v>28</v>
      </c>
      <c r="P1789">
        <v>4</v>
      </c>
      <c r="R1789" t="s">
        <v>39</v>
      </c>
      <c r="S1789" t="s">
        <v>30</v>
      </c>
      <c r="T1789" t="s">
        <v>41</v>
      </c>
      <c r="U1789">
        <v>43.036776000000003</v>
      </c>
      <c r="V1789">
        <v>12.678565000000001</v>
      </c>
      <c r="W1789" t="str">
        <f t="shared" si="190"/>
        <v>ok</v>
      </c>
      <c r="X1789" t="str">
        <f t="shared" si="196"/>
        <v>ok</v>
      </c>
      <c r="Y1789" t="str">
        <f t="shared" si="191"/>
        <v>ok</v>
      </c>
      <c r="Z1789" t="str">
        <f t="shared" si="192"/>
        <v>ok</v>
      </c>
      <c r="AA1789" s="4" t="str">
        <f t="shared" si="193"/>
        <v>ok</v>
      </c>
      <c r="AB1789" s="4" t="str">
        <f t="shared" si="194"/>
        <v>ok</v>
      </c>
      <c r="AC1789" s="6">
        <f t="shared" si="195"/>
        <v>40.226874444459099</v>
      </c>
    </row>
    <row r="1790" spans="1:29" x14ac:dyDescent="0.3">
      <c r="A1790" t="s">
        <v>22</v>
      </c>
      <c r="B1790">
        <v>3284</v>
      </c>
      <c r="C1790" t="s">
        <v>33</v>
      </c>
      <c r="D1790" t="s">
        <v>43</v>
      </c>
      <c r="E1790" t="s">
        <v>59</v>
      </c>
      <c r="F1790" t="s">
        <v>26</v>
      </c>
      <c r="G1790" t="s">
        <v>49</v>
      </c>
      <c r="H1790" s="1">
        <v>45208.186400462961</v>
      </c>
      <c r="I1790" s="1">
        <v>45209.186400462961</v>
      </c>
      <c r="J1790" s="1">
        <v>45208.187789351854</v>
      </c>
      <c r="K1790" s="2">
        <v>45208.187685949073</v>
      </c>
      <c r="L1790" t="s">
        <v>28</v>
      </c>
      <c r="M1790" s="2">
        <v>45211.039387048608</v>
      </c>
      <c r="N1790" t="s">
        <v>38</v>
      </c>
      <c r="O1790" s="2">
        <v>45212.285884976853</v>
      </c>
      <c r="P1790">
        <v>9</v>
      </c>
      <c r="Q1790">
        <v>5</v>
      </c>
      <c r="R1790" t="s">
        <v>55</v>
      </c>
      <c r="S1790" t="s">
        <v>30</v>
      </c>
      <c r="T1790" t="s">
        <v>41</v>
      </c>
      <c r="U1790">
        <v>43.036776000000003</v>
      </c>
      <c r="V1790">
        <v>12.678565000000001</v>
      </c>
      <c r="W1790" t="str">
        <f t="shared" si="190"/>
        <v>ok</v>
      </c>
      <c r="X1790" t="str">
        <f t="shared" si="196"/>
        <v>ok</v>
      </c>
      <c r="Y1790" t="str">
        <f t="shared" si="191"/>
        <v>ok</v>
      </c>
      <c r="Z1790" t="str">
        <f t="shared" si="192"/>
        <v>ok</v>
      </c>
      <c r="AA1790" s="4" t="str">
        <f t="shared" si="193"/>
        <v>ok</v>
      </c>
      <c r="AB1790" s="4" t="str">
        <f t="shared" si="194"/>
        <v>ok</v>
      </c>
      <c r="AC1790" s="6">
        <f t="shared" si="195"/>
        <v>68.471678055531811</v>
      </c>
    </row>
    <row r="1791" spans="1:29" x14ac:dyDescent="0.3">
      <c r="A1791" t="s">
        <v>22</v>
      </c>
      <c r="B1791">
        <v>3285</v>
      </c>
      <c r="C1791" t="s">
        <v>23</v>
      </c>
      <c r="D1791" t="s">
        <v>24</v>
      </c>
      <c r="E1791" t="s">
        <v>48</v>
      </c>
      <c r="F1791" t="s">
        <v>26</v>
      </c>
      <c r="G1791" t="s">
        <v>27</v>
      </c>
      <c r="H1791" s="1">
        <v>45208.752256944441</v>
      </c>
      <c r="I1791" s="1">
        <v>45210.752256944441</v>
      </c>
      <c r="J1791" s="1">
        <v>45208.793923611112</v>
      </c>
      <c r="K1791" s="2">
        <v>45208.770169305557</v>
      </c>
      <c r="L1791" t="s">
        <v>28</v>
      </c>
      <c r="M1791" s="2">
        <v>45209.625777870373</v>
      </c>
      <c r="N1791" t="s">
        <v>28</v>
      </c>
      <c r="O1791" s="2">
        <v>45211.906467337962</v>
      </c>
      <c r="P1791">
        <v>4</v>
      </c>
      <c r="Q1791">
        <v>5</v>
      </c>
      <c r="R1791" t="s">
        <v>39</v>
      </c>
      <c r="S1791" t="s">
        <v>30</v>
      </c>
      <c r="T1791" t="s">
        <v>41</v>
      </c>
      <c r="U1791">
        <v>43.036776000000003</v>
      </c>
      <c r="V1791">
        <v>12.678565000000001</v>
      </c>
      <c r="W1791" t="str">
        <f t="shared" si="190"/>
        <v>ok</v>
      </c>
      <c r="X1791" t="str">
        <f t="shared" si="196"/>
        <v>ok</v>
      </c>
      <c r="Y1791" t="str">
        <f t="shared" si="191"/>
        <v>ok</v>
      </c>
      <c r="Z1791" t="str">
        <f t="shared" si="192"/>
        <v>ok</v>
      </c>
      <c r="AA1791" s="4" t="str">
        <f t="shared" si="193"/>
        <v>ok</v>
      </c>
      <c r="AB1791" s="4" t="str">
        <f t="shared" si="194"/>
        <v>ok</v>
      </c>
      <c r="AC1791" s="6">
        <f t="shared" si="195"/>
        <v>20.964502222370356</v>
      </c>
    </row>
    <row r="1792" spans="1:29" x14ac:dyDescent="0.3">
      <c r="A1792" t="s">
        <v>22</v>
      </c>
      <c r="B1792">
        <v>3286</v>
      </c>
      <c r="C1792" t="s">
        <v>23</v>
      </c>
      <c r="D1792" t="s">
        <v>43</v>
      </c>
      <c r="E1792" t="s">
        <v>44</v>
      </c>
      <c r="F1792" t="s">
        <v>26</v>
      </c>
      <c r="G1792" t="s">
        <v>49</v>
      </c>
      <c r="H1792" s="1">
        <v>45208.295046296298</v>
      </c>
      <c r="I1792" s="1">
        <v>45209.295046296298</v>
      </c>
      <c r="J1792" s="1">
        <v>45208.296435185184</v>
      </c>
      <c r="K1792" s="2">
        <v>45208.295896643518</v>
      </c>
      <c r="L1792" t="s">
        <v>28</v>
      </c>
      <c r="M1792" s="2">
        <v>45208.787153518519</v>
      </c>
      <c r="N1792" t="s">
        <v>28</v>
      </c>
      <c r="O1792" s="2">
        <v>45212.247362685186</v>
      </c>
      <c r="P1792">
        <v>6</v>
      </c>
      <c r="Q1792">
        <v>3</v>
      </c>
      <c r="R1792" t="s">
        <v>50</v>
      </c>
      <c r="S1792" t="s">
        <v>30</v>
      </c>
      <c r="T1792" t="s">
        <v>63</v>
      </c>
      <c r="U1792">
        <v>55.378051999999997</v>
      </c>
      <c r="V1792">
        <v>-3.4359730000000002</v>
      </c>
      <c r="W1792" t="str">
        <f t="shared" si="190"/>
        <v>ok</v>
      </c>
      <c r="X1792" t="str">
        <f t="shared" si="196"/>
        <v>ok</v>
      </c>
      <c r="Y1792" t="str">
        <f t="shared" si="191"/>
        <v>ok</v>
      </c>
      <c r="Z1792" t="str">
        <f t="shared" si="192"/>
        <v>ok</v>
      </c>
      <c r="AA1792" s="4" t="str">
        <f t="shared" si="193"/>
        <v>ok</v>
      </c>
      <c r="AB1792" s="4" t="str">
        <f t="shared" si="194"/>
        <v>ok</v>
      </c>
      <c r="AC1792" s="6">
        <f t="shared" si="195"/>
        <v>11.810573333292268</v>
      </c>
    </row>
    <row r="1793" spans="1:29" x14ac:dyDescent="0.3">
      <c r="A1793" t="s">
        <v>22</v>
      </c>
      <c r="B1793">
        <v>3287</v>
      </c>
      <c r="C1793" t="s">
        <v>47</v>
      </c>
      <c r="D1793" t="s">
        <v>24</v>
      </c>
      <c r="E1793" t="s">
        <v>25</v>
      </c>
      <c r="F1793" t="s">
        <v>26</v>
      </c>
      <c r="G1793" t="s">
        <v>27</v>
      </c>
      <c r="H1793" s="1">
        <v>45208.260462962964</v>
      </c>
      <c r="I1793" s="1">
        <v>45210.260462962964</v>
      </c>
      <c r="J1793" s="1">
        <v>45208.302129629628</v>
      </c>
      <c r="K1793" s="2">
        <v>45208.26543107639</v>
      </c>
      <c r="L1793" t="s">
        <v>28</v>
      </c>
      <c r="M1793" s="2">
        <v>45213.930936111108</v>
      </c>
      <c r="N1793" t="s">
        <v>38</v>
      </c>
      <c r="O1793" s="2">
        <v>45214.347697094905</v>
      </c>
      <c r="P1793">
        <v>8</v>
      </c>
      <c r="Q1793">
        <v>5</v>
      </c>
      <c r="R1793" t="s">
        <v>50</v>
      </c>
      <c r="S1793" t="s">
        <v>30</v>
      </c>
      <c r="T1793" t="s">
        <v>51</v>
      </c>
      <c r="U1793">
        <v>39.673369999999998</v>
      </c>
      <c r="V1793">
        <v>-4.7677259999999997</v>
      </c>
      <c r="W1793" t="str">
        <f t="shared" si="190"/>
        <v>ok</v>
      </c>
      <c r="X1793" t="str">
        <f t="shared" si="196"/>
        <v>ok</v>
      </c>
      <c r="Y1793" t="str">
        <f t="shared" si="191"/>
        <v>ok</v>
      </c>
      <c r="Z1793" t="str">
        <f t="shared" si="192"/>
        <v>ok</v>
      </c>
      <c r="AA1793" s="4" t="str">
        <f t="shared" si="193"/>
        <v>ok</v>
      </c>
      <c r="AB1793" s="4" t="str">
        <f t="shared" si="194"/>
        <v>ok</v>
      </c>
      <c r="AC1793" s="6">
        <f t="shared" si="195"/>
        <v>136.09135555545799</v>
      </c>
    </row>
    <row r="1794" spans="1:29" x14ac:dyDescent="0.3">
      <c r="A1794" t="s">
        <v>42</v>
      </c>
      <c r="B1794">
        <v>3288</v>
      </c>
      <c r="C1794" t="s">
        <v>47</v>
      </c>
      <c r="D1794" t="s">
        <v>24</v>
      </c>
      <c r="E1794" t="s">
        <v>48</v>
      </c>
      <c r="F1794" t="s">
        <v>26</v>
      </c>
      <c r="G1794" t="s">
        <v>49</v>
      </c>
      <c r="H1794" s="1">
        <v>45208.664502314816</v>
      </c>
      <c r="I1794" s="1">
        <v>45210.664502314816</v>
      </c>
      <c r="J1794" s="1">
        <v>45208.70616898148</v>
      </c>
      <c r="K1794" s="2">
        <v>45208.674266273149</v>
      </c>
      <c r="L1794" t="s">
        <v>28</v>
      </c>
      <c r="M1794" s="2">
        <v>45209.415905960646</v>
      </c>
      <c r="N1794" t="s">
        <v>28</v>
      </c>
      <c r="P1794">
        <v>1</v>
      </c>
      <c r="R1794" t="s">
        <v>29</v>
      </c>
      <c r="S1794" t="s">
        <v>30</v>
      </c>
      <c r="T1794" t="s">
        <v>63</v>
      </c>
      <c r="U1794">
        <v>55.378051999999997</v>
      </c>
      <c r="V1794">
        <v>-3.4359730000000002</v>
      </c>
      <c r="W1794" t="str">
        <f t="shared" ref="W1794:W1857" si="197">IF(K1794&lt;H1794,"check","ok")</f>
        <v>ok</v>
      </c>
      <c r="X1794" t="str">
        <f t="shared" si="196"/>
        <v>ok</v>
      </c>
      <c r="Y1794" t="str">
        <f t="shared" ref="Y1794:Y1857" si="198">IF(AND(M1794&lt;&gt;"",O1794&lt;&gt;"",O1794&lt;M1794),"check","ok")</f>
        <v>ok</v>
      </c>
      <c r="Z1794" t="str">
        <f t="shared" ref="Z1794:Z1857" si="199">IF(AND(OR(CA1794="Closed",A1794="Resolved"),M1794=""),"check","ok")</f>
        <v>ok</v>
      </c>
      <c r="AA1794" s="4" t="str">
        <f t="shared" ref="AA1794:AA1857" si="200">IF(K1794="","no response",IF(OR(AND(K1794&lt;=J1794,L1794="Within SLA"),AND(K1794&gt;J1794,L1794="SLA Violated")),"ok","check"))</f>
        <v>ok</v>
      </c>
      <c r="AB1794" s="4" t="str">
        <f t="shared" ref="AB1794:AB1857" si="201">IF(M1794="","no resolution",IF(OR(AND(M1794&lt;=I1794,N1794="Within SLA"),AND(M1794&gt;I1794,N1794="SLA Violated")),"ok","check"))</f>
        <v>ok</v>
      </c>
      <c r="AC1794" s="6">
        <f t="shared" ref="AC1794:AC1857" si="202">IF(M1794="","",(M1794-H1794)*24)</f>
        <v>18.033687499933876</v>
      </c>
    </row>
    <row r="1795" spans="1:29" x14ac:dyDescent="0.3">
      <c r="A1795" t="s">
        <v>22</v>
      </c>
      <c r="B1795">
        <v>3290</v>
      </c>
      <c r="C1795" t="s">
        <v>47</v>
      </c>
      <c r="D1795" t="s">
        <v>34</v>
      </c>
      <c r="E1795" t="s">
        <v>59</v>
      </c>
      <c r="F1795" t="s">
        <v>26</v>
      </c>
      <c r="G1795" t="s">
        <v>60</v>
      </c>
      <c r="H1795" s="1">
        <v>45209.079780092594</v>
      </c>
      <c r="I1795" s="1">
        <v>45211.079780092594</v>
      </c>
      <c r="J1795" s="1">
        <v>45209.08116898148</v>
      </c>
      <c r="K1795" s="2">
        <v>45209.081157349538</v>
      </c>
      <c r="L1795" t="s">
        <v>28</v>
      </c>
      <c r="M1795" s="2">
        <v>45210.532747881945</v>
      </c>
      <c r="N1795" t="s">
        <v>28</v>
      </c>
      <c r="O1795" s="2">
        <v>45215.088500682868</v>
      </c>
      <c r="P1795">
        <v>1</v>
      </c>
      <c r="Q1795">
        <v>5</v>
      </c>
      <c r="R1795" t="s">
        <v>50</v>
      </c>
      <c r="S1795" t="s">
        <v>30</v>
      </c>
      <c r="T1795" t="s">
        <v>58</v>
      </c>
      <c r="U1795">
        <v>49.8037633</v>
      </c>
      <c r="V1795">
        <v>15.4749126</v>
      </c>
      <c r="W1795" t="str">
        <f t="shared" si="197"/>
        <v>ok</v>
      </c>
      <c r="X1795" t="str">
        <f t="shared" ref="X1795:X1858" si="203">IF(AND(M1795&lt;&gt;"",M1795&lt;H1795),"check","ok")</f>
        <v>ok</v>
      </c>
      <c r="Y1795" t="str">
        <f t="shared" si="198"/>
        <v>ok</v>
      </c>
      <c r="Z1795" t="str">
        <f t="shared" si="199"/>
        <v>ok</v>
      </c>
      <c r="AA1795" s="4" t="str">
        <f t="shared" si="200"/>
        <v>ok</v>
      </c>
      <c r="AB1795" s="4" t="str">
        <f t="shared" si="201"/>
        <v>ok</v>
      </c>
      <c r="AC1795" s="6">
        <f t="shared" si="202"/>
        <v>34.871226944436785</v>
      </c>
    </row>
    <row r="1796" spans="1:29" x14ac:dyDescent="0.3">
      <c r="A1796" t="s">
        <v>42</v>
      </c>
      <c r="B1796">
        <v>3291</v>
      </c>
      <c r="C1796" t="s">
        <v>47</v>
      </c>
      <c r="D1796" t="s">
        <v>24</v>
      </c>
      <c r="E1796" t="s">
        <v>44</v>
      </c>
      <c r="F1796" t="s">
        <v>26</v>
      </c>
      <c r="G1796" t="s">
        <v>49</v>
      </c>
      <c r="H1796" s="1">
        <v>45209.301435185182</v>
      </c>
      <c r="I1796" s="1">
        <v>45211.301435185182</v>
      </c>
      <c r="J1796" s="1">
        <v>45209.343101851853</v>
      </c>
      <c r="K1796" s="2">
        <v>45209.338614421293</v>
      </c>
      <c r="L1796" t="s">
        <v>28</v>
      </c>
      <c r="M1796" s="2">
        <v>45211.139446666668</v>
      </c>
      <c r="N1796" t="s">
        <v>28</v>
      </c>
      <c r="P1796">
        <v>1</v>
      </c>
      <c r="R1796" t="s">
        <v>50</v>
      </c>
      <c r="S1796" t="s">
        <v>30</v>
      </c>
      <c r="T1796" t="s">
        <v>61</v>
      </c>
      <c r="U1796">
        <v>42.724992499999999</v>
      </c>
      <c r="V1796">
        <v>25.483303899999999</v>
      </c>
      <c r="W1796" t="str">
        <f t="shared" si="197"/>
        <v>ok</v>
      </c>
      <c r="X1796" t="str">
        <f t="shared" si="203"/>
        <v>ok</v>
      </c>
      <c r="Y1796" t="str">
        <f t="shared" si="198"/>
        <v>ok</v>
      </c>
      <c r="Z1796" t="str">
        <f t="shared" si="199"/>
        <v>ok</v>
      </c>
      <c r="AA1796" s="4" t="str">
        <f t="shared" si="200"/>
        <v>ok</v>
      </c>
      <c r="AB1796" s="4" t="str">
        <f t="shared" si="201"/>
        <v>ok</v>
      </c>
      <c r="AC1796" s="6">
        <f t="shared" si="202"/>
        <v>44.112275555671658</v>
      </c>
    </row>
    <row r="1797" spans="1:29" x14ac:dyDescent="0.3">
      <c r="A1797" t="s">
        <v>22</v>
      </c>
      <c r="B1797">
        <v>3292</v>
      </c>
      <c r="C1797" t="s">
        <v>23</v>
      </c>
      <c r="D1797" t="s">
        <v>24</v>
      </c>
      <c r="E1797" t="s">
        <v>25</v>
      </c>
      <c r="F1797" t="s">
        <v>26</v>
      </c>
      <c r="G1797" t="s">
        <v>52</v>
      </c>
      <c r="H1797" s="1">
        <v>45209.675555555557</v>
      </c>
      <c r="I1797" s="1">
        <v>45211.675555555557</v>
      </c>
      <c r="J1797" s="1">
        <v>45209.717222222222</v>
      </c>
      <c r="K1797" s="2">
        <v>45209.694885983794</v>
      </c>
      <c r="L1797" t="s">
        <v>28</v>
      </c>
      <c r="M1797" s="2">
        <v>45213.006654328703</v>
      </c>
      <c r="N1797" t="s">
        <v>38</v>
      </c>
      <c r="O1797" s="2">
        <v>45214.836934467596</v>
      </c>
      <c r="P1797">
        <v>3</v>
      </c>
      <c r="Q1797">
        <v>4</v>
      </c>
      <c r="R1797" t="s">
        <v>39</v>
      </c>
      <c r="S1797" t="s">
        <v>30</v>
      </c>
      <c r="T1797" t="s">
        <v>63</v>
      </c>
      <c r="U1797">
        <v>55.378051999999997</v>
      </c>
      <c r="V1797">
        <v>-3.4359730000000002</v>
      </c>
      <c r="W1797" t="str">
        <f t="shared" si="197"/>
        <v>ok</v>
      </c>
      <c r="X1797" t="str">
        <f t="shared" si="203"/>
        <v>ok</v>
      </c>
      <c r="Y1797" t="str">
        <f t="shared" si="198"/>
        <v>ok</v>
      </c>
      <c r="Z1797" t="str">
        <f t="shared" si="199"/>
        <v>ok</v>
      </c>
      <c r="AA1797" s="4" t="str">
        <f t="shared" si="200"/>
        <v>ok</v>
      </c>
      <c r="AB1797" s="4" t="str">
        <f t="shared" si="201"/>
        <v>ok</v>
      </c>
      <c r="AC1797" s="6">
        <f t="shared" si="202"/>
        <v>79.946370555495378</v>
      </c>
    </row>
    <row r="1798" spans="1:29" x14ac:dyDescent="0.3">
      <c r="A1798" t="s">
        <v>42</v>
      </c>
      <c r="B1798">
        <v>3293</v>
      </c>
      <c r="C1798" t="s">
        <v>47</v>
      </c>
      <c r="D1798" t="s">
        <v>43</v>
      </c>
      <c r="E1798" t="s">
        <v>35</v>
      </c>
      <c r="F1798" t="s">
        <v>26</v>
      </c>
      <c r="G1798" t="s">
        <v>60</v>
      </c>
      <c r="H1798" s="1">
        <v>45209.326469907406</v>
      </c>
      <c r="I1798" s="1">
        <v>45210.326469907406</v>
      </c>
      <c r="J1798" s="1">
        <v>45209.3278587963</v>
      </c>
      <c r="K1798" s="2">
        <v>45209.330532893517</v>
      </c>
      <c r="L1798" t="s">
        <v>38</v>
      </c>
      <c r="M1798" s="2">
        <v>45212.589963009261</v>
      </c>
      <c r="N1798" t="s">
        <v>38</v>
      </c>
      <c r="P1798">
        <v>7</v>
      </c>
      <c r="R1798" t="s">
        <v>50</v>
      </c>
      <c r="S1798" t="s">
        <v>30</v>
      </c>
      <c r="T1798" t="s">
        <v>58</v>
      </c>
      <c r="U1798">
        <v>49.8037633</v>
      </c>
      <c r="V1798">
        <v>15.4749126</v>
      </c>
      <c r="W1798" t="str">
        <f t="shared" si="197"/>
        <v>ok</v>
      </c>
      <c r="X1798" t="str">
        <f t="shared" si="203"/>
        <v>ok</v>
      </c>
      <c r="Y1798" t="str">
        <f t="shared" si="198"/>
        <v>ok</v>
      </c>
      <c r="Z1798" t="str">
        <f t="shared" si="199"/>
        <v>ok</v>
      </c>
      <c r="AA1798" s="4" t="str">
        <f t="shared" si="200"/>
        <v>ok</v>
      </c>
      <c r="AB1798" s="4" t="str">
        <f t="shared" si="201"/>
        <v>ok</v>
      </c>
      <c r="AC1798" s="6">
        <f t="shared" si="202"/>
        <v>78.323834444512613</v>
      </c>
    </row>
    <row r="1799" spans="1:29" x14ac:dyDescent="0.3">
      <c r="A1799" t="s">
        <v>42</v>
      </c>
      <c r="B1799">
        <v>3294</v>
      </c>
      <c r="C1799" t="s">
        <v>47</v>
      </c>
      <c r="D1799" t="s">
        <v>43</v>
      </c>
      <c r="E1799" t="s">
        <v>25</v>
      </c>
      <c r="F1799" t="s">
        <v>26</v>
      </c>
      <c r="G1799" t="s">
        <v>45</v>
      </c>
      <c r="H1799" s="1">
        <v>45209.66033564815</v>
      </c>
      <c r="I1799" s="1">
        <v>45210.66033564815</v>
      </c>
      <c r="J1799" s="1">
        <v>45209.661724537036</v>
      </c>
      <c r="K1799" s="2">
        <v>45209.661594143516</v>
      </c>
      <c r="L1799" t="s">
        <v>28</v>
      </c>
      <c r="M1799" s="2">
        <v>45209.818339328704</v>
      </c>
      <c r="N1799" t="s">
        <v>28</v>
      </c>
      <c r="P1799">
        <v>6</v>
      </c>
      <c r="R1799" t="s">
        <v>50</v>
      </c>
      <c r="S1799" t="s">
        <v>30</v>
      </c>
      <c r="T1799" t="s">
        <v>56</v>
      </c>
      <c r="U1799">
        <v>52.536273000000001</v>
      </c>
      <c r="V1799">
        <v>19.050639</v>
      </c>
      <c r="W1799" t="str">
        <f t="shared" si="197"/>
        <v>ok</v>
      </c>
      <c r="X1799" t="str">
        <f t="shared" si="203"/>
        <v>ok</v>
      </c>
      <c r="Y1799" t="str">
        <f t="shared" si="198"/>
        <v>ok</v>
      </c>
      <c r="Z1799" t="str">
        <f t="shared" si="199"/>
        <v>ok</v>
      </c>
      <c r="AA1799" s="4" t="str">
        <f t="shared" si="200"/>
        <v>ok</v>
      </c>
      <c r="AB1799" s="4" t="str">
        <f t="shared" si="201"/>
        <v>ok</v>
      </c>
      <c r="AC1799" s="6">
        <f t="shared" si="202"/>
        <v>3.7920883332844824</v>
      </c>
    </row>
    <row r="1800" spans="1:29" x14ac:dyDescent="0.3">
      <c r="A1800" t="s">
        <v>42</v>
      </c>
      <c r="B1800">
        <v>3295</v>
      </c>
      <c r="C1800" t="s">
        <v>47</v>
      </c>
      <c r="D1800" t="s">
        <v>43</v>
      </c>
      <c r="E1800" t="s">
        <v>25</v>
      </c>
      <c r="F1800" t="s">
        <v>36</v>
      </c>
      <c r="G1800" t="s">
        <v>54</v>
      </c>
      <c r="H1800" s="1">
        <v>45210.569444444445</v>
      </c>
      <c r="I1800" s="1">
        <v>45211.569444444445</v>
      </c>
      <c r="J1800" s="1">
        <v>45210.570833333331</v>
      </c>
      <c r="K1800" s="2">
        <v>45210.570746192127</v>
      </c>
      <c r="L1800" t="s">
        <v>28</v>
      </c>
      <c r="M1800" s="2">
        <v>45210.788769664352</v>
      </c>
      <c r="N1800" t="s">
        <v>28</v>
      </c>
      <c r="P1800">
        <v>5</v>
      </c>
      <c r="R1800" t="s">
        <v>29</v>
      </c>
      <c r="S1800" t="s">
        <v>40</v>
      </c>
      <c r="T1800" t="s">
        <v>41</v>
      </c>
      <c r="U1800">
        <v>43.036776000000003</v>
      </c>
      <c r="V1800">
        <v>12.678565000000001</v>
      </c>
      <c r="W1800" t="str">
        <f t="shared" si="197"/>
        <v>ok</v>
      </c>
      <c r="X1800" t="str">
        <f t="shared" si="203"/>
        <v>ok</v>
      </c>
      <c r="Y1800" t="str">
        <f t="shared" si="198"/>
        <v>ok</v>
      </c>
      <c r="Z1800" t="str">
        <f t="shared" si="199"/>
        <v>ok</v>
      </c>
      <c r="AA1800" s="4" t="str">
        <f t="shared" si="200"/>
        <v>ok</v>
      </c>
      <c r="AB1800" s="4" t="str">
        <f t="shared" si="201"/>
        <v>ok</v>
      </c>
      <c r="AC1800" s="6">
        <f t="shared" si="202"/>
        <v>5.2638052777620032</v>
      </c>
    </row>
    <row r="1801" spans="1:29" x14ac:dyDescent="0.3">
      <c r="A1801" t="s">
        <v>42</v>
      </c>
      <c r="B1801">
        <v>3296</v>
      </c>
      <c r="C1801" t="s">
        <v>23</v>
      </c>
      <c r="D1801" t="s">
        <v>43</v>
      </c>
      <c r="E1801" t="s">
        <v>35</v>
      </c>
      <c r="F1801" t="s">
        <v>26</v>
      </c>
      <c r="G1801" t="s">
        <v>49</v>
      </c>
      <c r="H1801" s="1">
        <v>45210.721562500003</v>
      </c>
      <c r="I1801" s="1">
        <v>45211.721562500003</v>
      </c>
      <c r="J1801" s="1">
        <v>45210.722951388889</v>
      </c>
      <c r="K1801" s="2">
        <v>45210.721714178238</v>
      </c>
      <c r="L1801" t="s">
        <v>28</v>
      </c>
      <c r="M1801" s="2">
        <v>45211.441296643519</v>
      </c>
      <c r="N1801" t="s">
        <v>28</v>
      </c>
      <c r="P1801">
        <v>7</v>
      </c>
      <c r="R1801" t="s">
        <v>39</v>
      </c>
      <c r="S1801" t="s">
        <v>30</v>
      </c>
      <c r="T1801" t="s">
        <v>51</v>
      </c>
      <c r="U1801">
        <v>39.673369999999998</v>
      </c>
      <c r="V1801">
        <v>-4.7677259999999997</v>
      </c>
      <c r="W1801" t="str">
        <f t="shared" si="197"/>
        <v>ok</v>
      </c>
      <c r="X1801" t="str">
        <f t="shared" si="203"/>
        <v>ok</v>
      </c>
      <c r="Y1801" t="str">
        <f t="shared" si="198"/>
        <v>ok</v>
      </c>
      <c r="Z1801" t="str">
        <f t="shared" si="199"/>
        <v>ok</v>
      </c>
      <c r="AA1801" s="4" t="str">
        <f t="shared" si="200"/>
        <v>ok</v>
      </c>
      <c r="AB1801" s="4" t="str">
        <f t="shared" si="201"/>
        <v>ok</v>
      </c>
      <c r="AC1801" s="6">
        <f t="shared" si="202"/>
        <v>17.273619444400538</v>
      </c>
    </row>
    <row r="1802" spans="1:29" x14ac:dyDescent="0.3">
      <c r="A1802" t="s">
        <v>42</v>
      </c>
      <c r="B1802">
        <v>3297</v>
      </c>
      <c r="C1802" t="s">
        <v>23</v>
      </c>
      <c r="D1802" t="s">
        <v>24</v>
      </c>
      <c r="E1802" t="s">
        <v>35</v>
      </c>
      <c r="F1802" t="s">
        <v>36</v>
      </c>
      <c r="G1802" t="s">
        <v>54</v>
      </c>
      <c r="H1802" s="1">
        <v>45210.343078703707</v>
      </c>
      <c r="I1802" s="1">
        <v>45212.343078703707</v>
      </c>
      <c r="J1802" s="1">
        <v>45210.384745370371</v>
      </c>
      <c r="K1802" s="2">
        <v>45210.383411793984</v>
      </c>
      <c r="L1802" t="s">
        <v>28</v>
      </c>
      <c r="M1802" s="2">
        <v>45211.903496817133</v>
      </c>
      <c r="N1802" t="s">
        <v>28</v>
      </c>
      <c r="P1802">
        <v>10</v>
      </c>
      <c r="R1802" t="s">
        <v>39</v>
      </c>
      <c r="S1802" t="s">
        <v>40</v>
      </c>
      <c r="T1802" t="s">
        <v>65</v>
      </c>
      <c r="U1802">
        <v>46.149166399999999</v>
      </c>
      <c r="V1802">
        <v>14.9860106</v>
      </c>
      <c r="W1802" t="str">
        <f t="shared" si="197"/>
        <v>ok</v>
      </c>
      <c r="X1802" t="str">
        <f t="shared" si="203"/>
        <v>ok</v>
      </c>
      <c r="Y1802" t="str">
        <f t="shared" si="198"/>
        <v>ok</v>
      </c>
      <c r="Z1802" t="str">
        <f t="shared" si="199"/>
        <v>ok</v>
      </c>
      <c r="AA1802" s="4" t="str">
        <f t="shared" si="200"/>
        <v>ok</v>
      </c>
      <c r="AB1802" s="4" t="str">
        <f t="shared" si="201"/>
        <v>ok</v>
      </c>
      <c r="AC1802" s="6">
        <f t="shared" si="202"/>
        <v>37.450034722220153</v>
      </c>
    </row>
    <row r="1803" spans="1:29" x14ac:dyDescent="0.3">
      <c r="A1803" t="s">
        <v>22</v>
      </c>
      <c r="B1803">
        <v>3298</v>
      </c>
      <c r="C1803" t="s">
        <v>23</v>
      </c>
      <c r="D1803" t="s">
        <v>24</v>
      </c>
      <c r="E1803" t="s">
        <v>25</v>
      </c>
      <c r="F1803" t="s">
        <v>36</v>
      </c>
      <c r="G1803" t="s">
        <v>54</v>
      </c>
      <c r="H1803" s="1">
        <v>45210.419791666667</v>
      </c>
      <c r="I1803" s="1">
        <v>45212.419791666667</v>
      </c>
      <c r="J1803" s="1">
        <v>45210.461458333331</v>
      </c>
      <c r="K1803" s="2">
        <v>45210.421954814818</v>
      </c>
      <c r="L1803" t="s">
        <v>28</v>
      </c>
      <c r="M1803" s="2">
        <v>45211.616235567133</v>
      </c>
      <c r="N1803" t="s">
        <v>28</v>
      </c>
      <c r="O1803" s="2">
        <v>45214.598597280092</v>
      </c>
      <c r="P1803">
        <v>5</v>
      </c>
      <c r="Q1803">
        <v>3</v>
      </c>
      <c r="R1803" t="s">
        <v>50</v>
      </c>
      <c r="S1803" t="s">
        <v>40</v>
      </c>
      <c r="T1803" t="s">
        <v>46</v>
      </c>
      <c r="U1803">
        <v>47.696471899999999</v>
      </c>
      <c r="V1803">
        <v>13.3457347</v>
      </c>
      <c r="W1803" t="str">
        <f t="shared" si="197"/>
        <v>ok</v>
      </c>
      <c r="X1803" t="str">
        <f t="shared" si="203"/>
        <v>ok</v>
      </c>
      <c r="Y1803" t="str">
        <f t="shared" si="198"/>
        <v>ok</v>
      </c>
      <c r="Z1803" t="str">
        <f t="shared" si="199"/>
        <v>ok</v>
      </c>
      <c r="AA1803" s="4" t="str">
        <f t="shared" si="200"/>
        <v>ok</v>
      </c>
      <c r="AB1803" s="4" t="str">
        <f t="shared" si="201"/>
        <v>ok</v>
      </c>
      <c r="AC1803" s="6">
        <f t="shared" si="202"/>
        <v>28.714653611183167</v>
      </c>
    </row>
    <row r="1804" spans="1:29" x14ac:dyDescent="0.3">
      <c r="A1804" t="s">
        <v>22</v>
      </c>
      <c r="B1804">
        <v>3299</v>
      </c>
      <c r="C1804" t="s">
        <v>23</v>
      </c>
      <c r="D1804" t="s">
        <v>24</v>
      </c>
      <c r="E1804" t="s">
        <v>48</v>
      </c>
      <c r="F1804" t="s">
        <v>26</v>
      </c>
      <c r="G1804" t="s">
        <v>27</v>
      </c>
      <c r="H1804" s="1">
        <v>45210.339768518519</v>
      </c>
      <c r="I1804" s="1">
        <v>45212.339768518519</v>
      </c>
      <c r="J1804" s="1">
        <v>45210.381435185183</v>
      </c>
      <c r="K1804" s="2">
        <v>45210.351367164352</v>
      </c>
      <c r="L1804" t="s">
        <v>28</v>
      </c>
      <c r="M1804" s="2">
        <v>45214.861916180555</v>
      </c>
      <c r="N1804" t="s">
        <v>38</v>
      </c>
      <c r="O1804" s="2">
        <v>45216.661859699074</v>
      </c>
      <c r="P1804">
        <v>3</v>
      </c>
      <c r="Q1804">
        <v>5</v>
      </c>
      <c r="R1804" t="s">
        <v>29</v>
      </c>
      <c r="S1804" t="s">
        <v>30</v>
      </c>
      <c r="T1804" t="s">
        <v>63</v>
      </c>
      <c r="U1804">
        <v>55.378051999999997</v>
      </c>
      <c r="V1804">
        <v>-3.4359730000000002</v>
      </c>
      <c r="W1804" t="str">
        <f t="shared" si="197"/>
        <v>ok</v>
      </c>
      <c r="X1804" t="str">
        <f t="shared" si="203"/>
        <v>ok</v>
      </c>
      <c r="Y1804" t="str">
        <f t="shared" si="198"/>
        <v>ok</v>
      </c>
      <c r="Z1804" t="str">
        <f t="shared" si="199"/>
        <v>ok</v>
      </c>
      <c r="AA1804" s="4" t="str">
        <f t="shared" si="200"/>
        <v>ok</v>
      </c>
      <c r="AB1804" s="4" t="str">
        <f t="shared" si="201"/>
        <v>ok</v>
      </c>
      <c r="AC1804" s="6">
        <f t="shared" si="202"/>
        <v>108.53154388885014</v>
      </c>
    </row>
    <row r="1805" spans="1:29" x14ac:dyDescent="0.3">
      <c r="A1805" t="s">
        <v>22</v>
      </c>
      <c r="B1805">
        <v>3300</v>
      </c>
      <c r="C1805" t="s">
        <v>23</v>
      </c>
      <c r="D1805" t="s">
        <v>43</v>
      </c>
      <c r="E1805" t="s">
        <v>48</v>
      </c>
      <c r="F1805" t="s">
        <v>26</v>
      </c>
      <c r="G1805" t="s">
        <v>60</v>
      </c>
      <c r="H1805" s="1">
        <v>45210.725636574076</v>
      </c>
      <c r="I1805" s="1">
        <v>45211.725636574076</v>
      </c>
      <c r="J1805" s="1">
        <v>45210.727025462962</v>
      </c>
      <c r="K1805" s="2">
        <v>45210.726711423609</v>
      </c>
      <c r="L1805" t="s">
        <v>28</v>
      </c>
      <c r="M1805" s="2">
        <v>45210.852057037038</v>
      </c>
      <c r="N1805" t="s">
        <v>28</v>
      </c>
      <c r="O1805" s="2">
        <v>45212.135072638892</v>
      </c>
      <c r="P1805">
        <v>6</v>
      </c>
      <c r="Q1805">
        <v>3</v>
      </c>
      <c r="R1805" t="s">
        <v>29</v>
      </c>
      <c r="S1805" t="s">
        <v>30</v>
      </c>
      <c r="T1805" t="s">
        <v>51</v>
      </c>
      <c r="U1805">
        <v>39.673369999999998</v>
      </c>
      <c r="V1805">
        <v>-4.7677259999999997</v>
      </c>
      <c r="W1805" t="str">
        <f t="shared" si="197"/>
        <v>ok</v>
      </c>
      <c r="X1805" t="str">
        <f t="shared" si="203"/>
        <v>ok</v>
      </c>
      <c r="Y1805" t="str">
        <f t="shared" si="198"/>
        <v>ok</v>
      </c>
      <c r="Z1805" t="str">
        <f t="shared" si="199"/>
        <v>ok</v>
      </c>
      <c r="AA1805" s="4" t="str">
        <f t="shared" si="200"/>
        <v>ok</v>
      </c>
      <c r="AB1805" s="4" t="str">
        <f t="shared" si="201"/>
        <v>ok</v>
      </c>
      <c r="AC1805" s="6">
        <f t="shared" si="202"/>
        <v>3.0340911110979505</v>
      </c>
    </row>
    <row r="1806" spans="1:29" x14ac:dyDescent="0.3">
      <c r="A1806" t="s">
        <v>32</v>
      </c>
      <c r="B1806">
        <v>3301</v>
      </c>
      <c r="C1806" t="s">
        <v>33</v>
      </c>
      <c r="D1806" t="s">
        <v>34</v>
      </c>
      <c r="E1806" t="s">
        <v>25</v>
      </c>
      <c r="F1806" t="s">
        <v>26</v>
      </c>
      <c r="G1806" t="s">
        <v>27</v>
      </c>
      <c r="H1806" s="1">
        <v>45210.050497685188</v>
      </c>
      <c r="I1806" s="1">
        <v>45212.050497685188</v>
      </c>
      <c r="J1806" s="1">
        <v>45210.051886574074</v>
      </c>
      <c r="K1806" s="2">
        <v>45210.051535405095</v>
      </c>
      <c r="L1806" t="s">
        <v>28</v>
      </c>
      <c r="N1806" t="s">
        <v>38</v>
      </c>
      <c r="P1806">
        <v>1</v>
      </c>
      <c r="R1806" t="s">
        <v>50</v>
      </c>
      <c r="S1806" t="s">
        <v>30</v>
      </c>
      <c r="T1806" t="s">
        <v>57</v>
      </c>
      <c r="U1806">
        <v>51.165691000000002</v>
      </c>
      <c r="V1806">
        <v>10.451525999999999</v>
      </c>
      <c r="W1806" t="str">
        <f t="shared" si="197"/>
        <v>ok</v>
      </c>
      <c r="X1806" t="str">
        <f t="shared" si="203"/>
        <v>ok</v>
      </c>
      <c r="Y1806" t="str">
        <f t="shared" si="198"/>
        <v>ok</v>
      </c>
      <c r="Z1806" t="str">
        <f t="shared" si="199"/>
        <v>ok</v>
      </c>
      <c r="AA1806" s="4" t="str">
        <f t="shared" si="200"/>
        <v>ok</v>
      </c>
      <c r="AB1806" s="4" t="str">
        <f t="shared" si="201"/>
        <v>no resolution</v>
      </c>
      <c r="AC1806" s="6" t="str">
        <f t="shared" si="202"/>
        <v/>
      </c>
    </row>
    <row r="1807" spans="1:29" x14ac:dyDescent="0.3">
      <c r="A1807" t="s">
        <v>22</v>
      </c>
      <c r="B1807">
        <v>3302</v>
      </c>
      <c r="C1807" t="s">
        <v>23</v>
      </c>
      <c r="D1807" t="s">
        <v>43</v>
      </c>
      <c r="E1807" t="s">
        <v>35</v>
      </c>
      <c r="F1807" t="s">
        <v>26</v>
      </c>
      <c r="G1807" t="s">
        <v>60</v>
      </c>
      <c r="H1807" s="1">
        <v>45210.226041666669</v>
      </c>
      <c r="I1807" s="1">
        <v>45211.226041666669</v>
      </c>
      <c r="J1807" s="1">
        <v>45210.227430555555</v>
      </c>
      <c r="K1807" s="2">
        <v>45210.227395092596</v>
      </c>
      <c r="L1807" t="s">
        <v>28</v>
      </c>
      <c r="M1807" s="2">
        <v>45210.554776122684</v>
      </c>
      <c r="N1807" t="s">
        <v>28</v>
      </c>
      <c r="O1807" s="2">
        <v>45212.865676701389</v>
      </c>
      <c r="P1807">
        <v>8</v>
      </c>
      <c r="Q1807">
        <v>4</v>
      </c>
      <c r="R1807" t="s">
        <v>29</v>
      </c>
      <c r="S1807" t="s">
        <v>30</v>
      </c>
      <c r="T1807" t="s">
        <v>41</v>
      </c>
      <c r="U1807">
        <v>43.036776000000003</v>
      </c>
      <c r="V1807">
        <v>12.678565000000001</v>
      </c>
      <c r="W1807" t="str">
        <f t="shared" si="197"/>
        <v>ok</v>
      </c>
      <c r="X1807" t="str">
        <f t="shared" si="203"/>
        <v>ok</v>
      </c>
      <c r="Y1807" t="str">
        <f t="shared" si="198"/>
        <v>ok</v>
      </c>
      <c r="Z1807" t="str">
        <f t="shared" si="199"/>
        <v>ok</v>
      </c>
      <c r="AA1807" s="4" t="str">
        <f t="shared" si="200"/>
        <v>ok</v>
      </c>
      <c r="AB1807" s="4" t="str">
        <f t="shared" si="201"/>
        <v>ok</v>
      </c>
      <c r="AC1807" s="6">
        <f t="shared" si="202"/>
        <v>7.8896269443794154</v>
      </c>
    </row>
    <row r="1808" spans="1:29" x14ac:dyDescent="0.3">
      <c r="A1808" t="s">
        <v>22</v>
      </c>
      <c r="B1808">
        <v>3303</v>
      </c>
      <c r="C1808" t="s">
        <v>47</v>
      </c>
      <c r="D1808" t="s">
        <v>43</v>
      </c>
      <c r="E1808" t="s">
        <v>48</v>
      </c>
      <c r="F1808" t="s">
        <v>26</v>
      </c>
      <c r="G1808" t="s">
        <v>49</v>
      </c>
      <c r="H1808" s="1">
        <v>45211.63076388889</v>
      </c>
      <c r="I1808" s="1">
        <v>45212.63076388889</v>
      </c>
      <c r="J1808" s="1">
        <v>45211.632152777776</v>
      </c>
      <c r="K1808" s="2">
        <v>45211.631195462964</v>
      </c>
      <c r="L1808" t="s">
        <v>28</v>
      </c>
      <c r="M1808" s="2">
        <v>45212.310529201386</v>
      </c>
      <c r="N1808" t="s">
        <v>28</v>
      </c>
      <c r="O1808" s="2">
        <v>45212.816371516201</v>
      </c>
      <c r="P1808">
        <v>6</v>
      </c>
      <c r="Q1808">
        <v>3</v>
      </c>
      <c r="R1808" t="s">
        <v>39</v>
      </c>
      <c r="S1808" t="s">
        <v>30</v>
      </c>
      <c r="T1808" t="s">
        <v>56</v>
      </c>
      <c r="U1808">
        <v>52.536273000000001</v>
      </c>
      <c r="V1808">
        <v>19.050639</v>
      </c>
      <c r="W1808" t="str">
        <f t="shared" si="197"/>
        <v>ok</v>
      </c>
      <c r="X1808" t="str">
        <f t="shared" si="203"/>
        <v>ok</v>
      </c>
      <c r="Y1808" t="str">
        <f t="shared" si="198"/>
        <v>ok</v>
      </c>
      <c r="Z1808" t="str">
        <f t="shared" si="199"/>
        <v>ok</v>
      </c>
      <c r="AA1808" s="4" t="str">
        <f t="shared" si="200"/>
        <v>ok</v>
      </c>
      <c r="AB1808" s="4" t="str">
        <f t="shared" si="201"/>
        <v>ok</v>
      </c>
      <c r="AC1808" s="6">
        <f t="shared" si="202"/>
        <v>16.314367499900982</v>
      </c>
    </row>
    <row r="1809" spans="1:29" x14ac:dyDescent="0.3">
      <c r="A1809" t="s">
        <v>42</v>
      </c>
      <c r="B1809">
        <v>3304</v>
      </c>
      <c r="C1809" t="s">
        <v>23</v>
      </c>
      <c r="D1809" t="s">
        <v>43</v>
      </c>
      <c r="E1809" t="s">
        <v>39</v>
      </c>
      <c r="F1809" t="s">
        <v>36</v>
      </c>
      <c r="G1809" t="s">
        <v>54</v>
      </c>
      <c r="H1809" s="1">
        <v>45211.184259259258</v>
      </c>
      <c r="I1809" s="1">
        <v>45212.184259259258</v>
      </c>
      <c r="J1809" s="1">
        <v>45211.185648148145</v>
      </c>
      <c r="K1809" s="2">
        <v>45211.185271041664</v>
      </c>
      <c r="L1809" t="s">
        <v>28</v>
      </c>
      <c r="M1809" s="2">
        <v>45211.538406064814</v>
      </c>
      <c r="N1809" t="s">
        <v>28</v>
      </c>
      <c r="P1809">
        <v>4</v>
      </c>
      <c r="R1809" t="s">
        <v>55</v>
      </c>
      <c r="S1809" t="s">
        <v>40</v>
      </c>
      <c r="T1809" t="s">
        <v>31</v>
      </c>
      <c r="U1809">
        <v>53.094023999999997</v>
      </c>
      <c r="V1809">
        <v>-8.0196749999999994</v>
      </c>
      <c r="W1809" t="str">
        <f t="shared" si="197"/>
        <v>ok</v>
      </c>
      <c r="X1809" t="str">
        <f t="shared" si="203"/>
        <v>ok</v>
      </c>
      <c r="Y1809" t="str">
        <f t="shared" si="198"/>
        <v>ok</v>
      </c>
      <c r="Z1809" t="str">
        <f t="shared" si="199"/>
        <v>ok</v>
      </c>
      <c r="AA1809" s="4" t="str">
        <f t="shared" si="200"/>
        <v>ok</v>
      </c>
      <c r="AB1809" s="4" t="str">
        <f t="shared" si="201"/>
        <v>ok</v>
      </c>
      <c r="AC1809" s="6">
        <f t="shared" si="202"/>
        <v>8.4995233333320357</v>
      </c>
    </row>
    <row r="1810" spans="1:29" x14ac:dyDescent="0.3">
      <c r="A1810" t="s">
        <v>42</v>
      </c>
      <c r="B1810">
        <v>3305</v>
      </c>
      <c r="C1810" t="s">
        <v>23</v>
      </c>
      <c r="D1810" t="s">
        <v>43</v>
      </c>
      <c r="E1810" t="s">
        <v>35</v>
      </c>
      <c r="F1810" t="s">
        <v>26</v>
      </c>
      <c r="G1810" t="s">
        <v>60</v>
      </c>
      <c r="H1810" s="1">
        <v>45211.5234375</v>
      </c>
      <c r="I1810" s="1">
        <v>45212.5234375</v>
      </c>
      <c r="J1810" s="1">
        <v>45211.524826388886</v>
      </c>
      <c r="K1810" s="2">
        <v>45211.524739641201</v>
      </c>
      <c r="L1810" t="s">
        <v>28</v>
      </c>
      <c r="M1810" s="2">
        <v>45213.228528958331</v>
      </c>
      <c r="N1810" t="s">
        <v>38</v>
      </c>
      <c r="P1810">
        <v>8</v>
      </c>
      <c r="R1810" t="s">
        <v>50</v>
      </c>
      <c r="S1810" t="s">
        <v>30</v>
      </c>
      <c r="T1810" t="s">
        <v>56</v>
      </c>
      <c r="U1810">
        <v>52.536273000000001</v>
      </c>
      <c r="V1810">
        <v>19.050639</v>
      </c>
      <c r="W1810" t="str">
        <f t="shared" si="197"/>
        <v>ok</v>
      </c>
      <c r="X1810" t="str">
        <f t="shared" si="203"/>
        <v>ok</v>
      </c>
      <c r="Y1810" t="str">
        <f t="shared" si="198"/>
        <v>ok</v>
      </c>
      <c r="Z1810" t="str">
        <f t="shared" si="199"/>
        <v>ok</v>
      </c>
      <c r="AA1810" s="4" t="str">
        <f t="shared" si="200"/>
        <v>ok</v>
      </c>
      <c r="AB1810" s="4" t="str">
        <f t="shared" si="201"/>
        <v>ok</v>
      </c>
      <c r="AC1810" s="6">
        <f t="shared" si="202"/>
        <v>40.922194999933708</v>
      </c>
    </row>
    <row r="1811" spans="1:29" x14ac:dyDescent="0.3">
      <c r="A1811" t="s">
        <v>22</v>
      </c>
      <c r="B1811">
        <v>3306</v>
      </c>
      <c r="C1811" t="s">
        <v>47</v>
      </c>
      <c r="D1811" t="s">
        <v>24</v>
      </c>
      <c r="E1811" t="s">
        <v>48</v>
      </c>
      <c r="F1811" t="s">
        <v>26</v>
      </c>
      <c r="G1811" t="s">
        <v>60</v>
      </c>
      <c r="H1811" s="1">
        <v>45211.62709490741</v>
      </c>
      <c r="I1811" s="1">
        <v>45213.62709490741</v>
      </c>
      <c r="J1811" s="1">
        <v>45211.668761574074</v>
      </c>
      <c r="K1811" s="2">
        <v>45211.644293923608</v>
      </c>
      <c r="L1811" t="s">
        <v>28</v>
      </c>
      <c r="M1811" s="2">
        <v>45213.591053923614</v>
      </c>
      <c r="N1811" t="s">
        <v>28</v>
      </c>
      <c r="O1811" s="2">
        <v>45214.390905925924</v>
      </c>
      <c r="P1811">
        <v>2</v>
      </c>
      <c r="Q1811">
        <v>4</v>
      </c>
      <c r="R1811" t="s">
        <v>29</v>
      </c>
      <c r="S1811" t="s">
        <v>30</v>
      </c>
      <c r="T1811" t="s">
        <v>41</v>
      </c>
      <c r="U1811">
        <v>43.036776000000003</v>
      </c>
      <c r="V1811">
        <v>12.678565000000001</v>
      </c>
      <c r="W1811" t="str">
        <f t="shared" si="197"/>
        <v>ok</v>
      </c>
      <c r="X1811" t="str">
        <f t="shared" si="203"/>
        <v>ok</v>
      </c>
      <c r="Y1811" t="str">
        <f t="shared" si="198"/>
        <v>ok</v>
      </c>
      <c r="Z1811" t="str">
        <f t="shared" si="199"/>
        <v>ok</v>
      </c>
      <c r="AA1811" s="4" t="str">
        <f t="shared" si="200"/>
        <v>ok</v>
      </c>
      <c r="AB1811" s="4" t="str">
        <f t="shared" si="201"/>
        <v>ok</v>
      </c>
      <c r="AC1811" s="6">
        <f t="shared" si="202"/>
        <v>47.135016388900112</v>
      </c>
    </row>
    <row r="1812" spans="1:29" x14ac:dyDescent="0.3">
      <c r="A1812" t="s">
        <v>32</v>
      </c>
      <c r="B1812">
        <v>3307</v>
      </c>
      <c r="C1812" t="s">
        <v>23</v>
      </c>
      <c r="D1812" t="s">
        <v>24</v>
      </c>
      <c r="E1812" t="s">
        <v>48</v>
      </c>
      <c r="F1812" t="s">
        <v>26</v>
      </c>
      <c r="G1812" t="s">
        <v>52</v>
      </c>
      <c r="H1812" s="1">
        <v>45211.809259259258</v>
      </c>
      <c r="I1812" s="1">
        <v>45213.809259259258</v>
      </c>
      <c r="J1812" s="1">
        <v>45211.850925925923</v>
      </c>
      <c r="K1812" s="2">
        <v>45211.816344409723</v>
      </c>
      <c r="L1812" t="s">
        <v>28</v>
      </c>
      <c r="N1812" t="s">
        <v>38</v>
      </c>
      <c r="P1812">
        <v>1</v>
      </c>
      <c r="R1812" t="s">
        <v>50</v>
      </c>
      <c r="S1812" t="s">
        <v>30</v>
      </c>
      <c r="T1812" t="s">
        <v>41</v>
      </c>
      <c r="U1812">
        <v>43.036776000000003</v>
      </c>
      <c r="V1812">
        <v>12.678565000000001</v>
      </c>
      <c r="W1812" t="str">
        <f t="shared" si="197"/>
        <v>ok</v>
      </c>
      <c r="X1812" t="str">
        <f t="shared" si="203"/>
        <v>ok</v>
      </c>
      <c r="Y1812" t="str">
        <f t="shared" si="198"/>
        <v>ok</v>
      </c>
      <c r="Z1812" t="str">
        <f t="shared" si="199"/>
        <v>ok</v>
      </c>
      <c r="AA1812" s="4" t="str">
        <f t="shared" si="200"/>
        <v>ok</v>
      </c>
      <c r="AB1812" s="4" t="str">
        <f t="shared" si="201"/>
        <v>no resolution</v>
      </c>
      <c r="AC1812" s="6" t="str">
        <f t="shared" si="202"/>
        <v/>
      </c>
    </row>
    <row r="1813" spans="1:29" x14ac:dyDescent="0.3">
      <c r="A1813" t="s">
        <v>22</v>
      </c>
      <c r="B1813">
        <v>3308</v>
      </c>
      <c r="C1813" t="s">
        <v>23</v>
      </c>
      <c r="D1813" t="s">
        <v>43</v>
      </c>
      <c r="E1813" t="s">
        <v>48</v>
      </c>
      <c r="F1813" t="s">
        <v>26</v>
      </c>
      <c r="G1813" t="s">
        <v>45</v>
      </c>
      <c r="H1813" s="1">
        <v>45211.793252314812</v>
      </c>
      <c r="I1813" s="1">
        <v>45212.793252314812</v>
      </c>
      <c r="J1813" s="1">
        <v>45211.794641203705</v>
      </c>
      <c r="K1813" s="2">
        <v>45211.794453553244</v>
      </c>
      <c r="L1813" t="s">
        <v>28</v>
      </c>
      <c r="M1813" s="2">
        <v>45212.586719120372</v>
      </c>
      <c r="N1813" t="s">
        <v>28</v>
      </c>
      <c r="O1813" s="2">
        <v>45213.571962835646</v>
      </c>
      <c r="P1813">
        <v>5</v>
      </c>
      <c r="Q1813">
        <v>2</v>
      </c>
      <c r="R1813" t="s">
        <v>29</v>
      </c>
      <c r="S1813" t="s">
        <v>30</v>
      </c>
      <c r="T1813" t="s">
        <v>63</v>
      </c>
      <c r="U1813">
        <v>55.378051999999997</v>
      </c>
      <c r="V1813">
        <v>-3.4359730000000002</v>
      </c>
      <c r="W1813" t="str">
        <f t="shared" si="197"/>
        <v>ok</v>
      </c>
      <c r="X1813" t="str">
        <f t="shared" si="203"/>
        <v>ok</v>
      </c>
      <c r="Y1813" t="str">
        <f t="shared" si="198"/>
        <v>ok</v>
      </c>
      <c r="Z1813" t="str">
        <f t="shared" si="199"/>
        <v>ok</v>
      </c>
      <c r="AA1813" s="4" t="str">
        <f t="shared" si="200"/>
        <v>ok</v>
      </c>
      <c r="AB1813" s="4" t="str">
        <f t="shared" si="201"/>
        <v>ok</v>
      </c>
      <c r="AC1813" s="6">
        <f t="shared" si="202"/>
        <v>19.043203333450947</v>
      </c>
    </row>
    <row r="1814" spans="1:29" x14ac:dyDescent="0.3">
      <c r="A1814" t="s">
        <v>22</v>
      </c>
      <c r="B1814">
        <v>3309</v>
      </c>
      <c r="C1814" t="s">
        <v>23</v>
      </c>
      <c r="D1814" t="s">
        <v>24</v>
      </c>
      <c r="E1814" t="s">
        <v>39</v>
      </c>
      <c r="F1814" t="s">
        <v>36</v>
      </c>
      <c r="G1814" t="s">
        <v>37</v>
      </c>
      <c r="H1814" s="1">
        <v>45211.533136574071</v>
      </c>
      <c r="I1814" s="1">
        <v>45213.533136574071</v>
      </c>
      <c r="J1814" s="1">
        <v>45211.574803240743</v>
      </c>
      <c r="K1814" s="2">
        <v>45211.548771481481</v>
      </c>
      <c r="L1814" t="s">
        <v>28</v>
      </c>
      <c r="M1814" s="2">
        <v>45213.08989599537</v>
      </c>
      <c r="N1814" t="s">
        <v>28</v>
      </c>
      <c r="O1814" s="2">
        <v>45216.533804166669</v>
      </c>
      <c r="P1814">
        <v>9</v>
      </c>
      <c r="Q1814">
        <v>1</v>
      </c>
      <c r="R1814" t="s">
        <v>50</v>
      </c>
      <c r="S1814" t="s">
        <v>40</v>
      </c>
      <c r="T1814" t="s">
        <v>46</v>
      </c>
      <c r="U1814">
        <v>47.696471899999999</v>
      </c>
      <c r="V1814">
        <v>13.3457347</v>
      </c>
      <c r="W1814" t="str">
        <f t="shared" si="197"/>
        <v>ok</v>
      </c>
      <c r="X1814" t="str">
        <f t="shared" si="203"/>
        <v>ok</v>
      </c>
      <c r="Y1814" t="str">
        <f t="shared" si="198"/>
        <v>ok</v>
      </c>
      <c r="Z1814" t="str">
        <f t="shared" si="199"/>
        <v>ok</v>
      </c>
      <c r="AA1814" s="4" t="str">
        <f t="shared" si="200"/>
        <v>ok</v>
      </c>
      <c r="AB1814" s="4" t="str">
        <f t="shared" si="201"/>
        <v>ok</v>
      </c>
      <c r="AC1814" s="6">
        <f t="shared" si="202"/>
        <v>37.362226111174095</v>
      </c>
    </row>
    <row r="1815" spans="1:29" x14ac:dyDescent="0.3">
      <c r="A1815" t="s">
        <v>22</v>
      </c>
      <c r="B1815">
        <v>3310</v>
      </c>
      <c r="C1815" t="s">
        <v>47</v>
      </c>
      <c r="D1815" t="s">
        <v>24</v>
      </c>
      <c r="E1815" t="s">
        <v>35</v>
      </c>
      <c r="F1815" t="s">
        <v>26</v>
      </c>
      <c r="G1815" t="s">
        <v>60</v>
      </c>
      <c r="H1815" s="1">
        <v>45211.782476851855</v>
      </c>
      <c r="I1815" s="1">
        <v>45213.782476851855</v>
      </c>
      <c r="J1815" s="1">
        <v>45211.824143518519</v>
      </c>
      <c r="K1815" s="2">
        <v>45211.813206180559</v>
      </c>
      <c r="L1815" t="s">
        <v>28</v>
      </c>
      <c r="M1815" s="2">
        <v>45212.141903541669</v>
      </c>
      <c r="N1815" t="s">
        <v>28</v>
      </c>
      <c r="O1815" s="2">
        <v>45214.529668379633</v>
      </c>
      <c r="P1815">
        <v>1</v>
      </c>
      <c r="Q1815">
        <v>3</v>
      </c>
      <c r="R1815" t="s">
        <v>55</v>
      </c>
      <c r="S1815" t="s">
        <v>30</v>
      </c>
      <c r="T1815" t="s">
        <v>41</v>
      </c>
      <c r="U1815">
        <v>43.036776000000003</v>
      </c>
      <c r="V1815">
        <v>12.678565000000001</v>
      </c>
      <c r="W1815" t="str">
        <f t="shared" si="197"/>
        <v>ok</v>
      </c>
      <c r="X1815" t="str">
        <f t="shared" si="203"/>
        <v>ok</v>
      </c>
      <c r="Y1815" t="str">
        <f t="shared" si="198"/>
        <v>ok</v>
      </c>
      <c r="Z1815" t="str">
        <f t="shared" si="199"/>
        <v>ok</v>
      </c>
      <c r="AA1815" s="4" t="str">
        <f t="shared" si="200"/>
        <v>ok</v>
      </c>
      <c r="AB1815" s="4" t="str">
        <f t="shared" si="201"/>
        <v>ok</v>
      </c>
      <c r="AC1815" s="6">
        <f t="shared" si="202"/>
        <v>8.6262405555462465</v>
      </c>
    </row>
    <row r="1816" spans="1:29" x14ac:dyDescent="0.3">
      <c r="A1816" t="s">
        <v>32</v>
      </c>
      <c r="B1816">
        <v>3311</v>
      </c>
      <c r="C1816" t="s">
        <v>23</v>
      </c>
      <c r="D1816" t="s">
        <v>43</v>
      </c>
      <c r="E1816" t="s">
        <v>35</v>
      </c>
      <c r="F1816" t="s">
        <v>26</v>
      </c>
      <c r="G1816" t="s">
        <v>45</v>
      </c>
      <c r="H1816" s="1">
        <v>45212.675902777781</v>
      </c>
      <c r="I1816" s="1">
        <v>45213.675902777781</v>
      </c>
      <c r="J1816" s="1">
        <v>45212.677291666667</v>
      </c>
      <c r="K1816" s="2">
        <v>45212.676841064815</v>
      </c>
      <c r="L1816" t="s">
        <v>28</v>
      </c>
      <c r="N1816" t="s">
        <v>38</v>
      </c>
      <c r="P1816">
        <v>2</v>
      </c>
      <c r="R1816" t="s">
        <v>39</v>
      </c>
      <c r="S1816" t="s">
        <v>30</v>
      </c>
      <c r="T1816" t="s">
        <v>66</v>
      </c>
      <c r="U1816">
        <v>48.864716000000001</v>
      </c>
      <c r="V1816">
        <v>2.3490139999999999</v>
      </c>
      <c r="W1816" t="str">
        <f t="shared" si="197"/>
        <v>ok</v>
      </c>
      <c r="X1816" t="str">
        <f t="shared" si="203"/>
        <v>ok</v>
      </c>
      <c r="Y1816" t="str">
        <f t="shared" si="198"/>
        <v>ok</v>
      </c>
      <c r="Z1816" t="str">
        <f t="shared" si="199"/>
        <v>ok</v>
      </c>
      <c r="AA1816" s="4" t="str">
        <f t="shared" si="200"/>
        <v>ok</v>
      </c>
      <c r="AB1816" s="4" t="str">
        <f t="shared" si="201"/>
        <v>no resolution</v>
      </c>
      <c r="AC1816" s="6" t="str">
        <f t="shared" si="202"/>
        <v/>
      </c>
    </row>
    <row r="1817" spans="1:29" x14ac:dyDescent="0.3">
      <c r="A1817" t="s">
        <v>22</v>
      </c>
      <c r="B1817">
        <v>3312</v>
      </c>
      <c r="C1817" t="s">
        <v>23</v>
      </c>
      <c r="D1817" t="s">
        <v>34</v>
      </c>
      <c r="E1817" t="s">
        <v>59</v>
      </c>
      <c r="F1817" t="s">
        <v>26</v>
      </c>
      <c r="G1817" t="s">
        <v>27</v>
      </c>
      <c r="H1817" s="1">
        <v>45212.932997685188</v>
      </c>
      <c r="I1817" s="1">
        <v>45214.932997685188</v>
      </c>
      <c r="J1817" s="1">
        <v>45212.934386574074</v>
      </c>
      <c r="K1817" s="2">
        <v>45212.933347523147</v>
      </c>
      <c r="L1817" t="s">
        <v>28</v>
      </c>
      <c r="M1817" s="2">
        <v>45214.862094525466</v>
      </c>
      <c r="N1817" t="s">
        <v>28</v>
      </c>
      <c r="O1817" s="2">
        <v>45215.877088668982</v>
      </c>
      <c r="P1817">
        <v>3</v>
      </c>
      <c r="Q1817">
        <v>5</v>
      </c>
      <c r="R1817" t="s">
        <v>29</v>
      </c>
      <c r="S1817" t="s">
        <v>30</v>
      </c>
      <c r="T1817" t="s">
        <v>31</v>
      </c>
      <c r="U1817">
        <v>53.094023999999997</v>
      </c>
      <c r="V1817">
        <v>-8.0196749999999994</v>
      </c>
      <c r="W1817" t="str">
        <f t="shared" si="197"/>
        <v>ok</v>
      </c>
      <c r="X1817" t="str">
        <f t="shared" si="203"/>
        <v>ok</v>
      </c>
      <c r="Y1817" t="str">
        <f t="shared" si="198"/>
        <v>ok</v>
      </c>
      <c r="Z1817" t="str">
        <f t="shared" si="199"/>
        <v>ok</v>
      </c>
      <c r="AA1817" s="4" t="str">
        <f t="shared" si="200"/>
        <v>ok</v>
      </c>
      <c r="AB1817" s="4" t="str">
        <f t="shared" si="201"/>
        <v>ok</v>
      </c>
      <c r="AC1817" s="6">
        <f t="shared" si="202"/>
        <v>46.298324166680686</v>
      </c>
    </row>
    <row r="1818" spans="1:29" x14ac:dyDescent="0.3">
      <c r="A1818" t="s">
        <v>32</v>
      </c>
      <c r="B1818">
        <v>3313</v>
      </c>
      <c r="C1818" t="s">
        <v>47</v>
      </c>
      <c r="D1818" t="s">
        <v>43</v>
      </c>
      <c r="E1818" t="s">
        <v>44</v>
      </c>
      <c r="F1818" t="s">
        <v>26</v>
      </c>
      <c r="G1818" t="s">
        <v>49</v>
      </c>
      <c r="H1818" s="1">
        <v>45212.517592592594</v>
      </c>
      <c r="I1818" s="1">
        <v>45213.517592592594</v>
      </c>
      <c r="J1818" s="1">
        <v>45212.51898148148</v>
      </c>
      <c r="K1818" s="2">
        <v>45212.518588993058</v>
      </c>
      <c r="L1818" t="s">
        <v>28</v>
      </c>
      <c r="N1818" t="s">
        <v>38</v>
      </c>
      <c r="P1818">
        <v>6</v>
      </c>
      <c r="R1818" t="s">
        <v>39</v>
      </c>
      <c r="S1818" t="s">
        <v>30</v>
      </c>
      <c r="T1818" t="s">
        <v>61</v>
      </c>
      <c r="U1818">
        <v>42.724992499999999</v>
      </c>
      <c r="V1818">
        <v>25.483303899999999</v>
      </c>
      <c r="W1818" t="str">
        <f t="shared" si="197"/>
        <v>ok</v>
      </c>
      <c r="X1818" t="str">
        <f t="shared" si="203"/>
        <v>ok</v>
      </c>
      <c r="Y1818" t="str">
        <f t="shared" si="198"/>
        <v>ok</v>
      </c>
      <c r="Z1818" t="str">
        <f t="shared" si="199"/>
        <v>ok</v>
      </c>
      <c r="AA1818" s="4" t="str">
        <f t="shared" si="200"/>
        <v>ok</v>
      </c>
      <c r="AB1818" s="4" t="str">
        <f t="shared" si="201"/>
        <v>no resolution</v>
      </c>
      <c r="AC1818" s="6" t="str">
        <f t="shared" si="202"/>
        <v/>
      </c>
    </row>
    <row r="1819" spans="1:29" x14ac:dyDescent="0.3">
      <c r="A1819" t="s">
        <v>22</v>
      </c>
      <c r="B1819">
        <v>3314</v>
      </c>
      <c r="C1819" t="s">
        <v>47</v>
      </c>
      <c r="D1819" t="s">
        <v>24</v>
      </c>
      <c r="E1819" t="s">
        <v>59</v>
      </c>
      <c r="F1819" t="s">
        <v>26</v>
      </c>
      <c r="G1819" t="s">
        <v>27</v>
      </c>
      <c r="H1819" s="1">
        <v>45212.711689814816</v>
      </c>
      <c r="I1819" s="1">
        <v>45214.711689814816</v>
      </c>
      <c r="J1819" s="1">
        <v>45212.75335648148</v>
      </c>
      <c r="K1819" s="2">
        <v>45212.736945486111</v>
      </c>
      <c r="L1819" t="s">
        <v>28</v>
      </c>
      <c r="M1819" s="2">
        <v>45215.143573368056</v>
      </c>
      <c r="N1819" t="s">
        <v>38</v>
      </c>
      <c r="O1819" s="2">
        <v>45216.376297800925</v>
      </c>
      <c r="P1819">
        <v>3</v>
      </c>
      <c r="Q1819">
        <v>5</v>
      </c>
      <c r="R1819" t="s">
        <v>29</v>
      </c>
      <c r="S1819" t="s">
        <v>30</v>
      </c>
      <c r="T1819" t="s">
        <v>65</v>
      </c>
      <c r="U1819">
        <v>46.149166399999999</v>
      </c>
      <c r="V1819">
        <v>14.9860106</v>
      </c>
      <c r="W1819" t="str">
        <f t="shared" si="197"/>
        <v>ok</v>
      </c>
      <c r="X1819" t="str">
        <f t="shared" si="203"/>
        <v>ok</v>
      </c>
      <c r="Y1819" t="str">
        <f t="shared" si="198"/>
        <v>ok</v>
      </c>
      <c r="Z1819" t="str">
        <f t="shared" si="199"/>
        <v>ok</v>
      </c>
      <c r="AA1819" s="4" t="str">
        <f t="shared" si="200"/>
        <v>ok</v>
      </c>
      <c r="AB1819" s="4" t="str">
        <f t="shared" si="201"/>
        <v>ok</v>
      </c>
      <c r="AC1819" s="6">
        <f t="shared" si="202"/>
        <v>58.365205277747009</v>
      </c>
    </row>
    <row r="1820" spans="1:29" x14ac:dyDescent="0.3">
      <c r="A1820" t="s">
        <v>42</v>
      </c>
      <c r="B1820">
        <v>3315</v>
      </c>
      <c r="C1820" t="s">
        <v>47</v>
      </c>
      <c r="D1820" t="s">
        <v>43</v>
      </c>
      <c r="E1820" t="s">
        <v>25</v>
      </c>
      <c r="F1820" t="s">
        <v>36</v>
      </c>
      <c r="G1820" t="s">
        <v>37</v>
      </c>
      <c r="H1820" s="1">
        <v>45213.804016203707</v>
      </c>
      <c r="I1820" s="1">
        <v>45214.804016203707</v>
      </c>
      <c r="J1820" s="1">
        <v>45213.805405092593</v>
      </c>
      <c r="K1820" s="2">
        <v>45213.808080173614</v>
      </c>
      <c r="L1820" t="s">
        <v>38</v>
      </c>
      <c r="M1820" s="2">
        <v>45219.555215451386</v>
      </c>
      <c r="N1820" t="s">
        <v>38</v>
      </c>
      <c r="P1820">
        <v>7</v>
      </c>
      <c r="R1820" t="s">
        <v>50</v>
      </c>
      <c r="S1820" t="s">
        <v>40</v>
      </c>
      <c r="T1820" t="s">
        <v>66</v>
      </c>
      <c r="U1820">
        <v>48.864716000000001</v>
      </c>
      <c r="V1820">
        <v>2.3490139999999999</v>
      </c>
      <c r="W1820" t="str">
        <f t="shared" si="197"/>
        <v>ok</v>
      </c>
      <c r="X1820" t="str">
        <f t="shared" si="203"/>
        <v>ok</v>
      </c>
      <c r="Y1820" t="str">
        <f t="shared" si="198"/>
        <v>ok</v>
      </c>
      <c r="Z1820" t="str">
        <f t="shared" si="199"/>
        <v>ok</v>
      </c>
      <c r="AA1820" s="4" t="str">
        <f t="shared" si="200"/>
        <v>ok</v>
      </c>
      <c r="AB1820" s="4" t="str">
        <f t="shared" si="201"/>
        <v>ok</v>
      </c>
      <c r="AC1820" s="6">
        <f t="shared" si="202"/>
        <v>138.02878194430377</v>
      </c>
    </row>
    <row r="1821" spans="1:29" x14ac:dyDescent="0.3">
      <c r="A1821" t="s">
        <v>22</v>
      </c>
      <c r="B1821">
        <v>3316</v>
      </c>
      <c r="C1821" t="s">
        <v>47</v>
      </c>
      <c r="D1821" t="s">
        <v>24</v>
      </c>
      <c r="E1821" t="s">
        <v>25</v>
      </c>
      <c r="F1821" t="s">
        <v>26</v>
      </c>
      <c r="G1821" t="s">
        <v>52</v>
      </c>
      <c r="H1821" s="1">
        <v>45213.554131944446</v>
      </c>
      <c r="I1821" s="1">
        <v>45215.554131944446</v>
      </c>
      <c r="J1821" s="1">
        <v>45213.59579861111</v>
      </c>
      <c r="K1821" s="2">
        <v>45213.5780108912</v>
      </c>
      <c r="L1821" t="s">
        <v>28</v>
      </c>
      <c r="M1821" s="2">
        <v>45213.693273287034</v>
      </c>
      <c r="N1821" t="s">
        <v>28</v>
      </c>
      <c r="O1821" s="2">
        <v>45216.037812002316</v>
      </c>
      <c r="P1821">
        <v>1</v>
      </c>
      <c r="Q1821">
        <v>2</v>
      </c>
      <c r="R1821" t="s">
        <v>29</v>
      </c>
      <c r="S1821" t="s">
        <v>30</v>
      </c>
      <c r="T1821" t="s">
        <v>31</v>
      </c>
      <c r="U1821">
        <v>53.094023999999997</v>
      </c>
      <c r="V1821">
        <v>-8.0196749999999994</v>
      </c>
      <c r="W1821" t="str">
        <f t="shared" si="197"/>
        <v>ok</v>
      </c>
      <c r="X1821" t="str">
        <f t="shared" si="203"/>
        <v>ok</v>
      </c>
      <c r="Y1821" t="str">
        <f t="shared" si="198"/>
        <v>ok</v>
      </c>
      <c r="Z1821" t="str">
        <f t="shared" si="199"/>
        <v>ok</v>
      </c>
      <c r="AA1821" s="4" t="str">
        <f t="shared" si="200"/>
        <v>ok</v>
      </c>
      <c r="AB1821" s="4" t="str">
        <f t="shared" si="201"/>
        <v>ok</v>
      </c>
      <c r="AC1821" s="6">
        <f t="shared" si="202"/>
        <v>3.3393922221148387</v>
      </c>
    </row>
    <row r="1822" spans="1:29" x14ac:dyDescent="0.3">
      <c r="A1822" t="s">
        <v>32</v>
      </c>
      <c r="B1822">
        <v>3317</v>
      </c>
      <c r="C1822" t="s">
        <v>23</v>
      </c>
      <c r="D1822" t="s">
        <v>24</v>
      </c>
      <c r="E1822" t="s">
        <v>48</v>
      </c>
      <c r="F1822" t="s">
        <v>26</v>
      </c>
      <c r="G1822" t="s">
        <v>60</v>
      </c>
      <c r="H1822" s="1">
        <v>45213.819849537038</v>
      </c>
      <c r="I1822" s="1">
        <v>45215.819849537038</v>
      </c>
      <c r="J1822" s="1">
        <v>45213.861516203702</v>
      </c>
      <c r="K1822" s="2">
        <v>45213.842293506947</v>
      </c>
      <c r="L1822" t="s">
        <v>28</v>
      </c>
      <c r="N1822" t="s">
        <v>38</v>
      </c>
      <c r="P1822">
        <v>2</v>
      </c>
      <c r="R1822" t="s">
        <v>50</v>
      </c>
      <c r="S1822" t="s">
        <v>30</v>
      </c>
      <c r="T1822" t="s">
        <v>66</v>
      </c>
      <c r="U1822">
        <v>48.864716000000001</v>
      </c>
      <c r="V1822">
        <v>2.3490139999999999</v>
      </c>
      <c r="W1822" t="str">
        <f t="shared" si="197"/>
        <v>ok</v>
      </c>
      <c r="X1822" t="str">
        <f t="shared" si="203"/>
        <v>ok</v>
      </c>
      <c r="Y1822" t="str">
        <f t="shared" si="198"/>
        <v>ok</v>
      </c>
      <c r="Z1822" t="str">
        <f t="shared" si="199"/>
        <v>ok</v>
      </c>
      <c r="AA1822" s="4" t="str">
        <f t="shared" si="200"/>
        <v>ok</v>
      </c>
      <c r="AB1822" s="4" t="str">
        <f t="shared" si="201"/>
        <v>no resolution</v>
      </c>
      <c r="AC1822" s="6" t="str">
        <f t="shared" si="202"/>
        <v/>
      </c>
    </row>
    <row r="1823" spans="1:29" x14ac:dyDescent="0.3">
      <c r="A1823" t="s">
        <v>42</v>
      </c>
      <c r="B1823">
        <v>3318</v>
      </c>
      <c r="C1823" t="s">
        <v>23</v>
      </c>
      <c r="D1823" t="s">
        <v>43</v>
      </c>
      <c r="E1823" t="s">
        <v>48</v>
      </c>
      <c r="F1823" t="s">
        <v>26</v>
      </c>
      <c r="G1823" t="s">
        <v>49</v>
      </c>
      <c r="H1823" s="1">
        <v>45213.640868055554</v>
      </c>
      <c r="I1823" s="1">
        <v>45214.640868055554</v>
      </c>
      <c r="J1823" s="1">
        <v>45213.642256944448</v>
      </c>
      <c r="K1823" s="2">
        <v>45213.641497199074</v>
      </c>
      <c r="L1823" t="s">
        <v>28</v>
      </c>
      <c r="M1823" s="2">
        <v>45214.408200648148</v>
      </c>
      <c r="N1823" t="s">
        <v>28</v>
      </c>
      <c r="P1823">
        <v>5</v>
      </c>
      <c r="R1823" t="s">
        <v>50</v>
      </c>
      <c r="S1823" t="s">
        <v>30</v>
      </c>
      <c r="T1823" t="s">
        <v>51</v>
      </c>
      <c r="U1823">
        <v>39.673369999999998</v>
      </c>
      <c r="V1823">
        <v>-4.7677259999999997</v>
      </c>
      <c r="W1823" t="str">
        <f t="shared" si="197"/>
        <v>ok</v>
      </c>
      <c r="X1823" t="str">
        <f t="shared" si="203"/>
        <v>ok</v>
      </c>
      <c r="Y1823" t="str">
        <f t="shared" si="198"/>
        <v>ok</v>
      </c>
      <c r="Z1823" t="str">
        <f t="shared" si="199"/>
        <v>ok</v>
      </c>
      <c r="AA1823" s="4" t="str">
        <f t="shared" si="200"/>
        <v>ok</v>
      </c>
      <c r="AB1823" s="4" t="str">
        <f t="shared" si="201"/>
        <v>ok</v>
      </c>
      <c r="AC1823" s="6">
        <f t="shared" si="202"/>
        <v>18.415982222242747</v>
      </c>
    </row>
    <row r="1824" spans="1:29" x14ac:dyDescent="0.3">
      <c r="A1824" t="s">
        <v>22</v>
      </c>
      <c r="B1824">
        <v>3319</v>
      </c>
      <c r="C1824" t="s">
        <v>47</v>
      </c>
      <c r="D1824" t="s">
        <v>43</v>
      </c>
      <c r="E1824" t="s">
        <v>48</v>
      </c>
      <c r="F1824" t="s">
        <v>26</v>
      </c>
      <c r="G1824" t="s">
        <v>27</v>
      </c>
      <c r="H1824" s="1">
        <v>45213.33320601852</v>
      </c>
      <c r="I1824" s="1">
        <v>45214.33320601852</v>
      </c>
      <c r="J1824" s="1">
        <v>45213.334594907406</v>
      </c>
      <c r="K1824" s="2">
        <v>45213.334279733797</v>
      </c>
      <c r="L1824" t="s">
        <v>28</v>
      </c>
      <c r="M1824" s="2">
        <v>45216.862062326392</v>
      </c>
      <c r="N1824" t="s">
        <v>38</v>
      </c>
      <c r="O1824" s="2">
        <v>45216.894642268519</v>
      </c>
      <c r="P1824">
        <v>2</v>
      </c>
      <c r="Q1824">
        <v>2</v>
      </c>
      <c r="R1824" t="s">
        <v>29</v>
      </c>
      <c r="S1824" t="s">
        <v>30</v>
      </c>
      <c r="T1824" t="s">
        <v>57</v>
      </c>
      <c r="U1824">
        <v>51.165691000000002</v>
      </c>
      <c r="V1824">
        <v>10.451525999999999</v>
      </c>
      <c r="W1824" t="str">
        <f t="shared" si="197"/>
        <v>ok</v>
      </c>
      <c r="X1824" t="str">
        <f t="shared" si="203"/>
        <v>ok</v>
      </c>
      <c r="Y1824" t="str">
        <f t="shared" si="198"/>
        <v>ok</v>
      </c>
      <c r="Z1824" t="str">
        <f t="shared" si="199"/>
        <v>ok</v>
      </c>
      <c r="AA1824" s="4" t="str">
        <f t="shared" si="200"/>
        <v>ok</v>
      </c>
      <c r="AB1824" s="4" t="str">
        <f t="shared" si="201"/>
        <v>ok</v>
      </c>
      <c r="AC1824" s="6">
        <f t="shared" si="202"/>
        <v>84.692551388929132</v>
      </c>
    </row>
    <row r="1825" spans="1:29" x14ac:dyDescent="0.3">
      <c r="A1825" t="s">
        <v>42</v>
      </c>
      <c r="B1825">
        <v>3331</v>
      </c>
      <c r="C1825" t="s">
        <v>47</v>
      </c>
      <c r="D1825" t="s">
        <v>24</v>
      </c>
      <c r="E1825" t="s">
        <v>44</v>
      </c>
      <c r="F1825" t="s">
        <v>26</v>
      </c>
      <c r="G1825" t="s">
        <v>60</v>
      </c>
      <c r="H1825" s="1">
        <v>45215.397511574076</v>
      </c>
      <c r="I1825" s="1">
        <v>45217.397511574076</v>
      </c>
      <c r="J1825" s="1">
        <v>45215.43917824074</v>
      </c>
      <c r="K1825" s="2">
        <v>45215.42465734954</v>
      </c>
      <c r="L1825" t="s">
        <v>28</v>
      </c>
      <c r="M1825" s="2">
        <v>45216.045291284725</v>
      </c>
      <c r="N1825" t="s">
        <v>28</v>
      </c>
      <c r="P1825">
        <v>2</v>
      </c>
      <c r="R1825" t="s">
        <v>50</v>
      </c>
      <c r="S1825" t="s">
        <v>30</v>
      </c>
      <c r="T1825" t="s">
        <v>56</v>
      </c>
      <c r="U1825">
        <v>52.536273000000001</v>
      </c>
      <c r="V1825">
        <v>19.050639</v>
      </c>
      <c r="W1825" t="str">
        <f t="shared" si="197"/>
        <v>ok</v>
      </c>
      <c r="X1825" t="str">
        <f t="shared" si="203"/>
        <v>ok</v>
      </c>
      <c r="Y1825" t="str">
        <f t="shared" si="198"/>
        <v>ok</v>
      </c>
      <c r="Z1825" t="str">
        <f t="shared" si="199"/>
        <v>ok</v>
      </c>
      <c r="AA1825" s="4" t="str">
        <f t="shared" si="200"/>
        <v>ok</v>
      </c>
      <c r="AB1825" s="4" t="str">
        <f t="shared" si="201"/>
        <v>ok</v>
      </c>
      <c r="AC1825" s="6">
        <f t="shared" si="202"/>
        <v>15.546713055577129</v>
      </c>
    </row>
    <row r="1826" spans="1:29" x14ac:dyDescent="0.3">
      <c r="A1826" t="s">
        <v>32</v>
      </c>
      <c r="B1826">
        <v>3332</v>
      </c>
      <c r="C1826" t="s">
        <v>47</v>
      </c>
      <c r="D1826" t="s">
        <v>24</v>
      </c>
      <c r="E1826" t="s">
        <v>25</v>
      </c>
      <c r="F1826" t="s">
        <v>26</v>
      </c>
      <c r="G1826" t="s">
        <v>52</v>
      </c>
      <c r="H1826" s="1">
        <v>45215.600775462961</v>
      </c>
      <c r="I1826" s="1">
        <v>45217.600775462961</v>
      </c>
      <c r="J1826" s="1">
        <v>45215.642442129632</v>
      </c>
      <c r="K1826" s="2">
        <v>45215.612729490742</v>
      </c>
      <c r="L1826" t="s">
        <v>28</v>
      </c>
      <c r="N1826" t="s">
        <v>38</v>
      </c>
      <c r="P1826">
        <v>1</v>
      </c>
      <c r="R1826" t="s">
        <v>39</v>
      </c>
      <c r="S1826" t="s">
        <v>30</v>
      </c>
      <c r="T1826" t="s">
        <v>41</v>
      </c>
      <c r="U1826">
        <v>43.036776000000003</v>
      </c>
      <c r="V1826">
        <v>12.678565000000001</v>
      </c>
      <c r="W1826" t="str">
        <f t="shared" si="197"/>
        <v>ok</v>
      </c>
      <c r="X1826" t="str">
        <f t="shared" si="203"/>
        <v>ok</v>
      </c>
      <c r="Y1826" t="str">
        <f t="shared" si="198"/>
        <v>ok</v>
      </c>
      <c r="Z1826" t="str">
        <f t="shared" si="199"/>
        <v>ok</v>
      </c>
      <c r="AA1826" s="4" t="str">
        <f t="shared" si="200"/>
        <v>ok</v>
      </c>
      <c r="AB1826" s="4" t="str">
        <f t="shared" si="201"/>
        <v>no resolution</v>
      </c>
      <c r="AC1826" s="6" t="str">
        <f t="shared" si="202"/>
        <v/>
      </c>
    </row>
    <row r="1827" spans="1:29" x14ac:dyDescent="0.3">
      <c r="A1827" t="s">
        <v>32</v>
      </c>
      <c r="B1827">
        <v>3333</v>
      </c>
      <c r="C1827" t="s">
        <v>23</v>
      </c>
      <c r="D1827" t="s">
        <v>34</v>
      </c>
      <c r="E1827" t="s">
        <v>35</v>
      </c>
      <c r="F1827" t="s">
        <v>26</v>
      </c>
      <c r="G1827" t="s">
        <v>49</v>
      </c>
      <c r="H1827" s="1">
        <v>45215.593622685185</v>
      </c>
      <c r="I1827" s="1">
        <v>45217.593622685185</v>
      </c>
      <c r="J1827" s="1">
        <v>45215.595011574071</v>
      </c>
      <c r="K1827" s="2">
        <v>45215.59466923611</v>
      </c>
      <c r="L1827" t="s">
        <v>28</v>
      </c>
      <c r="N1827" t="s">
        <v>38</v>
      </c>
      <c r="P1827">
        <v>2</v>
      </c>
      <c r="R1827" t="s">
        <v>50</v>
      </c>
      <c r="S1827" t="s">
        <v>30</v>
      </c>
      <c r="T1827" t="s">
        <v>41</v>
      </c>
      <c r="U1827">
        <v>43.036776000000003</v>
      </c>
      <c r="V1827">
        <v>12.678565000000001</v>
      </c>
      <c r="W1827" t="str">
        <f t="shared" si="197"/>
        <v>ok</v>
      </c>
      <c r="X1827" t="str">
        <f t="shared" si="203"/>
        <v>ok</v>
      </c>
      <c r="Y1827" t="str">
        <f t="shared" si="198"/>
        <v>ok</v>
      </c>
      <c r="Z1827" t="str">
        <f t="shared" si="199"/>
        <v>ok</v>
      </c>
      <c r="AA1827" s="4" t="str">
        <f t="shared" si="200"/>
        <v>ok</v>
      </c>
      <c r="AB1827" s="4" t="str">
        <f t="shared" si="201"/>
        <v>no resolution</v>
      </c>
      <c r="AC1827" s="6" t="str">
        <f t="shared" si="202"/>
        <v/>
      </c>
    </row>
    <row r="1828" spans="1:29" x14ac:dyDescent="0.3">
      <c r="A1828" t="s">
        <v>32</v>
      </c>
      <c r="B1828">
        <v>3334</v>
      </c>
      <c r="C1828" t="s">
        <v>23</v>
      </c>
      <c r="D1828" t="s">
        <v>24</v>
      </c>
      <c r="E1828" t="s">
        <v>48</v>
      </c>
      <c r="F1828" t="s">
        <v>26</v>
      </c>
      <c r="G1828" t="s">
        <v>45</v>
      </c>
      <c r="H1828" s="1">
        <v>45215.526817129627</v>
      </c>
      <c r="I1828" s="1">
        <v>45217.526817129627</v>
      </c>
      <c r="J1828" s="1">
        <v>45215.568483796298</v>
      </c>
      <c r="K1828" s="2">
        <v>45215.549468472222</v>
      </c>
      <c r="L1828" t="s">
        <v>28</v>
      </c>
      <c r="N1828" t="s">
        <v>38</v>
      </c>
      <c r="P1828">
        <v>9</v>
      </c>
      <c r="R1828" t="s">
        <v>50</v>
      </c>
      <c r="S1828" t="s">
        <v>30</v>
      </c>
      <c r="T1828" t="s">
        <v>65</v>
      </c>
      <c r="U1828">
        <v>46.149166399999999</v>
      </c>
      <c r="V1828">
        <v>14.9860106</v>
      </c>
      <c r="W1828" t="str">
        <f t="shared" si="197"/>
        <v>ok</v>
      </c>
      <c r="X1828" t="str">
        <f t="shared" si="203"/>
        <v>ok</v>
      </c>
      <c r="Y1828" t="str">
        <f t="shared" si="198"/>
        <v>ok</v>
      </c>
      <c r="Z1828" t="str">
        <f t="shared" si="199"/>
        <v>ok</v>
      </c>
      <c r="AA1828" s="4" t="str">
        <f t="shared" si="200"/>
        <v>ok</v>
      </c>
      <c r="AB1828" s="4" t="str">
        <f t="shared" si="201"/>
        <v>no resolution</v>
      </c>
      <c r="AC1828" s="6" t="str">
        <f t="shared" si="202"/>
        <v/>
      </c>
    </row>
    <row r="1829" spans="1:29" x14ac:dyDescent="0.3">
      <c r="A1829" t="s">
        <v>42</v>
      </c>
      <c r="B1829">
        <v>3335</v>
      </c>
      <c r="C1829" t="s">
        <v>23</v>
      </c>
      <c r="D1829" t="s">
        <v>24</v>
      </c>
      <c r="E1829" t="s">
        <v>59</v>
      </c>
      <c r="F1829" t="s">
        <v>26</v>
      </c>
      <c r="G1829" t="s">
        <v>60</v>
      </c>
      <c r="H1829" s="1">
        <v>45215.933634259258</v>
      </c>
      <c r="I1829" s="1">
        <v>45217.933634259258</v>
      </c>
      <c r="J1829" s="1">
        <v>45215.975300925929</v>
      </c>
      <c r="K1829" s="2">
        <v>45215.952665613426</v>
      </c>
      <c r="L1829" t="s">
        <v>28</v>
      </c>
      <c r="M1829" s="2">
        <v>45217.87398556713</v>
      </c>
      <c r="N1829" t="s">
        <v>28</v>
      </c>
      <c r="P1829">
        <v>2</v>
      </c>
      <c r="R1829" t="s">
        <v>50</v>
      </c>
      <c r="S1829" t="s">
        <v>30</v>
      </c>
      <c r="T1829" t="s">
        <v>41</v>
      </c>
      <c r="U1829">
        <v>43.036776000000003</v>
      </c>
      <c r="V1829">
        <v>12.678565000000001</v>
      </c>
      <c r="W1829" t="str">
        <f t="shared" si="197"/>
        <v>ok</v>
      </c>
      <c r="X1829" t="str">
        <f t="shared" si="203"/>
        <v>ok</v>
      </c>
      <c r="Y1829" t="str">
        <f t="shared" si="198"/>
        <v>ok</v>
      </c>
      <c r="Z1829" t="str">
        <f t="shared" si="199"/>
        <v>ok</v>
      </c>
      <c r="AA1829" s="4" t="str">
        <f t="shared" si="200"/>
        <v>ok</v>
      </c>
      <c r="AB1829" s="4" t="str">
        <f t="shared" si="201"/>
        <v>ok</v>
      </c>
      <c r="AC1829" s="6">
        <f t="shared" si="202"/>
        <v>46.568431388936006</v>
      </c>
    </row>
    <row r="1830" spans="1:29" x14ac:dyDescent="0.3">
      <c r="A1830" t="s">
        <v>42</v>
      </c>
      <c r="B1830">
        <v>3336</v>
      </c>
      <c r="C1830" t="s">
        <v>47</v>
      </c>
      <c r="D1830" t="s">
        <v>43</v>
      </c>
      <c r="E1830" t="s">
        <v>59</v>
      </c>
      <c r="F1830" t="s">
        <v>26</v>
      </c>
      <c r="G1830" t="s">
        <v>49</v>
      </c>
      <c r="H1830" s="1">
        <v>45215.17863425926</v>
      </c>
      <c r="I1830" s="1">
        <v>45216.17863425926</v>
      </c>
      <c r="J1830" s="1">
        <v>45215.180023148147</v>
      </c>
      <c r="K1830" s="2">
        <v>45215.17892416667</v>
      </c>
      <c r="L1830" t="s">
        <v>28</v>
      </c>
      <c r="M1830" s="2">
        <v>45215.333872303243</v>
      </c>
      <c r="N1830" t="s">
        <v>28</v>
      </c>
      <c r="P1830">
        <v>5</v>
      </c>
      <c r="R1830" t="s">
        <v>50</v>
      </c>
      <c r="S1830" t="s">
        <v>30</v>
      </c>
      <c r="T1830" t="s">
        <v>57</v>
      </c>
      <c r="U1830">
        <v>51.165691000000002</v>
      </c>
      <c r="V1830">
        <v>10.451525999999999</v>
      </c>
      <c r="W1830" t="str">
        <f t="shared" si="197"/>
        <v>ok</v>
      </c>
      <c r="X1830" t="str">
        <f t="shared" si="203"/>
        <v>ok</v>
      </c>
      <c r="Y1830" t="str">
        <f t="shared" si="198"/>
        <v>ok</v>
      </c>
      <c r="Z1830" t="str">
        <f t="shared" si="199"/>
        <v>ok</v>
      </c>
      <c r="AA1830" s="4" t="str">
        <f t="shared" si="200"/>
        <v>ok</v>
      </c>
      <c r="AB1830" s="4" t="str">
        <f t="shared" si="201"/>
        <v>ok</v>
      </c>
      <c r="AC1830" s="6">
        <f t="shared" si="202"/>
        <v>3.7257130555808544</v>
      </c>
    </row>
    <row r="1831" spans="1:29" x14ac:dyDescent="0.3">
      <c r="A1831" t="s">
        <v>42</v>
      </c>
      <c r="B1831">
        <v>3337</v>
      </c>
      <c r="C1831" t="s">
        <v>23</v>
      </c>
      <c r="D1831" t="s">
        <v>43</v>
      </c>
      <c r="E1831" t="s">
        <v>59</v>
      </c>
      <c r="F1831" t="s">
        <v>26</v>
      </c>
      <c r="G1831" t="s">
        <v>52</v>
      </c>
      <c r="H1831" s="1">
        <v>45215.57916666667</v>
      </c>
      <c r="I1831" s="1">
        <v>45216.57916666667</v>
      </c>
      <c r="J1831" s="1">
        <v>45215.580555555556</v>
      </c>
      <c r="K1831" s="2">
        <v>45215.57943972222</v>
      </c>
      <c r="L1831" t="s">
        <v>28</v>
      </c>
      <c r="M1831" s="2">
        <v>45220.083972002314</v>
      </c>
      <c r="N1831" t="s">
        <v>38</v>
      </c>
      <c r="P1831">
        <v>2</v>
      </c>
      <c r="R1831" t="s">
        <v>55</v>
      </c>
      <c r="S1831" t="s">
        <v>30</v>
      </c>
      <c r="T1831" t="s">
        <v>66</v>
      </c>
      <c r="U1831">
        <v>48.864716000000001</v>
      </c>
      <c r="V1831">
        <v>2.3490139999999999</v>
      </c>
      <c r="W1831" t="str">
        <f t="shared" si="197"/>
        <v>ok</v>
      </c>
      <c r="X1831" t="str">
        <f t="shared" si="203"/>
        <v>ok</v>
      </c>
      <c r="Y1831" t="str">
        <f t="shared" si="198"/>
        <v>ok</v>
      </c>
      <c r="Z1831" t="str">
        <f t="shared" si="199"/>
        <v>ok</v>
      </c>
      <c r="AA1831" s="4" t="str">
        <f t="shared" si="200"/>
        <v>ok</v>
      </c>
      <c r="AB1831" s="4" t="str">
        <f t="shared" si="201"/>
        <v>ok</v>
      </c>
      <c r="AC1831" s="6">
        <f t="shared" si="202"/>
        <v>108.11532805545721</v>
      </c>
    </row>
    <row r="1832" spans="1:29" x14ac:dyDescent="0.3">
      <c r="A1832" t="s">
        <v>22</v>
      </c>
      <c r="B1832">
        <v>3338</v>
      </c>
      <c r="C1832" t="s">
        <v>33</v>
      </c>
      <c r="D1832" t="s">
        <v>43</v>
      </c>
      <c r="E1832" t="s">
        <v>44</v>
      </c>
      <c r="F1832" t="s">
        <v>26</v>
      </c>
      <c r="G1832" t="s">
        <v>45</v>
      </c>
      <c r="H1832" s="1">
        <v>45215.759872685187</v>
      </c>
      <c r="I1832" s="1">
        <v>45216.759872685187</v>
      </c>
      <c r="J1832" s="1">
        <v>45215.761261574073</v>
      </c>
      <c r="K1832" s="2">
        <v>45215.760741585647</v>
      </c>
      <c r="L1832" t="s">
        <v>28</v>
      </c>
      <c r="M1832" s="2">
        <v>45216.520328287035</v>
      </c>
      <c r="N1832" t="s">
        <v>28</v>
      </c>
      <c r="O1832" s="2">
        <v>45217.915318263891</v>
      </c>
      <c r="P1832">
        <v>5</v>
      </c>
      <c r="Q1832">
        <v>3</v>
      </c>
      <c r="R1832" t="s">
        <v>29</v>
      </c>
      <c r="S1832" t="s">
        <v>30</v>
      </c>
      <c r="T1832" t="s">
        <v>46</v>
      </c>
      <c r="U1832">
        <v>47.696471899999999</v>
      </c>
      <c r="V1832">
        <v>13.3457347</v>
      </c>
      <c r="W1832" t="str">
        <f t="shared" si="197"/>
        <v>ok</v>
      </c>
      <c r="X1832" t="str">
        <f t="shared" si="203"/>
        <v>ok</v>
      </c>
      <c r="Y1832" t="str">
        <f t="shared" si="198"/>
        <v>ok</v>
      </c>
      <c r="Z1832" t="str">
        <f t="shared" si="199"/>
        <v>ok</v>
      </c>
      <c r="AA1832" s="4" t="str">
        <f t="shared" si="200"/>
        <v>ok</v>
      </c>
      <c r="AB1832" s="4" t="str">
        <f t="shared" si="201"/>
        <v>ok</v>
      </c>
      <c r="AC1832" s="6">
        <f t="shared" si="202"/>
        <v>18.250934444367886</v>
      </c>
    </row>
    <row r="1833" spans="1:29" x14ac:dyDescent="0.3">
      <c r="A1833" t="s">
        <v>42</v>
      </c>
      <c r="B1833">
        <v>3339</v>
      </c>
      <c r="C1833" t="s">
        <v>23</v>
      </c>
      <c r="D1833" t="s">
        <v>24</v>
      </c>
      <c r="E1833" t="s">
        <v>48</v>
      </c>
      <c r="F1833" t="s">
        <v>36</v>
      </c>
      <c r="G1833" t="s">
        <v>64</v>
      </c>
      <c r="H1833" s="1">
        <v>45215.807488425926</v>
      </c>
      <c r="I1833" s="1">
        <v>45217.807488425926</v>
      </c>
      <c r="J1833" s="1">
        <v>45215.84915509259</v>
      </c>
      <c r="K1833" s="2">
        <v>45215.838955115738</v>
      </c>
      <c r="L1833" t="s">
        <v>28</v>
      </c>
      <c r="M1833" s="2">
        <v>45216.361754155092</v>
      </c>
      <c r="N1833" t="s">
        <v>28</v>
      </c>
      <c r="P1833">
        <v>3</v>
      </c>
      <c r="R1833" t="s">
        <v>29</v>
      </c>
      <c r="S1833" t="s">
        <v>40</v>
      </c>
      <c r="T1833" t="s">
        <v>56</v>
      </c>
      <c r="U1833">
        <v>52.536273000000001</v>
      </c>
      <c r="V1833">
        <v>19.050639</v>
      </c>
      <c r="W1833" t="str">
        <f t="shared" si="197"/>
        <v>ok</v>
      </c>
      <c r="X1833" t="str">
        <f t="shared" si="203"/>
        <v>ok</v>
      </c>
      <c r="Y1833" t="str">
        <f t="shared" si="198"/>
        <v>ok</v>
      </c>
      <c r="Z1833" t="str">
        <f t="shared" si="199"/>
        <v>ok</v>
      </c>
      <c r="AA1833" s="4" t="str">
        <f t="shared" si="200"/>
        <v>ok</v>
      </c>
      <c r="AB1833" s="4" t="str">
        <f t="shared" si="201"/>
        <v>ok</v>
      </c>
      <c r="AC1833" s="6">
        <f t="shared" si="202"/>
        <v>13.302377499989234</v>
      </c>
    </row>
    <row r="1834" spans="1:29" x14ac:dyDescent="0.3">
      <c r="A1834" t="s">
        <v>42</v>
      </c>
      <c r="B1834">
        <v>3340</v>
      </c>
      <c r="C1834" t="s">
        <v>47</v>
      </c>
      <c r="D1834" t="s">
        <v>43</v>
      </c>
      <c r="E1834" t="s">
        <v>44</v>
      </c>
      <c r="F1834" t="s">
        <v>26</v>
      </c>
      <c r="G1834" t="s">
        <v>60</v>
      </c>
      <c r="H1834" s="1">
        <v>45215.009004629632</v>
      </c>
      <c r="I1834" s="1">
        <v>45216.009004629632</v>
      </c>
      <c r="J1834" s="1">
        <v>45215.010393518518</v>
      </c>
      <c r="K1834" s="2">
        <v>45215.01210054398</v>
      </c>
      <c r="L1834" t="s">
        <v>38</v>
      </c>
      <c r="M1834" s="2">
        <v>45215.836621423608</v>
      </c>
      <c r="N1834" t="s">
        <v>28</v>
      </c>
      <c r="P1834">
        <v>6</v>
      </c>
      <c r="R1834" t="s">
        <v>29</v>
      </c>
      <c r="S1834" t="s">
        <v>30</v>
      </c>
      <c r="T1834" t="s">
        <v>41</v>
      </c>
      <c r="U1834">
        <v>43.036776000000003</v>
      </c>
      <c r="V1834">
        <v>12.678565000000001</v>
      </c>
      <c r="W1834" t="str">
        <f t="shared" si="197"/>
        <v>ok</v>
      </c>
      <c r="X1834" t="str">
        <f t="shared" si="203"/>
        <v>ok</v>
      </c>
      <c r="Y1834" t="str">
        <f t="shared" si="198"/>
        <v>ok</v>
      </c>
      <c r="Z1834" t="str">
        <f t="shared" si="199"/>
        <v>ok</v>
      </c>
      <c r="AA1834" s="4" t="str">
        <f t="shared" si="200"/>
        <v>ok</v>
      </c>
      <c r="AB1834" s="4" t="str">
        <f t="shared" si="201"/>
        <v>ok</v>
      </c>
      <c r="AC1834" s="6">
        <f t="shared" si="202"/>
        <v>19.862803055439144</v>
      </c>
    </row>
    <row r="1835" spans="1:29" x14ac:dyDescent="0.3">
      <c r="A1835" t="s">
        <v>22</v>
      </c>
      <c r="B1835">
        <v>3341</v>
      </c>
      <c r="C1835" t="s">
        <v>47</v>
      </c>
      <c r="D1835" t="s">
        <v>24</v>
      </c>
      <c r="E1835" t="s">
        <v>48</v>
      </c>
      <c r="F1835" t="s">
        <v>26</v>
      </c>
      <c r="G1835" t="s">
        <v>27</v>
      </c>
      <c r="H1835" s="1">
        <v>45215.022905092592</v>
      </c>
      <c r="I1835" s="1">
        <v>45217.022905092592</v>
      </c>
      <c r="J1835" s="1">
        <v>45215.064571759256</v>
      </c>
      <c r="K1835" s="2">
        <v>45215.06290109954</v>
      </c>
      <c r="L1835" t="s">
        <v>28</v>
      </c>
      <c r="M1835" s="2">
        <v>45216.697001319444</v>
      </c>
      <c r="N1835" t="s">
        <v>28</v>
      </c>
      <c r="O1835" s="2">
        <v>45215.669057881947</v>
      </c>
      <c r="P1835">
        <v>8</v>
      </c>
      <c r="Q1835">
        <v>2</v>
      </c>
      <c r="R1835" t="s">
        <v>39</v>
      </c>
      <c r="S1835" t="s">
        <v>30</v>
      </c>
      <c r="T1835" t="s">
        <v>51</v>
      </c>
      <c r="U1835">
        <v>39.673369999999998</v>
      </c>
      <c r="V1835">
        <v>-4.7677259999999997</v>
      </c>
      <c r="W1835" t="str">
        <f t="shared" si="197"/>
        <v>ok</v>
      </c>
      <c r="X1835" t="str">
        <f t="shared" si="203"/>
        <v>ok</v>
      </c>
      <c r="Y1835" t="str">
        <f t="shared" si="198"/>
        <v>check</v>
      </c>
      <c r="Z1835" t="str">
        <f t="shared" si="199"/>
        <v>ok</v>
      </c>
      <c r="AA1835" s="4" t="str">
        <f t="shared" si="200"/>
        <v>ok</v>
      </c>
      <c r="AB1835" s="4" t="str">
        <f t="shared" si="201"/>
        <v>ok</v>
      </c>
      <c r="AC1835" s="6">
        <f t="shared" si="202"/>
        <v>40.178309444454499</v>
      </c>
    </row>
    <row r="1836" spans="1:29" x14ac:dyDescent="0.3">
      <c r="A1836" t="s">
        <v>22</v>
      </c>
      <c r="B1836">
        <v>3342</v>
      </c>
      <c r="C1836" t="s">
        <v>33</v>
      </c>
      <c r="D1836" t="s">
        <v>24</v>
      </c>
      <c r="E1836" t="s">
        <v>44</v>
      </c>
      <c r="F1836" t="s">
        <v>26</v>
      </c>
      <c r="G1836" t="s">
        <v>52</v>
      </c>
      <c r="H1836" s="1">
        <v>45215.034143518518</v>
      </c>
      <c r="I1836" s="1">
        <v>45217.034143518518</v>
      </c>
      <c r="J1836" s="1">
        <v>45215.075810185182</v>
      </c>
      <c r="K1836" s="2">
        <v>45215.049228946758</v>
      </c>
      <c r="L1836" t="s">
        <v>28</v>
      </c>
      <c r="M1836" s="2">
        <v>45216.857479976854</v>
      </c>
      <c r="N1836" t="s">
        <v>28</v>
      </c>
      <c r="O1836" s="2">
        <v>45219.929322881944</v>
      </c>
      <c r="P1836">
        <v>3</v>
      </c>
      <c r="Q1836">
        <v>4</v>
      </c>
      <c r="R1836" t="s">
        <v>55</v>
      </c>
      <c r="S1836" t="s">
        <v>30</v>
      </c>
      <c r="T1836" t="s">
        <v>31</v>
      </c>
      <c r="U1836">
        <v>53.094023999999997</v>
      </c>
      <c r="V1836">
        <v>-8.0196749999999994</v>
      </c>
      <c r="W1836" t="str">
        <f t="shared" si="197"/>
        <v>ok</v>
      </c>
      <c r="X1836" t="str">
        <f t="shared" si="203"/>
        <v>ok</v>
      </c>
      <c r="Y1836" t="str">
        <f t="shared" si="198"/>
        <v>ok</v>
      </c>
      <c r="Z1836" t="str">
        <f t="shared" si="199"/>
        <v>ok</v>
      </c>
      <c r="AA1836" s="4" t="str">
        <f t="shared" si="200"/>
        <v>ok</v>
      </c>
      <c r="AB1836" s="4" t="str">
        <f t="shared" si="201"/>
        <v>ok</v>
      </c>
      <c r="AC1836" s="6">
        <f t="shared" si="202"/>
        <v>43.760075000056531</v>
      </c>
    </row>
    <row r="1837" spans="1:29" x14ac:dyDescent="0.3">
      <c r="A1837" t="s">
        <v>42</v>
      </c>
      <c r="B1837">
        <v>3343</v>
      </c>
      <c r="C1837" t="s">
        <v>33</v>
      </c>
      <c r="D1837" t="s">
        <v>24</v>
      </c>
      <c r="E1837" t="s">
        <v>48</v>
      </c>
      <c r="F1837" t="s">
        <v>26</v>
      </c>
      <c r="G1837" t="s">
        <v>45</v>
      </c>
      <c r="H1837" s="1">
        <v>45216.006979166668</v>
      </c>
      <c r="I1837" s="1">
        <v>45218.006979166668</v>
      </c>
      <c r="J1837" s="1">
        <v>45216.048645833333</v>
      </c>
      <c r="K1837" s="2">
        <v>45216.031196203701</v>
      </c>
      <c r="L1837" t="s">
        <v>28</v>
      </c>
      <c r="M1837" s="2">
        <v>45216.251999699074</v>
      </c>
      <c r="N1837" t="s">
        <v>28</v>
      </c>
      <c r="P1837">
        <v>7</v>
      </c>
      <c r="R1837" t="s">
        <v>50</v>
      </c>
      <c r="S1837" t="s">
        <v>30</v>
      </c>
      <c r="T1837" t="s">
        <v>63</v>
      </c>
      <c r="U1837">
        <v>55.378051999999997</v>
      </c>
      <c r="V1837">
        <v>-3.4359730000000002</v>
      </c>
      <c r="W1837" t="str">
        <f t="shared" si="197"/>
        <v>ok</v>
      </c>
      <c r="X1837" t="str">
        <f t="shared" si="203"/>
        <v>ok</v>
      </c>
      <c r="Y1837" t="str">
        <f t="shared" si="198"/>
        <v>ok</v>
      </c>
      <c r="Z1837" t="str">
        <f t="shared" si="199"/>
        <v>ok</v>
      </c>
      <c r="AA1837" s="4" t="str">
        <f t="shared" si="200"/>
        <v>ok</v>
      </c>
      <c r="AB1837" s="4" t="str">
        <f t="shared" si="201"/>
        <v>ok</v>
      </c>
      <c r="AC1837" s="6">
        <f t="shared" si="202"/>
        <v>5.8804927777382545</v>
      </c>
    </row>
    <row r="1838" spans="1:29" x14ac:dyDescent="0.3">
      <c r="A1838" t="s">
        <v>22</v>
      </c>
      <c r="B1838">
        <v>3344</v>
      </c>
      <c r="C1838" t="s">
        <v>23</v>
      </c>
      <c r="D1838" t="s">
        <v>43</v>
      </c>
      <c r="E1838" t="s">
        <v>48</v>
      </c>
      <c r="F1838" t="s">
        <v>26</v>
      </c>
      <c r="G1838" t="s">
        <v>49</v>
      </c>
      <c r="H1838" s="1">
        <v>45216.905277777776</v>
      </c>
      <c r="I1838" s="1">
        <v>45217.905277777776</v>
      </c>
      <c r="J1838" s="1">
        <v>45216.906666666669</v>
      </c>
      <c r="K1838" s="2">
        <v>45216.905297349535</v>
      </c>
      <c r="L1838" t="s">
        <v>28</v>
      </c>
      <c r="M1838" s="2">
        <v>45219.255622592595</v>
      </c>
      <c r="N1838" t="s">
        <v>38</v>
      </c>
      <c r="O1838" s="2">
        <v>45220.05602059028</v>
      </c>
      <c r="P1838">
        <v>7</v>
      </c>
      <c r="Q1838">
        <v>5</v>
      </c>
      <c r="R1838" t="s">
        <v>50</v>
      </c>
      <c r="S1838" t="s">
        <v>30</v>
      </c>
      <c r="T1838" t="s">
        <v>57</v>
      </c>
      <c r="U1838">
        <v>51.165691000000002</v>
      </c>
      <c r="V1838">
        <v>10.451525999999999</v>
      </c>
      <c r="W1838" t="str">
        <f t="shared" si="197"/>
        <v>ok</v>
      </c>
      <c r="X1838" t="str">
        <f t="shared" si="203"/>
        <v>ok</v>
      </c>
      <c r="Y1838" t="str">
        <f t="shared" si="198"/>
        <v>ok</v>
      </c>
      <c r="Z1838" t="str">
        <f t="shared" si="199"/>
        <v>ok</v>
      </c>
      <c r="AA1838" s="4" t="str">
        <f t="shared" si="200"/>
        <v>ok</v>
      </c>
      <c r="AB1838" s="4" t="str">
        <f t="shared" si="201"/>
        <v>ok</v>
      </c>
      <c r="AC1838" s="6">
        <f t="shared" si="202"/>
        <v>56.40827555564465</v>
      </c>
    </row>
    <row r="1839" spans="1:29" x14ac:dyDescent="0.3">
      <c r="A1839" t="s">
        <v>22</v>
      </c>
      <c r="B1839">
        <v>3345</v>
      </c>
      <c r="C1839" t="s">
        <v>23</v>
      </c>
      <c r="D1839" t="s">
        <v>24</v>
      </c>
      <c r="E1839" t="s">
        <v>59</v>
      </c>
      <c r="F1839" t="s">
        <v>26</v>
      </c>
      <c r="G1839" t="s">
        <v>60</v>
      </c>
      <c r="H1839" s="1">
        <v>45216.351967592593</v>
      </c>
      <c r="I1839" s="1">
        <v>45218.351967592593</v>
      </c>
      <c r="J1839" s="1">
        <v>45216.393634259257</v>
      </c>
      <c r="K1839" s="2">
        <v>45216.392489791666</v>
      </c>
      <c r="L1839" t="s">
        <v>28</v>
      </c>
      <c r="M1839" s="2">
        <v>45217.455612106482</v>
      </c>
      <c r="N1839" t="s">
        <v>28</v>
      </c>
      <c r="O1839" s="2">
        <v>45218.799505000003</v>
      </c>
      <c r="P1839">
        <v>3</v>
      </c>
      <c r="Q1839">
        <v>5</v>
      </c>
      <c r="R1839" t="s">
        <v>50</v>
      </c>
      <c r="S1839" t="s">
        <v>30</v>
      </c>
      <c r="T1839" t="s">
        <v>41</v>
      </c>
      <c r="U1839">
        <v>43.036776000000003</v>
      </c>
      <c r="V1839">
        <v>12.678565000000001</v>
      </c>
      <c r="W1839" t="str">
        <f t="shared" si="197"/>
        <v>ok</v>
      </c>
      <c r="X1839" t="str">
        <f t="shared" si="203"/>
        <v>ok</v>
      </c>
      <c r="Y1839" t="str">
        <f t="shared" si="198"/>
        <v>ok</v>
      </c>
      <c r="Z1839" t="str">
        <f t="shared" si="199"/>
        <v>ok</v>
      </c>
      <c r="AA1839" s="4" t="str">
        <f t="shared" si="200"/>
        <v>ok</v>
      </c>
      <c r="AB1839" s="4" t="str">
        <f t="shared" si="201"/>
        <v>ok</v>
      </c>
      <c r="AC1839" s="6">
        <f t="shared" si="202"/>
        <v>26.487468333332799</v>
      </c>
    </row>
    <row r="1840" spans="1:29" x14ac:dyDescent="0.3">
      <c r="A1840" t="s">
        <v>42</v>
      </c>
      <c r="B1840">
        <v>3346</v>
      </c>
      <c r="C1840" t="s">
        <v>23</v>
      </c>
      <c r="D1840" t="s">
        <v>24</v>
      </c>
      <c r="E1840" t="s">
        <v>39</v>
      </c>
      <c r="F1840" t="s">
        <v>26</v>
      </c>
      <c r="G1840" t="s">
        <v>49</v>
      </c>
      <c r="H1840" s="1">
        <v>45216.489328703705</v>
      </c>
      <c r="I1840" s="1">
        <v>45218.489328703705</v>
      </c>
      <c r="J1840" s="1">
        <v>45216.530995370369</v>
      </c>
      <c r="K1840" s="2">
        <v>45216.500176203706</v>
      </c>
      <c r="L1840" t="s">
        <v>28</v>
      </c>
      <c r="M1840" s="2">
        <v>45218.048053194441</v>
      </c>
      <c r="N1840" t="s">
        <v>28</v>
      </c>
      <c r="P1840">
        <v>1</v>
      </c>
      <c r="R1840" t="s">
        <v>29</v>
      </c>
      <c r="S1840" t="s">
        <v>30</v>
      </c>
      <c r="T1840" t="s">
        <v>51</v>
      </c>
      <c r="U1840">
        <v>39.673369999999998</v>
      </c>
      <c r="V1840">
        <v>-4.7677259999999997</v>
      </c>
      <c r="W1840" t="str">
        <f t="shared" si="197"/>
        <v>ok</v>
      </c>
      <c r="X1840" t="str">
        <f t="shared" si="203"/>
        <v>ok</v>
      </c>
      <c r="Y1840" t="str">
        <f t="shared" si="198"/>
        <v>ok</v>
      </c>
      <c r="Z1840" t="str">
        <f t="shared" si="199"/>
        <v>ok</v>
      </c>
      <c r="AA1840" s="4" t="str">
        <f t="shared" si="200"/>
        <v>ok</v>
      </c>
      <c r="AB1840" s="4" t="str">
        <f t="shared" si="201"/>
        <v>ok</v>
      </c>
      <c r="AC1840" s="6">
        <f t="shared" si="202"/>
        <v>37.409387777675875</v>
      </c>
    </row>
    <row r="1841" spans="1:29" x14ac:dyDescent="0.3">
      <c r="A1841" t="s">
        <v>42</v>
      </c>
      <c r="B1841">
        <v>3347</v>
      </c>
      <c r="C1841" t="s">
        <v>23</v>
      </c>
      <c r="D1841" t="s">
        <v>24</v>
      </c>
      <c r="E1841" t="s">
        <v>59</v>
      </c>
      <c r="F1841" t="s">
        <v>26</v>
      </c>
      <c r="G1841" t="s">
        <v>60</v>
      </c>
      <c r="H1841" s="1">
        <v>45216.854039351849</v>
      </c>
      <c r="I1841" s="1">
        <v>45218.854039351849</v>
      </c>
      <c r="J1841" s="1">
        <v>45216.89570601852</v>
      </c>
      <c r="K1841" s="2">
        <v>45216.893523287035</v>
      </c>
      <c r="L1841" t="s">
        <v>28</v>
      </c>
      <c r="M1841" s="2">
        <v>45217.175104988426</v>
      </c>
      <c r="N1841" t="s">
        <v>28</v>
      </c>
      <c r="P1841">
        <v>2</v>
      </c>
      <c r="R1841" t="s">
        <v>55</v>
      </c>
      <c r="S1841" t="s">
        <v>30</v>
      </c>
      <c r="T1841" t="s">
        <v>57</v>
      </c>
      <c r="U1841">
        <v>51.165691000000002</v>
      </c>
      <c r="V1841">
        <v>10.451525999999999</v>
      </c>
      <c r="W1841" t="str">
        <f t="shared" si="197"/>
        <v>ok</v>
      </c>
      <c r="X1841" t="str">
        <f t="shared" si="203"/>
        <v>ok</v>
      </c>
      <c r="Y1841" t="str">
        <f t="shared" si="198"/>
        <v>ok</v>
      </c>
      <c r="Z1841" t="str">
        <f t="shared" si="199"/>
        <v>ok</v>
      </c>
      <c r="AA1841" s="4" t="str">
        <f t="shared" si="200"/>
        <v>ok</v>
      </c>
      <c r="AB1841" s="4" t="str">
        <f t="shared" si="201"/>
        <v>ok</v>
      </c>
      <c r="AC1841" s="6">
        <f t="shared" si="202"/>
        <v>7.7055752778542228</v>
      </c>
    </row>
    <row r="1842" spans="1:29" x14ac:dyDescent="0.3">
      <c r="A1842" t="s">
        <v>22</v>
      </c>
      <c r="B1842">
        <v>3348</v>
      </c>
      <c r="C1842" t="s">
        <v>23</v>
      </c>
      <c r="D1842" t="s">
        <v>24</v>
      </c>
      <c r="E1842" t="s">
        <v>62</v>
      </c>
      <c r="F1842" t="s">
        <v>36</v>
      </c>
      <c r="G1842" t="s">
        <v>54</v>
      </c>
      <c r="H1842" s="1">
        <v>45216.250381944446</v>
      </c>
      <c r="I1842" s="1">
        <v>45218.250381944446</v>
      </c>
      <c r="J1842" s="1">
        <v>45216.292048611111</v>
      </c>
      <c r="K1842" s="2">
        <v>45216.532650520836</v>
      </c>
      <c r="L1842" t="s">
        <v>38</v>
      </c>
      <c r="M1842" s="2">
        <v>45220.665651064817</v>
      </c>
      <c r="N1842" t="s">
        <v>38</v>
      </c>
      <c r="O1842" s="2">
        <v>45220.843011759258</v>
      </c>
      <c r="P1842">
        <v>1</v>
      </c>
      <c r="Q1842">
        <v>4</v>
      </c>
      <c r="R1842" t="s">
        <v>55</v>
      </c>
      <c r="S1842" t="s">
        <v>40</v>
      </c>
      <c r="T1842" t="s">
        <v>58</v>
      </c>
      <c r="U1842">
        <v>49.8037633</v>
      </c>
      <c r="V1842">
        <v>15.4749126</v>
      </c>
      <c r="W1842" t="str">
        <f t="shared" si="197"/>
        <v>ok</v>
      </c>
      <c r="X1842" t="str">
        <f t="shared" si="203"/>
        <v>ok</v>
      </c>
      <c r="Y1842" t="str">
        <f t="shared" si="198"/>
        <v>ok</v>
      </c>
      <c r="Z1842" t="str">
        <f t="shared" si="199"/>
        <v>ok</v>
      </c>
      <c r="AA1842" s="4" t="str">
        <f t="shared" si="200"/>
        <v>ok</v>
      </c>
      <c r="AB1842" s="4" t="str">
        <f t="shared" si="201"/>
        <v>ok</v>
      </c>
      <c r="AC1842" s="6">
        <f t="shared" si="202"/>
        <v>105.96645888889907</v>
      </c>
    </row>
    <row r="1843" spans="1:29" x14ac:dyDescent="0.3">
      <c r="A1843" t="s">
        <v>42</v>
      </c>
      <c r="B1843">
        <v>3349</v>
      </c>
      <c r="C1843" t="s">
        <v>23</v>
      </c>
      <c r="D1843" t="s">
        <v>24</v>
      </c>
      <c r="E1843" t="s">
        <v>48</v>
      </c>
      <c r="F1843" t="s">
        <v>26</v>
      </c>
      <c r="G1843" t="s">
        <v>49</v>
      </c>
      <c r="H1843" s="1">
        <v>45217.339212962965</v>
      </c>
      <c r="I1843" s="1">
        <v>45219.339212962965</v>
      </c>
      <c r="J1843" s="1">
        <v>45217.380879629629</v>
      </c>
      <c r="K1843" s="2">
        <v>45217.369378379626</v>
      </c>
      <c r="L1843" t="s">
        <v>28</v>
      </c>
      <c r="M1843" s="2">
        <v>45221.241736388889</v>
      </c>
      <c r="N1843" t="s">
        <v>38</v>
      </c>
      <c r="P1843">
        <v>7</v>
      </c>
      <c r="R1843" t="s">
        <v>50</v>
      </c>
      <c r="S1843" t="s">
        <v>30</v>
      </c>
      <c r="T1843" t="s">
        <v>31</v>
      </c>
      <c r="U1843">
        <v>53.094023999999997</v>
      </c>
      <c r="V1843">
        <v>-8.0196749999999994</v>
      </c>
      <c r="W1843" t="str">
        <f t="shared" si="197"/>
        <v>ok</v>
      </c>
      <c r="X1843" t="str">
        <f t="shared" si="203"/>
        <v>ok</v>
      </c>
      <c r="Y1843" t="str">
        <f t="shared" si="198"/>
        <v>ok</v>
      </c>
      <c r="Z1843" t="str">
        <f t="shared" si="199"/>
        <v>ok</v>
      </c>
      <c r="AA1843" s="4" t="str">
        <f t="shared" si="200"/>
        <v>ok</v>
      </c>
      <c r="AB1843" s="4" t="str">
        <f t="shared" si="201"/>
        <v>ok</v>
      </c>
      <c r="AC1843" s="6">
        <f t="shared" si="202"/>
        <v>93.660562222183216</v>
      </c>
    </row>
    <row r="1844" spans="1:29" x14ac:dyDescent="0.3">
      <c r="A1844" t="s">
        <v>42</v>
      </c>
      <c r="B1844">
        <v>3350</v>
      </c>
      <c r="C1844" t="s">
        <v>23</v>
      </c>
      <c r="D1844" t="s">
        <v>34</v>
      </c>
      <c r="E1844" t="s">
        <v>39</v>
      </c>
      <c r="F1844" t="s">
        <v>26</v>
      </c>
      <c r="G1844" t="s">
        <v>45</v>
      </c>
      <c r="H1844" s="1">
        <v>45217.420219907406</v>
      </c>
      <c r="I1844" s="1">
        <v>45219.420219907406</v>
      </c>
      <c r="J1844" s="1">
        <v>45217.4216087963</v>
      </c>
      <c r="K1844" s="2">
        <v>45217.420654618058</v>
      </c>
      <c r="L1844" t="s">
        <v>28</v>
      </c>
      <c r="M1844" s="2">
        <v>45221.343584780094</v>
      </c>
      <c r="N1844" t="s">
        <v>38</v>
      </c>
      <c r="P1844">
        <v>1</v>
      </c>
      <c r="R1844" t="s">
        <v>50</v>
      </c>
      <c r="S1844" t="s">
        <v>30</v>
      </c>
      <c r="T1844" t="s">
        <v>63</v>
      </c>
      <c r="U1844">
        <v>55.378051999999997</v>
      </c>
      <c r="V1844">
        <v>-3.4359730000000002</v>
      </c>
      <c r="W1844" t="str">
        <f t="shared" si="197"/>
        <v>ok</v>
      </c>
      <c r="X1844" t="str">
        <f t="shared" si="203"/>
        <v>ok</v>
      </c>
      <c r="Y1844" t="str">
        <f t="shared" si="198"/>
        <v>ok</v>
      </c>
      <c r="Z1844" t="str">
        <f t="shared" si="199"/>
        <v>ok</v>
      </c>
      <c r="AA1844" s="4" t="str">
        <f t="shared" si="200"/>
        <v>ok</v>
      </c>
      <c r="AB1844" s="4" t="str">
        <f t="shared" si="201"/>
        <v>ok</v>
      </c>
      <c r="AC1844" s="6">
        <f t="shared" si="202"/>
        <v>94.160756944504101</v>
      </c>
    </row>
    <row r="1845" spans="1:29" x14ac:dyDescent="0.3">
      <c r="A1845" t="s">
        <v>32</v>
      </c>
      <c r="B1845">
        <v>3351</v>
      </c>
      <c r="C1845" t="s">
        <v>23</v>
      </c>
      <c r="D1845" t="s">
        <v>43</v>
      </c>
      <c r="E1845" t="s">
        <v>35</v>
      </c>
      <c r="F1845" t="s">
        <v>26</v>
      </c>
      <c r="G1845" t="s">
        <v>52</v>
      </c>
      <c r="H1845" s="1">
        <v>45217.910879629628</v>
      </c>
      <c r="I1845" s="1">
        <v>45218.910879629628</v>
      </c>
      <c r="J1845" s="1">
        <v>45217.912268518521</v>
      </c>
      <c r="K1845" s="2">
        <v>45217.91203605324</v>
      </c>
      <c r="L1845" t="s">
        <v>28</v>
      </c>
      <c r="N1845" t="s">
        <v>38</v>
      </c>
      <c r="P1845">
        <v>6</v>
      </c>
      <c r="R1845" t="s">
        <v>50</v>
      </c>
      <c r="S1845" t="s">
        <v>30</v>
      </c>
      <c r="T1845" t="s">
        <v>56</v>
      </c>
      <c r="U1845">
        <v>52.536273000000001</v>
      </c>
      <c r="V1845">
        <v>19.050639</v>
      </c>
      <c r="W1845" t="str">
        <f t="shared" si="197"/>
        <v>ok</v>
      </c>
      <c r="X1845" t="str">
        <f t="shared" si="203"/>
        <v>ok</v>
      </c>
      <c r="Y1845" t="str">
        <f t="shared" si="198"/>
        <v>ok</v>
      </c>
      <c r="Z1845" t="str">
        <f t="shared" si="199"/>
        <v>ok</v>
      </c>
      <c r="AA1845" s="4" t="str">
        <f t="shared" si="200"/>
        <v>ok</v>
      </c>
      <c r="AB1845" s="4" t="str">
        <f t="shared" si="201"/>
        <v>no resolution</v>
      </c>
      <c r="AC1845" s="6" t="str">
        <f t="shared" si="202"/>
        <v/>
      </c>
    </row>
    <row r="1846" spans="1:29" x14ac:dyDescent="0.3">
      <c r="A1846" t="s">
        <v>42</v>
      </c>
      <c r="B1846">
        <v>3352</v>
      </c>
      <c r="C1846" t="s">
        <v>23</v>
      </c>
      <c r="D1846" t="s">
        <v>43</v>
      </c>
      <c r="E1846" t="s">
        <v>48</v>
      </c>
      <c r="F1846" t="s">
        <v>26</v>
      </c>
      <c r="G1846" t="s">
        <v>27</v>
      </c>
      <c r="H1846" s="1">
        <v>45217.235439814816</v>
      </c>
      <c r="I1846" s="1">
        <v>45218.235439814816</v>
      </c>
      <c r="J1846" s="1">
        <v>45217.236828703702</v>
      </c>
      <c r="K1846" s="2">
        <v>45217.235570381941</v>
      </c>
      <c r="L1846" t="s">
        <v>28</v>
      </c>
      <c r="M1846" s="2">
        <v>45217.743688530092</v>
      </c>
      <c r="N1846" t="s">
        <v>28</v>
      </c>
      <c r="P1846">
        <v>6</v>
      </c>
      <c r="R1846" t="s">
        <v>29</v>
      </c>
      <c r="S1846" t="s">
        <v>30</v>
      </c>
      <c r="T1846" t="s">
        <v>31</v>
      </c>
      <c r="U1846">
        <v>53.094023999999997</v>
      </c>
      <c r="V1846">
        <v>-8.0196749999999994</v>
      </c>
      <c r="W1846" t="str">
        <f t="shared" si="197"/>
        <v>ok</v>
      </c>
      <c r="X1846" t="str">
        <f t="shared" si="203"/>
        <v>ok</v>
      </c>
      <c r="Y1846" t="str">
        <f t="shared" si="198"/>
        <v>ok</v>
      </c>
      <c r="Z1846" t="str">
        <f t="shared" si="199"/>
        <v>ok</v>
      </c>
      <c r="AA1846" s="4" t="str">
        <f t="shared" si="200"/>
        <v>ok</v>
      </c>
      <c r="AB1846" s="4" t="str">
        <f t="shared" si="201"/>
        <v>ok</v>
      </c>
      <c r="AC1846" s="6">
        <f t="shared" si="202"/>
        <v>12.197969166620169</v>
      </c>
    </row>
    <row r="1847" spans="1:29" x14ac:dyDescent="0.3">
      <c r="A1847" t="s">
        <v>22</v>
      </c>
      <c r="B1847">
        <v>3353</v>
      </c>
      <c r="C1847" t="s">
        <v>47</v>
      </c>
      <c r="D1847" t="s">
        <v>24</v>
      </c>
      <c r="E1847" t="s">
        <v>35</v>
      </c>
      <c r="F1847" t="s">
        <v>26</v>
      </c>
      <c r="G1847" t="s">
        <v>52</v>
      </c>
      <c r="H1847" s="1">
        <v>45217.649976851855</v>
      </c>
      <c r="I1847" s="1">
        <v>45219.649976851855</v>
      </c>
      <c r="J1847" s="1">
        <v>45217.691643518519</v>
      </c>
      <c r="K1847" s="2">
        <v>45217.686432499999</v>
      </c>
      <c r="L1847" t="s">
        <v>28</v>
      </c>
      <c r="M1847" s="2">
        <v>45218.289471898148</v>
      </c>
      <c r="N1847" t="s">
        <v>28</v>
      </c>
      <c r="O1847" s="2">
        <v>45222.978689710646</v>
      </c>
      <c r="P1847">
        <v>4</v>
      </c>
      <c r="Q1847">
        <v>2</v>
      </c>
      <c r="R1847" t="s">
        <v>29</v>
      </c>
      <c r="S1847" t="s">
        <v>30</v>
      </c>
      <c r="T1847" t="s">
        <v>58</v>
      </c>
      <c r="U1847">
        <v>49.8037633</v>
      </c>
      <c r="V1847">
        <v>15.4749126</v>
      </c>
      <c r="W1847" t="str">
        <f t="shared" si="197"/>
        <v>ok</v>
      </c>
      <c r="X1847" t="str">
        <f t="shared" si="203"/>
        <v>ok</v>
      </c>
      <c r="Y1847" t="str">
        <f t="shared" si="198"/>
        <v>ok</v>
      </c>
      <c r="Z1847" t="str">
        <f t="shared" si="199"/>
        <v>ok</v>
      </c>
      <c r="AA1847" s="4" t="str">
        <f t="shared" si="200"/>
        <v>ok</v>
      </c>
      <c r="AB1847" s="4" t="str">
        <f t="shared" si="201"/>
        <v>ok</v>
      </c>
      <c r="AC1847" s="6">
        <f t="shared" si="202"/>
        <v>15.347881111025345</v>
      </c>
    </row>
    <row r="1848" spans="1:29" x14ac:dyDescent="0.3">
      <c r="A1848" t="s">
        <v>22</v>
      </c>
      <c r="B1848">
        <v>3354</v>
      </c>
      <c r="C1848" t="s">
        <v>23</v>
      </c>
      <c r="D1848" t="s">
        <v>34</v>
      </c>
      <c r="E1848" t="s">
        <v>44</v>
      </c>
      <c r="F1848" t="s">
        <v>26</v>
      </c>
      <c r="G1848" t="s">
        <v>45</v>
      </c>
      <c r="H1848" s="1">
        <v>45217.744699074072</v>
      </c>
      <c r="I1848" s="1">
        <v>45219.744699074072</v>
      </c>
      <c r="J1848" s="1">
        <v>45217.746087962965</v>
      </c>
      <c r="K1848" s="2">
        <v>45217.746639953701</v>
      </c>
      <c r="L1848" t="s">
        <v>38</v>
      </c>
      <c r="M1848" s="2">
        <v>45222.022407789351</v>
      </c>
      <c r="N1848" t="s">
        <v>38</v>
      </c>
      <c r="O1848" s="2">
        <v>45223.240905324077</v>
      </c>
      <c r="P1848">
        <v>2</v>
      </c>
      <c r="Q1848">
        <v>2</v>
      </c>
      <c r="R1848" t="s">
        <v>29</v>
      </c>
      <c r="S1848" t="s">
        <v>30</v>
      </c>
      <c r="T1848" t="s">
        <v>58</v>
      </c>
      <c r="U1848">
        <v>49.8037633</v>
      </c>
      <c r="V1848">
        <v>15.4749126</v>
      </c>
      <c r="W1848" t="str">
        <f t="shared" si="197"/>
        <v>ok</v>
      </c>
      <c r="X1848" t="str">
        <f t="shared" si="203"/>
        <v>ok</v>
      </c>
      <c r="Y1848" t="str">
        <f t="shared" si="198"/>
        <v>ok</v>
      </c>
      <c r="Z1848" t="str">
        <f t="shared" si="199"/>
        <v>ok</v>
      </c>
      <c r="AA1848" s="4" t="str">
        <f t="shared" si="200"/>
        <v>ok</v>
      </c>
      <c r="AB1848" s="4" t="str">
        <f t="shared" si="201"/>
        <v>ok</v>
      </c>
      <c r="AC1848" s="6">
        <f t="shared" si="202"/>
        <v>102.66500916669611</v>
      </c>
    </row>
    <row r="1849" spans="1:29" x14ac:dyDescent="0.3">
      <c r="A1849" t="s">
        <v>42</v>
      </c>
      <c r="B1849">
        <v>3355</v>
      </c>
      <c r="C1849" t="s">
        <v>47</v>
      </c>
      <c r="D1849" t="s">
        <v>43</v>
      </c>
      <c r="E1849" t="s">
        <v>39</v>
      </c>
      <c r="F1849" t="s">
        <v>36</v>
      </c>
      <c r="G1849" t="s">
        <v>37</v>
      </c>
      <c r="H1849" s="1">
        <v>45217.117395833331</v>
      </c>
      <c r="I1849" s="1">
        <v>45218.117395833331</v>
      </c>
      <c r="J1849" s="1">
        <v>45217.118784722225</v>
      </c>
      <c r="K1849" s="2">
        <v>45217.117425659722</v>
      </c>
      <c r="L1849" t="s">
        <v>28</v>
      </c>
      <c r="M1849" s="2">
        <v>45217.65766045139</v>
      </c>
      <c r="N1849" t="s">
        <v>28</v>
      </c>
      <c r="P1849">
        <v>2</v>
      </c>
      <c r="R1849" t="s">
        <v>50</v>
      </c>
      <c r="S1849" t="s">
        <v>40</v>
      </c>
      <c r="T1849" t="s">
        <v>63</v>
      </c>
      <c r="U1849">
        <v>55.378051999999997</v>
      </c>
      <c r="V1849">
        <v>-3.4359730000000002</v>
      </c>
      <c r="W1849" t="str">
        <f t="shared" si="197"/>
        <v>ok</v>
      </c>
      <c r="X1849" t="str">
        <f t="shared" si="203"/>
        <v>ok</v>
      </c>
      <c r="Y1849" t="str">
        <f t="shared" si="198"/>
        <v>ok</v>
      </c>
      <c r="Z1849" t="str">
        <f t="shared" si="199"/>
        <v>ok</v>
      </c>
      <c r="AA1849" s="4" t="str">
        <f t="shared" si="200"/>
        <v>ok</v>
      </c>
      <c r="AB1849" s="4" t="str">
        <f t="shared" si="201"/>
        <v>ok</v>
      </c>
      <c r="AC1849" s="6">
        <f t="shared" si="202"/>
        <v>12.96635083341971</v>
      </c>
    </row>
    <row r="1850" spans="1:29" x14ac:dyDescent="0.3">
      <c r="A1850" t="s">
        <v>22</v>
      </c>
      <c r="B1850">
        <v>3356</v>
      </c>
      <c r="C1850" t="s">
        <v>47</v>
      </c>
      <c r="D1850" t="s">
        <v>24</v>
      </c>
      <c r="E1850" t="s">
        <v>35</v>
      </c>
      <c r="F1850" t="s">
        <v>26</v>
      </c>
      <c r="G1850" t="s">
        <v>27</v>
      </c>
      <c r="H1850" s="1">
        <v>45217.860046296293</v>
      </c>
      <c r="I1850" s="1">
        <v>45219.860046296293</v>
      </c>
      <c r="J1850" s="1">
        <v>45217.901712962965</v>
      </c>
      <c r="K1850" s="2">
        <v>45217.88917091435</v>
      </c>
      <c r="L1850" t="s">
        <v>28</v>
      </c>
      <c r="M1850" s="2">
        <v>45218.497322453703</v>
      </c>
      <c r="N1850" t="s">
        <v>28</v>
      </c>
      <c r="O1850" s="2">
        <v>45220.650657106482</v>
      </c>
      <c r="P1850">
        <v>2</v>
      </c>
      <c r="Q1850">
        <v>2</v>
      </c>
      <c r="R1850" t="s">
        <v>55</v>
      </c>
      <c r="S1850" t="s">
        <v>30</v>
      </c>
      <c r="T1850" t="s">
        <v>56</v>
      </c>
      <c r="U1850">
        <v>52.536273000000001</v>
      </c>
      <c r="V1850">
        <v>19.050639</v>
      </c>
      <c r="W1850" t="str">
        <f t="shared" si="197"/>
        <v>ok</v>
      </c>
      <c r="X1850" t="str">
        <f t="shared" si="203"/>
        <v>ok</v>
      </c>
      <c r="Y1850" t="str">
        <f t="shared" si="198"/>
        <v>ok</v>
      </c>
      <c r="Z1850" t="str">
        <f t="shared" si="199"/>
        <v>ok</v>
      </c>
      <c r="AA1850" s="4" t="str">
        <f t="shared" si="200"/>
        <v>ok</v>
      </c>
      <c r="AB1850" s="4" t="str">
        <f t="shared" si="201"/>
        <v>ok</v>
      </c>
      <c r="AC1850" s="6">
        <f t="shared" si="202"/>
        <v>15.294627777824644</v>
      </c>
    </row>
    <row r="1851" spans="1:29" x14ac:dyDescent="0.3">
      <c r="A1851" t="s">
        <v>42</v>
      </c>
      <c r="B1851">
        <v>3357</v>
      </c>
      <c r="C1851" t="s">
        <v>23</v>
      </c>
      <c r="D1851" t="s">
        <v>24</v>
      </c>
      <c r="E1851" t="s">
        <v>59</v>
      </c>
      <c r="F1851" t="s">
        <v>26</v>
      </c>
      <c r="G1851" t="s">
        <v>49</v>
      </c>
      <c r="H1851" s="1">
        <v>45217.952407407407</v>
      </c>
      <c r="I1851" s="1">
        <v>45219.952407407407</v>
      </c>
      <c r="J1851" s="1">
        <v>45217.994074074071</v>
      </c>
      <c r="K1851" s="2">
        <v>45217.973657951392</v>
      </c>
      <c r="L1851" t="s">
        <v>28</v>
      </c>
      <c r="M1851" s="2">
        <v>45222.147769097224</v>
      </c>
      <c r="N1851" t="s">
        <v>38</v>
      </c>
      <c r="P1851">
        <v>7</v>
      </c>
      <c r="R1851" t="s">
        <v>50</v>
      </c>
      <c r="S1851" t="s">
        <v>30</v>
      </c>
      <c r="T1851" t="s">
        <v>56</v>
      </c>
      <c r="U1851">
        <v>52.536273000000001</v>
      </c>
      <c r="V1851">
        <v>19.050639</v>
      </c>
      <c r="W1851" t="str">
        <f t="shared" si="197"/>
        <v>ok</v>
      </c>
      <c r="X1851" t="str">
        <f t="shared" si="203"/>
        <v>ok</v>
      </c>
      <c r="Y1851" t="str">
        <f t="shared" si="198"/>
        <v>ok</v>
      </c>
      <c r="Z1851" t="str">
        <f t="shared" si="199"/>
        <v>ok</v>
      </c>
      <c r="AA1851" s="4" t="str">
        <f t="shared" si="200"/>
        <v>ok</v>
      </c>
      <c r="AB1851" s="4" t="str">
        <f t="shared" si="201"/>
        <v>ok</v>
      </c>
      <c r="AC1851" s="6">
        <f t="shared" si="202"/>
        <v>100.68868055561325</v>
      </c>
    </row>
    <row r="1852" spans="1:29" x14ac:dyDescent="0.3">
      <c r="A1852" t="s">
        <v>42</v>
      </c>
      <c r="B1852">
        <v>3358</v>
      </c>
      <c r="C1852" t="s">
        <v>47</v>
      </c>
      <c r="D1852" t="s">
        <v>34</v>
      </c>
      <c r="E1852" t="s">
        <v>35</v>
      </c>
      <c r="F1852" t="s">
        <v>26</v>
      </c>
      <c r="G1852" t="s">
        <v>52</v>
      </c>
      <c r="H1852" s="1">
        <v>45217.469085648147</v>
      </c>
      <c r="I1852" s="1">
        <v>45219.469085648147</v>
      </c>
      <c r="J1852" s="1">
        <v>45217.47047453704</v>
      </c>
      <c r="K1852" s="2">
        <v>45217.470810914354</v>
      </c>
      <c r="L1852" t="s">
        <v>38</v>
      </c>
      <c r="M1852" s="2">
        <v>45218.658275879628</v>
      </c>
      <c r="N1852" t="s">
        <v>28</v>
      </c>
      <c r="P1852">
        <v>7</v>
      </c>
      <c r="R1852" t="s">
        <v>55</v>
      </c>
      <c r="S1852" t="s">
        <v>30</v>
      </c>
      <c r="T1852" t="s">
        <v>56</v>
      </c>
      <c r="U1852">
        <v>52.536273000000001</v>
      </c>
      <c r="V1852">
        <v>19.050639</v>
      </c>
      <c r="W1852" t="str">
        <f t="shared" si="197"/>
        <v>ok</v>
      </c>
      <c r="X1852" t="str">
        <f t="shared" si="203"/>
        <v>ok</v>
      </c>
      <c r="Y1852" t="str">
        <f t="shared" si="198"/>
        <v>ok</v>
      </c>
      <c r="Z1852" t="str">
        <f t="shared" si="199"/>
        <v>ok</v>
      </c>
      <c r="AA1852" s="4" t="str">
        <f t="shared" si="200"/>
        <v>ok</v>
      </c>
      <c r="AB1852" s="4" t="str">
        <f t="shared" si="201"/>
        <v>ok</v>
      </c>
      <c r="AC1852" s="6">
        <f t="shared" si="202"/>
        <v>28.540565555565991</v>
      </c>
    </row>
    <row r="1853" spans="1:29" x14ac:dyDescent="0.3">
      <c r="A1853" t="s">
        <v>42</v>
      </c>
      <c r="B1853">
        <v>3359</v>
      </c>
      <c r="C1853" t="s">
        <v>33</v>
      </c>
      <c r="D1853" t="s">
        <v>43</v>
      </c>
      <c r="E1853" t="s">
        <v>48</v>
      </c>
      <c r="F1853" t="s">
        <v>36</v>
      </c>
      <c r="G1853" t="s">
        <v>37</v>
      </c>
      <c r="H1853" s="1">
        <v>45217.640868055554</v>
      </c>
      <c r="I1853" s="1">
        <v>45218.640868055554</v>
      </c>
      <c r="J1853" s="1">
        <v>45217.642256944448</v>
      </c>
      <c r="K1853" s="2">
        <v>45217.642153252316</v>
      </c>
      <c r="L1853" t="s">
        <v>28</v>
      </c>
      <c r="M1853" s="2">
        <v>45218.548577048612</v>
      </c>
      <c r="N1853" t="s">
        <v>28</v>
      </c>
      <c r="P1853">
        <v>2</v>
      </c>
      <c r="R1853" t="s">
        <v>50</v>
      </c>
      <c r="S1853" t="s">
        <v>40</v>
      </c>
      <c r="T1853" t="s">
        <v>56</v>
      </c>
      <c r="U1853">
        <v>52.536273000000001</v>
      </c>
      <c r="V1853">
        <v>19.050639</v>
      </c>
      <c r="W1853" t="str">
        <f t="shared" si="197"/>
        <v>ok</v>
      </c>
      <c r="X1853" t="str">
        <f t="shared" si="203"/>
        <v>ok</v>
      </c>
      <c r="Y1853" t="str">
        <f t="shared" si="198"/>
        <v>ok</v>
      </c>
      <c r="Z1853" t="str">
        <f t="shared" si="199"/>
        <v>ok</v>
      </c>
      <c r="AA1853" s="4" t="str">
        <f t="shared" si="200"/>
        <v>ok</v>
      </c>
      <c r="AB1853" s="4" t="str">
        <f t="shared" si="201"/>
        <v>ok</v>
      </c>
      <c r="AC1853" s="6">
        <f t="shared" si="202"/>
        <v>21.78501583338948</v>
      </c>
    </row>
    <row r="1854" spans="1:29" x14ac:dyDescent="0.3">
      <c r="A1854" t="s">
        <v>22</v>
      </c>
      <c r="B1854">
        <v>3360</v>
      </c>
      <c r="C1854" t="s">
        <v>23</v>
      </c>
      <c r="D1854" t="s">
        <v>24</v>
      </c>
      <c r="E1854" t="s">
        <v>35</v>
      </c>
      <c r="F1854" t="s">
        <v>26</v>
      </c>
      <c r="G1854" t="s">
        <v>45</v>
      </c>
      <c r="H1854" s="1">
        <v>45217.858958333331</v>
      </c>
      <c r="I1854" s="1">
        <v>45219.858958333331</v>
      </c>
      <c r="J1854" s="1">
        <v>45217.900625000002</v>
      </c>
      <c r="K1854" s="2">
        <v>45217.883079340281</v>
      </c>
      <c r="L1854" t="s">
        <v>28</v>
      </c>
      <c r="M1854" s="2">
        <v>45219.788486956022</v>
      </c>
      <c r="N1854" t="s">
        <v>28</v>
      </c>
      <c r="O1854" s="2">
        <v>45220.235872858793</v>
      </c>
      <c r="P1854">
        <v>1</v>
      </c>
      <c r="Q1854">
        <v>4</v>
      </c>
      <c r="R1854" t="s">
        <v>55</v>
      </c>
      <c r="S1854" t="s">
        <v>30</v>
      </c>
      <c r="T1854" t="s">
        <v>65</v>
      </c>
      <c r="U1854">
        <v>46.149166399999999</v>
      </c>
      <c r="V1854">
        <v>14.9860106</v>
      </c>
      <c r="W1854" t="str">
        <f t="shared" si="197"/>
        <v>ok</v>
      </c>
      <c r="X1854" t="str">
        <f t="shared" si="203"/>
        <v>ok</v>
      </c>
      <c r="Y1854" t="str">
        <f t="shared" si="198"/>
        <v>ok</v>
      </c>
      <c r="Z1854" t="str">
        <f t="shared" si="199"/>
        <v>ok</v>
      </c>
      <c r="AA1854" s="4" t="str">
        <f t="shared" si="200"/>
        <v>ok</v>
      </c>
      <c r="AB1854" s="4" t="str">
        <f t="shared" si="201"/>
        <v>ok</v>
      </c>
      <c r="AC1854" s="6">
        <f t="shared" si="202"/>
        <v>46.308686944597866</v>
      </c>
    </row>
    <row r="1855" spans="1:29" x14ac:dyDescent="0.3">
      <c r="A1855" t="s">
        <v>32</v>
      </c>
      <c r="B1855">
        <v>3361</v>
      </c>
      <c r="C1855" t="s">
        <v>33</v>
      </c>
      <c r="D1855" t="s">
        <v>24</v>
      </c>
      <c r="E1855" t="s">
        <v>35</v>
      </c>
      <c r="F1855" t="s">
        <v>36</v>
      </c>
      <c r="G1855" t="s">
        <v>54</v>
      </c>
      <c r="H1855" s="1">
        <v>45217.157071759262</v>
      </c>
      <c r="I1855" s="1">
        <v>45219.157071759262</v>
      </c>
      <c r="J1855" s="1">
        <v>45217.198738425926</v>
      </c>
      <c r="K1855" s="2">
        <v>45217.188162372688</v>
      </c>
      <c r="L1855" t="s">
        <v>28</v>
      </c>
      <c r="N1855" t="s">
        <v>38</v>
      </c>
      <c r="P1855">
        <v>9</v>
      </c>
      <c r="R1855" t="s">
        <v>29</v>
      </c>
      <c r="S1855" t="s">
        <v>40</v>
      </c>
      <c r="T1855" t="s">
        <v>57</v>
      </c>
      <c r="U1855">
        <v>51.165691000000002</v>
      </c>
      <c r="V1855">
        <v>10.451525999999999</v>
      </c>
      <c r="W1855" t="str">
        <f t="shared" si="197"/>
        <v>ok</v>
      </c>
      <c r="X1855" t="str">
        <f t="shared" si="203"/>
        <v>ok</v>
      </c>
      <c r="Y1855" t="str">
        <f t="shared" si="198"/>
        <v>ok</v>
      </c>
      <c r="Z1855" t="str">
        <f t="shared" si="199"/>
        <v>ok</v>
      </c>
      <c r="AA1855" s="4" t="str">
        <f t="shared" si="200"/>
        <v>ok</v>
      </c>
      <c r="AB1855" s="4" t="str">
        <f t="shared" si="201"/>
        <v>no resolution</v>
      </c>
      <c r="AC1855" s="6" t="str">
        <f t="shared" si="202"/>
        <v/>
      </c>
    </row>
    <row r="1856" spans="1:29" x14ac:dyDescent="0.3">
      <c r="A1856" t="s">
        <v>22</v>
      </c>
      <c r="B1856">
        <v>3363</v>
      </c>
      <c r="C1856" t="s">
        <v>33</v>
      </c>
      <c r="D1856" t="s">
        <v>43</v>
      </c>
      <c r="E1856" t="s">
        <v>35</v>
      </c>
      <c r="F1856" t="s">
        <v>36</v>
      </c>
      <c r="G1856" t="s">
        <v>54</v>
      </c>
      <c r="H1856" s="1">
        <v>45217.883321759262</v>
      </c>
      <c r="I1856" s="1">
        <v>45218.883321759262</v>
      </c>
      <c r="J1856" s="1">
        <v>45217.884710648148</v>
      </c>
      <c r="K1856" s="2">
        <v>45217.884174178238</v>
      </c>
      <c r="L1856" t="s">
        <v>28</v>
      </c>
      <c r="M1856" s="2">
        <v>45218.707753761577</v>
      </c>
      <c r="N1856" t="s">
        <v>28</v>
      </c>
      <c r="O1856" s="2">
        <v>45218.503296736111</v>
      </c>
      <c r="P1856">
        <v>2</v>
      </c>
      <c r="Q1856">
        <v>3</v>
      </c>
      <c r="R1856" t="s">
        <v>50</v>
      </c>
      <c r="S1856" t="s">
        <v>40</v>
      </c>
      <c r="T1856" t="s">
        <v>66</v>
      </c>
      <c r="U1856">
        <v>48.864716000000001</v>
      </c>
      <c r="V1856">
        <v>2.3490139999999999</v>
      </c>
      <c r="W1856" t="str">
        <f t="shared" si="197"/>
        <v>ok</v>
      </c>
      <c r="X1856" t="str">
        <f t="shared" si="203"/>
        <v>ok</v>
      </c>
      <c r="Y1856" t="str">
        <f t="shared" si="198"/>
        <v>check</v>
      </c>
      <c r="Z1856" t="str">
        <f t="shared" si="199"/>
        <v>ok</v>
      </c>
      <c r="AA1856" s="4" t="str">
        <f t="shared" si="200"/>
        <v>ok</v>
      </c>
      <c r="AB1856" s="4" t="str">
        <f t="shared" si="201"/>
        <v>ok</v>
      </c>
      <c r="AC1856" s="6">
        <f t="shared" si="202"/>
        <v>19.78636805556016</v>
      </c>
    </row>
    <row r="1857" spans="1:29" x14ac:dyDescent="0.3">
      <c r="A1857" t="s">
        <v>32</v>
      </c>
      <c r="B1857">
        <v>3364</v>
      </c>
      <c r="C1857" t="s">
        <v>23</v>
      </c>
      <c r="D1857" t="s">
        <v>24</v>
      </c>
      <c r="E1857" t="s">
        <v>39</v>
      </c>
      <c r="F1857" t="s">
        <v>36</v>
      </c>
      <c r="G1857" t="s">
        <v>64</v>
      </c>
      <c r="H1857" s="1">
        <v>45217.014270833337</v>
      </c>
      <c r="I1857" s="1">
        <v>45219.014270833337</v>
      </c>
      <c r="J1857" s="1">
        <v>45217.055937500001</v>
      </c>
      <c r="K1857" s="2">
        <v>45217.037551909722</v>
      </c>
      <c r="L1857" t="s">
        <v>28</v>
      </c>
      <c r="N1857" t="s">
        <v>38</v>
      </c>
      <c r="P1857">
        <v>3</v>
      </c>
      <c r="R1857" t="s">
        <v>39</v>
      </c>
      <c r="S1857" t="s">
        <v>40</v>
      </c>
      <c r="T1857" t="s">
        <v>31</v>
      </c>
      <c r="U1857">
        <v>53.094023999999997</v>
      </c>
      <c r="V1857">
        <v>-8.0196749999999994</v>
      </c>
      <c r="W1857" t="str">
        <f t="shared" si="197"/>
        <v>ok</v>
      </c>
      <c r="X1857" t="str">
        <f t="shared" si="203"/>
        <v>ok</v>
      </c>
      <c r="Y1857" t="str">
        <f t="shared" si="198"/>
        <v>ok</v>
      </c>
      <c r="Z1857" t="str">
        <f t="shared" si="199"/>
        <v>ok</v>
      </c>
      <c r="AA1857" s="4" t="str">
        <f t="shared" si="200"/>
        <v>ok</v>
      </c>
      <c r="AB1857" s="4" t="str">
        <f t="shared" si="201"/>
        <v>no resolution</v>
      </c>
      <c r="AC1857" s="6" t="str">
        <f t="shared" si="202"/>
        <v/>
      </c>
    </row>
    <row r="1858" spans="1:29" x14ac:dyDescent="0.3">
      <c r="A1858" t="s">
        <v>32</v>
      </c>
      <c r="B1858">
        <v>3365</v>
      </c>
      <c r="C1858" t="s">
        <v>33</v>
      </c>
      <c r="D1858" t="s">
        <v>24</v>
      </c>
      <c r="E1858" t="s">
        <v>62</v>
      </c>
      <c r="F1858" t="s">
        <v>26</v>
      </c>
      <c r="G1858" t="s">
        <v>27</v>
      </c>
      <c r="H1858" s="1">
        <v>45218.261481481481</v>
      </c>
      <c r="I1858" s="1">
        <v>45220.261481481481</v>
      </c>
      <c r="J1858" s="1">
        <v>45218.303148148145</v>
      </c>
      <c r="K1858" s="2">
        <v>45218.275213472225</v>
      </c>
      <c r="L1858" t="s">
        <v>28</v>
      </c>
      <c r="N1858" t="s">
        <v>38</v>
      </c>
      <c r="P1858">
        <v>2</v>
      </c>
      <c r="R1858" t="s">
        <v>55</v>
      </c>
      <c r="S1858" t="s">
        <v>30</v>
      </c>
      <c r="T1858" t="s">
        <v>63</v>
      </c>
      <c r="U1858">
        <v>55.378051999999997</v>
      </c>
      <c r="V1858">
        <v>-3.4359730000000002</v>
      </c>
      <c r="W1858" t="str">
        <f t="shared" ref="W1858:W1921" si="204">IF(K1858&lt;H1858,"check","ok")</f>
        <v>ok</v>
      </c>
      <c r="X1858" t="str">
        <f t="shared" si="203"/>
        <v>ok</v>
      </c>
      <c r="Y1858" t="str">
        <f t="shared" ref="Y1858:Y1921" si="205">IF(AND(M1858&lt;&gt;"",O1858&lt;&gt;"",O1858&lt;M1858),"check","ok")</f>
        <v>ok</v>
      </c>
      <c r="Z1858" t="str">
        <f t="shared" ref="Z1858:Z1921" si="206">IF(AND(OR(CA1858="Closed",A1858="Resolved"),M1858=""),"check","ok")</f>
        <v>ok</v>
      </c>
      <c r="AA1858" s="4" t="str">
        <f t="shared" ref="AA1858:AA1921" si="207">IF(K1858="","no response",IF(OR(AND(K1858&lt;=J1858,L1858="Within SLA"),AND(K1858&gt;J1858,L1858="SLA Violated")),"ok","check"))</f>
        <v>ok</v>
      </c>
      <c r="AB1858" s="4" t="str">
        <f t="shared" ref="AB1858:AB1921" si="208">IF(M1858="","no resolution",IF(OR(AND(M1858&lt;=I1858,N1858="Within SLA"),AND(M1858&gt;I1858,N1858="SLA Violated")),"ok","check"))</f>
        <v>no resolution</v>
      </c>
      <c r="AC1858" s="6" t="str">
        <f t="shared" ref="AC1858:AC1921" si="209">IF(M1858="","",(M1858-H1858)*24)</f>
        <v/>
      </c>
    </row>
    <row r="1859" spans="1:29" x14ac:dyDescent="0.3">
      <c r="A1859" t="s">
        <v>22</v>
      </c>
      <c r="B1859">
        <v>3366</v>
      </c>
      <c r="C1859" t="s">
        <v>23</v>
      </c>
      <c r="D1859" t="s">
        <v>43</v>
      </c>
      <c r="E1859" t="s">
        <v>35</v>
      </c>
      <c r="F1859" t="s">
        <v>26</v>
      </c>
      <c r="G1859" t="s">
        <v>49</v>
      </c>
      <c r="H1859" s="1">
        <v>45218.74013888889</v>
      </c>
      <c r="I1859" s="1">
        <v>45219.74013888889</v>
      </c>
      <c r="J1859" s="1">
        <v>45218.741527777776</v>
      </c>
      <c r="K1859" s="2">
        <v>45218.741038969907</v>
      </c>
      <c r="L1859" t="s">
        <v>28</v>
      </c>
      <c r="M1859" s="2">
        <v>45218.856688298612</v>
      </c>
      <c r="N1859" t="s">
        <v>28</v>
      </c>
      <c r="O1859" s="2">
        <v>45226.69942167824</v>
      </c>
      <c r="P1859">
        <v>6</v>
      </c>
      <c r="Q1859">
        <v>5</v>
      </c>
      <c r="R1859" t="s">
        <v>50</v>
      </c>
      <c r="S1859" t="s">
        <v>30</v>
      </c>
      <c r="T1859" t="s">
        <v>65</v>
      </c>
      <c r="U1859">
        <v>46.149166399999999</v>
      </c>
      <c r="V1859">
        <v>14.9860106</v>
      </c>
      <c r="W1859" t="str">
        <f t="shared" si="204"/>
        <v>ok</v>
      </c>
      <c r="X1859" t="str">
        <f t="shared" ref="X1859:X1922" si="210">IF(AND(M1859&lt;&gt;"",M1859&lt;H1859),"check","ok")</f>
        <v>ok</v>
      </c>
      <c r="Y1859" t="str">
        <f t="shared" si="205"/>
        <v>ok</v>
      </c>
      <c r="Z1859" t="str">
        <f t="shared" si="206"/>
        <v>ok</v>
      </c>
      <c r="AA1859" s="4" t="str">
        <f t="shared" si="207"/>
        <v>ok</v>
      </c>
      <c r="AB1859" s="4" t="str">
        <f t="shared" si="208"/>
        <v>ok</v>
      </c>
      <c r="AC1859" s="6">
        <f t="shared" si="209"/>
        <v>2.7971858333330601</v>
      </c>
    </row>
    <row r="1860" spans="1:29" x14ac:dyDescent="0.3">
      <c r="A1860" t="s">
        <v>42</v>
      </c>
      <c r="B1860">
        <v>3367</v>
      </c>
      <c r="C1860" t="s">
        <v>47</v>
      </c>
      <c r="D1860" t="s">
        <v>24</v>
      </c>
      <c r="E1860" t="s">
        <v>35</v>
      </c>
      <c r="F1860" t="s">
        <v>26</v>
      </c>
      <c r="G1860" t="s">
        <v>45</v>
      </c>
      <c r="H1860" s="1">
        <v>45218.197384259256</v>
      </c>
      <c r="I1860" s="1">
        <v>45220.197384259256</v>
      </c>
      <c r="J1860" s="1">
        <v>45218.239050925928</v>
      </c>
      <c r="K1860" s="2">
        <v>45218.228139699073</v>
      </c>
      <c r="L1860" t="s">
        <v>28</v>
      </c>
      <c r="M1860" s="2">
        <v>45221.756358136576</v>
      </c>
      <c r="N1860" t="s">
        <v>38</v>
      </c>
      <c r="P1860">
        <v>2</v>
      </c>
      <c r="R1860" t="s">
        <v>29</v>
      </c>
      <c r="S1860" t="s">
        <v>30</v>
      </c>
      <c r="T1860" t="s">
        <v>53</v>
      </c>
      <c r="U1860">
        <v>39.368279000000001</v>
      </c>
      <c r="V1860">
        <v>21.863140999999999</v>
      </c>
      <c r="W1860" t="str">
        <f t="shared" si="204"/>
        <v>ok</v>
      </c>
      <c r="X1860" t="str">
        <f t="shared" si="210"/>
        <v>ok</v>
      </c>
      <c r="Y1860" t="str">
        <f t="shared" si="205"/>
        <v>ok</v>
      </c>
      <c r="Z1860" t="str">
        <f t="shared" si="206"/>
        <v>ok</v>
      </c>
      <c r="AA1860" s="4" t="str">
        <f t="shared" si="207"/>
        <v>ok</v>
      </c>
      <c r="AB1860" s="4" t="str">
        <f t="shared" si="208"/>
        <v>ok</v>
      </c>
      <c r="AC1860" s="6">
        <f t="shared" si="209"/>
        <v>85.415373055671807</v>
      </c>
    </row>
    <row r="1861" spans="1:29" x14ac:dyDescent="0.3">
      <c r="A1861" t="s">
        <v>22</v>
      </c>
      <c r="B1861">
        <v>3368</v>
      </c>
      <c r="C1861" t="s">
        <v>23</v>
      </c>
      <c r="D1861" t="s">
        <v>43</v>
      </c>
      <c r="E1861" t="s">
        <v>44</v>
      </c>
      <c r="F1861" t="s">
        <v>26</v>
      </c>
      <c r="G1861" t="s">
        <v>49</v>
      </c>
      <c r="H1861" s="1">
        <v>45218.501018518517</v>
      </c>
      <c r="I1861" s="1">
        <v>45219.501018518517</v>
      </c>
      <c r="J1861" s="1">
        <v>45218.50240740741</v>
      </c>
      <c r="K1861" s="2">
        <v>45218.502109386573</v>
      </c>
      <c r="L1861" t="s">
        <v>28</v>
      </c>
      <c r="M1861" s="2">
        <v>45223.382380636576</v>
      </c>
      <c r="N1861" t="s">
        <v>38</v>
      </c>
      <c r="O1861" s="2">
        <v>45223.650418831021</v>
      </c>
      <c r="P1861">
        <v>5</v>
      </c>
      <c r="Q1861">
        <v>5</v>
      </c>
      <c r="R1861" t="s">
        <v>50</v>
      </c>
      <c r="S1861" t="s">
        <v>30</v>
      </c>
      <c r="T1861" t="s">
        <v>56</v>
      </c>
      <c r="U1861">
        <v>52.536273000000001</v>
      </c>
      <c r="V1861">
        <v>19.050639</v>
      </c>
      <c r="W1861" t="str">
        <f t="shared" si="204"/>
        <v>ok</v>
      </c>
      <c r="X1861" t="str">
        <f t="shared" si="210"/>
        <v>ok</v>
      </c>
      <c r="Y1861" t="str">
        <f t="shared" si="205"/>
        <v>ok</v>
      </c>
      <c r="Z1861" t="str">
        <f t="shared" si="206"/>
        <v>ok</v>
      </c>
      <c r="AA1861" s="4" t="str">
        <f t="shared" si="207"/>
        <v>ok</v>
      </c>
      <c r="AB1861" s="4" t="str">
        <f t="shared" si="208"/>
        <v>ok</v>
      </c>
      <c r="AC1861" s="6">
        <f t="shared" si="209"/>
        <v>117.15269083343446</v>
      </c>
    </row>
    <row r="1862" spans="1:29" x14ac:dyDescent="0.3">
      <c r="A1862" t="s">
        <v>22</v>
      </c>
      <c r="B1862">
        <v>3369</v>
      </c>
      <c r="C1862" t="s">
        <v>23</v>
      </c>
      <c r="D1862" t="s">
        <v>43</v>
      </c>
      <c r="E1862" t="s">
        <v>25</v>
      </c>
      <c r="F1862" t="s">
        <v>26</v>
      </c>
      <c r="G1862" t="s">
        <v>27</v>
      </c>
      <c r="H1862" s="1">
        <v>45218.036041666666</v>
      </c>
      <c r="I1862" s="1">
        <v>45219.036041666666</v>
      </c>
      <c r="J1862" s="1">
        <v>45218.037430555552</v>
      </c>
      <c r="K1862" s="2">
        <v>45218.036569652781</v>
      </c>
      <c r="L1862" t="s">
        <v>28</v>
      </c>
      <c r="M1862" s="2">
        <v>45218.587629062502</v>
      </c>
      <c r="N1862" t="s">
        <v>28</v>
      </c>
      <c r="O1862" s="2">
        <v>45218.580585914351</v>
      </c>
      <c r="P1862">
        <v>5</v>
      </c>
      <c r="Q1862">
        <v>2</v>
      </c>
      <c r="R1862" t="s">
        <v>50</v>
      </c>
      <c r="S1862" t="s">
        <v>30</v>
      </c>
      <c r="T1862" t="s">
        <v>31</v>
      </c>
      <c r="U1862">
        <v>53.094023999999997</v>
      </c>
      <c r="V1862">
        <v>-8.0196749999999994</v>
      </c>
      <c r="W1862" t="str">
        <f t="shared" si="204"/>
        <v>ok</v>
      </c>
      <c r="X1862" t="str">
        <f t="shared" si="210"/>
        <v>ok</v>
      </c>
      <c r="Y1862" t="str">
        <f t="shared" si="205"/>
        <v>check</v>
      </c>
      <c r="Z1862" t="str">
        <f t="shared" si="206"/>
        <v>ok</v>
      </c>
      <c r="AA1862" s="4" t="str">
        <f t="shared" si="207"/>
        <v>ok</v>
      </c>
      <c r="AB1862" s="4" t="str">
        <f t="shared" si="208"/>
        <v>ok</v>
      </c>
      <c r="AC1862" s="6">
        <f t="shared" si="209"/>
        <v>13.238097500056028</v>
      </c>
    </row>
    <row r="1863" spans="1:29" x14ac:dyDescent="0.3">
      <c r="A1863" t="s">
        <v>42</v>
      </c>
      <c r="B1863">
        <v>3370</v>
      </c>
      <c r="C1863" t="s">
        <v>47</v>
      </c>
      <c r="D1863" t="s">
        <v>24</v>
      </c>
      <c r="E1863" t="s">
        <v>35</v>
      </c>
      <c r="F1863" t="s">
        <v>26</v>
      </c>
      <c r="G1863" t="s">
        <v>45</v>
      </c>
      <c r="H1863" s="1">
        <v>45218.899085648147</v>
      </c>
      <c r="I1863" s="1">
        <v>45220.899085648147</v>
      </c>
      <c r="J1863" s="1">
        <v>45218.940752314818</v>
      </c>
      <c r="K1863" s="2">
        <v>45218.915512141204</v>
      </c>
      <c r="L1863" t="s">
        <v>28</v>
      </c>
      <c r="M1863" s="2">
        <v>45219.518790023147</v>
      </c>
      <c r="N1863" t="s">
        <v>28</v>
      </c>
      <c r="P1863">
        <v>5</v>
      </c>
      <c r="R1863" t="s">
        <v>50</v>
      </c>
      <c r="S1863" t="s">
        <v>30</v>
      </c>
      <c r="T1863" t="s">
        <v>63</v>
      </c>
      <c r="U1863">
        <v>55.378051999999997</v>
      </c>
      <c r="V1863">
        <v>-3.4359730000000002</v>
      </c>
      <c r="W1863" t="str">
        <f t="shared" si="204"/>
        <v>ok</v>
      </c>
      <c r="X1863" t="str">
        <f t="shared" si="210"/>
        <v>ok</v>
      </c>
      <c r="Y1863" t="str">
        <f t="shared" si="205"/>
        <v>ok</v>
      </c>
      <c r="Z1863" t="str">
        <f t="shared" si="206"/>
        <v>ok</v>
      </c>
      <c r="AA1863" s="4" t="str">
        <f t="shared" si="207"/>
        <v>ok</v>
      </c>
      <c r="AB1863" s="4" t="str">
        <f t="shared" si="208"/>
        <v>ok</v>
      </c>
      <c r="AC1863" s="6">
        <f t="shared" si="209"/>
        <v>14.872904999996535</v>
      </c>
    </row>
    <row r="1864" spans="1:29" x14ac:dyDescent="0.3">
      <c r="A1864" t="s">
        <v>42</v>
      </c>
      <c r="B1864">
        <v>3371</v>
      </c>
      <c r="C1864" t="s">
        <v>23</v>
      </c>
      <c r="D1864" t="s">
        <v>43</v>
      </c>
      <c r="E1864" t="s">
        <v>44</v>
      </c>
      <c r="F1864" t="s">
        <v>26</v>
      </c>
      <c r="G1864" t="s">
        <v>49</v>
      </c>
      <c r="H1864" s="1">
        <v>45218.19017361111</v>
      </c>
      <c r="I1864" s="1">
        <v>45219.19017361111</v>
      </c>
      <c r="J1864" s="1">
        <v>45218.191562499997</v>
      </c>
      <c r="K1864" s="2">
        <v>45218.190224849539</v>
      </c>
      <c r="L1864" t="s">
        <v>28</v>
      </c>
      <c r="M1864" s="2">
        <v>45218.423986064816</v>
      </c>
      <c r="N1864" t="s">
        <v>28</v>
      </c>
      <c r="P1864">
        <v>9</v>
      </c>
      <c r="R1864" t="s">
        <v>50</v>
      </c>
      <c r="S1864" t="s">
        <v>30</v>
      </c>
      <c r="T1864" t="s">
        <v>31</v>
      </c>
      <c r="U1864">
        <v>53.094023999999997</v>
      </c>
      <c r="V1864">
        <v>-8.0196749999999994</v>
      </c>
      <c r="W1864" t="str">
        <f t="shared" si="204"/>
        <v>ok</v>
      </c>
      <c r="X1864" t="str">
        <f t="shared" si="210"/>
        <v>ok</v>
      </c>
      <c r="Y1864" t="str">
        <f t="shared" si="205"/>
        <v>ok</v>
      </c>
      <c r="Z1864" t="str">
        <f t="shared" si="206"/>
        <v>ok</v>
      </c>
      <c r="AA1864" s="4" t="str">
        <f t="shared" si="207"/>
        <v>ok</v>
      </c>
      <c r="AB1864" s="4" t="str">
        <f t="shared" si="208"/>
        <v>ok</v>
      </c>
      <c r="AC1864" s="6">
        <f t="shared" si="209"/>
        <v>5.6114988889312372</v>
      </c>
    </row>
    <row r="1865" spans="1:29" x14ac:dyDescent="0.3">
      <c r="A1865" t="s">
        <v>42</v>
      </c>
      <c r="B1865">
        <v>3372</v>
      </c>
      <c r="C1865" t="s">
        <v>47</v>
      </c>
      <c r="D1865" t="s">
        <v>24</v>
      </c>
      <c r="E1865" t="s">
        <v>44</v>
      </c>
      <c r="F1865" t="s">
        <v>26</v>
      </c>
      <c r="G1865" t="s">
        <v>60</v>
      </c>
      <c r="H1865" s="1">
        <v>45218.677418981482</v>
      </c>
      <c r="I1865" s="1">
        <v>45220.677418981482</v>
      </c>
      <c r="J1865" s="1">
        <v>45218.719085648147</v>
      </c>
      <c r="K1865" s="2">
        <v>45218.685824398148</v>
      </c>
      <c r="L1865" t="s">
        <v>28</v>
      </c>
      <c r="M1865" s="2">
        <v>45219.805587222225</v>
      </c>
      <c r="N1865" t="s">
        <v>28</v>
      </c>
      <c r="P1865">
        <v>10</v>
      </c>
      <c r="R1865" t="s">
        <v>50</v>
      </c>
      <c r="S1865" t="s">
        <v>30</v>
      </c>
      <c r="T1865" t="s">
        <v>63</v>
      </c>
      <c r="U1865">
        <v>55.378051999999997</v>
      </c>
      <c r="V1865">
        <v>-3.4359730000000002</v>
      </c>
      <c r="W1865" t="str">
        <f t="shared" si="204"/>
        <v>ok</v>
      </c>
      <c r="X1865" t="str">
        <f t="shared" si="210"/>
        <v>ok</v>
      </c>
      <c r="Y1865" t="str">
        <f t="shared" si="205"/>
        <v>ok</v>
      </c>
      <c r="Z1865" t="str">
        <f t="shared" si="206"/>
        <v>ok</v>
      </c>
      <c r="AA1865" s="4" t="str">
        <f t="shared" si="207"/>
        <v>ok</v>
      </c>
      <c r="AB1865" s="4" t="str">
        <f t="shared" si="208"/>
        <v>ok</v>
      </c>
      <c r="AC1865" s="6">
        <f t="shared" si="209"/>
        <v>27.076037777820602</v>
      </c>
    </row>
    <row r="1866" spans="1:29" x14ac:dyDescent="0.3">
      <c r="A1866" t="s">
        <v>32</v>
      </c>
      <c r="B1866">
        <v>3373</v>
      </c>
      <c r="C1866" t="s">
        <v>23</v>
      </c>
      <c r="D1866" t="s">
        <v>24</v>
      </c>
      <c r="E1866" t="s">
        <v>39</v>
      </c>
      <c r="F1866" t="s">
        <v>26</v>
      </c>
      <c r="G1866" t="s">
        <v>49</v>
      </c>
      <c r="H1866" s="1">
        <v>45218.581689814811</v>
      </c>
      <c r="I1866" s="1">
        <v>45220.581689814811</v>
      </c>
      <c r="J1866" s="1">
        <v>45218.623356481483</v>
      </c>
      <c r="K1866" s="2">
        <v>45218.583650381945</v>
      </c>
      <c r="L1866" t="s">
        <v>28</v>
      </c>
      <c r="N1866" t="s">
        <v>38</v>
      </c>
      <c r="P1866">
        <v>9</v>
      </c>
      <c r="R1866" t="s">
        <v>29</v>
      </c>
      <c r="S1866" t="s">
        <v>30</v>
      </c>
      <c r="T1866" t="s">
        <v>63</v>
      </c>
      <c r="U1866">
        <v>55.378051999999997</v>
      </c>
      <c r="V1866">
        <v>-3.4359730000000002</v>
      </c>
      <c r="W1866" t="str">
        <f t="shared" si="204"/>
        <v>ok</v>
      </c>
      <c r="X1866" t="str">
        <f t="shared" si="210"/>
        <v>ok</v>
      </c>
      <c r="Y1866" t="str">
        <f t="shared" si="205"/>
        <v>ok</v>
      </c>
      <c r="Z1866" t="str">
        <f t="shared" si="206"/>
        <v>ok</v>
      </c>
      <c r="AA1866" s="4" t="str">
        <f t="shared" si="207"/>
        <v>ok</v>
      </c>
      <c r="AB1866" s="4" t="str">
        <f t="shared" si="208"/>
        <v>no resolution</v>
      </c>
      <c r="AC1866" s="6" t="str">
        <f t="shared" si="209"/>
        <v/>
      </c>
    </row>
    <row r="1867" spans="1:29" x14ac:dyDescent="0.3">
      <c r="A1867" t="s">
        <v>22</v>
      </c>
      <c r="B1867">
        <v>3374</v>
      </c>
      <c r="C1867" t="s">
        <v>23</v>
      </c>
      <c r="D1867" t="s">
        <v>24</v>
      </c>
      <c r="E1867" t="s">
        <v>35</v>
      </c>
      <c r="F1867" t="s">
        <v>26</v>
      </c>
      <c r="G1867" t="s">
        <v>45</v>
      </c>
      <c r="H1867" s="1">
        <v>45218.052025462966</v>
      </c>
      <c r="I1867" s="1">
        <v>45220.052025462966</v>
      </c>
      <c r="J1867" s="1">
        <v>45218.093692129631</v>
      </c>
      <c r="K1867" s="2">
        <v>45218.074233819447</v>
      </c>
      <c r="L1867" t="s">
        <v>28</v>
      </c>
      <c r="M1867" s="2">
        <v>45220.169862523151</v>
      </c>
      <c r="N1867" t="s">
        <v>38</v>
      </c>
      <c r="O1867" s="2">
        <v>45221.184971782408</v>
      </c>
      <c r="P1867">
        <v>9</v>
      </c>
      <c r="Q1867">
        <v>4</v>
      </c>
      <c r="R1867" t="s">
        <v>39</v>
      </c>
      <c r="S1867" t="s">
        <v>30</v>
      </c>
      <c r="T1867" t="s">
        <v>57</v>
      </c>
      <c r="U1867">
        <v>51.165691000000002</v>
      </c>
      <c r="V1867">
        <v>10.451525999999999</v>
      </c>
      <c r="W1867" t="str">
        <f t="shared" si="204"/>
        <v>ok</v>
      </c>
      <c r="X1867" t="str">
        <f t="shared" si="210"/>
        <v>ok</v>
      </c>
      <c r="Y1867" t="str">
        <f t="shared" si="205"/>
        <v>ok</v>
      </c>
      <c r="Z1867" t="str">
        <f t="shared" si="206"/>
        <v>ok</v>
      </c>
      <c r="AA1867" s="4" t="str">
        <f t="shared" si="207"/>
        <v>ok</v>
      </c>
      <c r="AB1867" s="4" t="str">
        <f t="shared" si="208"/>
        <v>ok</v>
      </c>
      <c r="AC1867" s="6">
        <f t="shared" si="209"/>
        <v>50.828089444432408</v>
      </c>
    </row>
    <row r="1868" spans="1:29" x14ac:dyDescent="0.3">
      <c r="A1868" t="s">
        <v>22</v>
      </c>
      <c r="B1868">
        <v>3376</v>
      </c>
      <c r="C1868" t="s">
        <v>47</v>
      </c>
      <c r="D1868" t="s">
        <v>43</v>
      </c>
      <c r="E1868" t="s">
        <v>48</v>
      </c>
      <c r="F1868" t="s">
        <v>26</v>
      </c>
      <c r="G1868" t="s">
        <v>27</v>
      </c>
      <c r="H1868" s="1">
        <v>45218.163171296299</v>
      </c>
      <c r="I1868" s="1">
        <v>45219.163171296299</v>
      </c>
      <c r="J1868" s="1">
        <v>45218.164560185185</v>
      </c>
      <c r="K1868" s="2">
        <v>45218.16327715278</v>
      </c>
      <c r="L1868" t="s">
        <v>28</v>
      </c>
      <c r="M1868" s="2">
        <v>45219.261568819442</v>
      </c>
      <c r="N1868" t="s">
        <v>38</v>
      </c>
      <c r="O1868" s="2">
        <v>45219.528850115741</v>
      </c>
      <c r="P1868">
        <v>7</v>
      </c>
      <c r="Q1868">
        <v>2</v>
      </c>
      <c r="R1868" t="s">
        <v>29</v>
      </c>
      <c r="S1868" t="s">
        <v>30</v>
      </c>
      <c r="T1868" t="s">
        <v>46</v>
      </c>
      <c r="U1868">
        <v>47.696471899999999</v>
      </c>
      <c r="V1868">
        <v>13.3457347</v>
      </c>
      <c r="W1868" t="str">
        <f t="shared" si="204"/>
        <v>ok</v>
      </c>
      <c r="X1868" t="str">
        <f t="shared" si="210"/>
        <v>ok</v>
      </c>
      <c r="Y1868" t="str">
        <f t="shared" si="205"/>
        <v>ok</v>
      </c>
      <c r="Z1868" t="str">
        <f t="shared" si="206"/>
        <v>ok</v>
      </c>
      <c r="AA1868" s="4" t="str">
        <f t="shared" si="207"/>
        <v>ok</v>
      </c>
      <c r="AB1868" s="4" t="str">
        <f t="shared" si="208"/>
        <v>ok</v>
      </c>
      <c r="AC1868" s="6">
        <f t="shared" si="209"/>
        <v>26.361540555430111</v>
      </c>
    </row>
    <row r="1869" spans="1:29" x14ac:dyDescent="0.3">
      <c r="A1869" t="s">
        <v>42</v>
      </c>
      <c r="B1869">
        <v>3377</v>
      </c>
      <c r="C1869" t="s">
        <v>23</v>
      </c>
      <c r="D1869" t="s">
        <v>24</v>
      </c>
      <c r="E1869" t="s">
        <v>35</v>
      </c>
      <c r="F1869" t="s">
        <v>36</v>
      </c>
      <c r="G1869" t="s">
        <v>64</v>
      </c>
      <c r="H1869" s="1">
        <v>45219.579050925924</v>
      </c>
      <c r="I1869" s="1">
        <v>45221.579050925924</v>
      </c>
      <c r="J1869" s="1">
        <v>45219.620717592596</v>
      </c>
      <c r="K1869" s="2">
        <v>45219.741353726851</v>
      </c>
      <c r="L1869" t="s">
        <v>38</v>
      </c>
      <c r="M1869" s="2">
        <v>45220.510083310182</v>
      </c>
      <c r="N1869" t="s">
        <v>28</v>
      </c>
      <c r="P1869">
        <v>3</v>
      </c>
      <c r="R1869" t="s">
        <v>50</v>
      </c>
      <c r="S1869" t="s">
        <v>40</v>
      </c>
      <c r="T1869" t="s">
        <v>56</v>
      </c>
      <c r="U1869">
        <v>52.536273000000001</v>
      </c>
      <c r="V1869">
        <v>19.050639</v>
      </c>
      <c r="W1869" t="str">
        <f t="shared" si="204"/>
        <v>ok</v>
      </c>
      <c r="X1869" t="str">
        <f t="shared" si="210"/>
        <v>ok</v>
      </c>
      <c r="Y1869" t="str">
        <f t="shared" si="205"/>
        <v>ok</v>
      </c>
      <c r="Z1869" t="str">
        <f t="shared" si="206"/>
        <v>ok</v>
      </c>
      <c r="AA1869" s="4" t="str">
        <f t="shared" si="207"/>
        <v>ok</v>
      </c>
      <c r="AB1869" s="4" t="str">
        <f t="shared" si="208"/>
        <v>ok</v>
      </c>
      <c r="AC1869" s="6">
        <f t="shared" si="209"/>
        <v>22.3447772221989</v>
      </c>
    </row>
    <row r="1870" spans="1:29" x14ac:dyDescent="0.3">
      <c r="A1870" t="s">
        <v>42</v>
      </c>
      <c r="B1870">
        <v>3379</v>
      </c>
      <c r="C1870" t="s">
        <v>33</v>
      </c>
      <c r="D1870" t="s">
        <v>24</v>
      </c>
      <c r="E1870" t="s">
        <v>35</v>
      </c>
      <c r="F1870" t="s">
        <v>36</v>
      </c>
      <c r="G1870" t="s">
        <v>54</v>
      </c>
      <c r="H1870" s="1">
        <v>45219.509409722225</v>
      </c>
      <c r="I1870" s="1">
        <v>45221.509409722225</v>
      </c>
      <c r="J1870" s="1">
        <v>45219.551076388889</v>
      </c>
      <c r="K1870" s="2">
        <v>45219.536157256945</v>
      </c>
      <c r="L1870" t="s">
        <v>28</v>
      </c>
      <c r="M1870" s="2">
        <v>45220.149081226853</v>
      </c>
      <c r="N1870" t="s">
        <v>28</v>
      </c>
      <c r="P1870">
        <v>4</v>
      </c>
      <c r="R1870" t="s">
        <v>55</v>
      </c>
      <c r="S1870" t="s">
        <v>40</v>
      </c>
      <c r="T1870" t="s">
        <v>51</v>
      </c>
      <c r="U1870">
        <v>39.673369999999998</v>
      </c>
      <c r="V1870">
        <v>-4.7677259999999997</v>
      </c>
      <c r="W1870" t="str">
        <f t="shared" si="204"/>
        <v>ok</v>
      </c>
      <c r="X1870" t="str">
        <f t="shared" si="210"/>
        <v>ok</v>
      </c>
      <c r="Y1870" t="str">
        <f t="shared" si="205"/>
        <v>ok</v>
      </c>
      <c r="Z1870" t="str">
        <f t="shared" si="206"/>
        <v>ok</v>
      </c>
      <c r="AA1870" s="4" t="str">
        <f t="shared" si="207"/>
        <v>ok</v>
      </c>
      <c r="AB1870" s="4" t="str">
        <f t="shared" si="208"/>
        <v>ok</v>
      </c>
      <c r="AC1870" s="6">
        <f t="shared" si="209"/>
        <v>15.352116111083888</v>
      </c>
    </row>
    <row r="1871" spans="1:29" x14ac:dyDescent="0.3">
      <c r="A1871" t="s">
        <v>42</v>
      </c>
      <c r="B1871">
        <v>3380</v>
      </c>
      <c r="C1871" t="s">
        <v>23</v>
      </c>
      <c r="D1871" t="s">
        <v>24</v>
      </c>
      <c r="E1871" t="s">
        <v>48</v>
      </c>
      <c r="F1871" t="s">
        <v>26</v>
      </c>
      <c r="G1871" t="s">
        <v>52</v>
      </c>
      <c r="H1871" s="1">
        <v>45219.25644675926</v>
      </c>
      <c r="I1871" s="1">
        <v>45221.25644675926</v>
      </c>
      <c r="J1871" s="1">
        <v>45219.298113425924</v>
      </c>
      <c r="K1871" s="2">
        <v>45219.261068807871</v>
      </c>
      <c r="L1871" t="s">
        <v>28</v>
      </c>
      <c r="M1871" s="2">
        <v>45219.361710555553</v>
      </c>
      <c r="N1871" t="s">
        <v>28</v>
      </c>
      <c r="P1871">
        <v>3</v>
      </c>
      <c r="R1871" t="s">
        <v>29</v>
      </c>
      <c r="S1871" t="s">
        <v>30</v>
      </c>
      <c r="T1871" t="s">
        <v>56</v>
      </c>
      <c r="U1871">
        <v>52.536273000000001</v>
      </c>
      <c r="V1871">
        <v>19.050639</v>
      </c>
      <c r="W1871" t="str">
        <f t="shared" si="204"/>
        <v>ok</v>
      </c>
      <c r="X1871" t="str">
        <f t="shared" si="210"/>
        <v>ok</v>
      </c>
      <c r="Y1871" t="str">
        <f t="shared" si="205"/>
        <v>ok</v>
      </c>
      <c r="Z1871" t="str">
        <f t="shared" si="206"/>
        <v>ok</v>
      </c>
      <c r="AA1871" s="4" t="str">
        <f t="shared" si="207"/>
        <v>ok</v>
      </c>
      <c r="AB1871" s="4" t="str">
        <f t="shared" si="208"/>
        <v>ok</v>
      </c>
      <c r="AC1871" s="6">
        <f t="shared" si="209"/>
        <v>2.5263311110320501</v>
      </c>
    </row>
    <row r="1872" spans="1:29" x14ac:dyDescent="0.3">
      <c r="A1872" t="s">
        <v>32</v>
      </c>
      <c r="B1872">
        <v>3381</v>
      </c>
      <c r="C1872" t="s">
        <v>23</v>
      </c>
      <c r="D1872" t="s">
        <v>24</v>
      </c>
      <c r="E1872" t="s">
        <v>59</v>
      </c>
      <c r="F1872" t="s">
        <v>36</v>
      </c>
      <c r="G1872" t="s">
        <v>37</v>
      </c>
      <c r="H1872" s="1">
        <v>45219.490081018521</v>
      </c>
      <c r="I1872" s="1">
        <v>45221.490081018521</v>
      </c>
      <c r="J1872" s="1">
        <v>45219.531747685185</v>
      </c>
      <c r="K1872" s="2">
        <v>45219.499961527777</v>
      </c>
      <c r="L1872" t="s">
        <v>28</v>
      </c>
      <c r="N1872" t="s">
        <v>38</v>
      </c>
      <c r="P1872">
        <v>1</v>
      </c>
      <c r="R1872" t="s">
        <v>50</v>
      </c>
      <c r="S1872" t="s">
        <v>40</v>
      </c>
      <c r="T1872" t="s">
        <v>51</v>
      </c>
      <c r="U1872">
        <v>39.673369999999998</v>
      </c>
      <c r="V1872">
        <v>-4.7677259999999997</v>
      </c>
      <c r="W1872" t="str">
        <f t="shared" si="204"/>
        <v>ok</v>
      </c>
      <c r="X1872" t="str">
        <f t="shared" si="210"/>
        <v>ok</v>
      </c>
      <c r="Y1872" t="str">
        <f t="shared" si="205"/>
        <v>ok</v>
      </c>
      <c r="Z1872" t="str">
        <f t="shared" si="206"/>
        <v>ok</v>
      </c>
      <c r="AA1872" s="4" t="str">
        <f t="shared" si="207"/>
        <v>ok</v>
      </c>
      <c r="AB1872" s="4" t="str">
        <f t="shared" si="208"/>
        <v>no resolution</v>
      </c>
      <c r="AC1872" s="6" t="str">
        <f t="shared" si="209"/>
        <v/>
      </c>
    </row>
    <row r="1873" spans="1:29" x14ac:dyDescent="0.3">
      <c r="A1873" t="s">
        <v>22</v>
      </c>
      <c r="B1873">
        <v>3383</v>
      </c>
      <c r="C1873" t="s">
        <v>47</v>
      </c>
      <c r="D1873" t="s">
        <v>24</v>
      </c>
      <c r="E1873" t="s">
        <v>48</v>
      </c>
      <c r="F1873" t="s">
        <v>26</v>
      </c>
      <c r="G1873" t="s">
        <v>45</v>
      </c>
      <c r="H1873" s="1">
        <v>45219.660138888888</v>
      </c>
      <c r="I1873" s="1">
        <v>45221.660138888888</v>
      </c>
      <c r="J1873" s="1">
        <v>45219.701805555553</v>
      </c>
      <c r="K1873" s="2">
        <v>45219.664647534722</v>
      </c>
      <c r="L1873" t="s">
        <v>28</v>
      </c>
      <c r="M1873" s="2">
        <v>45219.878058564813</v>
      </c>
      <c r="N1873" t="s">
        <v>28</v>
      </c>
      <c r="O1873" s="2">
        <v>45222.011985659723</v>
      </c>
      <c r="P1873">
        <v>3</v>
      </c>
      <c r="Q1873">
        <v>3</v>
      </c>
      <c r="R1873" t="s">
        <v>29</v>
      </c>
      <c r="S1873" t="s">
        <v>30</v>
      </c>
      <c r="T1873" t="s">
        <v>63</v>
      </c>
      <c r="U1873">
        <v>55.378051999999997</v>
      </c>
      <c r="V1873">
        <v>-3.4359730000000002</v>
      </c>
      <c r="W1873" t="str">
        <f t="shared" si="204"/>
        <v>ok</v>
      </c>
      <c r="X1873" t="str">
        <f t="shared" si="210"/>
        <v>ok</v>
      </c>
      <c r="Y1873" t="str">
        <f t="shared" si="205"/>
        <v>ok</v>
      </c>
      <c r="Z1873" t="str">
        <f t="shared" si="206"/>
        <v>ok</v>
      </c>
      <c r="AA1873" s="4" t="str">
        <f t="shared" si="207"/>
        <v>ok</v>
      </c>
      <c r="AB1873" s="4" t="str">
        <f t="shared" si="208"/>
        <v>ok</v>
      </c>
      <c r="AC1873" s="6">
        <f t="shared" si="209"/>
        <v>5.2300722221843898</v>
      </c>
    </row>
    <row r="1874" spans="1:29" x14ac:dyDescent="0.3">
      <c r="A1874" t="s">
        <v>42</v>
      </c>
      <c r="B1874">
        <v>3384</v>
      </c>
      <c r="C1874" t="s">
        <v>33</v>
      </c>
      <c r="D1874" t="s">
        <v>24</v>
      </c>
      <c r="E1874" t="s">
        <v>39</v>
      </c>
      <c r="F1874" t="s">
        <v>26</v>
      </c>
      <c r="G1874" t="s">
        <v>60</v>
      </c>
      <c r="H1874" s="1">
        <v>45220.869259259256</v>
      </c>
      <c r="I1874" s="1">
        <v>45222.869259259256</v>
      </c>
      <c r="J1874" s="1">
        <v>45220.910925925928</v>
      </c>
      <c r="K1874" s="2">
        <v>45220.896951030096</v>
      </c>
      <c r="L1874" t="s">
        <v>28</v>
      </c>
      <c r="M1874" s="2">
        <v>45221.962022638887</v>
      </c>
      <c r="N1874" t="s">
        <v>28</v>
      </c>
      <c r="P1874">
        <v>8</v>
      </c>
      <c r="R1874" t="s">
        <v>29</v>
      </c>
      <c r="S1874" t="s">
        <v>30</v>
      </c>
      <c r="T1874" t="s">
        <v>63</v>
      </c>
      <c r="U1874">
        <v>55.378051999999997</v>
      </c>
      <c r="V1874">
        <v>-3.4359730000000002</v>
      </c>
      <c r="W1874" t="str">
        <f t="shared" si="204"/>
        <v>ok</v>
      </c>
      <c r="X1874" t="str">
        <f t="shared" si="210"/>
        <v>ok</v>
      </c>
      <c r="Y1874" t="str">
        <f t="shared" si="205"/>
        <v>ok</v>
      </c>
      <c r="Z1874" t="str">
        <f t="shared" si="206"/>
        <v>ok</v>
      </c>
      <c r="AA1874" s="4" t="str">
        <f t="shared" si="207"/>
        <v>ok</v>
      </c>
      <c r="AB1874" s="4" t="str">
        <f t="shared" si="208"/>
        <v>ok</v>
      </c>
      <c r="AC1874" s="6">
        <f t="shared" si="209"/>
        <v>26.22632111114217</v>
      </c>
    </row>
    <row r="1875" spans="1:29" x14ac:dyDescent="0.3">
      <c r="A1875" t="s">
        <v>22</v>
      </c>
      <c r="B1875">
        <v>3385</v>
      </c>
      <c r="C1875" t="s">
        <v>23</v>
      </c>
      <c r="D1875" t="s">
        <v>24</v>
      </c>
      <c r="E1875" t="s">
        <v>48</v>
      </c>
      <c r="F1875" t="s">
        <v>26</v>
      </c>
      <c r="G1875" t="s">
        <v>52</v>
      </c>
      <c r="H1875" s="1">
        <v>45220.174398148149</v>
      </c>
      <c r="I1875" s="1">
        <v>45222.174398148149</v>
      </c>
      <c r="J1875" s="1">
        <v>45220.216064814813</v>
      </c>
      <c r="K1875" s="2">
        <v>45220.189569745373</v>
      </c>
      <c r="L1875" t="s">
        <v>28</v>
      </c>
      <c r="M1875" s="2">
        <v>45221.772134131941</v>
      </c>
      <c r="N1875" t="s">
        <v>28</v>
      </c>
      <c r="O1875" s="2">
        <v>45227.178211041668</v>
      </c>
      <c r="P1875">
        <v>1</v>
      </c>
      <c r="Q1875">
        <v>4</v>
      </c>
      <c r="R1875" t="s">
        <v>50</v>
      </c>
      <c r="S1875" t="s">
        <v>30</v>
      </c>
      <c r="T1875" t="s">
        <v>56</v>
      </c>
      <c r="U1875">
        <v>52.536273000000001</v>
      </c>
      <c r="V1875">
        <v>19.050639</v>
      </c>
      <c r="W1875" t="str">
        <f t="shared" si="204"/>
        <v>ok</v>
      </c>
      <c r="X1875" t="str">
        <f t="shared" si="210"/>
        <v>ok</v>
      </c>
      <c r="Y1875" t="str">
        <f t="shared" si="205"/>
        <v>ok</v>
      </c>
      <c r="Z1875" t="str">
        <f t="shared" si="206"/>
        <v>ok</v>
      </c>
      <c r="AA1875" s="4" t="str">
        <f t="shared" si="207"/>
        <v>ok</v>
      </c>
      <c r="AB1875" s="4" t="str">
        <f t="shared" si="208"/>
        <v>ok</v>
      </c>
      <c r="AC1875" s="6">
        <f t="shared" si="209"/>
        <v>38.345663611020427</v>
      </c>
    </row>
    <row r="1876" spans="1:29" x14ac:dyDescent="0.3">
      <c r="A1876" t="s">
        <v>22</v>
      </c>
      <c r="B1876">
        <v>3386</v>
      </c>
      <c r="C1876" t="s">
        <v>23</v>
      </c>
      <c r="D1876" t="s">
        <v>34</v>
      </c>
      <c r="E1876" t="s">
        <v>35</v>
      </c>
      <c r="F1876" t="s">
        <v>26</v>
      </c>
      <c r="G1876" t="s">
        <v>45</v>
      </c>
      <c r="H1876" s="1">
        <v>45220.381712962961</v>
      </c>
      <c r="I1876" s="1">
        <v>45222.381712962961</v>
      </c>
      <c r="J1876" s="1">
        <v>45220.383101851854</v>
      </c>
      <c r="K1876" s="2">
        <v>45220.381934062498</v>
      </c>
      <c r="L1876" t="s">
        <v>28</v>
      </c>
      <c r="M1876" s="2">
        <v>45223.30584040509</v>
      </c>
      <c r="N1876" t="s">
        <v>38</v>
      </c>
      <c r="O1876" s="2">
        <v>45224.455060057873</v>
      </c>
      <c r="P1876">
        <v>4</v>
      </c>
      <c r="Q1876">
        <v>5</v>
      </c>
      <c r="R1876" t="s">
        <v>50</v>
      </c>
      <c r="S1876" t="s">
        <v>30</v>
      </c>
      <c r="T1876" t="s">
        <v>63</v>
      </c>
      <c r="U1876">
        <v>55.378051999999997</v>
      </c>
      <c r="V1876">
        <v>-3.4359730000000002</v>
      </c>
      <c r="W1876" t="str">
        <f t="shared" si="204"/>
        <v>ok</v>
      </c>
      <c r="X1876" t="str">
        <f t="shared" si="210"/>
        <v>ok</v>
      </c>
      <c r="Y1876" t="str">
        <f t="shared" si="205"/>
        <v>ok</v>
      </c>
      <c r="Z1876" t="str">
        <f t="shared" si="206"/>
        <v>ok</v>
      </c>
      <c r="AA1876" s="4" t="str">
        <f t="shared" si="207"/>
        <v>ok</v>
      </c>
      <c r="AB1876" s="4" t="str">
        <f t="shared" si="208"/>
        <v>ok</v>
      </c>
      <c r="AC1876" s="6">
        <f t="shared" si="209"/>
        <v>70.179058611101937</v>
      </c>
    </row>
    <row r="1877" spans="1:29" x14ac:dyDescent="0.3">
      <c r="A1877" t="s">
        <v>32</v>
      </c>
      <c r="B1877">
        <v>3398</v>
      </c>
      <c r="C1877" t="s">
        <v>47</v>
      </c>
      <c r="D1877" t="s">
        <v>43</v>
      </c>
      <c r="E1877" t="s">
        <v>35</v>
      </c>
      <c r="F1877" t="s">
        <v>36</v>
      </c>
      <c r="G1877" t="s">
        <v>64</v>
      </c>
      <c r="H1877" s="1">
        <v>45221.012997685182</v>
      </c>
      <c r="I1877" s="1">
        <v>45222.012997685182</v>
      </c>
      <c r="J1877" s="1">
        <v>45221.014386574076</v>
      </c>
      <c r="K1877" s="2">
        <v>45221.016722916669</v>
      </c>
      <c r="L1877" t="s">
        <v>38</v>
      </c>
      <c r="N1877" t="s">
        <v>38</v>
      </c>
      <c r="P1877">
        <v>5</v>
      </c>
      <c r="R1877" t="s">
        <v>55</v>
      </c>
      <c r="S1877" t="s">
        <v>40</v>
      </c>
      <c r="T1877" t="s">
        <v>51</v>
      </c>
      <c r="U1877">
        <v>39.673369999999998</v>
      </c>
      <c r="V1877">
        <v>-4.7677259999999997</v>
      </c>
      <c r="W1877" t="str">
        <f t="shared" si="204"/>
        <v>ok</v>
      </c>
      <c r="X1877" t="str">
        <f t="shared" si="210"/>
        <v>ok</v>
      </c>
      <c r="Y1877" t="str">
        <f t="shared" si="205"/>
        <v>ok</v>
      </c>
      <c r="Z1877" t="str">
        <f t="shared" si="206"/>
        <v>ok</v>
      </c>
      <c r="AA1877" s="4" t="str">
        <f t="shared" si="207"/>
        <v>ok</v>
      </c>
      <c r="AB1877" s="4" t="str">
        <f t="shared" si="208"/>
        <v>no resolution</v>
      </c>
      <c r="AC1877" s="6" t="str">
        <f t="shared" si="209"/>
        <v/>
      </c>
    </row>
    <row r="1878" spans="1:29" x14ac:dyDescent="0.3">
      <c r="A1878" t="s">
        <v>42</v>
      </c>
      <c r="B1878">
        <v>3399</v>
      </c>
      <c r="C1878" t="s">
        <v>33</v>
      </c>
      <c r="D1878" t="s">
        <v>24</v>
      </c>
      <c r="E1878" t="s">
        <v>35</v>
      </c>
      <c r="F1878" t="s">
        <v>36</v>
      </c>
      <c r="G1878" t="s">
        <v>64</v>
      </c>
      <c r="H1878" s="1">
        <v>45221.702337962961</v>
      </c>
      <c r="I1878" s="1">
        <v>45223.702337962961</v>
      </c>
      <c r="J1878" s="1">
        <v>45221.744004629632</v>
      </c>
      <c r="K1878" s="2">
        <v>45221.739935104168</v>
      </c>
      <c r="L1878" t="s">
        <v>28</v>
      </c>
      <c r="M1878" s="2">
        <v>45222.631668553244</v>
      </c>
      <c r="N1878" t="s">
        <v>28</v>
      </c>
      <c r="P1878">
        <v>7</v>
      </c>
      <c r="R1878" t="s">
        <v>50</v>
      </c>
      <c r="S1878" t="s">
        <v>40</v>
      </c>
      <c r="T1878" t="s">
        <v>41</v>
      </c>
      <c r="U1878">
        <v>43.036776000000003</v>
      </c>
      <c r="V1878">
        <v>12.678565000000001</v>
      </c>
      <c r="W1878" t="str">
        <f t="shared" si="204"/>
        <v>ok</v>
      </c>
      <c r="X1878" t="str">
        <f t="shared" si="210"/>
        <v>ok</v>
      </c>
      <c r="Y1878" t="str">
        <f t="shared" si="205"/>
        <v>ok</v>
      </c>
      <c r="Z1878" t="str">
        <f t="shared" si="206"/>
        <v>ok</v>
      </c>
      <c r="AA1878" s="4" t="str">
        <f t="shared" si="207"/>
        <v>ok</v>
      </c>
      <c r="AB1878" s="4" t="str">
        <f t="shared" si="208"/>
        <v>ok</v>
      </c>
      <c r="AC1878" s="6">
        <f t="shared" si="209"/>
        <v>22.303934166789986</v>
      </c>
    </row>
    <row r="1879" spans="1:29" x14ac:dyDescent="0.3">
      <c r="A1879" t="s">
        <v>42</v>
      </c>
      <c r="B1879">
        <v>3400</v>
      </c>
      <c r="C1879" t="s">
        <v>23</v>
      </c>
      <c r="D1879" t="s">
        <v>24</v>
      </c>
      <c r="E1879" t="s">
        <v>48</v>
      </c>
      <c r="F1879" t="s">
        <v>26</v>
      </c>
      <c r="G1879" t="s">
        <v>52</v>
      </c>
      <c r="H1879" s="1">
        <v>45221.613865740743</v>
      </c>
      <c r="I1879" s="1">
        <v>45223.613865740743</v>
      </c>
      <c r="J1879" s="1">
        <v>45221.655532407407</v>
      </c>
      <c r="K1879" s="2">
        <v>45221.643748483795</v>
      </c>
      <c r="L1879" t="s">
        <v>28</v>
      </c>
      <c r="M1879" s="2">
        <v>45223.138575567129</v>
      </c>
      <c r="N1879" t="s">
        <v>28</v>
      </c>
      <c r="P1879">
        <v>1</v>
      </c>
      <c r="R1879" t="s">
        <v>50</v>
      </c>
      <c r="S1879" t="s">
        <v>30</v>
      </c>
      <c r="T1879" t="s">
        <v>58</v>
      </c>
      <c r="U1879">
        <v>49.8037633</v>
      </c>
      <c r="V1879">
        <v>15.4749126</v>
      </c>
      <c r="W1879" t="str">
        <f t="shared" si="204"/>
        <v>ok</v>
      </c>
      <c r="X1879" t="str">
        <f t="shared" si="210"/>
        <v>ok</v>
      </c>
      <c r="Y1879" t="str">
        <f t="shared" si="205"/>
        <v>ok</v>
      </c>
      <c r="Z1879" t="str">
        <f t="shared" si="206"/>
        <v>ok</v>
      </c>
      <c r="AA1879" s="4" t="str">
        <f t="shared" si="207"/>
        <v>ok</v>
      </c>
      <c r="AB1879" s="4" t="str">
        <f t="shared" si="208"/>
        <v>ok</v>
      </c>
      <c r="AC1879" s="6">
        <f t="shared" si="209"/>
        <v>36.593035833269823</v>
      </c>
    </row>
    <row r="1880" spans="1:29" x14ac:dyDescent="0.3">
      <c r="A1880" t="s">
        <v>22</v>
      </c>
      <c r="B1880">
        <v>3401</v>
      </c>
      <c r="C1880" t="s">
        <v>47</v>
      </c>
      <c r="D1880" t="s">
        <v>43</v>
      </c>
      <c r="E1880" t="s">
        <v>25</v>
      </c>
      <c r="F1880" t="s">
        <v>26</v>
      </c>
      <c r="G1880" t="s">
        <v>27</v>
      </c>
      <c r="H1880" s="1">
        <v>45221.475266203706</v>
      </c>
      <c r="I1880" s="1">
        <v>45222.475266203706</v>
      </c>
      <c r="J1880" s="1">
        <v>45221.476655092592</v>
      </c>
      <c r="K1880" s="2">
        <v>45221.47621291667</v>
      </c>
      <c r="L1880" t="s">
        <v>28</v>
      </c>
      <c r="M1880" s="2">
        <v>45221.531393506943</v>
      </c>
      <c r="N1880" t="s">
        <v>28</v>
      </c>
      <c r="O1880" s="2">
        <v>45227.299207418982</v>
      </c>
      <c r="P1880">
        <v>6</v>
      </c>
      <c r="Q1880">
        <v>4</v>
      </c>
      <c r="R1880" t="s">
        <v>39</v>
      </c>
      <c r="S1880" t="s">
        <v>30</v>
      </c>
      <c r="T1880" t="s">
        <v>57</v>
      </c>
      <c r="U1880">
        <v>51.165691000000002</v>
      </c>
      <c r="V1880">
        <v>10.451525999999999</v>
      </c>
      <c r="W1880" t="str">
        <f t="shared" si="204"/>
        <v>ok</v>
      </c>
      <c r="X1880" t="str">
        <f t="shared" si="210"/>
        <v>ok</v>
      </c>
      <c r="Y1880" t="str">
        <f t="shared" si="205"/>
        <v>ok</v>
      </c>
      <c r="Z1880" t="str">
        <f t="shared" si="206"/>
        <v>ok</v>
      </c>
      <c r="AA1880" s="4" t="str">
        <f t="shared" si="207"/>
        <v>ok</v>
      </c>
      <c r="AB1880" s="4" t="str">
        <f t="shared" si="208"/>
        <v>ok</v>
      </c>
      <c r="AC1880" s="6">
        <f t="shared" si="209"/>
        <v>1.3470552776707336</v>
      </c>
    </row>
    <row r="1881" spans="1:29" x14ac:dyDescent="0.3">
      <c r="A1881" t="s">
        <v>22</v>
      </c>
      <c r="B1881">
        <v>3402</v>
      </c>
      <c r="C1881" t="s">
        <v>47</v>
      </c>
      <c r="D1881" t="s">
        <v>24</v>
      </c>
      <c r="E1881" t="s">
        <v>48</v>
      </c>
      <c r="F1881" t="s">
        <v>26</v>
      </c>
      <c r="G1881" t="s">
        <v>52</v>
      </c>
      <c r="H1881" s="1">
        <v>45221.105729166666</v>
      </c>
      <c r="I1881" s="1">
        <v>45223.105729166666</v>
      </c>
      <c r="J1881" s="1">
        <v>45221.14739583333</v>
      </c>
      <c r="K1881" s="2">
        <v>45221.227122534721</v>
      </c>
      <c r="L1881" t="s">
        <v>38</v>
      </c>
      <c r="M1881" s="2">
        <v>45223.399429814817</v>
      </c>
      <c r="N1881" t="s">
        <v>38</v>
      </c>
      <c r="O1881" s="2">
        <v>45225.079143530093</v>
      </c>
      <c r="P1881">
        <v>1</v>
      </c>
      <c r="Q1881">
        <v>5</v>
      </c>
      <c r="R1881" t="s">
        <v>29</v>
      </c>
      <c r="S1881" t="s">
        <v>30</v>
      </c>
      <c r="T1881" t="s">
        <v>57</v>
      </c>
      <c r="U1881">
        <v>51.165691000000002</v>
      </c>
      <c r="V1881">
        <v>10.451525999999999</v>
      </c>
      <c r="W1881" t="str">
        <f t="shared" si="204"/>
        <v>ok</v>
      </c>
      <c r="X1881" t="str">
        <f t="shared" si="210"/>
        <v>ok</v>
      </c>
      <c r="Y1881" t="str">
        <f t="shared" si="205"/>
        <v>ok</v>
      </c>
      <c r="Z1881" t="str">
        <f t="shared" si="206"/>
        <v>ok</v>
      </c>
      <c r="AA1881" s="4" t="str">
        <f t="shared" si="207"/>
        <v>ok</v>
      </c>
      <c r="AB1881" s="4" t="str">
        <f t="shared" si="208"/>
        <v>ok</v>
      </c>
      <c r="AC1881" s="6">
        <f t="shared" si="209"/>
        <v>55.048815555637702</v>
      </c>
    </row>
    <row r="1882" spans="1:29" x14ac:dyDescent="0.3">
      <c r="A1882" t="s">
        <v>22</v>
      </c>
      <c r="B1882">
        <v>3403</v>
      </c>
      <c r="C1882" t="s">
        <v>23</v>
      </c>
      <c r="D1882" t="s">
        <v>34</v>
      </c>
      <c r="E1882" t="s">
        <v>35</v>
      </c>
      <c r="F1882" t="s">
        <v>36</v>
      </c>
      <c r="G1882" t="s">
        <v>37</v>
      </c>
      <c r="H1882" s="1">
        <v>45221.366168981483</v>
      </c>
      <c r="I1882" s="1">
        <v>45223.366168981483</v>
      </c>
      <c r="J1882" s="1">
        <v>45221.36755787037</v>
      </c>
      <c r="K1882" s="2">
        <v>45221.367062395831</v>
      </c>
      <c r="L1882" t="s">
        <v>28</v>
      </c>
      <c r="M1882" s="2">
        <v>45221.42793244213</v>
      </c>
      <c r="N1882" t="s">
        <v>28</v>
      </c>
      <c r="O1882" s="2">
        <v>45225.35080255787</v>
      </c>
      <c r="P1882">
        <v>4</v>
      </c>
      <c r="Q1882">
        <v>1</v>
      </c>
      <c r="R1882" t="s">
        <v>29</v>
      </c>
      <c r="S1882" t="s">
        <v>40</v>
      </c>
      <c r="T1882" t="s">
        <v>51</v>
      </c>
      <c r="U1882">
        <v>39.673369999999998</v>
      </c>
      <c r="V1882">
        <v>-4.7677259999999997</v>
      </c>
      <c r="W1882" t="str">
        <f t="shared" si="204"/>
        <v>ok</v>
      </c>
      <c r="X1882" t="str">
        <f t="shared" si="210"/>
        <v>ok</v>
      </c>
      <c r="Y1882" t="str">
        <f t="shared" si="205"/>
        <v>ok</v>
      </c>
      <c r="Z1882" t="str">
        <f t="shared" si="206"/>
        <v>ok</v>
      </c>
      <c r="AA1882" s="4" t="str">
        <f t="shared" si="207"/>
        <v>ok</v>
      </c>
      <c r="AB1882" s="4" t="str">
        <f t="shared" si="208"/>
        <v>ok</v>
      </c>
      <c r="AC1882" s="6">
        <f t="shared" si="209"/>
        <v>1.4823230555048212</v>
      </c>
    </row>
    <row r="1883" spans="1:29" x14ac:dyDescent="0.3">
      <c r="A1883" t="s">
        <v>22</v>
      </c>
      <c r="B1883">
        <v>3404</v>
      </c>
      <c r="C1883" t="s">
        <v>23</v>
      </c>
      <c r="D1883" t="s">
        <v>43</v>
      </c>
      <c r="E1883" t="s">
        <v>59</v>
      </c>
      <c r="F1883" t="s">
        <v>26</v>
      </c>
      <c r="G1883" t="s">
        <v>49</v>
      </c>
      <c r="H1883" s="1">
        <v>45222.001226851855</v>
      </c>
      <c r="I1883" s="1">
        <v>45223.001226851855</v>
      </c>
      <c r="J1883" s="1">
        <v>45222.002615740741</v>
      </c>
      <c r="K1883" s="2">
        <v>45222.001677743057</v>
      </c>
      <c r="L1883" t="s">
        <v>28</v>
      </c>
      <c r="M1883" s="2">
        <v>45227.480878101851</v>
      </c>
      <c r="N1883" t="s">
        <v>38</v>
      </c>
      <c r="O1883" s="2">
        <v>45228.872818553238</v>
      </c>
      <c r="P1883">
        <v>4</v>
      </c>
      <c r="Q1883">
        <v>3</v>
      </c>
      <c r="R1883" t="s">
        <v>50</v>
      </c>
      <c r="S1883" t="s">
        <v>30</v>
      </c>
      <c r="T1883" t="s">
        <v>58</v>
      </c>
      <c r="U1883">
        <v>49.8037633</v>
      </c>
      <c r="V1883">
        <v>15.4749126</v>
      </c>
      <c r="W1883" t="str">
        <f t="shared" si="204"/>
        <v>ok</v>
      </c>
      <c r="X1883" t="str">
        <f t="shared" si="210"/>
        <v>ok</v>
      </c>
      <c r="Y1883" t="str">
        <f t="shared" si="205"/>
        <v>ok</v>
      </c>
      <c r="Z1883" t="str">
        <f t="shared" si="206"/>
        <v>ok</v>
      </c>
      <c r="AA1883" s="4" t="str">
        <f t="shared" si="207"/>
        <v>ok</v>
      </c>
      <c r="AB1883" s="4" t="str">
        <f t="shared" si="208"/>
        <v>ok</v>
      </c>
      <c r="AC1883" s="6">
        <f t="shared" si="209"/>
        <v>131.51162999990629</v>
      </c>
    </row>
    <row r="1884" spans="1:29" x14ac:dyDescent="0.3">
      <c r="A1884" t="s">
        <v>42</v>
      </c>
      <c r="B1884">
        <v>3405</v>
      </c>
      <c r="C1884" t="s">
        <v>23</v>
      </c>
      <c r="D1884" t="s">
        <v>24</v>
      </c>
      <c r="E1884" t="s">
        <v>59</v>
      </c>
      <c r="F1884" t="s">
        <v>26</v>
      </c>
      <c r="G1884" t="s">
        <v>52</v>
      </c>
      <c r="H1884" s="1">
        <v>45222.728171296294</v>
      </c>
      <c r="I1884" s="1">
        <v>45224.728171296294</v>
      </c>
      <c r="J1884" s="1">
        <v>45222.769837962966</v>
      </c>
      <c r="K1884" s="2">
        <v>45222.748069953705</v>
      </c>
      <c r="L1884" t="s">
        <v>28</v>
      </c>
      <c r="M1884" s="2">
        <v>45222.997503344908</v>
      </c>
      <c r="N1884" t="s">
        <v>28</v>
      </c>
      <c r="P1884">
        <v>2</v>
      </c>
      <c r="R1884" t="s">
        <v>55</v>
      </c>
      <c r="S1884" t="s">
        <v>30</v>
      </c>
      <c r="T1884" t="s">
        <v>58</v>
      </c>
      <c r="U1884">
        <v>49.8037633</v>
      </c>
      <c r="V1884">
        <v>15.4749126</v>
      </c>
      <c r="W1884" t="str">
        <f t="shared" si="204"/>
        <v>ok</v>
      </c>
      <c r="X1884" t="str">
        <f t="shared" si="210"/>
        <v>ok</v>
      </c>
      <c r="Y1884" t="str">
        <f t="shared" si="205"/>
        <v>ok</v>
      </c>
      <c r="Z1884" t="str">
        <f t="shared" si="206"/>
        <v>ok</v>
      </c>
      <c r="AA1884" s="4" t="str">
        <f t="shared" si="207"/>
        <v>ok</v>
      </c>
      <c r="AB1884" s="4" t="str">
        <f t="shared" si="208"/>
        <v>ok</v>
      </c>
      <c r="AC1884" s="6">
        <f t="shared" si="209"/>
        <v>6.4639691667398438</v>
      </c>
    </row>
    <row r="1885" spans="1:29" x14ac:dyDescent="0.3">
      <c r="A1885" t="s">
        <v>22</v>
      </c>
      <c r="B1885">
        <v>3406</v>
      </c>
      <c r="C1885" t="s">
        <v>23</v>
      </c>
      <c r="D1885" t="s">
        <v>24</v>
      </c>
      <c r="E1885" t="s">
        <v>48</v>
      </c>
      <c r="F1885" t="s">
        <v>26</v>
      </c>
      <c r="G1885" t="s">
        <v>52</v>
      </c>
      <c r="H1885" s="1">
        <v>45222.61209490741</v>
      </c>
      <c r="I1885" s="1">
        <v>45224.61209490741</v>
      </c>
      <c r="J1885" s="1">
        <v>45222.653761574074</v>
      </c>
      <c r="K1885" s="2">
        <v>45222.644171192129</v>
      </c>
      <c r="L1885" t="s">
        <v>28</v>
      </c>
      <c r="M1885" s="2">
        <v>45223.500212662038</v>
      </c>
      <c r="N1885" t="s">
        <v>28</v>
      </c>
      <c r="O1885" s="2">
        <v>45224.828816377318</v>
      </c>
      <c r="P1885">
        <v>3</v>
      </c>
      <c r="Q1885">
        <v>4</v>
      </c>
      <c r="R1885" t="s">
        <v>50</v>
      </c>
      <c r="S1885" t="s">
        <v>30</v>
      </c>
      <c r="T1885" t="s">
        <v>41</v>
      </c>
      <c r="U1885">
        <v>43.036776000000003</v>
      </c>
      <c r="V1885">
        <v>12.678565000000001</v>
      </c>
      <c r="W1885" t="str">
        <f t="shared" si="204"/>
        <v>ok</v>
      </c>
      <c r="X1885" t="str">
        <f t="shared" si="210"/>
        <v>ok</v>
      </c>
      <c r="Y1885" t="str">
        <f t="shared" si="205"/>
        <v>ok</v>
      </c>
      <c r="Z1885" t="str">
        <f t="shared" si="206"/>
        <v>ok</v>
      </c>
      <c r="AA1885" s="4" t="str">
        <f t="shared" si="207"/>
        <v>ok</v>
      </c>
      <c r="AB1885" s="4" t="str">
        <f t="shared" si="208"/>
        <v>ok</v>
      </c>
      <c r="AC1885" s="6">
        <f t="shared" si="209"/>
        <v>21.3148261110764</v>
      </c>
    </row>
    <row r="1886" spans="1:29" x14ac:dyDescent="0.3">
      <c r="A1886" t="s">
        <v>22</v>
      </c>
      <c r="B1886">
        <v>3407</v>
      </c>
      <c r="C1886" t="s">
        <v>47</v>
      </c>
      <c r="D1886" t="s">
        <v>24</v>
      </c>
      <c r="E1886" t="s">
        <v>25</v>
      </c>
      <c r="F1886" t="s">
        <v>26</v>
      </c>
      <c r="G1886" t="s">
        <v>60</v>
      </c>
      <c r="H1886" s="1">
        <v>45222.168993055559</v>
      </c>
      <c r="I1886" s="1">
        <v>45224.168993055559</v>
      </c>
      <c r="J1886" s="1">
        <v>45222.210659722223</v>
      </c>
      <c r="K1886" s="2">
        <v>45222.177705682872</v>
      </c>
      <c r="L1886" t="s">
        <v>28</v>
      </c>
      <c r="M1886" s="2">
        <v>45223.458145902776</v>
      </c>
      <c r="N1886" t="s">
        <v>28</v>
      </c>
      <c r="O1886" s="2">
        <v>45227.22388114583</v>
      </c>
      <c r="P1886">
        <v>7</v>
      </c>
      <c r="Q1886">
        <v>5</v>
      </c>
      <c r="R1886" t="s">
        <v>29</v>
      </c>
      <c r="S1886" t="s">
        <v>30</v>
      </c>
      <c r="T1886" t="s">
        <v>51</v>
      </c>
      <c r="U1886">
        <v>39.673369999999998</v>
      </c>
      <c r="V1886">
        <v>-4.7677259999999997</v>
      </c>
      <c r="W1886" t="str">
        <f t="shared" si="204"/>
        <v>ok</v>
      </c>
      <c r="X1886" t="str">
        <f t="shared" si="210"/>
        <v>ok</v>
      </c>
      <c r="Y1886" t="str">
        <f t="shared" si="205"/>
        <v>ok</v>
      </c>
      <c r="Z1886" t="str">
        <f t="shared" si="206"/>
        <v>ok</v>
      </c>
      <c r="AA1886" s="4" t="str">
        <f t="shared" si="207"/>
        <v>ok</v>
      </c>
      <c r="AB1886" s="4" t="str">
        <f t="shared" si="208"/>
        <v>ok</v>
      </c>
      <c r="AC1886" s="6">
        <f t="shared" si="209"/>
        <v>30.939668333216105</v>
      </c>
    </row>
    <row r="1887" spans="1:29" x14ac:dyDescent="0.3">
      <c r="A1887" t="s">
        <v>42</v>
      </c>
      <c r="B1887">
        <v>3408</v>
      </c>
      <c r="C1887" t="s">
        <v>47</v>
      </c>
      <c r="D1887" t="s">
        <v>24</v>
      </c>
      <c r="E1887" t="s">
        <v>48</v>
      </c>
      <c r="F1887" t="s">
        <v>26</v>
      </c>
      <c r="G1887" t="s">
        <v>27</v>
      </c>
      <c r="H1887" s="1">
        <v>45223.038518518515</v>
      </c>
      <c r="I1887" s="1">
        <v>45225.038518518515</v>
      </c>
      <c r="J1887" s="1">
        <v>45223.080185185187</v>
      </c>
      <c r="K1887" s="2">
        <v>45223.065826631944</v>
      </c>
      <c r="L1887" t="s">
        <v>28</v>
      </c>
      <c r="M1887" s="2">
        <v>45224.590351180559</v>
      </c>
      <c r="N1887" t="s">
        <v>28</v>
      </c>
      <c r="P1887">
        <v>8</v>
      </c>
      <c r="R1887" t="s">
        <v>39</v>
      </c>
      <c r="S1887" t="s">
        <v>30</v>
      </c>
      <c r="T1887" t="s">
        <v>57</v>
      </c>
      <c r="U1887">
        <v>51.165691000000002</v>
      </c>
      <c r="V1887">
        <v>10.451525999999999</v>
      </c>
      <c r="W1887" t="str">
        <f t="shared" si="204"/>
        <v>ok</v>
      </c>
      <c r="X1887" t="str">
        <f t="shared" si="210"/>
        <v>ok</v>
      </c>
      <c r="Y1887" t="str">
        <f t="shared" si="205"/>
        <v>ok</v>
      </c>
      <c r="Z1887" t="str">
        <f t="shared" si="206"/>
        <v>ok</v>
      </c>
      <c r="AA1887" s="4" t="str">
        <f t="shared" si="207"/>
        <v>ok</v>
      </c>
      <c r="AB1887" s="4" t="str">
        <f t="shared" si="208"/>
        <v>ok</v>
      </c>
      <c r="AC1887" s="6">
        <f t="shared" si="209"/>
        <v>37.243983889056835</v>
      </c>
    </row>
    <row r="1888" spans="1:29" x14ac:dyDescent="0.3">
      <c r="A1888" t="s">
        <v>22</v>
      </c>
      <c r="B1888">
        <v>3409</v>
      </c>
      <c r="C1888" t="s">
        <v>47</v>
      </c>
      <c r="D1888" t="s">
        <v>24</v>
      </c>
      <c r="E1888" t="s">
        <v>59</v>
      </c>
      <c r="F1888" t="s">
        <v>26</v>
      </c>
      <c r="G1888" t="s">
        <v>27</v>
      </c>
      <c r="H1888" s="1">
        <v>45223.706828703704</v>
      </c>
      <c r="I1888" s="1">
        <v>45225.706828703704</v>
      </c>
      <c r="J1888" s="1">
        <v>45223.748495370368</v>
      </c>
      <c r="K1888" s="2">
        <v>45223.730062106479</v>
      </c>
      <c r="L1888" t="s">
        <v>28</v>
      </c>
      <c r="M1888" s="2">
        <v>45227.986677893517</v>
      </c>
      <c r="N1888" t="s">
        <v>38</v>
      </c>
      <c r="O1888" s="2">
        <v>45229.044139375001</v>
      </c>
      <c r="P1888">
        <v>5</v>
      </c>
      <c r="Q1888">
        <v>2</v>
      </c>
      <c r="R1888" t="s">
        <v>50</v>
      </c>
      <c r="S1888" t="s">
        <v>30</v>
      </c>
      <c r="T1888" t="s">
        <v>57</v>
      </c>
      <c r="U1888">
        <v>51.165691000000002</v>
      </c>
      <c r="V1888">
        <v>10.451525999999999</v>
      </c>
      <c r="W1888" t="str">
        <f t="shared" si="204"/>
        <v>ok</v>
      </c>
      <c r="X1888" t="str">
        <f t="shared" si="210"/>
        <v>ok</v>
      </c>
      <c r="Y1888" t="str">
        <f t="shared" si="205"/>
        <v>ok</v>
      </c>
      <c r="Z1888" t="str">
        <f t="shared" si="206"/>
        <v>ok</v>
      </c>
      <c r="AA1888" s="4" t="str">
        <f t="shared" si="207"/>
        <v>ok</v>
      </c>
      <c r="AB1888" s="4" t="str">
        <f t="shared" si="208"/>
        <v>ok</v>
      </c>
      <c r="AC1888" s="6">
        <f t="shared" si="209"/>
        <v>102.71638055553194</v>
      </c>
    </row>
    <row r="1889" spans="1:29" x14ac:dyDescent="0.3">
      <c r="A1889" t="s">
        <v>22</v>
      </c>
      <c r="B1889">
        <v>3410</v>
      </c>
      <c r="C1889" t="s">
        <v>47</v>
      </c>
      <c r="D1889" t="s">
        <v>43</v>
      </c>
      <c r="E1889" t="s">
        <v>25</v>
      </c>
      <c r="F1889" t="s">
        <v>26</v>
      </c>
      <c r="G1889" t="s">
        <v>60</v>
      </c>
      <c r="H1889" s="1">
        <v>45223.247337962966</v>
      </c>
      <c r="I1889" s="1">
        <v>45224.247337962966</v>
      </c>
      <c r="J1889" s="1">
        <v>45223.248726851853</v>
      </c>
      <c r="K1889" s="2">
        <v>45223.248611574076</v>
      </c>
      <c r="L1889" t="s">
        <v>28</v>
      </c>
      <c r="M1889" s="2">
        <v>45229.066488773147</v>
      </c>
      <c r="N1889" t="s">
        <v>38</v>
      </c>
      <c r="O1889" s="2">
        <v>45229.627455393522</v>
      </c>
      <c r="P1889">
        <v>6</v>
      </c>
      <c r="Q1889">
        <v>3</v>
      </c>
      <c r="R1889" t="s">
        <v>29</v>
      </c>
      <c r="S1889" t="s">
        <v>30</v>
      </c>
      <c r="T1889" t="s">
        <v>53</v>
      </c>
      <c r="U1889">
        <v>39.368279000000001</v>
      </c>
      <c r="V1889">
        <v>21.863140999999999</v>
      </c>
      <c r="W1889" t="str">
        <f t="shared" si="204"/>
        <v>ok</v>
      </c>
      <c r="X1889" t="str">
        <f t="shared" si="210"/>
        <v>ok</v>
      </c>
      <c r="Y1889" t="str">
        <f t="shared" si="205"/>
        <v>ok</v>
      </c>
      <c r="Z1889" t="str">
        <f t="shared" si="206"/>
        <v>ok</v>
      </c>
      <c r="AA1889" s="4" t="str">
        <f t="shared" si="207"/>
        <v>ok</v>
      </c>
      <c r="AB1889" s="4" t="str">
        <f t="shared" si="208"/>
        <v>ok</v>
      </c>
      <c r="AC1889" s="6">
        <f t="shared" si="209"/>
        <v>139.65961944434093</v>
      </c>
    </row>
    <row r="1890" spans="1:29" x14ac:dyDescent="0.3">
      <c r="A1890" t="s">
        <v>22</v>
      </c>
      <c r="B1890">
        <v>3411</v>
      </c>
      <c r="C1890" t="s">
        <v>23</v>
      </c>
      <c r="D1890" t="s">
        <v>43</v>
      </c>
      <c r="E1890" t="s">
        <v>44</v>
      </c>
      <c r="F1890" t="s">
        <v>36</v>
      </c>
      <c r="G1890" t="s">
        <v>64</v>
      </c>
      <c r="H1890" s="1">
        <v>45223.398564814815</v>
      </c>
      <c r="I1890" s="1">
        <v>45224.398564814815</v>
      </c>
      <c r="J1890" s="1">
        <v>45223.399953703702</v>
      </c>
      <c r="K1890" s="2">
        <v>45223.399510451389</v>
      </c>
      <c r="L1890" t="s">
        <v>28</v>
      </c>
      <c r="M1890" s="2">
        <v>45223.61559778935</v>
      </c>
      <c r="N1890" t="s">
        <v>28</v>
      </c>
      <c r="O1890" s="2">
        <v>45226.982859826392</v>
      </c>
      <c r="P1890">
        <v>5</v>
      </c>
      <c r="Q1890">
        <v>4</v>
      </c>
      <c r="R1890" t="s">
        <v>29</v>
      </c>
      <c r="S1890" t="s">
        <v>40</v>
      </c>
      <c r="T1890" t="s">
        <v>41</v>
      </c>
      <c r="U1890">
        <v>43.036776000000003</v>
      </c>
      <c r="V1890">
        <v>12.678565000000001</v>
      </c>
      <c r="W1890" t="str">
        <f t="shared" si="204"/>
        <v>ok</v>
      </c>
      <c r="X1890" t="str">
        <f t="shared" si="210"/>
        <v>ok</v>
      </c>
      <c r="Y1890" t="str">
        <f t="shared" si="205"/>
        <v>ok</v>
      </c>
      <c r="Z1890" t="str">
        <f t="shared" si="206"/>
        <v>ok</v>
      </c>
      <c r="AA1890" s="4" t="str">
        <f t="shared" si="207"/>
        <v>ok</v>
      </c>
      <c r="AB1890" s="4" t="str">
        <f t="shared" si="208"/>
        <v>ok</v>
      </c>
      <c r="AC1890" s="6">
        <f t="shared" si="209"/>
        <v>5.2087913888390176</v>
      </c>
    </row>
    <row r="1891" spans="1:29" x14ac:dyDescent="0.3">
      <c r="A1891" t="s">
        <v>22</v>
      </c>
      <c r="B1891">
        <v>3412</v>
      </c>
      <c r="C1891" t="s">
        <v>33</v>
      </c>
      <c r="D1891" t="s">
        <v>24</v>
      </c>
      <c r="E1891" t="s">
        <v>35</v>
      </c>
      <c r="F1891" t="s">
        <v>36</v>
      </c>
      <c r="G1891" t="s">
        <v>37</v>
      </c>
      <c r="H1891" s="1">
        <v>45223.834479166668</v>
      </c>
      <c r="I1891" s="1">
        <v>45225.834479166668</v>
      </c>
      <c r="J1891" s="1">
        <v>45223.876145833332</v>
      </c>
      <c r="K1891" s="2">
        <v>45223.855909386577</v>
      </c>
      <c r="L1891" t="s">
        <v>28</v>
      </c>
      <c r="M1891" s="2">
        <v>45225.736503101849</v>
      </c>
      <c r="N1891" t="s">
        <v>28</v>
      </c>
      <c r="O1891" s="2">
        <v>45225.05423898148</v>
      </c>
      <c r="P1891">
        <v>5</v>
      </c>
      <c r="Q1891">
        <v>5</v>
      </c>
      <c r="R1891" t="s">
        <v>50</v>
      </c>
      <c r="S1891" t="s">
        <v>40</v>
      </c>
      <c r="T1891" t="s">
        <v>63</v>
      </c>
      <c r="U1891">
        <v>55.378051999999997</v>
      </c>
      <c r="V1891">
        <v>-3.4359730000000002</v>
      </c>
      <c r="W1891" t="str">
        <f t="shared" si="204"/>
        <v>ok</v>
      </c>
      <c r="X1891" t="str">
        <f t="shared" si="210"/>
        <v>ok</v>
      </c>
      <c r="Y1891" t="str">
        <f t="shared" si="205"/>
        <v>check</v>
      </c>
      <c r="Z1891" t="str">
        <f t="shared" si="206"/>
        <v>ok</v>
      </c>
      <c r="AA1891" s="4" t="str">
        <f t="shared" si="207"/>
        <v>ok</v>
      </c>
      <c r="AB1891" s="4" t="str">
        <f t="shared" si="208"/>
        <v>ok</v>
      </c>
      <c r="AC1891" s="6">
        <f t="shared" si="209"/>
        <v>45.648574444348924</v>
      </c>
    </row>
    <row r="1892" spans="1:29" x14ac:dyDescent="0.3">
      <c r="A1892" t="s">
        <v>42</v>
      </c>
      <c r="B1892">
        <v>3413</v>
      </c>
      <c r="C1892" t="s">
        <v>47</v>
      </c>
      <c r="D1892" t="s">
        <v>24</v>
      </c>
      <c r="E1892" t="s">
        <v>25</v>
      </c>
      <c r="F1892" t="s">
        <v>26</v>
      </c>
      <c r="G1892" t="s">
        <v>52</v>
      </c>
      <c r="H1892" s="1">
        <v>45223.996504629627</v>
      </c>
      <c r="I1892" s="1">
        <v>45225.996504629627</v>
      </c>
      <c r="J1892" s="1">
        <v>45224.038171296299</v>
      </c>
      <c r="K1892" s="2">
        <v>45223.997243101854</v>
      </c>
      <c r="L1892" t="s">
        <v>28</v>
      </c>
      <c r="M1892" s="2">
        <v>45225.117967789352</v>
      </c>
      <c r="N1892" t="s">
        <v>28</v>
      </c>
      <c r="P1892">
        <v>1</v>
      </c>
      <c r="R1892" t="s">
        <v>39</v>
      </c>
      <c r="S1892" t="s">
        <v>30</v>
      </c>
      <c r="T1892" t="s">
        <v>57</v>
      </c>
      <c r="U1892">
        <v>51.165691000000002</v>
      </c>
      <c r="V1892">
        <v>10.451525999999999</v>
      </c>
      <c r="W1892" t="str">
        <f t="shared" si="204"/>
        <v>ok</v>
      </c>
      <c r="X1892" t="str">
        <f t="shared" si="210"/>
        <v>ok</v>
      </c>
      <c r="Y1892" t="str">
        <f t="shared" si="205"/>
        <v>ok</v>
      </c>
      <c r="Z1892" t="str">
        <f t="shared" si="206"/>
        <v>ok</v>
      </c>
      <c r="AA1892" s="4" t="str">
        <f t="shared" si="207"/>
        <v>ok</v>
      </c>
      <c r="AB1892" s="4" t="str">
        <f t="shared" si="208"/>
        <v>ok</v>
      </c>
      <c r="AC1892" s="6">
        <f t="shared" si="209"/>
        <v>26.915115833398886</v>
      </c>
    </row>
    <row r="1893" spans="1:29" x14ac:dyDescent="0.3">
      <c r="A1893" t="s">
        <v>22</v>
      </c>
      <c r="B1893">
        <v>3414</v>
      </c>
      <c r="C1893" t="s">
        <v>47</v>
      </c>
      <c r="D1893" t="s">
        <v>43</v>
      </c>
      <c r="E1893" t="s">
        <v>35</v>
      </c>
      <c r="F1893" t="s">
        <v>26</v>
      </c>
      <c r="G1893" t="s">
        <v>45</v>
      </c>
      <c r="H1893" s="1">
        <v>45223.496249999997</v>
      </c>
      <c r="I1893" s="1">
        <v>45224.496249999997</v>
      </c>
      <c r="J1893" s="1">
        <v>45223.49763888889</v>
      </c>
      <c r="K1893" s="2">
        <v>45223.49762008102</v>
      </c>
      <c r="L1893" t="s">
        <v>28</v>
      </c>
      <c r="M1893" s="2">
        <v>45223.814575138887</v>
      </c>
      <c r="N1893" t="s">
        <v>28</v>
      </c>
      <c r="O1893" s="2">
        <v>45228.491883483795</v>
      </c>
      <c r="P1893">
        <v>6</v>
      </c>
      <c r="Q1893">
        <v>3</v>
      </c>
      <c r="R1893" t="s">
        <v>39</v>
      </c>
      <c r="S1893" t="s">
        <v>30</v>
      </c>
      <c r="T1893" t="s">
        <v>61</v>
      </c>
      <c r="U1893">
        <v>42.724992499999999</v>
      </c>
      <c r="V1893">
        <v>25.483303899999999</v>
      </c>
      <c r="W1893" t="str">
        <f t="shared" si="204"/>
        <v>ok</v>
      </c>
      <c r="X1893" t="str">
        <f t="shared" si="210"/>
        <v>ok</v>
      </c>
      <c r="Y1893" t="str">
        <f t="shared" si="205"/>
        <v>ok</v>
      </c>
      <c r="Z1893" t="str">
        <f t="shared" si="206"/>
        <v>ok</v>
      </c>
      <c r="AA1893" s="4" t="str">
        <f t="shared" si="207"/>
        <v>ok</v>
      </c>
      <c r="AB1893" s="4" t="str">
        <f t="shared" si="208"/>
        <v>ok</v>
      </c>
      <c r="AC1893" s="6">
        <f t="shared" si="209"/>
        <v>7.6398033333825879</v>
      </c>
    </row>
    <row r="1894" spans="1:29" x14ac:dyDescent="0.3">
      <c r="A1894" t="s">
        <v>22</v>
      </c>
      <c r="B1894">
        <v>3415</v>
      </c>
      <c r="C1894" t="s">
        <v>47</v>
      </c>
      <c r="D1894" t="s">
        <v>24</v>
      </c>
      <c r="E1894" t="s">
        <v>48</v>
      </c>
      <c r="F1894" t="s">
        <v>36</v>
      </c>
      <c r="G1894" t="s">
        <v>37</v>
      </c>
      <c r="H1894" s="1">
        <v>45224.964085648149</v>
      </c>
      <c r="I1894" s="1">
        <v>45226.964085648149</v>
      </c>
      <c r="J1894" s="1">
        <v>45225.005752314813</v>
      </c>
      <c r="K1894" s="2">
        <v>45224.964954479168</v>
      </c>
      <c r="L1894" t="s">
        <v>28</v>
      </c>
      <c r="M1894" s="2">
        <v>45226.725446655095</v>
      </c>
      <c r="N1894" t="s">
        <v>28</v>
      </c>
      <c r="O1894" s="2">
        <v>45226.861472534722</v>
      </c>
      <c r="P1894">
        <v>8</v>
      </c>
      <c r="Q1894">
        <v>4</v>
      </c>
      <c r="R1894" t="s">
        <v>29</v>
      </c>
      <c r="S1894" t="s">
        <v>40</v>
      </c>
      <c r="T1894" t="s">
        <v>41</v>
      </c>
      <c r="U1894">
        <v>43.036776000000003</v>
      </c>
      <c r="V1894">
        <v>12.678565000000001</v>
      </c>
      <c r="W1894" t="str">
        <f t="shared" si="204"/>
        <v>ok</v>
      </c>
      <c r="X1894" t="str">
        <f t="shared" si="210"/>
        <v>ok</v>
      </c>
      <c r="Y1894" t="str">
        <f t="shared" si="205"/>
        <v>ok</v>
      </c>
      <c r="Z1894" t="str">
        <f t="shared" si="206"/>
        <v>ok</v>
      </c>
      <c r="AA1894" s="4" t="str">
        <f t="shared" si="207"/>
        <v>ok</v>
      </c>
      <c r="AB1894" s="4" t="str">
        <f t="shared" si="208"/>
        <v>ok</v>
      </c>
      <c r="AC1894" s="6">
        <f t="shared" si="209"/>
        <v>42.272664166695904</v>
      </c>
    </row>
    <row r="1895" spans="1:29" x14ac:dyDescent="0.3">
      <c r="A1895" t="s">
        <v>42</v>
      </c>
      <c r="B1895">
        <v>3416</v>
      </c>
      <c r="C1895" t="s">
        <v>23</v>
      </c>
      <c r="D1895" t="s">
        <v>43</v>
      </c>
      <c r="E1895" t="s">
        <v>35</v>
      </c>
      <c r="F1895" t="s">
        <v>26</v>
      </c>
      <c r="G1895" t="s">
        <v>49</v>
      </c>
      <c r="H1895" s="1">
        <v>45224.391944444447</v>
      </c>
      <c r="I1895" s="1">
        <v>45225.391944444447</v>
      </c>
      <c r="J1895" s="1">
        <v>45224.393333333333</v>
      </c>
      <c r="K1895" s="2">
        <v>45224.392135162037</v>
      </c>
      <c r="L1895" t="s">
        <v>28</v>
      </c>
      <c r="M1895" s="2">
        <v>45225.870808136577</v>
      </c>
      <c r="N1895" t="s">
        <v>38</v>
      </c>
      <c r="P1895">
        <v>2</v>
      </c>
      <c r="R1895" t="s">
        <v>55</v>
      </c>
      <c r="S1895" t="s">
        <v>30</v>
      </c>
      <c r="T1895" t="s">
        <v>56</v>
      </c>
      <c r="U1895">
        <v>52.536273000000001</v>
      </c>
      <c r="V1895">
        <v>19.050639</v>
      </c>
      <c r="W1895" t="str">
        <f t="shared" si="204"/>
        <v>ok</v>
      </c>
      <c r="X1895" t="str">
        <f t="shared" si="210"/>
        <v>ok</v>
      </c>
      <c r="Y1895" t="str">
        <f t="shared" si="205"/>
        <v>ok</v>
      </c>
      <c r="Z1895" t="str">
        <f t="shared" si="206"/>
        <v>ok</v>
      </c>
      <c r="AA1895" s="4" t="str">
        <f t="shared" si="207"/>
        <v>ok</v>
      </c>
      <c r="AB1895" s="4" t="str">
        <f t="shared" si="208"/>
        <v>ok</v>
      </c>
      <c r="AC1895" s="6">
        <f t="shared" si="209"/>
        <v>35.492728611105122</v>
      </c>
    </row>
    <row r="1896" spans="1:29" x14ac:dyDescent="0.3">
      <c r="A1896" t="s">
        <v>22</v>
      </c>
      <c r="B1896">
        <v>3417</v>
      </c>
      <c r="C1896" t="s">
        <v>47</v>
      </c>
      <c r="D1896" t="s">
        <v>24</v>
      </c>
      <c r="E1896" t="s">
        <v>48</v>
      </c>
      <c r="F1896" t="s">
        <v>26</v>
      </c>
      <c r="G1896" t="s">
        <v>27</v>
      </c>
      <c r="H1896" s="1">
        <v>45224.450289351851</v>
      </c>
      <c r="I1896" s="1">
        <v>45226.450289351851</v>
      </c>
      <c r="J1896" s="1">
        <v>45224.491956018515</v>
      </c>
      <c r="K1896" s="2">
        <v>45224.479730960651</v>
      </c>
      <c r="L1896" t="s">
        <v>28</v>
      </c>
      <c r="M1896" s="2">
        <v>45224.505323865742</v>
      </c>
      <c r="N1896" t="s">
        <v>28</v>
      </c>
      <c r="O1896" s="2">
        <v>45230.511834490739</v>
      </c>
      <c r="P1896">
        <v>2</v>
      </c>
      <c r="Q1896">
        <v>1</v>
      </c>
      <c r="R1896" t="s">
        <v>50</v>
      </c>
      <c r="S1896" t="s">
        <v>30</v>
      </c>
      <c r="T1896" t="s">
        <v>65</v>
      </c>
      <c r="U1896">
        <v>46.149166399999999</v>
      </c>
      <c r="V1896">
        <v>14.9860106</v>
      </c>
      <c r="W1896" t="str">
        <f t="shared" si="204"/>
        <v>ok</v>
      </c>
      <c r="X1896" t="str">
        <f t="shared" si="210"/>
        <v>ok</v>
      </c>
      <c r="Y1896" t="str">
        <f t="shared" si="205"/>
        <v>ok</v>
      </c>
      <c r="Z1896" t="str">
        <f t="shared" si="206"/>
        <v>ok</v>
      </c>
      <c r="AA1896" s="4" t="str">
        <f t="shared" si="207"/>
        <v>ok</v>
      </c>
      <c r="AB1896" s="4" t="str">
        <f t="shared" si="208"/>
        <v>ok</v>
      </c>
      <c r="AC1896" s="6">
        <f t="shared" si="209"/>
        <v>1.3208283333806321</v>
      </c>
    </row>
    <row r="1897" spans="1:29" x14ac:dyDescent="0.3">
      <c r="A1897" t="s">
        <v>32</v>
      </c>
      <c r="B1897">
        <v>3418</v>
      </c>
      <c r="C1897" t="s">
        <v>23</v>
      </c>
      <c r="D1897" t="s">
        <v>24</v>
      </c>
      <c r="E1897" t="s">
        <v>35</v>
      </c>
      <c r="F1897" t="s">
        <v>36</v>
      </c>
      <c r="G1897" t="s">
        <v>54</v>
      </c>
      <c r="H1897" s="1">
        <v>45224.16946759259</v>
      </c>
      <c r="I1897" s="1">
        <v>45226.16946759259</v>
      </c>
      <c r="J1897" s="1">
        <v>45224.211134259262</v>
      </c>
      <c r="K1897" s="2">
        <v>45224.18105515046</v>
      </c>
      <c r="L1897" t="s">
        <v>28</v>
      </c>
      <c r="N1897" t="s">
        <v>38</v>
      </c>
      <c r="P1897">
        <v>4</v>
      </c>
      <c r="R1897" t="s">
        <v>55</v>
      </c>
      <c r="S1897" t="s">
        <v>40</v>
      </c>
      <c r="T1897" t="s">
        <v>53</v>
      </c>
      <c r="U1897">
        <v>39.368279000000001</v>
      </c>
      <c r="V1897">
        <v>21.863140999999999</v>
      </c>
      <c r="W1897" t="str">
        <f t="shared" si="204"/>
        <v>ok</v>
      </c>
      <c r="X1897" t="str">
        <f t="shared" si="210"/>
        <v>ok</v>
      </c>
      <c r="Y1897" t="str">
        <f t="shared" si="205"/>
        <v>ok</v>
      </c>
      <c r="Z1897" t="str">
        <f t="shared" si="206"/>
        <v>ok</v>
      </c>
      <c r="AA1897" s="4" t="str">
        <f t="shared" si="207"/>
        <v>ok</v>
      </c>
      <c r="AB1897" s="4" t="str">
        <f t="shared" si="208"/>
        <v>no resolution</v>
      </c>
      <c r="AC1897" s="6" t="str">
        <f t="shared" si="209"/>
        <v/>
      </c>
    </row>
    <row r="1898" spans="1:29" x14ac:dyDescent="0.3">
      <c r="A1898" t="s">
        <v>42</v>
      </c>
      <c r="B1898">
        <v>3419</v>
      </c>
      <c r="C1898" t="s">
        <v>23</v>
      </c>
      <c r="D1898" t="s">
        <v>24</v>
      </c>
      <c r="E1898" t="s">
        <v>35</v>
      </c>
      <c r="F1898" t="s">
        <v>26</v>
      </c>
      <c r="G1898" t="s">
        <v>45</v>
      </c>
      <c r="H1898" s="1">
        <v>45224.982442129629</v>
      </c>
      <c r="I1898" s="1">
        <v>45226.982442129629</v>
      </c>
      <c r="J1898" s="1">
        <v>45225.024108796293</v>
      </c>
      <c r="K1898" s="2">
        <v>45225.006418055556</v>
      </c>
      <c r="L1898" t="s">
        <v>28</v>
      </c>
      <c r="M1898" s="2">
        <v>45225.364927442133</v>
      </c>
      <c r="N1898" t="s">
        <v>28</v>
      </c>
      <c r="P1898">
        <v>6</v>
      </c>
      <c r="R1898" t="s">
        <v>29</v>
      </c>
      <c r="S1898" t="s">
        <v>30</v>
      </c>
      <c r="T1898" t="s">
        <v>63</v>
      </c>
      <c r="U1898">
        <v>55.378051999999997</v>
      </c>
      <c r="V1898">
        <v>-3.4359730000000002</v>
      </c>
      <c r="W1898" t="str">
        <f t="shared" si="204"/>
        <v>ok</v>
      </c>
      <c r="X1898" t="str">
        <f t="shared" si="210"/>
        <v>ok</v>
      </c>
      <c r="Y1898" t="str">
        <f t="shared" si="205"/>
        <v>ok</v>
      </c>
      <c r="Z1898" t="str">
        <f t="shared" si="206"/>
        <v>ok</v>
      </c>
      <c r="AA1898" s="4" t="str">
        <f t="shared" si="207"/>
        <v>ok</v>
      </c>
      <c r="AB1898" s="4" t="str">
        <f t="shared" si="208"/>
        <v>ok</v>
      </c>
      <c r="AC1898" s="6">
        <f t="shared" si="209"/>
        <v>9.1796475001028739</v>
      </c>
    </row>
    <row r="1899" spans="1:29" x14ac:dyDescent="0.3">
      <c r="A1899" t="s">
        <v>42</v>
      </c>
      <c r="B1899">
        <v>3420</v>
      </c>
      <c r="C1899" t="s">
        <v>23</v>
      </c>
      <c r="D1899" t="s">
        <v>43</v>
      </c>
      <c r="E1899" t="s">
        <v>44</v>
      </c>
      <c r="F1899" t="s">
        <v>26</v>
      </c>
      <c r="G1899" t="s">
        <v>52</v>
      </c>
      <c r="H1899" s="1">
        <v>45224.051238425927</v>
      </c>
      <c r="I1899" s="1">
        <v>45225.051238425927</v>
      </c>
      <c r="J1899" s="1">
        <v>45224.052627314813</v>
      </c>
      <c r="K1899" s="2">
        <v>45224.051561400462</v>
      </c>
      <c r="L1899" t="s">
        <v>28</v>
      </c>
      <c r="M1899" s="2">
        <v>45224.58867715278</v>
      </c>
      <c r="N1899" t="s">
        <v>28</v>
      </c>
      <c r="P1899">
        <v>4</v>
      </c>
      <c r="R1899" t="s">
        <v>55</v>
      </c>
      <c r="S1899" t="s">
        <v>30</v>
      </c>
      <c r="T1899" t="s">
        <v>65</v>
      </c>
      <c r="U1899">
        <v>46.149166399999999</v>
      </c>
      <c r="V1899">
        <v>14.9860106</v>
      </c>
      <c r="W1899" t="str">
        <f t="shared" si="204"/>
        <v>ok</v>
      </c>
      <c r="X1899" t="str">
        <f t="shared" si="210"/>
        <v>ok</v>
      </c>
      <c r="Y1899" t="str">
        <f t="shared" si="205"/>
        <v>ok</v>
      </c>
      <c r="Z1899" t="str">
        <f t="shared" si="206"/>
        <v>ok</v>
      </c>
      <c r="AA1899" s="4" t="str">
        <f t="shared" si="207"/>
        <v>ok</v>
      </c>
      <c r="AB1899" s="4" t="str">
        <f t="shared" si="208"/>
        <v>ok</v>
      </c>
      <c r="AC1899" s="6">
        <f t="shared" si="209"/>
        <v>12.898529444471933</v>
      </c>
    </row>
    <row r="1900" spans="1:29" x14ac:dyDescent="0.3">
      <c r="A1900" t="s">
        <v>22</v>
      </c>
      <c r="B1900">
        <v>3421</v>
      </c>
      <c r="C1900" t="s">
        <v>33</v>
      </c>
      <c r="D1900" t="s">
        <v>43</v>
      </c>
      <c r="E1900" t="s">
        <v>62</v>
      </c>
      <c r="F1900" t="s">
        <v>26</v>
      </c>
      <c r="G1900" t="s">
        <v>60</v>
      </c>
      <c r="H1900" s="1">
        <v>45225.405775462961</v>
      </c>
      <c r="I1900" s="1">
        <v>45226.405775462961</v>
      </c>
      <c r="J1900" s="1">
        <v>45225.407164351855</v>
      </c>
      <c r="K1900" s="2">
        <v>45225.407139641204</v>
      </c>
      <c r="L1900" t="s">
        <v>28</v>
      </c>
      <c r="M1900" s="2">
        <v>45225.422285567132</v>
      </c>
      <c r="N1900" t="s">
        <v>28</v>
      </c>
      <c r="O1900" s="2">
        <v>45231.55715552083</v>
      </c>
      <c r="P1900">
        <v>5</v>
      </c>
      <c r="Q1900">
        <v>4</v>
      </c>
      <c r="R1900" t="s">
        <v>55</v>
      </c>
      <c r="S1900" t="s">
        <v>30</v>
      </c>
      <c r="T1900" t="s">
        <v>63</v>
      </c>
      <c r="U1900">
        <v>55.378051999999997</v>
      </c>
      <c r="V1900">
        <v>-3.4359730000000002</v>
      </c>
      <c r="W1900" t="str">
        <f t="shared" si="204"/>
        <v>ok</v>
      </c>
      <c r="X1900" t="str">
        <f t="shared" si="210"/>
        <v>ok</v>
      </c>
      <c r="Y1900" t="str">
        <f t="shared" si="205"/>
        <v>ok</v>
      </c>
      <c r="Z1900" t="str">
        <f t="shared" si="206"/>
        <v>ok</v>
      </c>
      <c r="AA1900" s="4" t="str">
        <f t="shared" si="207"/>
        <v>ok</v>
      </c>
      <c r="AB1900" s="4" t="str">
        <f t="shared" si="208"/>
        <v>ok</v>
      </c>
      <c r="AC1900" s="6">
        <f t="shared" si="209"/>
        <v>0.39624250010820106</v>
      </c>
    </row>
    <row r="1901" spans="1:29" x14ac:dyDescent="0.3">
      <c r="A1901" t="s">
        <v>42</v>
      </c>
      <c r="B1901">
        <v>3422</v>
      </c>
      <c r="C1901" t="s">
        <v>23</v>
      </c>
      <c r="D1901" t="s">
        <v>43</v>
      </c>
      <c r="E1901" t="s">
        <v>59</v>
      </c>
      <c r="F1901" t="s">
        <v>36</v>
      </c>
      <c r="G1901" t="s">
        <v>37</v>
      </c>
      <c r="H1901" s="1">
        <v>45225.102789351855</v>
      </c>
      <c r="I1901" s="1">
        <v>45226.102789351855</v>
      </c>
      <c r="J1901" s="1">
        <v>45225.104178240741</v>
      </c>
      <c r="K1901" s="2">
        <v>45225.104582037035</v>
      </c>
      <c r="L1901" t="s">
        <v>38</v>
      </c>
      <c r="M1901" s="2">
        <v>45229.850682997683</v>
      </c>
      <c r="N1901" t="s">
        <v>38</v>
      </c>
      <c r="P1901">
        <v>2</v>
      </c>
      <c r="R1901" t="s">
        <v>50</v>
      </c>
      <c r="S1901" t="s">
        <v>40</v>
      </c>
      <c r="T1901" t="s">
        <v>46</v>
      </c>
      <c r="U1901">
        <v>47.696471899999999</v>
      </c>
      <c r="V1901">
        <v>13.3457347</v>
      </c>
      <c r="W1901" t="str">
        <f t="shared" si="204"/>
        <v>ok</v>
      </c>
      <c r="X1901" t="str">
        <f t="shared" si="210"/>
        <v>ok</v>
      </c>
      <c r="Y1901" t="str">
        <f t="shared" si="205"/>
        <v>ok</v>
      </c>
      <c r="Z1901" t="str">
        <f t="shared" si="206"/>
        <v>ok</v>
      </c>
      <c r="AA1901" s="4" t="str">
        <f t="shared" si="207"/>
        <v>ok</v>
      </c>
      <c r="AB1901" s="4" t="str">
        <f t="shared" si="208"/>
        <v>ok</v>
      </c>
      <c r="AC1901" s="6">
        <f t="shared" si="209"/>
        <v>113.94944749987917</v>
      </c>
    </row>
    <row r="1902" spans="1:29" x14ac:dyDescent="0.3">
      <c r="A1902" t="s">
        <v>42</v>
      </c>
      <c r="B1902">
        <v>3423</v>
      </c>
      <c r="C1902" t="s">
        <v>23</v>
      </c>
      <c r="D1902" t="s">
        <v>24</v>
      </c>
      <c r="E1902" t="s">
        <v>25</v>
      </c>
      <c r="F1902" t="s">
        <v>26</v>
      </c>
      <c r="G1902" t="s">
        <v>49</v>
      </c>
      <c r="H1902" s="1">
        <v>45225.241168981483</v>
      </c>
      <c r="I1902" s="1">
        <v>45227.241168981483</v>
      </c>
      <c r="J1902" s="1">
        <v>45225.282835648148</v>
      </c>
      <c r="K1902" s="2">
        <v>45225.270076053239</v>
      </c>
      <c r="L1902" t="s">
        <v>28</v>
      </c>
      <c r="M1902" s="2">
        <v>45227.18250023148</v>
      </c>
      <c r="N1902" t="s">
        <v>28</v>
      </c>
      <c r="P1902">
        <v>10</v>
      </c>
      <c r="R1902" t="s">
        <v>50</v>
      </c>
      <c r="S1902" t="s">
        <v>30</v>
      </c>
      <c r="T1902" t="s">
        <v>56</v>
      </c>
      <c r="U1902">
        <v>52.536273000000001</v>
      </c>
      <c r="V1902">
        <v>19.050639</v>
      </c>
      <c r="W1902" t="str">
        <f t="shared" si="204"/>
        <v>ok</v>
      </c>
      <c r="X1902" t="str">
        <f t="shared" si="210"/>
        <v>ok</v>
      </c>
      <c r="Y1902" t="str">
        <f t="shared" si="205"/>
        <v>ok</v>
      </c>
      <c r="Z1902" t="str">
        <f t="shared" si="206"/>
        <v>ok</v>
      </c>
      <c r="AA1902" s="4" t="str">
        <f t="shared" si="207"/>
        <v>ok</v>
      </c>
      <c r="AB1902" s="4" t="str">
        <f t="shared" si="208"/>
        <v>ok</v>
      </c>
      <c r="AC1902" s="6">
        <f t="shared" si="209"/>
        <v>46.591949999914505</v>
      </c>
    </row>
    <row r="1903" spans="1:29" x14ac:dyDescent="0.3">
      <c r="A1903" t="s">
        <v>22</v>
      </c>
      <c r="B1903">
        <v>3424</v>
      </c>
      <c r="C1903" t="s">
        <v>47</v>
      </c>
      <c r="D1903" t="s">
        <v>43</v>
      </c>
      <c r="E1903" t="s">
        <v>35</v>
      </c>
      <c r="F1903" t="s">
        <v>26</v>
      </c>
      <c r="G1903" t="s">
        <v>52</v>
      </c>
      <c r="H1903" s="1">
        <v>45225.069236111114</v>
      </c>
      <c r="I1903" s="1">
        <v>45226.069236111114</v>
      </c>
      <c r="J1903" s="1">
        <v>45225.070625</v>
      </c>
      <c r="K1903" s="2">
        <v>45225.069431192132</v>
      </c>
      <c r="L1903" t="s">
        <v>28</v>
      </c>
      <c r="M1903" s="2">
        <v>45225.161880300926</v>
      </c>
      <c r="N1903" t="s">
        <v>28</v>
      </c>
      <c r="O1903" s="2">
        <v>45226.60180329861</v>
      </c>
      <c r="P1903">
        <v>6</v>
      </c>
      <c r="Q1903">
        <v>4</v>
      </c>
      <c r="R1903" t="s">
        <v>50</v>
      </c>
      <c r="S1903" t="s">
        <v>30</v>
      </c>
      <c r="T1903" t="s">
        <v>46</v>
      </c>
      <c r="U1903">
        <v>47.696471899999999</v>
      </c>
      <c r="V1903">
        <v>13.3457347</v>
      </c>
      <c r="W1903" t="str">
        <f t="shared" si="204"/>
        <v>ok</v>
      </c>
      <c r="X1903" t="str">
        <f t="shared" si="210"/>
        <v>ok</v>
      </c>
      <c r="Y1903" t="str">
        <f t="shared" si="205"/>
        <v>ok</v>
      </c>
      <c r="Z1903" t="str">
        <f t="shared" si="206"/>
        <v>ok</v>
      </c>
      <c r="AA1903" s="4" t="str">
        <f t="shared" si="207"/>
        <v>ok</v>
      </c>
      <c r="AB1903" s="4" t="str">
        <f t="shared" si="208"/>
        <v>ok</v>
      </c>
      <c r="AC1903" s="6">
        <f t="shared" si="209"/>
        <v>2.2234605554840527</v>
      </c>
    </row>
    <row r="1904" spans="1:29" x14ac:dyDescent="0.3">
      <c r="A1904" t="s">
        <v>32</v>
      </c>
      <c r="B1904">
        <v>3425</v>
      </c>
      <c r="C1904" t="s">
        <v>33</v>
      </c>
      <c r="D1904" t="s">
        <v>34</v>
      </c>
      <c r="E1904" t="s">
        <v>59</v>
      </c>
      <c r="F1904" t="s">
        <v>26</v>
      </c>
      <c r="G1904" t="s">
        <v>45</v>
      </c>
      <c r="H1904" s="1">
        <v>45225.634259259263</v>
      </c>
      <c r="I1904" s="1">
        <v>45227.634259259263</v>
      </c>
      <c r="J1904" s="1">
        <v>45225.635648148149</v>
      </c>
      <c r="K1904" s="2">
        <v>45225.634633657406</v>
      </c>
      <c r="L1904" t="s">
        <v>28</v>
      </c>
      <c r="N1904" t="s">
        <v>38</v>
      </c>
      <c r="P1904">
        <v>3</v>
      </c>
      <c r="R1904" t="s">
        <v>50</v>
      </c>
      <c r="S1904" t="s">
        <v>30</v>
      </c>
      <c r="T1904" t="s">
        <v>31</v>
      </c>
      <c r="U1904">
        <v>53.094023999999997</v>
      </c>
      <c r="V1904">
        <v>-8.0196749999999994</v>
      </c>
      <c r="W1904" t="str">
        <f t="shared" si="204"/>
        <v>ok</v>
      </c>
      <c r="X1904" t="str">
        <f t="shared" si="210"/>
        <v>ok</v>
      </c>
      <c r="Y1904" t="str">
        <f t="shared" si="205"/>
        <v>ok</v>
      </c>
      <c r="Z1904" t="str">
        <f t="shared" si="206"/>
        <v>ok</v>
      </c>
      <c r="AA1904" s="4" t="str">
        <f t="shared" si="207"/>
        <v>ok</v>
      </c>
      <c r="AB1904" s="4" t="str">
        <f t="shared" si="208"/>
        <v>no resolution</v>
      </c>
      <c r="AC1904" s="6" t="str">
        <f t="shared" si="209"/>
        <v/>
      </c>
    </row>
    <row r="1905" spans="1:29" x14ac:dyDescent="0.3">
      <c r="A1905" t="s">
        <v>42</v>
      </c>
      <c r="B1905">
        <v>3426</v>
      </c>
      <c r="C1905" t="s">
        <v>47</v>
      </c>
      <c r="D1905" t="s">
        <v>24</v>
      </c>
      <c r="E1905" t="s">
        <v>59</v>
      </c>
      <c r="F1905" t="s">
        <v>26</v>
      </c>
      <c r="G1905" t="s">
        <v>27</v>
      </c>
      <c r="H1905" s="1">
        <v>45225.932233796295</v>
      </c>
      <c r="I1905" s="1">
        <v>45227.932233796295</v>
      </c>
      <c r="J1905" s="1">
        <v>45225.973900462966</v>
      </c>
      <c r="K1905" s="2">
        <v>45225.958365509257</v>
      </c>
      <c r="L1905" t="s">
        <v>28</v>
      </c>
      <c r="M1905" s="2">
        <v>45226.356767129633</v>
      </c>
      <c r="N1905" t="s">
        <v>28</v>
      </c>
      <c r="P1905">
        <v>4</v>
      </c>
      <c r="R1905" t="s">
        <v>50</v>
      </c>
      <c r="S1905" t="s">
        <v>30</v>
      </c>
      <c r="T1905" t="s">
        <v>41</v>
      </c>
      <c r="U1905">
        <v>43.036776000000003</v>
      </c>
      <c r="V1905">
        <v>12.678565000000001</v>
      </c>
      <c r="W1905" t="str">
        <f t="shared" si="204"/>
        <v>ok</v>
      </c>
      <c r="X1905" t="str">
        <f t="shared" si="210"/>
        <v>ok</v>
      </c>
      <c r="Y1905" t="str">
        <f t="shared" si="205"/>
        <v>ok</v>
      </c>
      <c r="Z1905" t="str">
        <f t="shared" si="206"/>
        <v>ok</v>
      </c>
      <c r="AA1905" s="4" t="str">
        <f t="shared" si="207"/>
        <v>ok</v>
      </c>
      <c r="AB1905" s="4" t="str">
        <f t="shared" si="208"/>
        <v>ok</v>
      </c>
      <c r="AC1905" s="6">
        <f t="shared" si="209"/>
        <v>10.188800000119954</v>
      </c>
    </row>
    <row r="1906" spans="1:29" x14ac:dyDescent="0.3">
      <c r="A1906" t="s">
        <v>22</v>
      </c>
      <c r="B1906">
        <v>3427</v>
      </c>
      <c r="C1906" t="s">
        <v>23</v>
      </c>
      <c r="D1906" t="s">
        <v>24</v>
      </c>
      <c r="E1906" t="s">
        <v>35</v>
      </c>
      <c r="F1906" t="s">
        <v>36</v>
      </c>
      <c r="G1906" t="s">
        <v>64</v>
      </c>
      <c r="H1906" s="1">
        <v>45225.681770833333</v>
      </c>
      <c r="I1906" s="1">
        <v>45227.681770833333</v>
      </c>
      <c r="J1906" s="1">
        <v>45225.723437499997</v>
      </c>
      <c r="K1906" s="2">
        <v>45225.685369074075</v>
      </c>
      <c r="L1906" t="s">
        <v>28</v>
      </c>
      <c r="M1906" s="2">
        <v>45229.670347476851</v>
      </c>
      <c r="N1906" t="s">
        <v>38</v>
      </c>
      <c r="O1906" s="2">
        <v>45230.264714756944</v>
      </c>
      <c r="P1906">
        <v>2</v>
      </c>
      <c r="Q1906">
        <v>4</v>
      </c>
      <c r="R1906" t="s">
        <v>50</v>
      </c>
      <c r="S1906" t="s">
        <v>40</v>
      </c>
      <c r="T1906" t="s">
        <v>66</v>
      </c>
      <c r="U1906">
        <v>48.864716000000001</v>
      </c>
      <c r="V1906">
        <v>2.3490139999999999</v>
      </c>
      <c r="W1906" t="str">
        <f t="shared" si="204"/>
        <v>ok</v>
      </c>
      <c r="X1906" t="str">
        <f t="shared" si="210"/>
        <v>ok</v>
      </c>
      <c r="Y1906" t="str">
        <f t="shared" si="205"/>
        <v>ok</v>
      </c>
      <c r="Z1906" t="str">
        <f t="shared" si="206"/>
        <v>ok</v>
      </c>
      <c r="AA1906" s="4" t="str">
        <f t="shared" si="207"/>
        <v>ok</v>
      </c>
      <c r="AB1906" s="4" t="str">
        <f t="shared" si="208"/>
        <v>ok</v>
      </c>
      <c r="AC1906" s="6">
        <f t="shared" si="209"/>
        <v>95.725839444436133</v>
      </c>
    </row>
    <row r="1907" spans="1:29" x14ac:dyDescent="0.3">
      <c r="A1907" t="s">
        <v>42</v>
      </c>
      <c r="B1907">
        <v>3428</v>
      </c>
      <c r="C1907" t="s">
        <v>23</v>
      </c>
      <c r="D1907" t="s">
        <v>24</v>
      </c>
      <c r="E1907" t="s">
        <v>48</v>
      </c>
      <c r="F1907" t="s">
        <v>36</v>
      </c>
      <c r="G1907" t="s">
        <v>64</v>
      </c>
      <c r="H1907" s="1">
        <v>45225.699120370373</v>
      </c>
      <c r="I1907" s="1">
        <v>45227.699120370373</v>
      </c>
      <c r="J1907" s="1">
        <v>45225.740787037037</v>
      </c>
      <c r="K1907" s="2">
        <v>45225.725045219908</v>
      </c>
      <c r="L1907" t="s">
        <v>28</v>
      </c>
      <c r="M1907" s="2">
        <v>45227.087240324072</v>
      </c>
      <c r="N1907" t="s">
        <v>28</v>
      </c>
      <c r="P1907">
        <v>1</v>
      </c>
      <c r="R1907" t="s">
        <v>29</v>
      </c>
      <c r="S1907" t="s">
        <v>40</v>
      </c>
      <c r="T1907" t="s">
        <v>66</v>
      </c>
      <c r="U1907">
        <v>48.864716000000001</v>
      </c>
      <c r="V1907">
        <v>2.3490139999999999</v>
      </c>
      <c r="W1907" t="str">
        <f t="shared" si="204"/>
        <v>ok</v>
      </c>
      <c r="X1907" t="str">
        <f t="shared" si="210"/>
        <v>ok</v>
      </c>
      <c r="Y1907" t="str">
        <f t="shared" si="205"/>
        <v>ok</v>
      </c>
      <c r="Z1907" t="str">
        <f t="shared" si="206"/>
        <v>ok</v>
      </c>
      <c r="AA1907" s="4" t="str">
        <f t="shared" si="207"/>
        <v>ok</v>
      </c>
      <c r="AB1907" s="4" t="str">
        <f t="shared" si="208"/>
        <v>ok</v>
      </c>
      <c r="AC1907" s="6">
        <f t="shared" si="209"/>
        <v>33.314878888777457</v>
      </c>
    </row>
    <row r="1908" spans="1:29" x14ac:dyDescent="0.3">
      <c r="A1908" t="s">
        <v>32</v>
      </c>
      <c r="B1908">
        <v>3429</v>
      </c>
      <c r="C1908" t="s">
        <v>33</v>
      </c>
      <c r="D1908" t="s">
        <v>24</v>
      </c>
      <c r="E1908" t="s">
        <v>25</v>
      </c>
      <c r="F1908" t="s">
        <v>26</v>
      </c>
      <c r="G1908" t="s">
        <v>27</v>
      </c>
      <c r="H1908" s="1">
        <v>45225.7890162037</v>
      </c>
      <c r="I1908" s="1">
        <v>45227.7890162037</v>
      </c>
      <c r="J1908" s="1">
        <v>45225.830682870372</v>
      </c>
      <c r="K1908" s="2">
        <v>45225.798854606481</v>
      </c>
      <c r="L1908" t="s">
        <v>28</v>
      </c>
      <c r="N1908" t="s">
        <v>38</v>
      </c>
      <c r="P1908">
        <v>2</v>
      </c>
      <c r="R1908" t="s">
        <v>50</v>
      </c>
      <c r="S1908" t="s">
        <v>30</v>
      </c>
      <c r="T1908" t="s">
        <v>56</v>
      </c>
      <c r="U1908">
        <v>52.536273000000001</v>
      </c>
      <c r="V1908">
        <v>19.050639</v>
      </c>
      <c r="W1908" t="str">
        <f t="shared" si="204"/>
        <v>ok</v>
      </c>
      <c r="X1908" t="str">
        <f t="shared" si="210"/>
        <v>ok</v>
      </c>
      <c r="Y1908" t="str">
        <f t="shared" si="205"/>
        <v>ok</v>
      </c>
      <c r="Z1908" t="str">
        <f t="shared" si="206"/>
        <v>ok</v>
      </c>
      <c r="AA1908" s="4" t="str">
        <f t="shared" si="207"/>
        <v>ok</v>
      </c>
      <c r="AB1908" s="4" t="str">
        <f t="shared" si="208"/>
        <v>no resolution</v>
      </c>
      <c r="AC1908" s="6" t="str">
        <f t="shared" si="209"/>
        <v/>
      </c>
    </row>
    <row r="1909" spans="1:29" x14ac:dyDescent="0.3">
      <c r="A1909" t="s">
        <v>22</v>
      </c>
      <c r="B1909">
        <v>3430</v>
      </c>
      <c r="C1909" t="s">
        <v>47</v>
      </c>
      <c r="D1909" t="s">
        <v>43</v>
      </c>
      <c r="E1909" t="s">
        <v>39</v>
      </c>
      <c r="F1909" t="s">
        <v>26</v>
      </c>
      <c r="G1909" t="s">
        <v>27</v>
      </c>
      <c r="H1909" s="1">
        <v>45225.953101851854</v>
      </c>
      <c r="I1909" s="1">
        <v>45226.953101851854</v>
      </c>
      <c r="J1909" s="1">
        <v>45225.95449074074</v>
      </c>
      <c r="K1909" s="2">
        <v>45225.953638437502</v>
      </c>
      <c r="L1909" t="s">
        <v>28</v>
      </c>
      <c r="M1909" s="2">
        <v>45226.702879884258</v>
      </c>
      <c r="N1909" t="s">
        <v>28</v>
      </c>
      <c r="O1909" s="2">
        <v>45230.894587881943</v>
      </c>
      <c r="P1909">
        <v>2</v>
      </c>
      <c r="Q1909">
        <v>2</v>
      </c>
      <c r="R1909" t="s">
        <v>29</v>
      </c>
      <c r="S1909" t="s">
        <v>30</v>
      </c>
      <c r="T1909" t="s">
        <v>63</v>
      </c>
      <c r="U1909">
        <v>55.378051999999997</v>
      </c>
      <c r="V1909">
        <v>-3.4359730000000002</v>
      </c>
      <c r="W1909" t="str">
        <f t="shared" si="204"/>
        <v>ok</v>
      </c>
      <c r="X1909" t="str">
        <f t="shared" si="210"/>
        <v>ok</v>
      </c>
      <c r="Y1909" t="str">
        <f t="shared" si="205"/>
        <v>ok</v>
      </c>
      <c r="Z1909" t="str">
        <f t="shared" si="206"/>
        <v>ok</v>
      </c>
      <c r="AA1909" s="4" t="str">
        <f t="shared" si="207"/>
        <v>ok</v>
      </c>
      <c r="AB1909" s="4" t="str">
        <f t="shared" si="208"/>
        <v>ok</v>
      </c>
      <c r="AC1909" s="6">
        <f t="shared" si="209"/>
        <v>17.994672777713276</v>
      </c>
    </row>
    <row r="1910" spans="1:29" x14ac:dyDescent="0.3">
      <c r="A1910" t="s">
        <v>22</v>
      </c>
      <c r="B1910">
        <v>3431</v>
      </c>
      <c r="C1910" t="s">
        <v>47</v>
      </c>
      <c r="D1910" t="s">
        <v>43</v>
      </c>
      <c r="E1910" t="s">
        <v>35</v>
      </c>
      <c r="F1910" t="s">
        <v>26</v>
      </c>
      <c r="G1910" t="s">
        <v>52</v>
      </c>
      <c r="H1910" s="1">
        <v>45226.481770833336</v>
      </c>
      <c r="I1910" s="1">
        <v>45227.481770833336</v>
      </c>
      <c r="J1910" s="1">
        <v>45226.483159722222</v>
      </c>
      <c r="K1910" s="2">
        <v>45226.482865428239</v>
      </c>
      <c r="L1910" t="s">
        <v>28</v>
      </c>
      <c r="M1910" s="2">
        <v>45227.876271053239</v>
      </c>
      <c r="N1910" t="s">
        <v>38</v>
      </c>
      <c r="O1910" s="2">
        <v>45229.343316087965</v>
      </c>
      <c r="P1910">
        <v>2</v>
      </c>
      <c r="Q1910">
        <v>4</v>
      </c>
      <c r="R1910" t="s">
        <v>50</v>
      </c>
      <c r="S1910" t="s">
        <v>30</v>
      </c>
      <c r="T1910" t="s">
        <v>56</v>
      </c>
      <c r="U1910">
        <v>52.536273000000001</v>
      </c>
      <c r="V1910">
        <v>19.050639</v>
      </c>
      <c r="W1910" t="str">
        <f t="shared" si="204"/>
        <v>ok</v>
      </c>
      <c r="X1910" t="str">
        <f t="shared" si="210"/>
        <v>ok</v>
      </c>
      <c r="Y1910" t="str">
        <f t="shared" si="205"/>
        <v>ok</v>
      </c>
      <c r="Z1910" t="str">
        <f t="shared" si="206"/>
        <v>ok</v>
      </c>
      <c r="AA1910" s="4" t="str">
        <f t="shared" si="207"/>
        <v>ok</v>
      </c>
      <c r="AB1910" s="4" t="str">
        <f t="shared" si="208"/>
        <v>ok</v>
      </c>
      <c r="AC1910" s="6">
        <f t="shared" si="209"/>
        <v>33.468005277682096</v>
      </c>
    </row>
    <row r="1911" spans="1:29" x14ac:dyDescent="0.3">
      <c r="A1911" t="s">
        <v>42</v>
      </c>
      <c r="B1911">
        <v>3432</v>
      </c>
      <c r="C1911" t="s">
        <v>23</v>
      </c>
      <c r="D1911" t="s">
        <v>24</v>
      </c>
      <c r="E1911" t="s">
        <v>25</v>
      </c>
      <c r="F1911" t="s">
        <v>26</v>
      </c>
      <c r="G1911" t="s">
        <v>45</v>
      </c>
      <c r="H1911" s="1">
        <v>45226.34878472222</v>
      </c>
      <c r="I1911" s="1">
        <v>45228.34878472222</v>
      </c>
      <c r="J1911" s="1">
        <v>45226.390451388892</v>
      </c>
      <c r="K1911" s="2">
        <v>45226.51552296296</v>
      </c>
      <c r="L1911" t="s">
        <v>38</v>
      </c>
      <c r="M1911" s="2">
        <v>45228.085033993055</v>
      </c>
      <c r="N1911" t="s">
        <v>28</v>
      </c>
      <c r="P1911">
        <v>1</v>
      </c>
      <c r="R1911" t="s">
        <v>29</v>
      </c>
      <c r="S1911" t="s">
        <v>30</v>
      </c>
      <c r="T1911" t="s">
        <v>61</v>
      </c>
      <c r="U1911">
        <v>42.724992499999999</v>
      </c>
      <c r="V1911">
        <v>25.483303899999999</v>
      </c>
      <c r="W1911" t="str">
        <f t="shared" si="204"/>
        <v>ok</v>
      </c>
      <c r="X1911" t="str">
        <f t="shared" si="210"/>
        <v>ok</v>
      </c>
      <c r="Y1911" t="str">
        <f t="shared" si="205"/>
        <v>ok</v>
      </c>
      <c r="Z1911" t="str">
        <f t="shared" si="206"/>
        <v>ok</v>
      </c>
      <c r="AA1911" s="4" t="str">
        <f t="shared" si="207"/>
        <v>ok</v>
      </c>
      <c r="AB1911" s="4" t="str">
        <f t="shared" si="208"/>
        <v>ok</v>
      </c>
      <c r="AC1911" s="6">
        <f t="shared" si="209"/>
        <v>41.669982500025071</v>
      </c>
    </row>
    <row r="1912" spans="1:29" x14ac:dyDescent="0.3">
      <c r="A1912" t="s">
        <v>42</v>
      </c>
      <c r="B1912">
        <v>3433</v>
      </c>
      <c r="C1912" t="s">
        <v>47</v>
      </c>
      <c r="D1912" t="s">
        <v>24</v>
      </c>
      <c r="E1912" t="s">
        <v>59</v>
      </c>
      <c r="F1912" t="s">
        <v>26</v>
      </c>
      <c r="G1912" t="s">
        <v>52</v>
      </c>
      <c r="H1912" s="1">
        <v>45226.423993055556</v>
      </c>
      <c r="I1912" s="1">
        <v>45228.423993055556</v>
      </c>
      <c r="J1912" s="1">
        <v>45226.46565972222</v>
      </c>
      <c r="K1912" s="2">
        <v>45226.464551874997</v>
      </c>
      <c r="L1912" t="s">
        <v>28</v>
      </c>
      <c r="M1912" s="2">
        <v>45227.799623819446</v>
      </c>
      <c r="N1912" t="s">
        <v>28</v>
      </c>
      <c r="P1912">
        <v>3</v>
      </c>
      <c r="R1912" t="s">
        <v>50</v>
      </c>
      <c r="S1912" t="s">
        <v>30</v>
      </c>
      <c r="T1912" t="s">
        <v>53</v>
      </c>
      <c r="U1912">
        <v>39.368279000000001</v>
      </c>
      <c r="V1912">
        <v>21.863140999999999</v>
      </c>
      <c r="W1912" t="str">
        <f t="shared" si="204"/>
        <v>ok</v>
      </c>
      <c r="X1912" t="str">
        <f t="shared" si="210"/>
        <v>ok</v>
      </c>
      <c r="Y1912" t="str">
        <f t="shared" si="205"/>
        <v>ok</v>
      </c>
      <c r="Z1912" t="str">
        <f t="shared" si="206"/>
        <v>ok</v>
      </c>
      <c r="AA1912" s="4" t="str">
        <f t="shared" si="207"/>
        <v>ok</v>
      </c>
      <c r="AB1912" s="4" t="str">
        <f t="shared" si="208"/>
        <v>ok</v>
      </c>
      <c r="AC1912" s="6">
        <f t="shared" si="209"/>
        <v>33.015138333372306</v>
      </c>
    </row>
    <row r="1913" spans="1:29" x14ac:dyDescent="0.3">
      <c r="A1913" t="s">
        <v>22</v>
      </c>
      <c r="B1913">
        <v>3434</v>
      </c>
      <c r="C1913" t="s">
        <v>23</v>
      </c>
      <c r="D1913" t="s">
        <v>24</v>
      </c>
      <c r="E1913" t="s">
        <v>25</v>
      </c>
      <c r="F1913" t="s">
        <v>26</v>
      </c>
      <c r="G1913" t="s">
        <v>49</v>
      </c>
      <c r="H1913" s="1">
        <v>45226.502222222225</v>
      </c>
      <c r="I1913" s="1">
        <v>45228.502222222225</v>
      </c>
      <c r="J1913" s="1">
        <v>45226.543888888889</v>
      </c>
      <c r="K1913" s="2">
        <v>45226.528577245372</v>
      </c>
      <c r="L1913" t="s">
        <v>28</v>
      </c>
      <c r="M1913" s="2">
        <v>45227.888278495368</v>
      </c>
      <c r="N1913" t="s">
        <v>28</v>
      </c>
      <c r="O1913" s="2">
        <v>45231.509935266207</v>
      </c>
      <c r="P1913">
        <v>4</v>
      </c>
      <c r="Q1913">
        <v>3</v>
      </c>
      <c r="R1913" t="s">
        <v>50</v>
      </c>
      <c r="S1913" t="s">
        <v>30</v>
      </c>
      <c r="T1913" t="s">
        <v>63</v>
      </c>
      <c r="U1913">
        <v>55.378051999999997</v>
      </c>
      <c r="V1913">
        <v>-3.4359730000000002</v>
      </c>
      <c r="W1913" t="str">
        <f t="shared" si="204"/>
        <v>ok</v>
      </c>
      <c r="X1913" t="str">
        <f t="shared" si="210"/>
        <v>ok</v>
      </c>
      <c r="Y1913" t="str">
        <f t="shared" si="205"/>
        <v>ok</v>
      </c>
      <c r="Z1913" t="str">
        <f t="shared" si="206"/>
        <v>ok</v>
      </c>
      <c r="AA1913" s="4" t="str">
        <f t="shared" si="207"/>
        <v>ok</v>
      </c>
      <c r="AB1913" s="4" t="str">
        <f t="shared" si="208"/>
        <v>ok</v>
      </c>
      <c r="AC1913" s="6">
        <f t="shared" si="209"/>
        <v>33.265350555418991</v>
      </c>
    </row>
    <row r="1914" spans="1:29" x14ac:dyDescent="0.3">
      <c r="A1914" t="s">
        <v>22</v>
      </c>
      <c r="B1914">
        <v>3435</v>
      </c>
      <c r="C1914" t="s">
        <v>23</v>
      </c>
      <c r="D1914" t="s">
        <v>24</v>
      </c>
      <c r="E1914" t="s">
        <v>25</v>
      </c>
      <c r="F1914" t="s">
        <v>36</v>
      </c>
      <c r="G1914" t="s">
        <v>54</v>
      </c>
      <c r="H1914" s="1">
        <v>45226.614525462966</v>
      </c>
      <c r="I1914" s="1">
        <v>45228.614525462966</v>
      </c>
      <c r="J1914" s="1">
        <v>45226.656192129631</v>
      </c>
      <c r="K1914" s="2">
        <v>45226.643505266205</v>
      </c>
      <c r="L1914" t="s">
        <v>28</v>
      </c>
      <c r="M1914" s="2">
        <v>45227.15040622685</v>
      </c>
      <c r="N1914" t="s">
        <v>28</v>
      </c>
      <c r="O1914" s="2">
        <v>45228.519061018516</v>
      </c>
      <c r="P1914">
        <v>3</v>
      </c>
      <c r="Q1914">
        <v>4</v>
      </c>
      <c r="R1914" t="s">
        <v>50</v>
      </c>
      <c r="S1914" t="s">
        <v>40</v>
      </c>
      <c r="T1914" t="s">
        <v>51</v>
      </c>
      <c r="U1914">
        <v>39.673369999999998</v>
      </c>
      <c r="V1914">
        <v>-4.7677259999999997</v>
      </c>
      <c r="W1914" t="str">
        <f t="shared" si="204"/>
        <v>ok</v>
      </c>
      <c r="X1914" t="str">
        <f t="shared" si="210"/>
        <v>ok</v>
      </c>
      <c r="Y1914" t="str">
        <f t="shared" si="205"/>
        <v>ok</v>
      </c>
      <c r="Z1914" t="str">
        <f t="shared" si="206"/>
        <v>ok</v>
      </c>
      <c r="AA1914" s="4" t="str">
        <f t="shared" si="207"/>
        <v>ok</v>
      </c>
      <c r="AB1914" s="4" t="str">
        <f t="shared" si="208"/>
        <v>ok</v>
      </c>
      <c r="AC1914" s="6">
        <f t="shared" si="209"/>
        <v>12.861138333217241</v>
      </c>
    </row>
    <row r="1915" spans="1:29" x14ac:dyDescent="0.3">
      <c r="A1915" t="s">
        <v>42</v>
      </c>
      <c r="B1915">
        <v>3436</v>
      </c>
      <c r="C1915" t="s">
        <v>23</v>
      </c>
      <c r="D1915" t="s">
        <v>24</v>
      </c>
      <c r="E1915" t="s">
        <v>39</v>
      </c>
      <c r="F1915" t="s">
        <v>26</v>
      </c>
      <c r="G1915" t="s">
        <v>45</v>
      </c>
      <c r="H1915" s="1">
        <v>45226.792430555557</v>
      </c>
      <c r="I1915" s="1">
        <v>45228.792430555557</v>
      </c>
      <c r="J1915" s="1">
        <v>45226.834097222221</v>
      </c>
      <c r="K1915" s="2">
        <v>45226.817710671297</v>
      </c>
      <c r="L1915" t="s">
        <v>28</v>
      </c>
      <c r="M1915" s="2">
        <v>45230.200038506948</v>
      </c>
      <c r="N1915" t="s">
        <v>38</v>
      </c>
      <c r="P1915">
        <v>1</v>
      </c>
      <c r="R1915" t="s">
        <v>29</v>
      </c>
      <c r="S1915" t="s">
        <v>30</v>
      </c>
      <c r="T1915" t="s">
        <v>63</v>
      </c>
      <c r="U1915">
        <v>55.378051999999997</v>
      </c>
      <c r="V1915">
        <v>-3.4359730000000002</v>
      </c>
      <c r="W1915" t="str">
        <f t="shared" si="204"/>
        <v>ok</v>
      </c>
      <c r="X1915" t="str">
        <f t="shared" si="210"/>
        <v>ok</v>
      </c>
      <c r="Y1915" t="str">
        <f t="shared" si="205"/>
        <v>ok</v>
      </c>
      <c r="Z1915" t="str">
        <f t="shared" si="206"/>
        <v>ok</v>
      </c>
      <c r="AA1915" s="4" t="str">
        <f t="shared" si="207"/>
        <v>ok</v>
      </c>
      <c r="AB1915" s="4" t="str">
        <f t="shared" si="208"/>
        <v>ok</v>
      </c>
      <c r="AC1915" s="6">
        <f t="shared" si="209"/>
        <v>81.782590833376162</v>
      </c>
    </row>
    <row r="1916" spans="1:29" x14ac:dyDescent="0.3">
      <c r="A1916" t="s">
        <v>22</v>
      </c>
      <c r="B1916">
        <v>3437</v>
      </c>
      <c r="C1916" t="s">
        <v>47</v>
      </c>
      <c r="D1916" t="s">
        <v>43</v>
      </c>
      <c r="E1916" t="s">
        <v>35</v>
      </c>
      <c r="F1916" t="s">
        <v>36</v>
      </c>
      <c r="G1916" t="s">
        <v>54</v>
      </c>
      <c r="H1916" s="1">
        <v>45226.438773148147</v>
      </c>
      <c r="I1916" s="1">
        <v>45227.438773148147</v>
      </c>
      <c r="J1916" s="1">
        <v>45226.440162037034</v>
      </c>
      <c r="K1916" s="2">
        <v>45226.439764120369</v>
      </c>
      <c r="L1916" t="s">
        <v>28</v>
      </c>
      <c r="M1916" s="2">
        <v>45227.329574444448</v>
      </c>
      <c r="N1916" t="s">
        <v>28</v>
      </c>
      <c r="O1916" s="2">
        <v>45227.777881782407</v>
      </c>
      <c r="P1916">
        <v>6</v>
      </c>
      <c r="Q1916">
        <v>4</v>
      </c>
      <c r="R1916" t="s">
        <v>39</v>
      </c>
      <c r="S1916" t="s">
        <v>40</v>
      </c>
      <c r="T1916" t="s">
        <v>65</v>
      </c>
      <c r="U1916">
        <v>46.149166399999999</v>
      </c>
      <c r="V1916">
        <v>14.9860106</v>
      </c>
      <c r="W1916" t="str">
        <f t="shared" si="204"/>
        <v>ok</v>
      </c>
      <c r="X1916" t="str">
        <f t="shared" si="210"/>
        <v>ok</v>
      </c>
      <c r="Y1916" t="str">
        <f t="shared" si="205"/>
        <v>ok</v>
      </c>
      <c r="Z1916" t="str">
        <f t="shared" si="206"/>
        <v>ok</v>
      </c>
      <c r="AA1916" s="4" t="str">
        <f t="shared" si="207"/>
        <v>ok</v>
      </c>
      <c r="AB1916" s="4" t="str">
        <f t="shared" si="208"/>
        <v>ok</v>
      </c>
      <c r="AC1916" s="6">
        <f t="shared" si="209"/>
        <v>21.379231111204717</v>
      </c>
    </row>
    <row r="1917" spans="1:29" x14ac:dyDescent="0.3">
      <c r="A1917" t="s">
        <v>42</v>
      </c>
      <c r="B1917">
        <v>3438</v>
      </c>
      <c r="C1917" t="s">
        <v>23</v>
      </c>
      <c r="D1917" t="s">
        <v>43</v>
      </c>
      <c r="E1917" t="s">
        <v>25</v>
      </c>
      <c r="F1917" t="s">
        <v>26</v>
      </c>
      <c r="G1917" t="s">
        <v>52</v>
      </c>
      <c r="H1917" s="1">
        <v>45226.017766203702</v>
      </c>
      <c r="I1917" s="1">
        <v>45227.017766203702</v>
      </c>
      <c r="J1917" s="1">
        <v>45226.019155092596</v>
      </c>
      <c r="K1917" s="2">
        <v>45226.018742245367</v>
      </c>
      <c r="L1917" t="s">
        <v>28</v>
      </c>
      <c r="M1917" s="2">
        <v>45230.964936377313</v>
      </c>
      <c r="N1917" t="s">
        <v>38</v>
      </c>
      <c r="P1917">
        <v>8</v>
      </c>
      <c r="R1917" t="s">
        <v>39</v>
      </c>
      <c r="S1917" t="s">
        <v>30</v>
      </c>
      <c r="T1917" t="s">
        <v>57</v>
      </c>
      <c r="U1917">
        <v>51.165691000000002</v>
      </c>
      <c r="V1917">
        <v>10.451525999999999</v>
      </c>
      <c r="W1917" t="str">
        <f t="shared" si="204"/>
        <v>ok</v>
      </c>
      <c r="X1917" t="str">
        <f t="shared" si="210"/>
        <v>ok</v>
      </c>
      <c r="Y1917" t="str">
        <f t="shared" si="205"/>
        <v>ok</v>
      </c>
      <c r="Z1917" t="str">
        <f t="shared" si="206"/>
        <v>ok</v>
      </c>
      <c r="AA1917" s="4" t="str">
        <f t="shared" si="207"/>
        <v>ok</v>
      </c>
      <c r="AB1917" s="4" t="str">
        <f t="shared" si="208"/>
        <v>ok</v>
      </c>
      <c r="AC1917" s="6">
        <f t="shared" si="209"/>
        <v>118.73208416666603</v>
      </c>
    </row>
    <row r="1918" spans="1:29" x14ac:dyDescent="0.3">
      <c r="A1918" t="s">
        <v>42</v>
      </c>
      <c r="B1918">
        <v>3439</v>
      </c>
      <c r="C1918" t="s">
        <v>23</v>
      </c>
      <c r="D1918" t="s">
        <v>24</v>
      </c>
      <c r="E1918" t="s">
        <v>25</v>
      </c>
      <c r="F1918" t="s">
        <v>26</v>
      </c>
      <c r="G1918" t="s">
        <v>60</v>
      </c>
      <c r="H1918" s="1">
        <v>45226.970520833333</v>
      </c>
      <c r="I1918" s="1">
        <v>45228.970520833333</v>
      </c>
      <c r="J1918" s="1">
        <v>45227.012187499997</v>
      </c>
      <c r="K1918" s="2">
        <v>45226.999222488426</v>
      </c>
      <c r="L1918" t="s">
        <v>28</v>
      </c>
      <c r="M1918" s="2">
        <v>45228.042628518517</v>
      </c>
      <c r="N1918" t="s">
        <v>28</v>
      </c>
      <c r="P1918">
        <v>1</v>
      </c>
      <c r="R1918" t="s">
        <v>50</v>
      </c>
      <c r="S1918" t="s">
        <v>30</v>
      </c>
      <c r="T1918" t="s">
        <v>51</v>
      </c>
      <c r="U1918">
        <v>39.673369999999998</v>
      </c>
      <c r="V1918">
        <v>-4.7677259999999997</v>
      </c>
      <c r="W1918" t="str">
        <f t="shared" si="204"/>
        <v>ok</v>
      </c>
      <c r="X1918" t="str">
        <f t="shared" si="210"/>
        <v>ok</v>
      </c>
      <c r="Y1918" t="str">
        <f t="shared" si="205"/>
        <v>ok</v>
      </c>
      <c r="Z1918" t="str">
        <f t="shared" si="206"/>
        <v>ok</v>
      </c>
      <c r="AA1918" s="4" t="str">
        <f t="shared" si="207"/>
        <v>ok</v>
      </c>
      <c r="AB1918" s="4" t="str">
        <f t="shared" si="208"/>
        <v>ok</v>
      </c>
      <c r="AC1918" s="6">
        <f t="shared" si="209"/>
        <v>25.730584444419947</v>
      </c>
    </row>
    <row r="1919" spans="1:29" x14ac:dyDescent="0.3">
      <c r="A1919" t="s">
        <v>22</v>
      </c>
      <c r="B1919">
        <v>3440</v>
      </c>
      <c r="C1919" t="s">
        <v>33</v>
      </c>
      <c r="D1919" t="s">
        <v>43</v>
      </c>
      <c r="E1919" t="s">
        <v>59</v>
      </c>
      <c r="F1919" t="s">
        <v>26</v>
      </c>
      <c r="G1919" t="s">
        <v>52</v>
      </c>
      <c r="H1919" s="1">
        <v>45226.80505787037</v>
      </c>
      <c r="I1919" s="1">
        <v>45227.80505787037</v>
      </c>
      <c r="J1919" s="1">
        <v>45226.806446759256</v>
      </c>
      <c r="K1919" s="2">
        <v>45226.806767847222</v>
      </c>
      <c r="L1919" t="s">
        <v>38</v>
      </c>
      <c r="M1919" s="2">
        <v>45227.629214143519</v>
      </c>
      <c r="N1919" t="s">
        <v>28</v>
      </c>
      <c r="O1919" s="2">
        <v>45232.069798055556</v>
      </c>
      <c r="P1919">
        <v>5</v>
      </c>
      <c r="Q1919">
        <v>4</v>
      </c>
      <c r="R1919" t="s">
        <v>55</v>
      </c>
      <c r="S1919" t="s">
        <v>30</v>
      </c>
      <c r="T1919" t="s">
        <v>61</v>
      </c>
      <c r="U1919">
        <v>42.724992499999999</v>
      </c>
      <c r="V1919">
        <v>25.483303899999999</v>
      </c>
      <c r="W1919" t="str">
        <f t="shared" si="204"/>
        <v>ok</v>
      </c>
      <c r="X1919" t="str">
        <f t="shared" si="210"/>
        <v>ok</v>
      </c>
      <c r="Y1919" t="str">
        <f t="shared" si="205"/>
        <v>ok</v>
      </c>
      <c r="Z1919" t="str">
        <f t="shared" si="206"/>
        <v>ok</v>
      </c>
      <c r="AA1919" s="4" t="str">
        <f t="shared" si="207"/>
        <v>ok</v>
      </c>
      <c r="AB1919" s="4" t="str">
        <f t="shared" si="208"/>
        <v>ok</v>
      </c>
      <c r="AC1919" s="6">
        <f t="shared" si="209"/>
        <v>19.779750555579085</v>
      </c>
    </row>
    <row r="1920" spans="1:29" x14ac:dyDescent="0.3">
      <c r="A1920" t="s">
        <v>42</v>
      </c>
      <c r="B1920">
        <v>3441</v>
      </c>
      <c r="C1920" t="s">
        <v>23</v>
      </c>
      <c r="D1920" t="s">
        <v>24</v>
      </c>
      <c r="E1920" t="s">
        <v>59</v>
      </c>
      <c r="F1920" t="s">
        <v>26</v>
      </c>
      <c r="G1920" t="s">
        <v>45</v>
      </c>
      <c r="H1920" s="1">
        <v>45226.281608796293</v>
      </c>
      <c r="I1920" s="1">
        <v>45228.281608796293</v>
      </c>
      <c r="J1920" s="1">
        <v>45226.323275462964</v>
      </c>
      <c r="K1920" s="2">
        <v>45226.316261041669</v>
      </c>
      <c r="L1920" t="s">
        <v>28</v>
      </c>
      <c r="M1920" s="2">
        <v>45226.94107940972</v>
      </c>
      <c r="N1920" t="s">
        <v>28</v>
      </c>
      <c r="P1920">
        <v>1</v>
      </c>
      <c r="R1920" t="s">
        <v>50</v>
      </c>
      <c r="S1920" t="s">
        <v>30</v>
      </c>
      <c r="T1920" t="s">
        <v>61</v>
      </c>
      <c r="U1920">
        <v>42.724992499999999</v>
      </c>
      <c r="V1920">
        <v>25.483303899999999</v>
      </c>
      <c r="W1920" t="str">
        <f t="shared" si="204"/>
        <v>ok</v>
      </c>
      <c r="X1920" t="str">
        <f t="shared" si="210"/>
        <v>ok</v>
      </c>
      <c r="Y1920" t="str">
        <f t="shared" si="205"/>
        <v>ok</v>
      </c>
      <c r="Z1920" t="str">
        <f t="shared" si="206"/>
        <v>ok</v>
      </c>
      <c r="AA1920" s="4" t="str">
        <f t="shared" si="207"/>
        <v>ok</v>
      </c>
      <c r="AB1920" s="4" t="str">
        <f t="shared" si="208"/>
        <v>ok</v>
      </c>
      <c r="AC1920" s="6">
        <f t="shared" si="209"/>
        <v>15.827294722257648</v>
      </c>
    </row>
    <row r="1921" spans="1:29" x14ac:dyDescent="0.3">
      <c r="A1921" t="s">
        <v>42</v>
      </c>
      <c r="B1921">
        <v>3442</v>
      </c>
      <c r="C1921" t="s">
        <v>47</v>
      </c>
      <c r="D1921" t="s">
        <v>43</v>
      </c>
      <c r="E1921" t="s">
        <v>59</v>
      </c>
      <c r="F1921" t="s">
        <v>36</v>
      </c>
      <c r="G1921" t="s">
        <v>54</v>
      </c>
      <c r="H1921" s="1">
        <v>45226.723611111112</v>
      </c>
      <c r="I1921" s="1">
        <v>45227.723611111112</v>
      </c>
      <c r="J1921" s="1">
        <v>45226.724999999999</v>
      </c>
      <c r="K1921" s="2">
        <v>45226.724675659723</v>
      </c>
      <c r="L1921" t="s">
        <v>28</v>
      </c>
      <c r="M1921" s="2">
        <v>45228.895448935182</v>
      </c>
      <c r="N1921" t="s">
        <v>38</v>
      </c>
      <c r="P1921">
        <v>6</v>
      </c>
      <c r="R1921" t="s">
        <v>50</v>
      </c>
      <c r="S1921" t="s">
        <v>40</v>
      </c>
      <c r="T1921" t="s">
        <v>57</v>
      </c>
      <c r="U1921">
        <v>51.165691000000002</v>
      </c>
      <c r="V1921">
        <v>10.451525999999999</v>
      </c>
      <c r="W1921" t="str">
        <f t="shared" si="204"/>
        <v>ok</v>
      </c>
      <c r="X1921" t="str">
        <f t="shared" si="210"/>
        <v>ok</v>
      </c>
      <c r="Y1921" t="str">
        <f t="shared" si="205"/>
        <v>ok</v>
      </c>
      <c r="Z1921" t="str">
        <f t="shared" si="206"/>
        <v>ok</v>
      </c>
      <c r="AA1921" s="4" t="str">
        <f t="shared" si="207"/>
        <v>ok</v>
      </c>
      <c r="AB1921" s="4" t="str">
        <f t="shared" si="208"/>
        <v>ok</v>
      </c>
      <c r="AC1921" s="6">
        <f t="shared" si="209"/>
        <v>52.124107777664904</v>
      </c>
    </row>
    <row r="1922" spans="1:29" x14ac:dyDescent="0.3">
      <c r="A1922" t="s">
        <v>22</v>
      </c>
      <c r="B1922">
        <v>3443</v>
      </c>
      <c r="C1922" t="s">
        <v>33</v>
      </c>
      <c r="D1922" t="s">
        <v>34</v>
      </c>
      <c r="E1922" t="s">
        <v>25</v>
      </c>
      <c r="F1922" t="s">
        <v>26</v>
      </c>
      <c r="G1922" t="s">
        <v>45</v>
      </c>
      <c r="H1922" s="1">
        <v>45227.811122685183</v>
      </c>
      <c r="I1922" s="1">
        <v>45229.811122685183</v>
      </c>
      <c r="J1922" s="1">
        <v>45227.812511574077</v>
      </c>
      <c r="K1922" s="2">
        <v>45227.811602986112</v>
      </c>
      <c r="L1922" t="s">
        <v>28</v>
      </c>
      <c r="M1922" s="2">
        <v>45232.290887175928</v>
      </c>
      <c r="N1922" t="s">
        <v>38</v>
      </c>
      <c r="O1922" s="2">
        <v>45232.704756631945</v>
      </c>
      <c r="P1922">
        <v>2</v>
      </c>
      <c r="Q1922">
        <v>5</v>
      </c>
      <c r="R1922" t="s">
        <v>50</v>
      </c>
      <c r="S1922" t="s">
        <v>30</v>
      </c>
      <c r="T1922" t="s">
        <v>63</v>
      </c>
      <c r="U1922">
        <v>55.378051999999997</v>
      </c>
      <c r="V1922">
        <v>-3.4359730000000002</v>
      </c>
      <c r="W1922" t="str">
        <f t="shared" ref="W1922:W1985" si="211">IF(K1922&lt;H1922,"check","ok")</f>
        <v>ok</v>
      </c>
      <c r="X1922" t="str">
        <f t="shared" si="210"/>
        <v>ok</v>
      </c>
      <c r="Y1922" t="str">
        <f t="shared" ref="Y1922:Y1985" si="212">IF(AND(M1922&lt;&gt;"",O1922&lt;&gt;"",O1922&lt;M1922),"check","ok")</f>
        <v>ok</v>
      </c>
      <c r="Z1922" t="str">
        <f t="shared" ref="Z1922:Z1985" si="213">IF(AND(OR(CA1922="Closed",A1922="Resolved"),M1922=""),"check","ok")</f>
        <v>ok</v>
      </c>
      <c r="AA1922" s="4" t="str">
        <f t="shared" ref="AA1922:AA1985" si="214">IF(K1922="","no response",IF(OR(AND(K1922&lt;=J1922,L1922="Within SLA"),AND(K1922&gt;J1922,L1922="SLA Violated")),"ok","check"))</f>
        <v>ok</v>
      </c>
      <c r="AB1922" s="4" t="str">
        <f t="shared" ref="AB1922:AB1985" si="215">IF(M1922="","no resolution",IF(OR(AND(M1922&lt;=I1922,N1922="Within SLA"),AND(M1922&gt;I1922,N1922="SLA Violated")),"ok","check"))</f>
        <v>ok</v>
      </c>
      <c r="AC1922" s="6">
        <f t="shared" ref="AC1922:AC1985" si="216">IF(M1922="","",(M1922-H1922)*24)</f>
        <v>107.51434777787654</v>
      </c>
    </row>
    <row r="1923" spans="1:29" x14ac:dyDescent="0.3">
      <c r="A1923" t="s">
        <v>32</v>
      </c>
      <c r="B1923">
        <v>3444</v>
      </c>
      <c r="C1923" t="s">
        <v>23</v>
      </c>
      <c r="D1923" t="s">
        <v>43</v>
      </c>
      <c r="E1923" t="s">
        <v>59</v>
      </c>
      <c r="F1923" t="s">
        <v>36</v>
      </c>
      <c r="G1923" t="s">
        <v>37</v>
      </c>
      <c r="H1923" s="1">
        <v>45227.52270833333</v>
      </c>
      <c r="I1923" s="1">
        <v>45228.52270833333</v>
      </c>
      <c r="J1923" s="1">
        <v>45227.524097222224</v>
      </c>
      <c r="K1923" s="2">
        <v>45227.523396099539</v>
      </c>
      <c r="L1923" t="s">
        <v>28</v>
      </c>
      <c r="N1923" t="s">
        <v>38</v>
      </c>
      <c r="P1923">
        <v>6</v>
      </c>
      <c r="R1923" t="s">
        <v>29</v>
      </c>
      <c r="S1923" t="s">
        <v>40</v>
      </c>
      <c r="T1923" t="s">
        <v>63</v>
      </c>
      <c r="U1923">
        <v>55.378051999999997</v>
      </c>
      <c r="V1923">
        <v>-3.4359730000000002</v>
      </c>
      <c r="W1923" t="str">
        <f t="shared" si="211"/>
        <v>ok</v>
      </c>
      <c r="X1923" t="str">
        <f t="shared" ref="X1923:X1986" si="217">IF(AND(M1923&lt;&gt;"",M1923&lt;H1923),"check","ok")</f>
        <v>ok</v>
      </c>
      <c r="Y1923" t="str">
        <f t="shared" si="212"/>
        <v>ok</v>
      </c>
      <c r="Z1923" t="str">
        <f t="shared" si="213"/>
        <v>ok</v>
      </c>
      <c r="AA1923" s="4" t="str">
        <f t="shared" si="214"/>
        <v>ok</v>
      </c>
      <c r="AB1923" s="4" t="str">
        <f t="shared" si="215"/>
        <v>no resolution</v>
      </c>
      <c r="AC1923" s="6" t="str">
        <f t="shared" si="216"/>
        <v/>
      </c>
    </row>
    <row r="1924" spans="1:29" x14ac:dyDescent="0.3">
      <c r="A1924" t="s">
        <v>22</v>
      </c>
      <c r="B1924">
        <v>3445</v>
      </c>
      <c r="C1924" t="s">
        <v>23</v>
      </c>
      <c r="D1924" t="s">
        <v>34</v>
      </c>
      <c r="E1924" t="s">
        <v>35</v>
      </c>
      <c r="F1924" t="s">
        <v>26</v>
      </c>
      <c r="G1924" t="s">
        <v>45</v>
      </c>
      <c r="H1924" s="1">
        <v>45227.658912037034</v>
      </c>
      <c r="I1924" s="1">
        <v>45229.658912037034</v>
      </c>
      <c r="J1924" s="1">
        <v>45227.660300925927</v>
      </c>
      <c r="K1924" s="2">
        <v>45227.659473587963</v>
      </c>
      <c r="L1924" t="s">
        <v>28</v>
      </c>
      <c r="M1924" s="2">
        <v>45227.679277083334</v>
      </c>
      <c r="N1924" t="s">
        <v>28</v>
      </c>
      <c r="O1924" s="2">
        <v>45230.677695358798</v>
      </c>
      <c r="P1924">
        <v>6</v>
      </c>
      <c r="Q1924">
        <v>3</v>
      </c>
      <c r="R1924" t="s">
        <v>50</v>
      </c>
      <c r="S1924" t="s">
        <v>30</v>
      </c>
      <c r="T1924" t="s">
        <v>57</v>
      </c>
      <c r="U1924">
        <v>51.165691000000002</v>
      </c>
      <c r="V1924">
        <v>10.451525999999999</v>
      </c>
      <c r="W1924" t="str">
        <f t="shared" si="211"/>
        <v>ok</v>
      </c>
      <c r="X1924" t="str">
        <f t="shared" si="217"/>
        <v>ok</v>
      </c>
      <c r="Y1924" t="str">
        <f t="shared" si="212"/>
        <v>ok</v>
      </c>
      <c r="Z1924" t="str">
        <f t="shared" si="213"/>
        <v>ok</v>
      </c>
      <c r="AA1924" s="4" t="str">
        <f t="shared" si="214"/>
        <v>ok</v>
      </c>
      <c r="AB1924" s="4" t="str">
        <f t="shared" si="215"/>
        <v>ok</v>
      </c>
      <c r="AC1924" s="6">
        <f t="shared" si="216"/>
        <v>0.48876111122081056</v>
      </c>
    </row>
    <row r="1925" spans="1:29" x14ac:dyDescent="0.3">
      <c r="A1925" t="s">
        <v>32</v>
      </c>
      <c r="B1925">
        <v>3457</v>
      </c>
      <c r="C1925" t="s">
        <v>23</v>
      </c>
      <c r="D1925" t="s">
        <v>24</v>
      </c>
      <c r="E1925" t="s">
        <v>48</v>
      </c>
      <c r="F1925" t="s">
        <v>36</v>
      </c>
      <c r="G1925" t="s">
        <v>54</v>
      </c>
      <c r="H1925" s="1">
        <v>45228.031840277778</v>
      </c>
      <c r="I1925" s="1">
        <v>45230.031840277778</v>
      </c>
      <c r="J1925" s="1">
        <v>45228.073506944442</v>
      </c>
      <c r="K1925" s="2">
        <v>45228.061333738427</v>
      </c>
      <c r="L1925" t="s">
        <v>28</v>
      </c>
      <c r="N1925" t="s">
        <v>38</v>
      </c>
      <c r="P1925">
        <v>9</v>
      </c>
      <c r="R1925" t="s">
        <v>50</v>
      </c>
      <c r="S1925" t="s">
        <v>40</v>
      </c>
      <c r="T1925" t="s">
        <v>57</v>
      </c>
      <c r="U1925">
        <v>51.165691000000002</v>
      </c>
      <c r="V1925">
        <v>10.451525999999999</v>
      </c>
      <c r="W1925" t="str">
        <f t="shared" si="211"/>
        <v>ok</v>
      </c>
      <c r="X1925" t="str">
        <f t="shared" si="217"/>
        <v>ok</v>
      </c>
      <c r="Y1925" t="str">
        <f t="shared" si="212"/>
        <v>ok</v>
      </c>
      <c r="Z1925" t="str">
        <f t="shared" si="213"/>
        <v>ok</v>
      </c>
      <c r="AA1925" s="4" t="str">
        <f t="shared" si="214"/>
        <v>ok</v>
      </c>
      <c r="AB1925" s="4" t="str">
        <f t="shared" si="215"/>
        <v>no resolution</v>
      </c>
      <c r="AC1925" s="6" t="str">
        <f t="shared" si="216"/>
        <v/>
      </c>
    </row>
    <row r="1926" spans="1:29" x14ac:dyDescent="0.3">
      <c r="A1926" t="s">
        <v>22</v>
      </c>
      <c r="B1926">
        <v>3458</v>
      </c>
      <c r="C1926" t="s">
        <v>33</v>
      </c>
      <c r="D1926" t="s">
        <v>24</v>
      </c>
      <c r="E1926" t="s">
        <v>25</v>
      </c>
      <c r="F1926" t="s">
        <v>36</v>
      </c>
      <c r="G1926" t="s">
        <v>37</v>
      </c>
      <c r="H1926" s="1">
        <v>45228.64329861111</v>
      </c>
      <c r="I1926" s="1">
        <v>45230.64329861111</v>
      </c>
      <c r="J1926" s="1">
        <v>45228.684965277775</v>
      </c>
      <c r="K1926" s="2">
        <v>45228.64344201389</v>
      </c>
      <c r="L1926" t="s">
        <v>28</v>
      </c>
      <c r="M1926" s="2">
        <v>45230.298369768519</v>
      </c>
      <c r="N1926" t="s">
        <v>28</v>
      </c>
      <c r="O1926" s="2">
        <v>45231.019628842594</v>
      </c>
      <c r="P1926">
        <v>1</v>
      </c>
      <c r="Q1926">
        <v>5</v>
      </c>
      <c r="R1926" t="s">
        <v>50</v>
      </c>
      <c r="S1926" t="s">
        <v>40</v>
      </c>
      <c r="T1926" t="s">
        <v>65</v>
      </c>
      <c r="U1926">
        <v>46.149166399999999</v>
      </c>
      <c r="V1926">
        <v>14.9860106</v>
      </c>
      <c r="W1926" t="str">
        <f t="shared" si="211"/>
        <v>ok</v>
      </c>
      <c r="X1926" t="str">
        <f t="shared" si="217"/>
        <v>ok</v>
      </c>
      <c r="Y1926" t="str">
        <f t="shared" si="212"/>
        <v>ok</v>
      </c>
      <c r="Z1926" t="str">
        <f t="shared" si="213"/>
        <v>ok</v>
      </c>
      <c r="AA1926" s="4" t="str">
        <f t="shared" si="214"/>
        <v>ok</v>
      </c>
      <c r="AB1926" s="4" t="str">
        <f t="shared" si="215"/>
        <v>ok</v>
      </c>
      <c r="AC1926" s="6">
        <f t="shared" si="216"/>
        <v>39.721707777818665</v>
      </c>
    </row>
    <row r="1927" spans="1:29" x14ac:dyDescent="0.3">
      <c r="A1927" t="s">
        <v>22</v>
      </c>
      <c r="B1927">
        <v>3459</v>
      </c>
      <c r="C1927" t="s">
        <v>23</v>
      </c>
      <c r="D1927" t="s">
        <v>24</v>
      </c>
      <c r="E1927" t="s">
        <v>48</v>
      </c>
      <c r="F1927" t="s">
        <v>26</v>
      </c>
      <c r="G1927" t="s">
        <v>60</v>
      </c>
      <c r="H1927" s="1">
        <v>45228.135300925926</v>
      </c>
      <c r="I1927" s="1">
        <v>45230.135300925926</v>
      </c>
      <c r="J1927" s="1">
        <v>45228.17696759259</v>
      </c>
      <c r="K1927" s="2">
        <v>45228.167985706015</v>
      </c>
      <c r="L1927" t="s">
        <v>28</v>
      </c>
      <c r="M1927" s="2">
        <v>45228.345051053242</v>
      </c>
      <c r="N1927" t="s">
        <v>28</v>
      </c>
      <c r="O1927" s="2">
        <v>45234.070330763891</v>
      </c>
      <c r="P1927">
        <v>1</v>
      </c>
      <c r="Q1927">
        <v>4</v>
      </c>
      <c r="R1927" t="s">
        <v>39</v>
      </c>
      <c r="S1927" t="s">
        <v>30</v>
      </c>
      <c r="T1927" t="s">
        <v>57</v>
      </c>
      <c r="U1927">
        <v>51.165691000000002</v>
      </c>
      <c r="V1927">
        <v>10.451525999999999</v>
      </c>
      <c r="W1927" t="str">
        <f t="shared" si="211"/>
        <v>ok</v>
      </c>
      <c r="X1927" t="str">
        <f t="shared" si="217"/>
        <v>ok</v>
      </c>
      <c r="Y1927" t="str">
        <f t="shared" si="212"/>
        <v>ok</v>
      </c>
      <c r="Z1927" t="str">
        <f t="shared" si="213"/>
        <v>ok</v>
      </c>
      <c r="AA1927" s="4" t="str">
        <f t="shared" si="214"/>
        <v>ok</v>
      </c>
      <c r="AB1927" s="4" t="str">
        <f t="shared" si="215"/>
        <v>ok</v>
      </c>
      <c r="AC1927" s="6">
        <f t="shared" si="216"/>
        <v>5.0340030555962585</v>
      </c>
    </row>
    <row r="1928" spans="1:29" x14ac:dyDescent="0.3">
      <c r="A1928" t="s">
        <v>22</v>
      </c>
      <c r="B1928">
        <v>3460</v>
      </c>
      <c r="C1928" t="s">
        <v>23</v>
      </c>
      <c r="D1928" t="s">
        <v>43</v>
      </c>
      <c r="E1928" t="s">
        <v>35</v>
      </c>
      <c r="F1928" t="s">
        <v>26</v>
      </c>
      <c r="G1928" t="s">
        <v>52</v>
      </c>
      <c r="H1928" s="1">
        <v>45229.673773148148</v>
      </c>
      <c r="I1928" s="1">
        <v>45230.673773148148</v>
      </c>
      <c r="J1928" s="1">
        <v>45229.675162037034</v>
      </c>
      <c r="K1928" s="2">
        <v>45229.674618171295</v>
      </c>
      <c r="L1928" t="s">
        <v>28</v>
      </c>
      <c r="M1928" s="2">
        <v>45230.256562465278</v>
      </c>
      <c r="N1928" t="s">
        <v>28</v>
      </c>
      <c r="O1928" s="2">
        <v>45233.689191087964</v>
      </c>
      <c r="P1928">
        <v>6</v>
      </c>
      <c r="Q1928">
        <v>5</v>
      </c>
      <c r="R1928" t="s">
        <v>29</v>
      </c>
      <c r="S1928" t="s">
        <v>30</v>
      </c>
      <c r="T1928" t="s">
        <v>46</v>
      </c>
      <c r="U1928">
        <v>47.696471899999999</v>
      </c>
      <c r="V1928">
        <v>13.3457347</v>
      </c>
      <c r="W1928" t="str">
        <f t="shared" si="211"/>
        <v>ok</v>
      </c>
      <c r="X1928" t="str">
        <f t="shared" si="217"/>
        <v>ok</v>
      </c>
      <c r="Y1928" t="str">
        <f t="shared" si="212"/>
        <v>ok</v>
      </c>
      <c r="Z1928" t="str">
        <f t="shared" si="213"/>
        <v>ok</v>
      </c>
      <c r="AA1928" s="4" t="str">
        <f t="shared" si="214"/>
        <v>ok</v>
      </c>
      <c r="AB1928" s="4" t="str">
        <f t="shared" si="215"/>
        <v>ok</v>
      </c>
      <c r="AC1928" s="6">
        <f t="shared" si="216"/>
        <v>13.986943611118477</v>
      </c>
    </row>
    <row r="1929" spans="1:29" x14ac:dyDescent="0.3">
      <c r="A1929" t="s">
        <v>22</v>
      </c>
      <c r="B1929">
        <v>3461</v>
      </c>
      <c r="C1929" t="s">
        <v>23</v>
      </c>
      <c r="D1929" t="s">
        <v>43</v>
      </c>
      <c r="E1929" t="s">
        <v>25</v>
      </c>
      <c r="F1929" t="s">
        <v>26</v>
      </c>
      <c r="G1929" t="s">
        <v>60</v>
      </c>
      <c r="H1929" s="1">
        <v>45229.277222222219</v>
      </c>
      <c r="I1929" s="1">
        <v>45230.277222222219</v>
      </c>
      <c r="J1929" s="1">
        <v>45229.278611111113</v>
      </c>
      <c r="K1929" s="2">
        <v>45229.277795092596</v>
      </c>
      <c r="L1929" t="s">
        <v>28</v>
      </c>
      <c r="M1929" s="2">
        <v>45229.648085636574</v>
      </c>
      <c r="N1929" t="s">
        <v>28</v>
      </c>
      <c r="O1929" s="2">
        <v>45230.995585914352</v>
      </c>
      <c r="P1929">
        <v>2</v>
      </c>
      <c r="Q1929">
        <v>3</v>
      </c>
      <c r="R1929" t="s">
        <v>50</v>
      </c>
      <c r="S1929" t="s">
        <v>30</v>
      </c>
      <c r="T1929" t="s">
        <v>53</v>
      </c>
      <c r="U1929">
        <v>39.368279000000001</v>
      </c>
      <c r="V1929">
        <v>21.863140999999999</v>
      </c>
      <c r="W1929" t="str">
        <f t="shared" si="211"/>
        <v>ok</v>
      </c>
      <c r="X1929" t="str">
        <f t="shared" si="217"/>
        <v>ok</v>
      </c>
      <c r="Y1929" t="str">
        <f t="shared" si="212"/>
        <v>ok</v>
      </c>
      <c r="Z1929" t="str">
        <f t="shared" si="213"/>
        <v>ok</v>
      </c>
      <c r="AA1929" s="4" t="str">
        <f t="shared" si="214"/>
        <v>ok</v>
      </c>
      <c r="AB1929" s="4" t="str">
        <f t="shared" si="215"/>
        <v>ok</v>
      </c>
      <c r="AC1929" s="6">
        <f t="shared" si="216"/>
        <v>8.9007219445193186</v>
      </c>
    </row>
    <row r="1930" spans="1:29" x14ac:dyDescent="0.3">
      <c r="A1930" t="s">
        <v>22</v>
      </c>
      <c r="B1930">
        <v>3462</v>
      </c>
      <c r="C1930" t="s">
        <v>47</v>
      </c>
      <c r="D1930" t="s">
        <v>24</v>
      </c>
      <c r="E1930" t="s">
        <v>48</v>
      </c>
      <c r="F1930" t="s">
        <v>26</v>
      </c>
      <c r="G1930" t="s">
        <v>45</v>
      </c>
      <c r="H1930" s="1">
        <v>45229.759085648147</v>
      </c>
      <c r="I1930" s="1">
        <v>45231.759085648147</v>
      </c>
      <c r="J1930" s="1">
        <v>45229.800752314812</v>
      </c>
      <c r="K1930" s="2">
        <v>45229.781961284723</v>
      </c>
      <c r="L1930" t="s">
        <v>28</v>
      </c>
      <c r="M1930" s="2">
        <v>45229.760462789352</v>
      </c>
      <c r="N1930" t="s">
        <v>28</v>
      </c>
      <c r="O1930" s="2">
        <v>45232.998539513886</v>
      </c>
      <c r="P1930">
        <v>6</v>
      </c>
      <c r="Q1930">
        <v>4</v>
      </c>
      <c r="R1930" t="s">
        <v>55</v>
      </c>
      <c r="S1930" t="s">
        <v>30</v>
      </c>
      <c r="T1930" t="s">
        <v>46</v>
      </c>
      <c r="U1930">
        <v>47.696471899999999</v>
      </c>
      <c r="V1930">
        <v>13.3457347</v>
      </c>
      <c r="W1930" t="str">
        <f t="shared" si="211"/>
        <v>ok</v>
      </c>
      <c r="X1930" t="str">
        <f t="shared" si="217"/>
        <v>ok</v>
      </c>
      <c r="Y1930" t="str">
        <f t="shared" si="212"/>
        <v>ok</v>
      </c>
      <c r="Z1930" t="str">
        <f t="shared" si="213"/>
        <v>ok</v>
      </c>
      <c r="AA1930" s="4" t="str">
        <f t="shared" si="214"/>
        <v>ok</v>
      </c>
      <c r="AB1930" s="4" t="str">
        <f t="shared" si="215"/>
        <v>ok</v>
      </c>
      <c r="AC1930" s="6">
        <f t="shared" si="216"/>
        <v>3.3051388920284808E-2</v>
      </c>
    </row>
    <row r="1931" spans="1:29" x14ac:dyDescent="0.3">
      <c r="A1931" t="s">
        <v>22</v>
      </c>
      <c r="B1931">
        <v>3463</v>
      </c>
      <c r="C1931" t="s">
        <v>23</v>
      </c>
      <c r="D1931" t="s">
        <v>24</v>
      </c>
      <c r="E1931" t="s">
        <v>44</v>
      </c>
      <c r="F1931" t="s">
        <v>26</v>
      </c>
      <c r="G1931" t="s">
        <v>45</v>
      </c>
      <c r="H1931" s="1">
        <v>45229.813078703701</v>
      </c>
      <c r="I1931" s="1">
        <v>45231.813078703701</v>
      </c>
      <c r="J1931" s="1">
        <v>45229.854745370372</v>
      </c>
      <c r="K1931" s="2">
        <v>45229.838220671299</v>
      </c>
      <c r="L1931" t="s">
        <v>28</v>
      </c>
      <c r="M1931" s="2">
        <v>45231.914563923609</v>
      </c>
      <c r="N1931" t="s">
        <v>38</v>
      </c>
      <c r="O1931" s="2">
        <v>45232.650748958331</v>
      </c>
      <c r="P1931">
        <v>8</v>
      </c>
      <c r="Q1931">
        <v>3</v>
      </c>
      <c r="R1931" t="s">
        <v>55</v>
      </c>
      <c r="S1931" t="s">
        <v>30</v>
      </c>
      <c r="T1931" t="s">
        <v>53</v>
      </c>
      <c r="U1931">
        <v>39.368279000000001</v>
      </c>
      <c r="V1931">
        <v>21.863140999999999</v>
      </c>
      <c r="W1931" t="str">
        <f t="shared" si="211"/>
        <v>ok</v>
      </c>
      <c r="X1931" t="str">
        <f t="shared" si="217"/>
        <v>ok</v>
      </c>
      <c r="Y1931" t="str">
        <f t="shared" si="212"/>
        <v>ok</v>
      </c>
      <c r="Z1931" t="str">
        <f t="shared" si="213"/>
        <v>ok</v>
      </c>
      <c r="AA1931" s="4" t="str">
        <f t="shared" si="214"/>
        <v>ok</v>
      </c>
      <c r="AB1931" s="4" t="str">
        <f t="shared" si="215"/>
        <v>ok</v>
      </c>
      <c r="AC1931" s="6">
        <f t="shared" si="216"/>
        <v>50.435645277786534</v>
      </c>
    </row>
    <row r="1932" spans="1:29" x14ac:dyDescent="0.3">
      <c r="A1932" t="s">
        <v>42</v>
      </c>
      <c r="B1932">
        <v>3464</v>
      </c>
      <c r="C1932" t="s">
        <v>33</v>
      </c>
      <c r="D1932" t="s">
        <v>24</v>
      </c>
      <c r="E1932" t="s">
        <v>35</v>
      </c>
      <c r="F1932" t="s">
        <v>36</v>
      </c>
      <c r="G1932" t="s">
        <v>64</v>
      </c>
      <c r="H1932" s="1">
        <v>45229.981516203705</v>
      </c>
      <c r="I1932" s="1">
        <v>45231.981516203705</v>
      </c>
      <c r="J1932" s="1">
        <v>45230.023182870369</v>
      </c>
      <c r="K1932" s="2">
        <v>45229.994639467594</v>
      </c>
      <c r="L1932" t="s">
        <v>28</v>
      </c>
      <c r="M1932" s="2">
        <v>45230.495514212962</v>
      </c>
      <c r="N1932" t="s">
        <v>28</v>
      </c>
      <c r="P1932">
        <v>9</v>
      </c>
      <c r="R1932" t="s">
        <v>55</v>
      </c>
      <c r="S1932" t="s">
        <v>40</v>
      </c>
      <c r="T1932" t="s">
        <v>53</v>
      </c>
      <c r="U1932">
        <v>39.368279000000001</v>
      </c>
      <c r="V1932">
        <v>21.863140999999999</v>
      </c>
      <c r="W1932" t="str">
        <f t="shared" si="211"/>
        <v>ok</v>
      </c>
      <c r="X1932" t="str">
        <f t="shared" si="217"/>
        <v>ok</v>
      </c>
      <c r="Y1932" t="str">
        <f t="shared" si="212"/>
        <v>ok</v>
      </c>
      <c r="Z1932" t="str">
        <f t="shared" si="213"/>
        <v>ok</v>
      </c>
      <c r="AA1932" s="4" t="str">
        <f t="shared" si="214"/>
        <v>ok</v>
      </c>
      <c r="AB1932" s="4" t="str">
        <f t="shared" si="215"/>
        <v>ok</v>
      </c>
      <c r="AC1932" s="6">
        <f t="shared" si="216"/>
        <v>12.335952222172637</v>
      </c>
    </row>
    <row r="1933" spans="1:29" x14ac:dyDescent="0.3">
      <c r="A1933" t="s">
        <v>32</v>
      </c>
      <c r="B1933">
        <v>3465</v>
      </c>
      <c r="C1933" t="s">
        <v>23</v>
      </c>
      <c r="D1933" t="s">
        <v>24</v>
      </c>
      <c r="E1933" t="s">
        <v>35</v>
      </c>
      <c r="F1933" t="s">
        <v>26</v>
      </c>
      <c r="G1933" t="s">
        <v>45</v>
      </c>
      <c r="H1933" s="1">
        <v>45229.24386574074</v>
      </c>
      <c r="I1933" s="1">
        <v>45231.24386574074</v>
      </c>
      <c r="J1933" s="1">
        <v>45229.285532407404</v>
      </c>
      <c r="K1933" s="2">
        <v>45229.252823935189</v>
      </c>
      <c r="L1933" t="s">
        <v>28</v>
      </c>
      <c r="N1933" t="s">
        <v>38</v>
      </c>
      <c r="P1933">
        <v>2</v>
      </c>
      <c r="R1933" t="s">
        <v>29</v>
      </c>
      <c r="S1933" t="s">
        <v>30</v>
      </c>
      <c r="T1933" t="s">
        <v>46</v>
      </c>
      <c r="U1933">
        <v>47.696471899999999</v>
      </c>
      <c r="V1933">
        <v>13.3457347</v>
      </c>
      <c r="W1933" t="str">
        <f t="shared" si="211"/>
        <v>ok</v>
      </c>
      <c r="X1933" t="str">
        <f t="shared" si="217"/>
        <v>ok</v>
      </c>
      <c r="Y1933" t="str">
        <f t="shared" si="212"/>
        <v>ok</v>
      </c>
      <c r="Z1933" t="str">
        <f t="shared" si="213"/>
        <v>ok</v>
      </c>
      <c r="AA1933" s="4" t="str">
        <f t="shared" si="214"/>
        <v>ok</v>
      </c>
      <c r="AB1933" s="4" t="str">
        <f t="shared" si="215"/>
        <v>no resolution</v>
      </c>
      <c r="AC1933" s="6" t="str">
        <f t="shared" si="216"/>
        <v/>
      </c>
    </row>
    <row r="1934" spans="1:29" x14ac:dyDescent="0.3">
      <c r="A1934" t="s">
        <v>22</v>
      </c>
      <c r="B1934">
        <v>3466</v>
      </c>
      <c r="C1934" t="s">
        <v>47</v>
      </c>
      <c r="D1934" t="s">
        <v>43</v>
      </c>
      <c r="E1934" t="s">
        <v>25</v>
      </c>
      <c r="F1934" t="s">
        <v>26</v>
      </c>
      <c r="G1934" t="s">
        <v>49</v>
      </c>
      <c r="H1934" s="1">
        <v>45229.668090277781</v>
      </c>
      <c r="I1934" s="1">
        <v>45230.668090277781</v>
      </c>
      <c r="J1934" s="1">
        <v>45229.669479166667</v>
      </c>
      <c r="K1934" s="2">
        <v>45229.669099814811</v>
      </c>
      <c r="L1934" t="s">
        <v>28</v>
      </c>
      <c r="M1934" s="2">
        <v>45234.109520694445</v>
      </c>
      <c r="N1934" t="s">
        <v>38</v>
      </c>
      <c r="O1934" s="2">
        <v>45235.131874363426</v>
      </c>
      <c r="P1934">
        <v>5</v>
      </c>
      <c r="Q1934">
        <v>5</v>
      </c>
      <c r="R1934" t="s">
        <v>50</v>
      </c>
      <c r="S1934" t="s">
        <v>30</v>
      </c>
      <c r="T1934" t="s">
        <v>56</v>
      </c>
      <c r="U1934">
        <v>52.536273000000001</v>
      </c>
      <c r="V1934">
        <v>19.050639</v>
      </c>
      <c r="W1934" t="str">
        <f t="shared" si="211"/>
        <v>ok</v>
      </c>
      <c r="X1934" t="str">
        <f t="shared" si="217"/>
        <v>ok</v>
      </c>
      <c r="Y1934" t="str">
        <f t="shared" si="212"/>
        <v>ok</v>
      </c>
      <c r="Z1934" t="str">
        <f t="shared" si="213"/>
        <v>ok</v>
      </c>
      <c r="AA1934" s="4" t="str">
        <f t="shared" si="214"/>
        <v>ok</v>
      </c>
      <c r="AB1934" s="4" t="str">
        <f t="shared" si="215"/>
        <v>ok</v>
      </c>
      <c r="AC1934" s="6">
        <f t="shared" si="216"/>
        <v>106.59432999993442</v>
      </c>
    </row>
    <row r="1935" spans="1:29" x14ac:dyDescent="0.3">
      <c r="A1935" t="s">
        <v>42</v>
      </c>
      <c r="B1935">
        <v>3467</v>
      </c>
      <c r="C1935" t="s">
        <v>23</v>
      </c>
      <c r="D1935" t="s">
        <v>43</v>
      </c>
      <c r="E1935" t="s">
        <v>25</v>
      </c>
      <c r="F1935" t="s">
        <v>36</v>
      </c>
      <c r="G1935" t="s">
        <v>54</v>
      </c>
      <c r="H1935" s="1">
        <v>45230.630243055559</v>
      </c>
      <c r="I1935" s="1">
        <v>45231.630243055559</v>
      </c>
      <c r="J1935" s="1">
        <v>45230.631631944445</v>
      </c>
      <c r="K1935" s="2">
        <v>45230.630456666666</v>
      </c>
      <c r="L1935" t="s">
        <v>28</v>
      </c>
      <c r="M1935" s="2">
        <v>45230.643172997683</v>
      </c>
      <c r="N1935" t="s">
        <v>28</v>
      </c>
      <c r="P1935">
        <v>6</v>
      </c>
      <c r="R1935" t="s">
        <v>50</v>
      </c>
      <c r="S1935" t="s">
        <v>40</v>
      </c>
      <c r="T1935" t="s">
        <v>56</v>
      </c>
      <c r="U1935">
        <v>52.536273000000001</v>
      </c>
      <c r="V1935">
        <v>19.050639</v>
      </c>
      <c r="W1935" t="str">
        <f t="shared" si="211"/>
        <v>ok</v>
      </c>
      <c r="X1935" t="str">
        <f t="shared" si="217"/>
        <v>ok</v>
      </c>
      <c r="Y1935" t="str">
        <f t="shared" si="212"/>
        <v>ok</v>
      </c>
      <c r="Z1935" t="str">
        <f t="shared" si="213"/>
        <v>ok</v>
      </c>
      <c r="AA1935" s="4" t="str">
        <f t="shared" si="214"/>
        <v>ok</v>
      </c>
      <c r="AB1935" s="4" t="str">
        <f t="shared" si="215"/>
        <v>ok</v>
      </c>
      <c r="AC1935" s="6">
        <f t="shared" si="216"/>
        <v>0.31031861098017544</v>
      </c>
    </row>
    <row r="1936" spans="1:29" x14ac:dyDescent="0.3">
      <c r="A1936" t="s">
        <v>22</v>
      </c>
      <c r="B1936">
        <v>3468</v>
      </c>
      <c r="C1936" t="s">
        <v>23</v>
      </c>
      <c r="D1936" t="s">
        <v>34</v>
      </c>
      <c r="E1936" t="s">
        <v>25</v>
      </c>
      <c r="F1936" t="s">
        <v>36</v>
      </c>
      <c r="G1936" t="s">
        <v>54</v>
      </c>
      <c r="H1936" s="1">
        <v>45230.421875</v>
      </c>
      <c r="I1936" s="1">
        <v>45232.421875</v>
      </c>
      <c r="J1936" s="1">
        <v>45230.423263888886</v>
      </c>
      <c r="K1936" s="2">
        <v>45230.423036863423</v>
      </c>
      <c r="L1936" t="s">
        <v>28</v>
      </c>
      <c r="M1936" s="2">
        <v>45232.679263761573</v>
      </c>
      <c r="N1936" t="s">
        <v>38</v>
      </c>
      <c r="O1936" s="2">
        <v>45233.661528888886</v>
      </c>
      <c r="P1936">
        <v>7</v>
      </c>
      <c r="Q1936">
        <v>4</v>
      </c>
      <c r="R1936" t="s">
        <v>39</v>
      </c>
      <c r="S1936" t="s">
        <v>40</v>
      </c>
      <c r="T1936" t="s">
        <v>65</v>
      </c>
      <c r="U1936">
        <v>46.149166399999999</v>
      </c>
      <c r="V1936">
        <v>14.9860106</v>
      </c>
      <c r="W1936" t="str">
        <f t="shared" si="211"/>
        <v>ok</v>
      </c>
      <c r="X1936" t="str">
        <f t="shared" si="217"/>
        <v>ok</v>
      </c>
      <c r="Y1936" t="str">
        <f t="shared" si="212"/>
        <v>ok</v>
      </c>
      <c r="Z1936" t="str">
        <f t="shared" si="213"/>
        <v>ok</v>
      </c>
      <c r="AA1936" s="4" t="str">
        <f t="shared" si="214"/>
        <v>ok</v>
      </c>
      <c r="AB1936" s="4" t="str">
        <f t="shared" si="215"/>
        <v>ok</v>
      </c>
      <c r="AC1936" s="6">
        <f t="shared" si="216"/>
        <v>54.177330277743749</v>
      </c>
    </row>
    <row r="1937" spans="1:29" x14ac:dyDescent="0.3">
      <c r="A1937" t="s">
        <v>32</v>
      </c>
      <c r="B1937">
        <v>3469</v>
      </c>
      <c r="C1937" t="s">
        <v>23</v>
      </c>
      <c r="D1937" t="s">
        <v>24</v>
      </c>
      <c r="E1937" t="s">
        <v>62</v>
      </c>
      <c r="F1937" t="s">
        <v>26</v>
      </c>
      <c r="G1937" t="s">
        <v>60</v>
      </c>
      <c r="H1937" s="1">
        <v>45230.874155092592</v>
      </c>
      <c r="I1937" s="1">
        <v>45232.874155092592</v>
      </c>
      <c r="J1937" s="1">
        <v>45230.915821759256</v>
      </c>
      <c r="K1937" s="2">
        <v>45230.878848796296</v>
      </c>
      <c r="L1937" t="s">
        <v>28</v>
      </c>
      <c r="N1937" t="s">
        <v>38</v>
      </c>
      <c r="P1937">
        <v>7</v>
      </c>
      <c r="R1937" t="s">
        <v>55</v>
      </c>
      <c r="S1937" t="s">
        <v>30</v>
      </c>
      <c r="T1937" t="s">
        <v>41</v>
      </c>
      <c r="U1937">
        <v>43.036776000000003</v>
      </c>
      <c r="V1937">
        <v>12.678565000000001</v>
      </c>
      <c r="W1937" t="str">
        <f t="shared" si="211"/>
        <v>ok</v>
      </c>
      <c r="X1937" t="str">
        <f t="shared" si="217"/>
        <v>ok</v>
      </c>
      <c r="Y1937" t="str">
        <f t="shared" si="212"/>
        <v>ok</v>
      </c>
      <c r="Z1937" t="str">
        <f t="shared" si="213"/>
        <v>ok</v>
      </c>
      <c r="AA1937" s="4" t="str">
        <f t="shared" si="214"/>
        <v>ok</v>
      </c>
      <c r="AB1937" s="4" t="str">
        <f t="shared" si="215"/>
        <v>no resolution</v>
      </c>
      <c r="AC1937" s="6" t="str">
        <f t="shared" si="216"/>
        <v/>
      </c>
    </row>
    <row r="1938" spans="1:29" x14ac:dyDescent="0.3">
      <c r="A1938" t="s">
        <v>22</v>
      </c>
      <c r="B1938">
        <v>3470</v>
      </c>
      <c r="C1938" t="s">
        <v>47</v>
      </c>
      <c r="D1938" t="s">
        <v>34</v>
      </c>
      <c r="E1938" t="s">
        <v>48</v>
      </c>
      <c r="F1938" t="s">
        <v>36</v>
      </c>
      <c r="G1938" t="s">
        <v>37</v>
      </c>
      <c r="H1938" s="1">
        <v>45230.026261574072</v>
      </c>
      <c r="I1938" s="1">
        <v>45232.026261574072</v>
      </c>
      <c r="J1938" s="1">
        <v>45230.027650462966</v>
      </c>
      <c r="K1938" s="2">
        <v>45230.026910370369</v>
      </c>
      <c r="L1938" t="s">
        <v>28</v>
      </c>
      <c r="M1938" s="2">
        <v>45230.957001932868</v>
      </c>
      <c r="N1938" t="s">
        <v>28</v>
      </c>
      <c r="O1938" s="2">
        <v>45234.577323900463</v>
      </c>
      <c r="P1938">
        <v>4</v>
      </c>
      <c r="Q1938">
        <v>1</v>
      </c>
      <c r="R1938" t="s">
        <v>50</v>
      </c>
      <c r="S1938" t="s">
        <v>40</v>
      </c>
      <c r="T1938" t="s">
        <v>41</v>
      </c>
      <c r="U1938">
        <v>43.036776000000003</v>
      </c>
      <c r="V1938">
        <v>12.678565000000001</v>
      </c>
      <c r="W1938" t="str">
        <f t="shared" si="211"/>
        <v>ok</v>
      </c>
      <c r="X1938" t="str">
        <f t="shared" si="217"/>
        <v>ok</v>
      </c>
      <c r="Y1938" t="str">
        <f t="shared" si="212"/>
        <v>ok</v>
      </c>
      <c r="Z1938" t="str">
        <f t="shared" si="213"/>
        <v>ok</v>
      </c>
      <c r="AA1938" s="4" t="str">
        <f t="shared" si="214"/>
        <v>ok</v>
      </c>
      <c r="AB1938" s="4" t="str">
        <f t="shared" si="215"/>
        <v>ok</v>
      </c>
      <c r="AC1938" s="6">
        <f t="shared" si="216"/>
        <v>22.337768611090723</v>
      </c>
    </row>
    <row r="1939" spans="1:29" x14ac:dyDescent="0.3">
      <c r="A1939" t="s">
        <v>22</v>
      </c>
      <c r="B1939">
        <v>3471</v>
      </c>
      <c r="C1939" t="s">
        <v>47</v>
      </c>
      <c r="D1939" t="s">
        <v>24</v>
      </c>
      <c r="E1939" t="s">
        <v>48</v>
      </c>
      <c r="F1939" t="s">
        <v>26</v>
      </c>
      <c r="G1939" t="s">
        <v>45</v>
      </c>
      <c r="H1939" s="1">
        <v>45230.296006944445</v>
      </c>
      <c r="I1939" s="1">
        <v>45232.296006944445</v>
      </c>
      <c r="J1939" s="1">
        <v>45230.337673611109</v>
      </c>
      <c r="K1939" s="2">
        <v>45230.318630555557</v>
      </c>
      <c r="L1939" t="s">
        <v>28</v>
      </c>
      <c r="M1939" s="2">
        <v>45231.108165405094</v>
      </c>
      <c r="N1939" t="s">
        <v>28</v>
      </c>
      <c r="O1939" s="2">
        <v>45235.423596747685</v>
      </c>
      <c r="P1939">
        <v>5</v>
      </c>
      <c r="Q1939">
        <v>4</v>
      </c>
      <c r="R1939" t="s">
        <v>50</v>
      </c>
      <c r="S1939" t="s">
        <v>30</v>
      </c>
      <c r="T1939" t="s">
        <v>61</v>
      </c>
      <c r="U1939">
        <v>42.724992499999999</v>
      </c>
      <c r="V1939">
        <v>25.483303899999999</v>
      </c>
      <c r="W1939" t="str">
        <f t="shared" si="211"/>
        <v>ok</v>
      </c>
      <c r="X1939" t="str">
        <f t="shared" si="217"/>
        <v>ok</v>
      </c>
      <c r="Y1939" t="str">
        <f t="shared" si="212"/>
        <v>ok</v>
      </c>
      <c r="Z1939" t="str">
        <f t="shared" si="213"/>
        <v>ok</v>
      </c>
      <c r="AA1939" s="4" t="str">
        <f t="shared" si="214"/>
        <v>ok</v>
      </c>
      <c r="AB1939" s="4" t="str">
        <f t="shared" si="215"/>
        <v>ok</v>
      </c>
      <c r="AC1939" s="6">
        <f t="shared" si="216"/>
        <v>19.491803055570927</v>
      </c>
    </row>
    <row r="1940" spans="1:29" x14ac:dyDescent="0.3">
      <c r="A1940" t="s">
        <v>32</v>
      </c>
      <c r="B1940">
        <v>3472</v>
      </c>
      <c r="C1940" t="s">
        <v>23</v>
      </c>
      <c r="D1940" t="s">
        <v>43</v>
      </c>
      <c r="E1940" t="s">
        <v>48</v>
      </c>
      <c r="F1940" t="s">
        <v>36</v>
      </c>
      <c r="G1940" t="s">
        <v>37</v>
      </c>
      <c r="H1940" s="1">
        <v>45230.671423611115</v>
      </c>
      <c r="I1940" s="1">
        <v>45231.671423611115</v>
      </c>
      <c r="J1940" s="1">
        <v>45230.672812500001</v>
      </c>
      <c r="K1940" s="2">
        <v>45230.67146863426</v>
      </c>
      <c r="L1940" t="s">
        <v>28</v>
      </c>
      <c r="N1940" t="s">
        <v>38</v>
      </c>
      <c r="P1940">
        <v>5</v>
      </c>
      <c r="R1940" t="s">
        <v>50</v>
      </c>
      <c r="S1940" t="s">
        <v>40</v>
      </c>
      <c r="T1940" t="s">
        <v>63</v>
      </c>
      <c r="U1940">
        <v>55.378051999999997</v>
      </c>
      <c r="V1940">
        <v>-3.4359730000000002</v>
      </c>
      <c r="W1940" t="str">
        <f t="shared" si="211"/>
        <v>ok</v>
      </c>
      <c r="X1940" t="str">
        <f t="shared" si="217"/>
        <v>ok</v>
      </c>
      <c r="Y1940" t="str">
        <f t="shared" si="212"/>
        <v>ok</v>
      </c>
      <c r="Z1940" t="str">
        <f t="shared" si="213"/>
        <v>ok</v>
      </c>
      <c r="AA1940" s="4" t="str">
        <f t="shared" si="214"/>
        <v>ok</v>
      </c>
      <c r="AB1940" s="4" t="str">
        <f t="shared" si="215"/>
        <v>no resolution</v>
      </c>
      <c r="AC1940" s="6" t="str">
        <f t="shared" si="216"/>
        <v/>
      </c>
    </row>
    <row r="1941" spans="1:29" x14ac:dyDescent="0.3">
      <c r="A1941" t="s">
        <v>22</v>
      </c>
      <c r="B1941">
        <v>3473</v>
      </c>
      <c r="C1941" t="s">
        <v>33</v>
      </c>
      <c r="D1941" t="s">
        <v>43</v>
      </c>
      <c r="E1941" t="s">
        <v>35</v>
      </c>
      <c r="F1941" t="s">
        <v>26</v>
      </c>
      <c r="G1941" t="s">
        <v>60</v>
      </c>
      <c r="H1941" s="1">
        <v>45230.020590277774</v>
      </c>
      <c r="I1941" s="1">
        <v>45231.020590277774</v>
      </c>
      <c r="J1941" s="1">
        <v>45230.021979166668</v>
      </c>
      <c r="K1941" s="2">
        <v>45230.021729062501</v>
      </c>
      <c r="L1941" t="s">
        <v>28</v>
      </c>
      <c r="M1941" s="2">
        <v>45230.508763749996</v>
      </c>
      <c r="N1941" t="s">
        <v>28</v>
      </c>
      <c r="O1941" s="2">
        <v>45237.225652604167</v>
      </c>
      <c r="P1941">
        <v>6</v>
      </c>
      <c r="Q1941">
        <v>5</v>
      </c>
      <c r="R1941" t="s">
        <v>50</v>
      </c>
      <c r="S1941" t="s">
        <v>30</v>
      </c>
      <c r="T1941" t="s">
        <v>66</v>
      </c>
      <c r="U1941">
        <v>48.864716000000001</v>
      </c>
      <c r="V1941">
        <v>2.3490139999999999</v>
      </c>
      <c r="W1941" t="str">
        <f t="shared" si="211"/>
        <v>ok</v>
      </c>
      <c r="X1941" t="str">
        <f t="shared" si="217"/>
        <v>ok</v>
      </c>
      <c r="Y1941" t="str">
        <f t="shared" si="212"/>
        <v>ok</v>
      </c>
      <c r="Z1941" t="str">
        <f t="shared" si="213"/>
        <v>ok</v>
      </c>
      <c r="AA1941" s="4" t="str">
        <f t="shared" si="214"/>
        <v>ok</v>
      </c>
      <c r="AB1941" s="4" t="str">
        <f t="shared" si="215"/>
        <v>ok</v>
      </c>
      <c r="AC1941" s="6">
        <f t="shared" si="216"/>
        <v>11.716163333330769</v>
      </c>
    </row>
    <row r="1942" spans="1:29" x14ac:dyDescent="0.3">
      <c r="A1942" t="s">
        <v>22</v>
      </c>
      <c r="B1942">
        <v>3474</v>
      </c>
      <c r="C1942" t="s">
        <v>47</v>
      </c>
      <c r="D1942" t="s">
        <v>34</v>
      </c>
      <c r="E1942" t="s">
        <v>39</v>
      </c>
      <c r="F1942" t="s">
        <v>26</v>
      </c>
      <c r="G1942" t="s">
        <v>60</v>
      </c>
      <c r="H1942" s="1">
        <v>45230.023645833331</v>
      </c>
      <c r="I1942" s="1">
        <v>45232.023645833331</v>
      </c>
      <c r="J1942" s="1">
        <v>45230.025034722225</v>
      </c>
      <c r="K1942" s="2">
        <v>45230.024441550922</v>
      </c>
      <c r="L1942" t="s">
        <v>28</v>
      </c>
      <c r="M1942" s="2">
        <v>45232.815877129629</v>
      </c>
      <c r="N1942" t="s">
        <v>38</v>
      </c>
      <c r="O1942" s="2">
        <v>45233.674885138891</v>
      </c>
      <c r="P1942">
        <v>2</v>
      </c>
      <c r="Q1942">
        <v>5</v>
      </c>
      <c r="R1942" t="s">
        <v>29</v>
      </c>
      <c r="S1942" t="s">
        <v>30</v>
      </c>
      <c r="T1942" t="s">
        <v>31</v>
      </c>
      <c r="U1942">
        <v>53.094023999999997</v>
      </c>
      <c r="V1942">
        <v>-8.0196749999999994</v>
      </c>
      <c r="W1942" t="str">
        <f t="shared" si="211"/>
        <v>ok</v>
      </c>
      <c r="X1942" t="str">
        <f t="shared" si="217"/>
        <v>ok</v>
      </c>
      <c r="Y1942" t="str">
        <f t="shared" si="212"/>
        <v>ok</v>
      </c>
      <c r="Z1942" t="str">
        <f t="shared" si="213"/>
        <v>ok</v>
      </c>
      <c r="AA1942" s="4" t="str">
        <f t="shared" si="214"/>
        <v>ok</v>
      </c>
      <c r="AB1942" s="4" t="str">
        <f t="shared" si="215"/>
        <v>ok</v>
      </c>
      <c r="AC1942" s="6">
        <f t="shared" si="216"/>
        <v>67.013551111158449</v>
      </c>
    </row>
    <row r="1943" spans="1:29" x14ac:dyDescent="0.3">
      <c r="A1943" t="s">
        <v>22</v>
      </c>
      <c r="B1943">
        <v>3475</v>
      </c>
      <c r="C1943" t="s">
        <v>23</v>
      </c>
      <c r="D1943" t="s">
        <v>24</v>
      </c>
      <c r="E1943" t="s">
        <v>44</v>
      </c>
      <c r="F1943" t="s">
        <v>36</v>
      </c>
      <c r="G1943" t="s">
        <v>64</v>
      </c>
      <c r="H1943" s="1">
        <v>45231.004733796297</v>
      </c>
      <c r="I1943" s="1">
        <v>45233.004733796297</v>
      </c>
      <c r="J1943" s="1">
        <v>45231.046400462961</v>
      </c>
      <c r="K1943" s="2">
        <v>45231.027894039355</v>
      </c>
      <c r="L1943" t="s">
        <v>28</v>
      </c>
      <c r="M1943" s="2">
        <v>45232.235481597221</v>
      </c>
      <c r="N1943" t="s">
        <v>28</v>
      </c>
      <c r="O1943" s="2">
        <v>45233.462087476852</v>
      </c>
      <c r="P1943">
        <v>1</v>
      </c>
      <c r="Q1943">
        <v>4</v>
      </c>
      <c r="R1943" t="s">
        <v>29</v>
      </c>
      <c r="S1943" t="s">
        <v>40</v>
      </c>
      <c r="T1943" t="s">
        <v>56</v>
      </c>
      <c r="U1943">
        <v>52.536273000000001</v>
      </c>
      <c r="V1943">
        <v>19.050639</v>
      </c>
      <c r="W1943" t="str">
        <f t="shared" si="211"/>
        <v>ok</v>
      </c>
      <c r="X1943" t="str">
        <f t="shared" si="217"/>
        <v>ok</v>
      </c>
      <c r="Y1943" t="str">
        <f t="shared" si="212"/>
        <v>ok</v>
      </c>
      <c r="Z1943" t="str">
        <f t="shared" si="213"/>
        <v>ok</v>
      </c>
      <c r="AA1943" s="4" t="str">
        <f t="shared" si="214"/>
        <v>ok</v>
      </c>
      <c r="AB1943" s="4" t="str">
        <f t="shared" si="215"/>
        <v>ok</v>
      </c>
      <c r="AC1943" s="6">
        <f t="shared" si="216"/>
        <v>29.537947222182993</v>
      </c>
    </row>
    <row r="1944" spans="1:29" x14ac:dyDescent="0.3">
      <c r="A1944" t="s">
        <v>22</v>
      </c>
      <c r="B1944">
        <v>3476</v>
      </c>
      <c r="C1944" t="s">
        <v>47</v>
      </c>
      <c r="D1944" t="s">
        <v>43</v>
      </c>
      <c r="E1944" t="s">
        <v>35</v>
      </c>
      <c r="F1944" t="s">
        <v>26</v>
      </c>
      <c r="G1944" t="s">
        <v>52</v>
      </c>
      <c r="H1944" s="1">
        <v>45231.95957175926</v>
      </c>
      <c r="I1944" s="1">
        <v>45232.95957175926</v>
      </c>
      <c r="J1944" s="1">
        <v>45231.960960648146</v>
      </c>
      <c r="K1944" s="2">
        <v>45231.960466898148</v>
      </c>
      <c r="L1944" t="s">
        <v>28</v>
      </c>
      <c r="M1944" s="2">
        <v>45232.743523495374</v>
      </c>
      <c r="N1944" t="s">
        <v>28</v>
      </c>
      <c r="O1944" s="2">
        <v>45239.040608009258</v>
      </c>
      <c r="P1944">
        <v>5</v>
      </c>
      <c r="Q1944">
        <v>4</v>
      </c>
      <c r="R1944" t="s">
        <v>39</v>
      </c>
      <c r="S1944" t="s">
        <v>30</v>
      </c>
      <c r="T1944" t="s">
        <v>61</v>
      </c>
      <c r="U1944">
        <v>42.724992499999999</v>
      </c>
      <c r="V1944">
        <v>25.483303899999999</v>
      </c>
      <c r="W1944" t="str">
        <f t="shared" si="211"/>
        <v>ok</v>
      </c>
      <c r="X1944" t="str">
        <f t="shared" si="217"/>
        <v>ok</v>
      </c>
      <c r="Y1944" t="str">
        <f t="shared" si="212"/>
        <v>ok</v>
      </c>
      <c r="Z1944" t="str">
        <f t="shared" si="213"/>
        <v>ok</v>
      </c>
      <c r="AA1944" s="4" t="str">
        <f t="shared" si="214"/>
        <v>ok</v>
      </c>
      <c r="AB1944" s="4" t="str">
        <f t="shared" si="215"/>
        <v>ok</v>
      </c>
      <c r="AC1944" s="6">
        <f t="shared" si="216"/>
        <v>18.814841666724533</v>
      </c>
    </row>
    <row r="1945" spans="1:29" x14ac:dyDescent="0.3">
      <c r="A1945" t="s">
        <v>22</v>
      </c>
      <c r="B1945">
        <v>3477</v>
      </c>
      <c r="C1945" t="s">
        <v>33</v>
      </c>
      <c r="D1945" t="s">
        <v>43</v>
      </c>
      <c r="E1945" t="s">
        <v>59</v>
      </c>
      <c r="F1945" t="s">
        <v>26</v>
      </c>
      <c r="G1945" t="s">
        <v>45</v>
      </c>
      <c r="H1945" s="1">
        <v>45231.389317129629</v>
      </c>
      <c r="I1945" s="1">
        <v>45232.389317129629</v>
      </c>
      <c r="J1945" s="1">
        <v>45231.390706018516</v>
      </c>
      <c r="K1945" s="2">
        <v>45231.392513090279</v>
      </c>
      <c r="L1945" t="s">
        <v>38</v>
      </c>
      <c r="M1945" s="2">
        <v>45232.066409409723</v>
      </c>
      <c r="N1945" t="s">
        <v>28</v>
      </c>
      <c r="O1945" s="2">
        <v>45235.633889594908</v>
      </c>
      <c r="P1945">
        <v>4</v>
      </c>
      <c r="Q1945">
        <v>4</v>
      </c>
      <c r="R1945" t="s">
        <v>50</v>
      </c>
      <c r="S1945" t="s">
        <v>30</v>
      </c>
      <c r="T1945" t="s">
        <v>51</v>
      </c>
      <c r="U1945">
        <v>39.673369999999998</v>
      </c>
      <c r="V1945">
        <v>-4.7677259999999997</v>
      </c>
      <c r="W1945" t="str">
        <f t="shared" si="211"/>
        <v>ok</v>
      </c>
      <c r="X1945" t="str">
        <f t="shared" si="217"/>
        <v>ok</v>
      </c>
      <c r="Y1945" t="str">
        <f t="shared" si="212"/>
        <v>ok</v>
      </c>
      <c r="Z1945" t="str">
        <f t="shared" si="213"/>
        <v>ok</v>
      </c>
      <c r="AA1945" s="4" t="str">
        <f t="shared" si="214"/>
        <v>ok</v>
      </c>
      <c r="AB1945" s="4" t="str">
        <f t="shared" si="215"/>
        <v>ok</v>
      </c>
      <c r="AC1945" s="6">
        <f t="shared" si="216"/>
        <v>16.250214722240344</v>
      </c>
    </row>
    <row r="1946" spans="1:29" x14ac:dyDescent="0.3">
      <c r="A1946" t="s">
        <v>42</v>
      </c>
      <c r="B1946">
        <v>3478</v>
      </c>
      <c r="C1946" t="s">
        <v>23</v>
      </c>
      <c r="D1946" t="s">
        <v>43</v>
      </c>
      <c r="E1946" t="s">
        <v>44</v>
      </c>
      <c r="F1946" t="s">
        <v>26</v>
      </c>
      <c r="G1946" t="s">
        <v>49</v>
      </c>
      <c r="H1946" s="1">
        <v>45231.886018518519</v>
      </c>
      <c r="I1946" s="1">
        <v>45232.886018518519</v>
      </c>
      <c r="J1946" s="1">
        <v>45231.887407407405</v>
      </c>
      <c r="K1946" s="2">
        <v>45231.88738497685</v>
      </c>
      <c r="L1946" t="s">
        <v>28</v>
      </c>
      <c r="M1946" s="2">
        <v>45235.52972982639</v>
      </c>
      <c r="N1946" t="s">
        <v>38</v>
      </c>
      <c r="P1946">
        <v>7</v>
      </c>
      <c r="R1946" t="s">
        <v>29</v>
      </c>
      <c r="S1946" t="s">
        <v>30</v>
      </c>
      <c r="T1946" t="s">
        <v>53</v>
      </c>
      <c r="U1946">
        <v>39.368279000000001</v>
      </c>
      <c r="V1946">
        <v>21.863140999999999</v>
      </c>
      <c r="W1946" t="str">
        <f t="shared" si="211"/>
        <v>ok</v>
      </c>
      <c r="X1946" t="str">
        <f t="shared" si="217"/>
        <v>ok</v>
      </c>
      <c r="Y1946" t="str">
        <f t="shared" si="212"/>
        <v>ok</v>
      </c>
      <c r="Z1946" t="str">
        <f t="shared" si="213"/>
        <v>ok</v>
      </c>
      <c r="AA1946" s="4" t="str">
        <f t="shared" si="214"/>
        <v>ok</v>
      </c>
      <c r="AB1946" s="4" t="str">
        <f t="shared" si="215"/>
        <v>ok</v>
      </c>
      <c r="AC1946" s="6">
        <f t="shared" si="216"/>
        <v>87.449071388924494</v>
      </c>
    </row>
    <row r="1947" spans="1:29" x14ac:dyDescent="0.3">
      <c r="A1947" t="s">
        <v>22</v>
      </c>
      <c r="B1947">
        <v>3479</v>
      </c>
      <c r="C1947" t="s">
        <v>23</v>
      </c>
      <c r="D1947" t="s">
        <v>24</v>
      </c>
      <c r="E1947" t="s">
        <v>35</v>
      </c>
      <c r="F1947" t="s">
        <v>26</v>
      </c>
      <c r="G1947" t="s">
        <v>27</v>
      </c>
      <c r="H1947" s="1">
        <v>45231.788321759261</v>
      </c>
      <c r="I1947" s="1">
        <v>45233.788321759261</v>
      </c>
      <c r="J1947" s="1">
        <v>45231.829988425925</v>
      </c>
      <c r="K1947" s="2">
        <v>45231.816453055559</v>
      </c>
      <c r="L1947" t="s">
        <v>28</v>
      </c>
      <c r="M1947" s="2">
        <v>45235.987862581016</v>
      </c>
      <c r="N1947" t="s">
        <v>38</v>
      </c>
      <c r="O1947" s="2">
        <v>45236.330948935189</v>
      </c>
      <c r="P1947">
        <v>5</v>
      </c>
      <c r="Q1947">
        <v>4</v>
      </c>
      <c r="R1947" t="s">
        <v>50</v>
      </c>
      <c r="S1947" t="s">
        <v>30</v>
      </c>
      <c r="T1947" t="s">
        <v>65</v>
      </c>
      <c r="U1947">
        <v>46.149166399999999</v>
      </c>
      <c r="V1947">
        <v>14.9860106</v>
      </c>
      <c r="W1947" t="str">
        <f t="shared" si="211"/>
        <v>ok</v>
      </c>
      <c r="X1947" t="str">
        <f t="shared" si="217"/>
        <v>ok</v>
      </c>
      <c r="Y1947" t="str">
        <f t="shared" si="212"/>
        <v>ok</v>
      </c>
      <c r="Z1947" t="str">
        <f t="shared" si="213"/>
        <v>ok</v>
      </c>
      <c r="AA1947" s="4" t="str">
        <f t="shared" si="214"/>
        <v>ok</v>
      </c>
      <c r="AB1947" s="4" t="str">
        <f t="shared" si="215"/>
        <v>ok</v>
      </c>
      <c r="AC1947" s="6">
        <f t="shared" si="216"/>
        <v>100.78897972212872</v>
      </c>
    </row>
    <row r="1948" spans="1:29" x14ac:dyDescent="0.3">
      <c r="A1948" t="s">
        <v>22</v>
      </c>
      <c r="B1948">
        <v>3480</v>
      </c>
      <c r="C1948" t="s">
        <v>33</v>
      </c>
      <c r="D1948" t="s">
        <v>43</v>
      </c>
      <c r="E1948" t="s">
        <v>59</v>
      </c>
      <c r="F1948" t="s">
        <v>26</v>
      </c>
      <c r="G1948" t="s">
        <v>49</v>
      </c>
      <c r="H1948" s="1">
        <v>45231.546851851854</v>
      </c>
      <c r="I1948" s="1">
        <v>45232.546851851854</v>
      </c>
      <c r="J1948" s="1">
        <v>45231.54824074074</v>
      </c>
      <c r="K1948" s="2">
        <v>45231.546906469906</v>
      </c>
      <c r="L1948" t="s">
        <v>28</v>
      </c>
      <c r="M1948" s="2">
        <v>45231.956562812498</v>
      </c>
      <c r="N1948" t="s">
        <v>28</v>
      </c>
      <c r="O1948" s="2">
        <v>45238.580056076389</v>
      </c>
      <c r="P1948">
        <v>5</v>
      </c>
      <c r="Q1948">
        <v>5</v>
      </c>
      <c r="R1948" t="s">
        <v>50</v>
      </c>
      <c r="S1948" t="s">
        <v>30</v>
      </c>
      <c r="T1948" t="s">
        <v>65</v>
      </c>
      <c r="U1948">
        <v>46.149166399999999</v>
      </c>
      <c r="V1948">
        <v>14.9860106</v>
      </c>
      <c r="W1948" t="str">
        <f t="shared" si="211"/>
        <v>ok</v>
      </c>
      <c r="X1948" t="str">
        <f t="shared" si="217"/>
        <v>ok</v>
      </c>
      <c r="Y1948" t="str">
        <f t="shared" si="212"/>
        <v>ok</v>
      </c>
      <c r="Z1948" t="str">
        <f t="shared" si="213"/>
        <v>ok</v>
      </c>
      <c r="AA1948" s="4" t="str">
        <f t="shared" si="214"/>
        <v>ok</v>
      </c>
      <c r="AB1948" s="4" t="str">
        <f t="shared" si="215"/>
        <v>ok</v>
      </c>
      <c r="AC1948" s="6">
        <f t="shared" si="216"/>
        <v>9.8330630554701202</v>
      </c>
    </row>
    <row r="1949" spans="1:29" x14ac:dyDescent="0.3">
      <c r="A1949" t="s">
        <v>42</v>
      </c>
      <c r="B1949">
        <v>3481</v>
      </c>
      <c r="C1949" t="s">
        <v>47</v>
      </c>
      <c r="D1949" t="s">
        <v>24</v>
      </c>
      <c r="E1949" t="s">
        <v>59</v>
      </c>
      <c r="F1949" t="s">
        <v>26</v>
      </c>
      <c r="G1949" t="s">
        <v>45</v>
      </c>
      <c r="H1949" s="1">
        <v>45231.996469907404</v>
      </c>
      <c r="I1949" s="1">
        <v>45233.996469907404</v>
      </c>
      <c r="J1949" s="1">
        <v>45232.038136574076</v>
      </c>
      <c r="K1949" s="2">
        <v>45232.018617222224</v>
      </c>
      <c r="L1949" t="s">
        <v>28</v>
      </c>
      <c r="M1949" s="2">
        <v>45233.264713935183</v>
      </c>
      <c r="N1949" t="s">
        <v>28</v>
      </c>
      <c r="P1949">
        <v>3</v>
      </c>
      <c r="R1949" t="s">
        <v>50</v>
      </c>
      <c r="S1949" t="s">
        <v>30</v>
      </c>
      <c r="T1949" t="s">
        <v>46</v>
      </c>
      <c r="U1949">
        <v>47.696471899999999</v>
      </c>
      <c r="V1949">
        <v>13.3457347</v>
      </c>
      <c r="W1949" t="str">
        <f t="shared" si="211"/>
        <v>ok</v>
      </c>
      <c r="X1949" t="str">
        <f t="shared" si="217"/>
        <v>ok</v>
      </c>
      <c r="Y1949" t="str">
        <f t="shared" si="212"/>
        <v>ok</v>
      </c>
      <c r="Z1949" t="str">
        <f t="shared" si="213"/>
        <v>ok</v>
      </c>
      <c r="AA1949" s="4" t="str">
        <f t="shared" si="214"/>
        <v>ok</v>
      </c>
      <c r="AB1949" s="4" t="str">
        <f t="shared" si="215"/>
        <v>ok</v>
      </c>
      <c r="AC1949" s="6">
        <f t="shared" si="216"/>
        <v>30.437856666685548</v>
      </c>
    </row>
    <row r="1950" spans="1:29" x14ac:dyDescent="0.3">
      <c r="A1950" t="s">
        <v>32</v>
      </c>
      <c r="B1950">
        <v>3482</v>
      </c>
      <c r="C1950" t="s">
        <v>33</v>
      </c>
      <c r="D1950" t="s">
        <v>24</v>
      </c>
      <c r="E1950" t="s">
        <v>48</v>
      </c>
      <c r="F1950" t="s">
        <v>36</v>
      </c>
      <c r="G1950" t="s">
        <v>37</v>
      </c>
      <c r="H1950" s="1">
        <v>45231.431875000002</v>
      </c>
      <c r="I1950" s="1">
        <v>45233.431875000002</v>
      </c>
      <c r="J1950" s="1">
        <v>45231.473541666666</v>
      </c>
      <c r="K1950" s="2">
        <v>45231.4531884838</v>
      </c>
      <c r="L1950" t="s">
        <v>28</v>
      </c>
      <c r="N1950" t="s">
        <v>38</v>
      </c>
      <c r="P1950">
        <v>2</v>
      </c>
      <c r="R1950" t="s">
        <v>29</v>
      </c>
      <c r="S1950" t="s">
        <v>40</v>
      </c>
      <c r="T1950" t="s">
        <v>56</v>
      </c>
      <c r="U1950">
        <v>52.536273000000001</v>
      </c>
      <c r="V1950">
        <v>19.050639</v>
      </c>
      <c r="W1950" t="str">
        <f t="shared" si="211"/>
        <v>ok</v>
      </c>
      <c r="X1950" t="str">
        <f t="shared" si="217"/>
        <v>ok</v>
      </c>
      <c r="Y1950" t="str">
        <f t="shared" si="212"/>
        <v>ok</v>
      </c>
      <c r="Z1950" t="str">
        <f t="shared" si="213"/>
        <v>ok</v>
      </c>
      <c r="AA1950" s="4" t="str">
        <f t="shared" si="214"/>
        <v>ok</v>
      </c>
      <c r="AB1950" s="4" t="str">
        <f t="shared" si="215"/>
        <v>no resolution</v>
      </c>
      <c r="AC1950" s="6" t="str">
        <f t="shared" si="216"/>
        <v/>
      </c>
    </row>
    <row r="1951" spans="1:29" x14ac:dyDescent="0.3">
      <c r="A1951" t="s">
        <v>22</v>
      </c>
      <c r="B1951">
        <v>3483</v>
      </c>
      <c r="C1951" t="s">
        <v>23</v>
      </c>
      <c r="D1951" t="s">
        <v>43</v>
      </c>
      <c r="E1951" t="s">
        <v>35</v>
      </c>
      <c r="F1951" t="s">
        <v>26</v>
      </c>
      <c r="G1951" t="s">
        <v>27</v>
      </c>
      <c r="H1951" s="1">
        <v>45231.640972222223</v>
      </c>
      <c r="I1951" s="1">
        <v>45232.640972222223</v>
      </c>
      <c r="J1951" s="1">
        <v>45231.642361111109</v>
      </c>
      <c r="K1951" s="2">
        <v>45231.644491145831</v>
      </c>
      <c r="L1951" t="s">
        <v>38</v>
      </c>
      <c r="M1951" s="2">
        <v>45232.34676197917</v>
      </c>
      <c r="N1951" t="s">
        <v>28</v>
      </c>
      <c r="O1951" s="2">
        <v>45236.718345856483</v>
      </c>
      <c r="P1951">
        <v>9</v>
      </c>
      <c r="Q1951">
        <v>4</v>
      </c>
      <c r="R1951" t="s">
        <v>50</v>
      </c>
      <c r="S1951" t="s">
        <v>30</v>
      </c>
      <c r="T1951" t="s">
        <v>65</v>
      </c>
      <c r="U1951">
        <v>46.149166399999999</v>
      </c>
      <c r="V1951">
        <v>14.9860106</v>
      </c>
      <c r="W1951" t="str">
        <f t="shared" si="211"/>
        <v>ok</v>
      </c>
      <c r="X1951" t="str">
        <f t="shared" si="217"/>
        <v>ok</v>
      </c>
      <c r="Y1951" t="str">
        <f t="shared" si="212"/>
        <v>ok</v>
      </c>
      <c r="Z1951" t="str">
        <f t="shared" si="213"/>
        <v>ok</v>
      </c>
      <c r="AA1951" s="4" t="str">
        <f t="shared" si="214"/>
        <v>ok</v>
      </c>
      <c r="AB1951" s="4" t="str">
        <f t="shared" si="215"/>
        <v>ok</v>
      </c>
      <c r="AC1951" s="6">
        <f t="shared" si="216"/>
        <v>16.938954166718759</v>
      </c>
    </row>
    <row r="1952" spans="1:29" x14ac:dyDescent="0.3">
      <c r="A1952" t="s">
        <v>32</v>
      </c>
      <c r="B1952">
        <v>3484</v>
      </c>
      <c r="C1952" t="s">
        <v>23</v>
      </c>
      <c r="D1952" t="s">
        <v>24</v>
      </c>
      <c r="E1952" t="s">
        <v>48</v>
      </c>
      <c r="F1952" t="s">
        <v>26</v>
      </c>
      <c r="G1952" t="s">
        <v>49</v>
      </c>
      <c r="H1952" s="1">
        <v>45231.346296296295</v>
      </c>
      <c r="I1952" s="1">
        <v>45233.346296296295</v>
      </c>
      <c r="J1952" s="1">
        <v>45231.387962962966</v>
      </c>
      <c r="K1952" s="2">
        <v>45231.358373738425</v>
      </c>
      <c r="L1952" t="s">
        <v>28</v>
      </c>
      <c r="N1952" t="s">
        <v>38</v>
      </c>
      <c r="P1952">
        <v>1</v>
      </c>
      <c r="R1952" t="s">
        <v>50</v>
      </c>
      <c r="S1952" t="s">
        <v>30</v>
      </c>
      <c r="T1952" t="s">
        <v>41</v>
      </c>
      <c r="U1952">
        <v>43.036776000000003</v>
      </c>
      <c r="V1952">
        <v>12.678565000000001</v>
      </c>
      <c r="W1952" t="str">
        <f t="shared" si="211"/>
        <v>ok</v>
      </c>
      <c r="X1952" t="str">
        <f t="shared" si="217"/>
        <v>ok</v>
      </c>
      <c r="Y1952" t="str">
        <f t="shared" si="212"/>
        <v>ok</v>
      </c>
      <c r="Z1952" t="str">
        <f t="shared" si="213"/>
        <v>ok</v>
      </c>
      <c r="AA1952" s="4" t="str">
        <f t="shared" si="214"/>
        <v>ok</v>
      </c>
      <c r="AB1952" s="4" t="str">
        <f t="shared" si="215"/>
        <v>no resolution</v>
      </c>
      <c r="AC1952" s="6" t="str">
        <f t="shared" si="216"/>
        <v/>
      </c>
    </row>
    <row r="1953" spans="1:29" x14ac:dyDescent="0.3">
      <c r="A1953" t="s">
        <v>22</v>
      </c>
      <c r="B1953">
        <v>3485</v>
      </c>
      <c r="C1953" t="s">
        <v>47</v>
      </c>
      <c r="D1953" t="s">
        <v>34</v>
      </c>
      <c r="E1953" t="s">
        <v>35</v>
      </c>
      <c r="F1953" t="s">
        <v>26</v>
      </c>
      <c r="G1953" t="s">
        <v>27</v>
      </c>
      <c r="H1953" s="1">
        <v>45231.292453703703</v>
      </c>
      <c r="I1953" s="1">
        <v>45233.292453703703</v>
      </c>
      <c r="J1953" s="1">
        <v>45231.293842592589</v>
      </c>
      <c r="K1953" s="2">
        <v>45231.29378320602</v>
      </c>
      <c r="L1953" t="s">
        <v>28</v>
      </c>
      <c r="M1953" s="2">
        <v>45232.636185844909</v>
      </c>
      <c r="N1953" t="s">
        <v>28</v>
      </c>
      <c r="O1953" s="2">
        <v>45237.337002152781</v>
      </c>
      <c r="P1953">
        <v>7</v>
      </c>
      <c r="Q1953">
        <v>2</v>
      </c>
      <c r="R1953" t="s">
        <v>50</v>
      </c>
      <c r="S1953" t="s">
        <v>30</v>
      </c>
      <c r="T1953" t="s">
        <v>63</v>
      </c>
      <c r="U1953">
        <v>55.378051999999997</v>
      </c>
      <c r="V1953">
        <v>-3.4359730000000002</v>
      </c>
      <c r="W1953" t="str">
        <f t="shared" si="211"/>
        <v>ok</v>
      </c>
      <c r="X1953" t="str">
        <f t="shared" si="217"/>
        <v>ok</v>
      </c>
      <c r="Y1953" t="str">
        <f t="shared" si="212"/>
        <v>ok</v>
      </c>
      <c r="Z1953" t="str">
        <f t="shared" si="213"/>
        <v>ok</v>
      </c>
      <c r="AA1953" s="4" t="str">
        <f t="shared" si="214"/>
        <v>ok</v>
      </c>
      <c r="AB1953" s="4" t="str">
        <f t="shared" si="215"/>
        <v>ok</v>
      </c>
      <c r="AC1953" s="6">
        <f t="shared" si="216"/>
        <v>32.249571388936602</v>
      </c>
    </row>
    <row r="1954" spans="1:29" x14ac:dyDescent="0.3">
      <c r="A1954" t="s">
        <v>32</v>
      </c>
      <c r="B1954">
        <v>3486</v>
      </c>
      <c r="C1954" t="s">
        <v>23</v>
      </c>
      <c r="D1954" t="s">
        <v>24</v>
      </c>
      <c r="E1954" t="s">
        <v>48</v>
      </c>
      <c r="F1954" t="s">
        <v>26</v>
      </c>
      <c r="G1954" t="s">
        <v>27</v>
      </c>
      <c r="H1954" s="1">
        <v>45232.809340277781</v>
      </c>
      <c r="I1954" s="1">
        <v>45234.809340277781</v>
      </c>
      <c r="J1954" s="1">
        <v>45232.851006944446</v>
      </c>
      <c r="K1954" s="2">
        <v>45232.859489351853</v>
      </c>
      <c r="L1954" t="s">
        <v>38</v>
      </c>
      <c r="N1954" t="s">
        <v>38</v>
      </c>
      <c r="P1954">
        <v>3</v>
      </c>
      <c r="R1954" t="s">
        <v>29</v>
      </c>
      <c r="S1954" t="s">
        <v>30</v>
      </c>
      <c r="T1954" t="s">
        <v>63</v>
      </c>
      <c r="U1954">
        <v>55.378051999999997</v>
      </c>
      <c r="V1954">
        <v>-3.4359730000000002</v>
      </c>
      <c r="W1954" t="str">
        <f t="shared" si="211"/>
        <v>ok</v>
      </c>
      <c r="X1954" t="str">
        <f t="shared" si="217"/>
        <v>ok</v>
      </c>
      <c r="Y1954" t="str">
        <f t="shared" si="212"/>
        <v>ok</v>
      </c>
      <c r="Z1954" t="str">
        <f t="shared" si="213"/>
        <v>ok</v>
      </c>
      <c r="AA1954" s="4" t="str">
        <f t="shared" si="214"/>
        <v>ok</v>
      </c>
      <c r="AB1954" s="4" t="str">
        <f t="shared" si="215"/>
        <v>no resolution</v>
      </c>
      <c r="AC1954" s="6" t="str">
        <f t="shared" si="216"/>
        <v/>
      </c>
    </row>
    <row r="1955" spans="1:29" x14ac:dyDescent="0.3">
      <c r="A1955" t="s">
        <v>42</v>
      </c>
      <c r="B1955">
        <v>3487</v>
      </c>
      <c r="C1955" t="s">
        <v>47</v>
      </c>
      <c r="D1955" t="s">
        <v>24</v>
      </c>
      <c r="E1955" t="s">
        <v>35</v>
      </c>
      <c r="F1955" t="s">
        <v>36</v>
      </c>
      <c r="G1955" t="s">
        <v>37</v>
      </c>
      <c r="H1955" s="1">
        <v>45232.258634259262</v>
      </c>
      <c r="I1955" s="1">
        <v>45234.258634259262</v>
      </c>
      <c r="J1955" s="1">
        <v>45232.300300925926</v>
      </c>
      <c r="K1955" s="2">
        <v>45232.297983252312</v>
      </c>
      <c r="L1955" t="s">
        <v>28</v>
      </c>
      <c r="M1955" s="2">
        <v>45232.424300092593</v>
      </c>
      <c r="N1955" t="s">
        <v>28</v>
      </c>
      <c r="P1955">
        <v>1</v>
      </c>
      <c r="R1955" t="s">
        <v>50</v>
      </c>
      <c r="S1955" t="s">
        <v>40</v>
      </c>
      <c r="T1955" t="s">
        <v>56</v>
      </c>
      <c r="U1955">
        <v>52.536273000000001</v>
      </c>
      <c r="V1955">
        <v>19.050639</v>
      </c>
      <c r="W1955" t="str">
        <f t="shared" si="211"/>
        <v>ok</v>
      </c>
      <c r="X1955" t="str">
        <f t="shared" si="217"/>
        <v>ok</v>
      </c>
      <c r="Y1955" t="str">
        <f t="shared" si="212"/>
        <v>ok</v>
      </c>
      <c r="Z1955" t="str">
        <f t="shared" si="213"/>
        <v>ok</v>
      </c>
      <c r="AA1955" s="4" t="str">
        <f t="shared" si="214"/>
        <v>ok</v>
      </c>
      <c r="AB1955" s="4" t="str">
        <f t="shared" si="215"/>
        <v>ok</v>
      </c>
      <c r="AC1955" s="6">
        <f t="shared" si="216"/>
        <v>3.9759799999301322</v>
      </c>
    </row>
    <row r="1956" spans="1:29" x14ac:dyDescent="0.3">
      <c r="A1956" t="s">
        <v>22</v>
      </c>
      <c r="B1956">
        <v>3488</v>
      </c>
      <c r="C1956" t="s">
        <v>47</v>
      </c>
      <c r="D1956" t="s">
        <v>43</v>
      </c>
      <c r="E1956" t="s">
        <v>39</v>
      </c>
      <c r="F1956" t="s">
        <v>26</v>
      </c>
      <c r="G1956" t="s">
        <v>49</v>
      </c>
      <c r="H1956" s="1">
        <v>45232.075532407405</v>
      </c>
      <c r="I1956" s="1">
        <v>45233.075532407405</v>
      </c>
      <c r="J1956" s="1">
        <v>45232.076921296299</v>
      </c>
      <c r="K1956" s="2">
        <v>45232.076012824073</v>
      </c>
      <c r="L1956" t="s">
        <v>28</v>
      </c>
      <c r="M1956" s="2">
        <v>45234.424160648145</v>
      </c>
      <c r="N1956" t="s">
        <v>38</v>
      </c>
      <c r="O1956" s="2">
        <v>45234.825255405092</v>
      </c>
      <c r="P1956">
        <v>5</v>
      </c>
      <c r="Q1956">
        <v>5</v>
      </c>
      <c r="R1956" t="s">
        <v>29</v>
      </c>
      <c r="S1956" t="s">
        <v>30</v>
      </c>
      <c r="T1956" t="s">
        <v>57</v>
      </c>
      <c r="U1956">
        <v>51.165691000000002</v>
      </c>
      <c r="V1956">
        <v>10.451525999999999</v>
      </c>
      <c r="W1956" t="str">
        <f t="shared" si="211"/>
        <v>ok</v>
      </c>
      <c r="X1956" t="str">
        <f t="shared" si="217"/>
        <v>ok</v>
      </c>
      <c r="Y1956" t="str">
        <f t="shared" si="212"/>
        <v>ok</v>
      </c>
      <c r="Z1956" t="str">
        <f t="shared" si="213"/>
        <v>ok</v>
      </c>
      <c r="AA1956" s="4" t="str">
        <f t="shared" si="214"/>
        <v>ok</v>
      </c>
      <c r="AB1956" s="4" t="str">
        <f t="shared" si="215"/>
        <v>ok</v>
      </c>
      <c r="AC1956" s="6">
        <f t="shared" si="216"/>
        <v>56.367077777744271</v>
      </c>
    </row>
    <row r="1957" spans="1:29" x14ac:dyDescent="0.3">
      <c r="A1957" t="s">
        <v>22</v>
      </c>
      <c r="B1957">
        <v>3489</v>
      </c>
      <c r="C1957" t="s">
        <v>33</v>
      </c>
      <c r="D1957" t="s">
        <v>43</v>
      </c>
      <c r="E1957" t="s">
        <v>35</v>
      </c>
      <c r="F1957" t="s">
        <v>36</v>
      </c>
      <c r="G1957" t="s">
        <v>64</v>
      </c>
      <c r="H1957" s="1">
        <v>45232.460034722222</v>
      </c>
      <c r="I1957" s="1">
        <v>45233.460034722222</v>
      </c>
      <c r="J1957" s="1">
        <v>45232.461423611108</v>
      </c>
      <c r="K1957" s="2">
        <v>45232.461152465279</v>
      </c>
      <c r="L1957" t="s">
        <v>28</v>
      </c>
      <c r="M1957" s="2">
        <v>45232.708806921299</v>
      </c>
      <c r="N1957" t="s">
        <v>28</v>
      </c>
      <c r="O1957" s="2">
        <v>45236.671881354167</v>
      </c>
      <c r="P1957">
        <v>8</v>
      </c>
      <c r="Q1957">
        <v>4</v>
      </c>
      <c r="R1957" t="s">
        <v>39</v>
      </c>
      <c r="S1957" t="s">
        <v>40</v>
      </c>
      <c r="T1957" t="s">
        <v>65</v>
      </c>
      <c r="U1957">
        <v>46.149166399999999</v>
      </c>
      <c r="V1957">
        <v>14.9860106</v>
      </c>
      <c r="W1957" t="str">
        <f t="shared" si="211"/>
        <v>ok</v>
      </c>
      <c r="X1957" t="str">
        <f t="shared" si="217"/>
        <v>ok</v>
      </c>
      <c r="Y1957" t="str">
        <f t="shared" si="212"/>
        <v>ok</v>
      </c>
      <c r="Z1957" t="str">
        <f t="shared" si="213"/>
        <v>ok</v>
      </c>
      <c r="AA1957" s="4" t="str">
        <f t="shared" si="214"/>
        <v>ok</v>
      </c>
      <c r="AB1957" s="4" t="str">
        <f t="shared" si="215"/>
        <v>ok</v>
      </c>
      <c r="AC1957" s="6">
        <f t="shared" si="216"/>
        <v>5.970532777835615</v>
      </c>
    </row>
    <row r="1958" spans="1:29" x14ac:dyDescent="0.3">
      <c r="A1958" t="s">
        <v>32</v>
      </c>
      <c r="B1958">
        <v>3490</v>
      </c>
      <c r="C1958" t="s">
        <v>23</v>
      </c>
      <c r="D1958" t="s">
        <v>24</v>
      </c>
      <c r="E1958" t="s">
        <v>35</v>
      </c>
      <c r="F1958" t="s">
        <v>36</v>
      </c>
      <c r="G1958" t="s">
        <v>37</v>
      </c>
      <c r="H1958" s="1">
        <v>45232.117280092592</v>
      </c>
      <c r="I1958" s="1">
        <v>45234.117280092592</v>
      </c>
      <c r="J1958" s="1">
        <v>45232.158946759257</v>
      </c>
      <c r="K1958" s="2">
        <v>45232.155091678243</v>
      </c>
      <c r="L1958" t="s">
        <v>28</v>
      </c>
      <c r="N1958" t="s">
        <v>38</v>
      </c>
      <c r="P1958">
        <v>1</v>
      </c>
      <c r="R1958" t="s">
        <v>29</v>
      </c>
      <c r="S1958" t="s">
        <v>40</v>
      </c>
      <c r="T1958" t="s">
        <v>53</v>
      </c>
      <c r="U1958">
        <v>39.368279000000001</v>
      </c>
      <c r="V1958">
        <v>21.863140999999999</v>
      </c>
      <c r="W1958" t="str">
        <f t="shared" si="211"/>
        <v>ok</v>
      </c>
      <c r="X1958" t="str">
        <f t="shared" si="217"/>
        <v>ok</v>
      </c>
      <c r="Y1958" t="str">
        <f t="shared" si="212"/>
        <v>ok</v>
      </c>
      <c r="Z1958" t="str">
        <f t="shared" si="213"/>
        <v>ok</v>
      </c>
      <c r="AA1958" s="4" t="str">
        <f t="shared" si="214"/>
        <v>ok</v>
      </c>
      <c r="AB1958" s="4" t="str">
        <f t="shared" si="215"/>
        <v>no resolution</v>
      </c>
      <c r="AC1958" s="6" t="str">
        <f t="shared" si="216"/>
        <v/>
      </c>
    </row>
    <row r="1959" spans="1:29" x14ac:dyDescent="0.3">
      <c r="A1959" t="s">
        <v>22</v>
      </c>
      <c r="B1959">
        <v>3491</v>
      </c>
      <c r="C1959" t="s">
        <v>33</v>
      </c>
      <c r="D1959" t="s">
        <v>43</v>
      </c>
      <c r="E1959" t="s">
        <v>25</v>
      </c>
      <c r="F1959" t="s">
        <v>26</v>
      </c>
      <c r="G1959" t="s">
        <v>52</v>
      </c>
      <c r="H1959" s="1">
        <v>45232.532442129632</v>
      </c>
      <c r="I1959" s="1">
        <v>45233.532442129632</v>
      </c>
      <c r="J1959" s="1">
        <v>45232.533831018518</v>
      </c>
      <c r="K1959" s="2">
        <v>45232.533421770837</v>
      </c>
      <c r="L1959" t="s">
        <v>28</v>
      </c>
      <c r="M1959" s="2">
        <v>45232.979626192129</v>
      </c>
      <c r="N1959" t="s">
        <v>28</v>
      </c>
      <c r="O1959" s="2">
        <v>45238.384212395831</v>
      </c>
      <c r="P1959">
        <v>9</v>
      </c>
      <c r="Q1959">
        <v>4</v>
      </c>
      <c r="R1959" t="s">
        <v>29</v>
      </c>
      <c r="S1959" t="s">
        <v>30</v>
      </c>
      <c r="T1959" t="s">
        <v>31</v>
      </c>
      <c r="U1959">
        <v>53.094023999999997</v>
      </c>
      <c r="V1959">
        <v>-8.0196749999999994</v>
      </c>
      <c r="W1959" t="str">
        <f t="shared" si="211"/>
        <v>ok</v>
      </c>
      <c r="X1959" t="str">
        <f t="shared" si="217"/>
        <v>ok</v>
      </c>
      <c r="Y1959" t="str">
        <f t="shared" si="212"/>
        <v>ok</v>
      </c>
      <c r="Z1959" t="str">
        <f t="shared" si="213"/>
        <v>ok</v>
      </c>
      <c r="AA1959" s="4" t="str">
        <f t="shared" si="214"/>
        <v>ok</v>
      </c>
      <c r="AB1959" s="4" t="str">
        <f t="shared" si="215"/>
        <v>ok</v>
      </c>
      <c r="AC1959" s="6">
        <f t="shared" si="216"/>
        <v>10.732417499937583</v>
      </c>
    </row>
    <row r="1960" spans="1:29" x14ac:dyDescent="0.3">
      <c r="A1960" t="s">
        <v>22</v>
      </c>
      <c r="B1960">
        <v>3492</v>
      </c>
      <c r="C1960" t="s">
        <v>33</v>
      </c>
      <c r="D1960" t="s">
        <v>24</v>
      </c>
      <c r="E1960" t="s">
        <v>35</v>
      </c>
      <c r="F1960" t="s">
        <v>26</v>
      </c>
      <c r="G1960" t="s">
        <v>60</v>
      </c>
      <c r="H1960" s="1">
        <v>45232.656712962962</v>
      </c>
      <c r="I1960" s="1">
        <v>45234.656712962962</v>
      </c>
      <c r="J1960" s="1">
        <v>45232.698379629626</v>
      </c>
      <c r="K1960" s="2">
        <v>45232.674472534723</v>
      </c>
      <c r="L1960" t="s">
        <v>28</v>
      </c>
      <c r="M1960" s="2">
        <v>45237.115789050928</v>
      </c>
      <c r="N1960" t="s">
        <v>38</v>
      </c>
      <c r="O1960" s="2">
        <v>45238.518939259258</v>
      </c>
      <c r="P1960">
        <v>6</v>
      </c>
      <c r="Q1960">
        <v>1</v>
      </c>
      <c r="R1960" t="s">
        <v>39</v>
      </c>
      <c r="S1960" t="s">
        <v>30</v>
      </c>
      <c r="T1960" t="s">
        <v>66</v>
      </c>
      <c r="U1960">
        <v>48.864716000000001</v>
      </c>
      <c r="V1960">
        <v>2.3490139999999999</v>
      </c>
      <c r="W1960" t="str">
        <f t="shared" si="211"/>
        <v>ok</v>
      </c>
      <c r="X1960" t="str">
        <f t="shared" si="217"/>
        <v>ok</v>
      </c>
      <c r="Y1960" t="str">
        <f t="shared" si="212"/>
        <v>ok</v>
      </c>
      <c r="Z1960" t="str">
        <f t="shared" si="213"/>
        <v>ok</v>
      </c>
      <c r="AA1960" s="4" t="str">
        <f t="shared" si="214"/>
        <v>ok</v>
      </c>
      <c r="AB1960" s="4" t="str">
        <f t="shared" si="215"/>
        <v>ok</v>
      </c>
      <c r="AC1960" s="6">
        <f t="shared" si="216"/>
        <v>107.01782611117233</v>
      </c>
    </row>
    <row r="1961" spans="1:29" x14ac:dyDescent="0.3">
      <c r="A1961" t="s">
        <v>42</v>
      </c>
      <c r="B1961">
        <v>3493</v>
      </c>
      <c r="C1961" t="s">
        <v>23</v>
      </c>
      <c r="D1961" t="s">
        <v>24</v>
      </c>
      <c r="E1961" t="s">
        <v>39</v>
      </c>
      <c r="F1961" t="s">
        <v>26</v>
      </c>
      <c r="G1961" t="s">
        <v>49</v>
      </c>
      <c r="H1961" s="1">
        <v>45232.333472222221</v>
      </c>
      <c r="I1961" s="1">
        <v>45234.333472222221</v>
      </c>
      <c r="J1961" s="1">
        <v>45232.375138888892</v>
      </c>
      <c r="K1961" s="2">
        <v>45232.346917523151</v>
      </c>
      <c r="L1961" t="s">
        <v>28</v>
      </c>
      <c r="M1961" s="2">
        <v>45232.599043182869</v>
      </c>
      <c r="N1961" t="s">
        <v>28</v>
      </c>
      <c r="P1961">
        <v>7</v>
      </c>
      <c r="R1961" t="s">
        <v>39</v>
      </c>
      <c r="S1961" t="s">
        <v>30</v>
      </c>
      <c r="T1961" t="s">
        <v>58</v>
      </c>
      <c r="U1961">
        <v>49.8037633</v>
      </c>
      <c r="V1961">
        <v>15.4749126</v>
      </c>
      <c r="W1961" t="str">
        <f t="shared" si="211"/>
        <v>ok</v>
      </c>
      <c r="X1961" t="str">
        <f t="shared" si="217"/>
        <v>ok</v>
      </c>
      <c r="Y1961" t="str">
        <f t="shared" si="212"/>
        <v>ok</v>
      </c>
      <c r="Z1961" t="str">
        <f t="shared" si="213"/>
        <v>ok</v>
      </c>
      <c r="AA1961" s="4" t="str">
        <f t="shared" si="214"/>
        <v>ok</v>
      </c>
      <c r="AB1961" s="4" t="str">
        <f t="shared" si="215"/>
        <v>ok</v>
      </c>
      <c r="AC1961" s="6">
        <f t="shared" si="216"/>
        <v>6.373703055549413</v>
      </c>
    </row>
    <row r="1962" spans="1:29" x14ac:dyDescent="0.3">
      <c r="A1962" t="s">
        <v>32</v>
      </c>
      <c r="B1962">
        <v>3494</v>
      </c>
      <c r="C1962" t="s">
        <v>33</v>
      </c>
      <c r="D1962" t="s">
        <v>43</v>
      </c>
      <c r="E1962" t="s">
        <v>67</v>
      </c>
      <c r="F1962" t="s">
        <v>26</v>
      </c>
      <c r="G1962" t="s">
        <v>52</v>
      </c>
      <c r="H1962" s="1">
        <v>45232.644131944442</v>
      </c>
      <c r="I1962" s="1">
        <v>45233.644131944442</v>
      </c>
      <c r="J1962" s="1">
        <v>45232.645520833335</v>
      </c>
      <c r="K1962" s="2">
        <v>45232.645458611114</v>
      </c>
      <c r="L1962" t="s">
        <v>28</v>
      </c>
      <c r="N1962" t="s">
        <v>38</v>
      </c>
      <c r="P1962">
        <v>6</v>
      </c>
      <c r="R1962" t="s">
        <v>29</v>
      </c>
      <c r="S1962" t="s">
        <v>30</v>
      </c>
      <c r="T1962" t="s">
        <v>41</v>
      </c>
      <c r="U1962">
        <v>43.036776000000003</v>
      </c>
      <c r="V1962">
        <v>12.678565000000001</v>
      </c>
      <c r="W1962" t="str">
        <f t="shared" si="211"/>
        <v>ok</v>
      </c>
      <c r="X1962" t="str">
        <f t="shared" si="217"/>
        <v>ok</v>
      </c>
      <c r="Y1962" t="str">
        <f t="shared" si="212"/>
        <v>ok</v>
      </c>
      <c r="Z1962" t="str">
        <f t="shared" si="213"/>
        <v>ok</v>
      </c>
      <c r="AA1962" s="4" t="str">
        <f t="shared" si="214"/>
        <v>ok</v>
      </c>
      <c r="AB1962" s="4" t="str">
        <f t="shared" si="215"/>
        <v>no resolution</v>
      </c>
      <c r="AC1962" s="6" t="str">
        <f t="shared" si="216"/>
        <v/>
      </c>
    </row>
    <row r="1963" spans="1:29" x14ac:dyDescent="0.3">
      <c r="A1963" t="s">
        <v>22</v>
      </c>
      <c r="B1963">
        <v>3495</v>
      </c>
      <c r="C1963" t="s">
        <v>23</v>
      </c>
      <c r="D1963" t="s">
        <v>24</v>
      </c>
      <c r="E1963" t="s">
        <v>59</v>
      </c>
      <c r="F1963" t="s">
        <v>36</v>
      </c>
      <c r="G1963" t="s">
        <v>37</v>
      </c>
      <c r="H1963" s="1">
        <v>45232.270543981482</v>
      </c>
      <c r="I1963" s="1">
        <v>45234.270543981482</v>
      </c>
      <c r="J1963" s="1">
        <v>45232.312210648146</v>
      </c>
      <c r="K1963" s="2">
        <v>45232.30300644676</v>
      </c>
      <c r="L1963" t="s">
        <v>28</v>
      </c>
      <c r="M1963" s="2">
        <v>45232.932740868055</v>
      </c>
      <c r="N1963" t="s">
        <v>28</v>
      </c>
      <c r="O1963" s="2">
        <v>45233.079305659725</v>
      </c>
      <c r="P1963">
        <v>1</v>
      </c>
      <c r="Q1963">
        <v>5</v>
      </c>
      <c r="R1963" t="s">
        <v>50</v>
      </c>
      <c r="S1963" t="s">
        <v>40</v>
      </c>
      <c r="T1963" t="s">
        <v>57</v>
      </c>
      <c r="U1963">
        <v>51.165691000000002</v>
      </c>
      <c r="V1963">
        <v>10.451525999999999</v>
      </c>
      <c r="W1963" t="str">
        <f t="shared" si="211"/>
        <v>ok</v>
      </c>
      <c r="X1963" t="str">
        <f t="shared" si="217"/>
        <v>ok</v>
      </c>
      <c r="Y1963" t="str">
        <f t="shared" si="212"/>
        <v>ok</v>
      </c>
      <c r="Z1963" t="str">
        <f t="shared" si="213"/>
        <v>ok</v>
      </c>
      <c r="AA1963" s="4" t="str">
        <f t="shared" si="214"/>
        <v>ok</v>
      </c>
      <c r="AB1963" s="4" t="str">
        <f t="shared" si="215"/>
        <v>ok</v>
      </c>
      <c r="AC1963" s="6">
        <f t="shared" si="216"/>
        <v>15.892725277750287</v>
      </c>
    </row>
    <row r="1964" spans="1:29" x14ac:dyDescent="0.3">
      <c r="A1964" t="s">
        <v>22</v>
      </c>
      <c r="B1964">
        <v>3496</v>
      </c>
      <c r="C1964" t="s">
        <v>33</v>
      </c>
      <c r="D1964" t="s">
        <v>43</v>
      </c>
      <c r="E1964" t="s">
        <v>25</v>
      </c>
      <c r="F1964" t="s">
        <v>26</v>
      </c>
      <c r="G1964" t="s">
        <v>60</v>
      </c>
      <c r="H1964" s="1">
        <v>45233.741076388891</v>
      </c>
      <c r="I1964" s="1">
        <v>45234.741076388891</v>
      </c>
      <c r="J1964" s="1">
        <v>45233.742465277777</v>
      </c>
      <c r="K1964" s="2">
        <v>45233.74132390046</v>
      </c>
      <c r="L1964" t="s">
        <v>28</v>
      </c>
      <c r="M1964" s="2">
        <v>45234.658571874999</v>
      </c>
      <c r="N1964" t="s">
        <v>28</v>
      </c>
      <c r="O1964" s="2">
        <v>45235.809252256942</v>
      </c>
      <c r="P1964">
        <v>6</v>
      </c>
      <c r="Q1964">
        <v>5</v>
      </c>
      <c r="R1964" t="s">
        <v>29</v>
      </c>
      <c r="S1964" t="s">
        <v>30</v>
      </c>
      <c r="T1964" t="s">
        <v>46</v>
      </c>
      <c r="U1964">
        <v>47.696471899999999</v>
      </c>
      <c r="V1964">
        <v>13.3457347</v>
      </c>
      <c r="W1964" t="str">
        <f t="shared" si="211"/>
        <v>ok</v>
      </c>
      <c r="X1964" t="str">
        <f t="shared" si="217"/>
        <v>ok</v>
      </c>
      <c r="Y1964" t="str">
        <f t="shared" si="212"/>
        <v>ok</v>
      </c>
      <c r="Z1964" t="str">
        <f t="shared" si="213"/>
        <v>ok</v>
      </c>
      <c r="AA1964" s="4" t="str">
        <f t="shared" si="214"/>
        <v>ok</v>
      </c>
      <c r="AB1964" s="4" t="str">
        <f t="shared" si="215"/>
        <v>ok</v>
      </c>
      <c r="AC1964" s="6">
        <f t="shared" si="216"/>
        <v>22.019891666597687</v>
      </c>
    </row>
    <row r="1965" spans="1:29" x14ac:dyDescent="0.3">
      <c r="A1965" t="s">
        <v>22</v>
      </c>
      <c r="B1965">
        <v>3497</v>
      </c>
      <c r="C1965" t="s">
        <v>47</v>
      </c>
      <c r="D1965" t="s">
        <v>24</v>
      </c>
      <c r="E1965" t="s">
        <v>59</v>
      </c>
      <c r="F1965" t="s">
        <v>26</v>
      </c>
      <c r="G1965" t="s">
        <v>60</v>
      </c>
      <c r="H1965" s="1">
        <v>45233.774907407409</v>
      </c>
      <c r="I1965" s="1">
        <v>45235.774907407409</v>
      </c>
      <c r="J1965" s="1">
        <v>45233.816574074073</v>
      </c>
      <c r="K1965" s="2">
        <v>45233.782884571759</v>
      </c>
      <c r="L1965" t="s">
        <v>28</v>
      </c>
      <c r="M1965" s="2">
        <v>45233.91918597222</v>
      </c>
      <c r="N1965" t="s">
        <v>28</v>
      </c>
      <c r="O1965" s="2">
        <v>45236.140546134258</v>
      </c>
      <c r="P1965">
        <v>9</v>
      </c>
      <c r="Q1965">
        <v>3</v>
      </c>
      <c r="R1965" t="s">
        <v>50</v>
      </c>
      <c r="S1965" t="s">
        <v>30</v>
      </c>
      <c r="T1965" t="s">
        <v>58</v>
      </c>
      <c r="U1965">
        <v>49.8037633</v>
      </c>
      <c r="V1965">
        <v>15.4749126</v>
      </c>
      <c r="W1965" t="str">
        <f t="shared" si="211"/>
        <v>ok</v>
      </c>
      <c r="X1965" t="str">
        <f t="shared" si="217"/>
        <v>ok</v>
      </c>
      <c r="Y1965" t="str">
        <f t="shared" si="212"/>
        <v>ok</v>
      </c>
      <c r="Z1965" t="str">
        <f t="shared" si="213"/>
        <v>ok</v>
      </c>
      <c r="AA1965" s="4" t="str">
        <f t="shared" si="214"/>
        <v>ok</v>
      </c>
      <c r="AB1965" s="4" t="str">
        <f t="shared" si="215"/>
        <v>ok</v>
      </c>
      <c r="AC1965" s="6">
        <f t="shared" si="216"/>
        <v>3.4626855554524809</v>
      </c>
    </row>
    <row r="1966" spans="1:29" x14ac:dyDescent="0.3">
      <c r="A1966" t="s">
        <v>22</v>
      </c>
      <c r="B1966">
        <v>3498</v>
      </c>
      <c r="C1966" t="s">
        <v>23</v>
      </c>
      <c r="D1966" t="s">
        <v>43</v>
      </c>
      <c r="E1966" t="s">
        <v>48</v>
      </c>
      <c r="F1966" t="s">
        <v>26</v>
      </c>
      <c r="G1966" t="s">
        <v>60</v>
      </c>
      <c r="H1966" s="1">
        <v>45233.821481481478</v>
      </c>
      <c r="I1966" s="1">
        <v>45234.821481481478</v>
      </c>
      <c r="J1966" s="1">
        <v>45233.822870370372</v>
      </c>
      <c r="K1966" s="2">
        <v>45233.821999050924</v>
      </c>
      <c r="L1966" t="s">
        <v>28</v>
      </c>
      <c r="M1966" s="2">
        <v>45238.286058668979</v>
      </c>
      <c r="N1966" t="s">
        <v>38</v>
      </c>
      <c r="O1966" s="2">
        <v>45239.7212806713</v>
      </c>
      <c r="P1966">
        <v>4</v>
      </c>
      <c r="Q1966">
        <v>4</v>
      </c>
      <c r="R1966" t="s">
        <v>55</v>
      </c>
      <c r="S1966" t="s">
        <v>30</v>
      </c>
      <c r="T1966" t="s">
        <v>65</v>
      </c>
      <c r="U1966">
        <v>46.149166399999999</v>
      </c>
      <c r="V1966">
        <v>14.9860106</v>
      </c>
      <c r="W1966" t="str">
        <f t="shared" si="211"/>
        <v>ok</v>
      </c>
      <c r="X1966" t="str">
        <f t="shared" si="217"/>
        <v>ok</v>
      </c>
      <c r="Y1966" t="str">
        <f t="shared" si="212"/>
        <v>ok</v>
      </c>
      <c r="Z1966" t="str">
        <f t="shared" si="213"/>
        <v>ok</v>
      </c>
      <c r="AA1966" s="4" t="str">
        <f t="shared" si="214"/>
        <v>ok</v>
      </c>
      <c r="AB1966" s="4" t="str">
        <f t="shared" si="215"/>
        <v>ok</v>
      </c>
      <c r="AC1966" s="6">
        <f t="shared" si="216"/>
        <v>107.14985250000609</v>
      </c>
    </row>
    <row r="1967" spans="1:29" x14ac:dyDescent="0.3">
      <c r="A1967" t="s">
        <v>22</v>
      </c>
      <c r="B1967">
        <v>3499</v>
      </c>
      <c r="C1967" t="s">
        <v>47</v>
      </c>
      <c r="D1967" t="s">
        <v>34</v>
      </c>
      <c r="E1967" t="s">
        <v>59</v>
      </c>
      <c r="F1967" t="s">
        <v>26</v>
      </c>
      <c r="G1967" t="s">
        <v>60</v>
      </c>
      <c r="H1967" s="1">
        <v>45233.565046296295</v>
      </c>
      <c r="I1967" s="1">
        <v>45235.565046296295</v>
      </c>
      <c r="J1967" s="1">
        <v>45233.566435185188</v>
      </c>
      <c r="K1967" s="2">
        <v>45233.565540648146</v>
      </c>
      <c r="L1967" t="s">
        <v>28</v>
      </c>
      <c r="M1967" s="2">
        <v>45233.961642418981</v>
      </c>
      <c r="N1967" t="s">
        <v>28</v>
      </c>
      <c r="O1967" s="2">
        <v>45236.990565520835</v>
      </c>
      <c r="P1967">
        <v>2</v>
      </c>
      <c r="Q1967">
        <v>3</v>
      </c>
      <c r="R1967" t="s">
        <v>50</v>
      </c>
      <c r="S1967" t="s">
        <v>30</v>
      </c>
      <c r="T1967" t="s">
        <v>53</v>
      </c>
      <c r="U1967">
        <v>39.368279000000001</v>
      </c>
      <c r="V1967">
        <v>21.863140999999999</v>
      </c>
      <c r="W1967" t="str">
        <f t="shared" si="211"/>
        <v>ok</v>
      </c>
      <c r="X1967" t="str">
        <f t="shared" si="217"/>
        <v>ok</v>
      </c>
      <c r="Y1967" t="str">
        <f t="shared" si="212"/>
        <v>ok</v>
      </c>
      <c r="Z1967" t="str">
        <f t="shared" si="213"/>
        <v>ok</v>
      </c>
      <c r="AA1967" s="4" t="str">
        <f t="shared" si="214"/>
        <v>ok</v>
      </c>
      <c r="AB1967" s="4" t="str">
        <f t="shared" si="215"/>
        <v>ok</v>
      </c>
      <c r="AC1967" s="6">
        <f t="shared" si="216"/>
        <v>9.5183069444610737</v>
      </c>
    </row>
    <row r="1968" spans="1:29" x14ac:dyDescent="0.3">
      <c r="A1968" t="s">
        <v>22</v>
      </c>
      <c r="B1968">
        <v>3500</v>
      </c>
      <c r="C1968" t="s">
        <v>33</v>
      </c>
      <c r="D1968" t="s">
        <v>24</v>
      </c>
      <c r="E1968" t="s">
        <v>35</v>
      </c>
      <c r="F1968" t="s">
        <v>36</v>
      </c>
      <c r="G1968" t="s">
        <v>64</v>
      </c>
      <c r="H1968" s="1">
        <v>45233.66064814815</v>
      </c>
      <c r="I1968" s="1">
        <v>45235.66064814815</v>
      </c>
      <c r="J1968" s="1">
        <v>45233.702314814815</v>
      </c>
      <c r="K1968" s="2">
        <v>45233.675901550923</v>
      </c>
      <c r="L1968" t="s">
        <v>28</v>
      </c>
      <c r="M1968" s="2">
        <v>45234.364737557873</v>
      </c>
      <c r="N1968" t="s">
        <v>28</v>
      </c>
      <c r="O1968" s="2">
        <v>45238.138836388891</v>
      </c>
      <c r="P1968">
        <v>2</v>
      </c>
      <c r="Q1968">
        <v>5</v>
      </c>
      <c r="R1968" t="s">
        <v>39</v>
      </c>
      <c r="S1968" t="s">
        <v>40</v>
      </c>
      <c r="T1968" t="s">
        <v>46</v>
      </c>
      <c r="U1968">
        <v>47.696471899999999</v>
      </c>
      <c r="V1968">
        <v>13.3457347</v>
      </c>
      <c r="W1968" t="str">
        <f t="shared" si="211"/>
        <v>ok</v>
      </c>
      <c r="X1968" t="str">
        <f t="shared" si="217"/>
        <v>ok</v>
      </c>
      <c r="Y1968" t="str">
        <f t="shared" si="212"/>
        <v>ok</v>
      </c>
      <c r="Z1968" t="str">
        <f t="shared" si="213"/>
        <v>ok</v>
      </c>
      <c r="AA1968" s="4" t="str">
        <f t="shared" si="214"/>
        <v>ok</v>
      </c>
      <c r="AB1968" s="4" t="str">
        <f t="shared" si="215"/>
        <v>ok</v>
      </c>
      <c r="AC1968" s="6">
        <f t="shared" si="216"/>
        <v>16.898145833343733</v>
      </c>
    </row>
    <row r="1969" spans="1:29" x14ac:dyDescent="0.3">
      <c r="A1969" t="s">
        <v>22</v>
      </c>
      <c r="B1969">
        <v>3501</v>
      </c>
      <c r="C1969" t="s">
        <v>33</v>
      </c>
      <c r="D1969" t="s">
        <v>43</v>
      </c>
      <c r="E1969" t="s">
        <v>25</v>
      </c>
      <c r="F1969" t="s">
        <v>26</v>
      </c>
      <c r="G1969" t="s">
        <v>45</v>
      </c>
      <c r="H1969" s="1">
        <v>45233.221516203703</v>
      </c>
      <c r="I1969" s="1">
        <v>45234.221516203703</v>
      </c>
      <c r="J1969" s="1">
        <v>45233.222905092596</v>
      </c>
      <c r="K1969" s="2">
        <v>45233.222904166665</v>
      </c>
      <c r="L1969" t="s">
        <v>28</v>
      </c>
      <c r="M1969" s="2">
        <v>45234.443363530096</v>
      </c>
      <c r="N1969" t="s">
        <v>38</v>
      </c>
      <c r="O1969" s="2">
        <v>45234.480251689813</v>
      </c>
      <c r="P1969">
        <v>5</v>
      </c>
      <c r="Q1969">
        <v>1</v>
      </c>
      <c r="R1969" t="s">
        <v>29</v>
      </c>
      <c r="S1969" t="s">
        <v>30</v>
      </c>
      <c r="T1969" t="s">
        <v>31</v>
      </c>
      <c r="U1969">
        <v>53.094023999999997</v>
      </c>
      <c r="V1969">
        <v>-8.0196749999999994</v>
      </c>
      <c r="W1969" t="str">
        <f t="shared" si="211"/>
        <v>ok</v>
      </c>
      <c r="X1969" t="str">
        <f t="shared" si="217"/>
        <v>ok</v>
      </c>
      <c r="Y1969" t="str">
        <f t="shared" si="212"/>
        <v>ok</v>
      </c>
      <c r="Z1969" t="str">
        <f t="shared" si="213"/>
        <v>ok</v>
      </c>
      <c r="AA1969" s="4" t="str">
        <f t="shared" si="214"/>
        <v>ok</v>
      </c>
      <c r="AB1969" s="4" t="str">
        <f t="shared" si="215"/>
        <v>ok</v>
      </c>
      <c r="AC1969" s="6">
        <f t="shared" si="216"/>
        <v>29.324335833429359</v>
      </c>
    </row>
    <row r="1970" spans="1:29" x14ac:dyDescent="0.3">
      <c r="A1970" t="s">
        <v>22</v>
      </c>
      <c r="B1970">
        <v>3502</v>
      </c>
      <c r="C1970" t="s">
        <v>33</v>
      </c>
      <c r="D1970" t="s">
        <v>24</v>
      </c>
      <c r="E1970" t="s">
        <v>39</v>
      </c>
      <c r="F1970" t="s">
        <v>26</v>
      </c>
      <c r="G1970" t="s">
        <v>52</v>
      </c>
      <c r="H1970" s="1">
        <v>45233.70716435185</v>
      </c>
      <c r="I1970" s="1">
        <v>45235.70716435185</v>
      </c>
      <c r="J1970" s="1">
        <v>45233.748831018522</v>
      </c>
      <c r="K1970" s="2">
        <v>45233.713865243059</v>
      </c>
      <c r="L1970" t="s">
        <v>28</v>
      </c>
      <c r="M1970" s="2">
        <v>45237.158512824077</v>
      </c>
      <c r="N1970" t="s">
        <v>38</v>
      </c>
      <c r="O1970" s="2">
        <v>45237.93667609954</v>
      </c>
      <c r="P1970">
        <v>6</v>
      </c>
      <c r="Q1970">
        <v>4</v>
      </c>
      <c r="R1970" t="s">
        <v>50</v>
      </c>
      <c r="S1970" t="s">
        <v>30</v>
      </c>
      <c r="T1970" t="s">
        <v>51</v>
      </c>
      <c r="U1970">
        <v>39.673369999999998</v>
      </c>
      <c r="V1970">
        <v>-4.7677259999999997</v>
      </c>
      <c r="W1970" t="str">
        <f t="shared" si="211"/>
        <v>ok</v>
      </c>
      <c r="X1970" t="str">
        <f t="shared" si="217"/>
        <v>ok</v>
      </c>
      <c r="Y1970" t="str">
        <f t="shared" si="212"/>
        <v>ok</v>
      </c>
      <c r="Z1970" t="str">
        <f t="shared" si="213"/>
        <v>ok</v>
      </c>
      <c r="AA1970" s="4" t="str">
        <f t="shared" si="214"/>
        <v>ok</v>
      </c>
      <c r="AB1970" s="4" t="str">
        <f t="shared" si="215"/>
        <v>ok</v>
      </c>
      <c r="AC1970" s="6">
        <f t="shared" si="216"/>
        <v>82.83236333343666</v>
      </c>
    </row>
    <row r="1971" spans="1:29" x14ac:dyDescent="0.3">
      <c r="A1971" t="s">
        <v>22</v>
      </c>
      <c r="B1971">
        <v>3503</v>
      </c>
      <c r="C1971" t="s">
        <v>33</v>
      </c>
      <c r="D1971" t="s">
        <v>43</v>
      </c>
      <c r="E1971" t="s">
        <v>48</v>
      </c>
      <c r="F1971" t="s">
        <v>26</v>
      </c>
      <c r="G1971" t="s">
        <v>49</v>
      </c>
      <c r="H1971" s="1">
        <v>45233.43310185185</v>
      </c>
      <c r="I1971" s="1">
        <v>45234.43310185185</v>
      </c>
      <c r="J1971" s="1">
        <v>45233.434490740743</v>
      </c>
      <c r="K1971" s="2">
        <v>45233.433118113426</v>
      </c>
      <c r="L1971" t="s">
        <v>28</v>
      </c>
      <c r="M1971" s="2">
        <v>45238.781291388892</v>
      </c>
      <c r="N1971" t="s">
        <v>38</v>
      </c>
      <c r="O1971" s="2">
        <v>45239.889505891202</v>
      </c>
      <c r="P1971">
        <v>7</v>
      </c>
      <c r="Q1971">
        <v>3</v>
      </c>
      <c r="R1971" t="s">
        <v>39</v>
      </c>
      <c r="S1971" t="s">
        <v>30</v>
      </c>
      <c r="T1971" t="s">
        <v>56</v>
      </c>
      <c r="U1971">
        <v>52.536273000000001</v>
      </c>
      <c r="V1971">
        <v>19.050639</v>
      </c>
      <c r="W1971" t="str">
        <f t="shared" si="211"/>
        <v>ok</v>
      </c>
      <c r="X1971" t="str">
        <f t="shared" si="217"/>
        <v>ok</v>
      </c>
      <c r="Y1971" t="str">
        <f t="shared" si="212"/>
        <v>ok</v>
      </c>
      <c r="Z1971" t="str">
        <f t="shared" si="213"/>
        <v>ok</v>
      </c>
      <c r="AA1971" s="4" t="str">
        <f t="shared" si="214"/>
        <v>ok</v>
      </c>
      <c r="AB1971" s="4" t="str">
        <f t="shared" si="215"/>
        <v>ok</v>
      </c>
      <c r="AC1971" s="6">
        <f t="shared" si="216"/>
        <v>128.35654888901627</v>
      </c>
    </row>
    <row r="1972" spans="1:29" x14ac:dyDescent="0.3">
      <c r="A1972" t="s">
        <v>22</v>
      </c>
      <c r="B1972">
        <v>3504</v>
      </c>
      <c r="C1972" t="s">
        <v>23</v>
      </c>
      <c r="D1972" t="s">
        <v>43</v>
      </c>
      <c r="E1972" t="s">
        <v>39</v>
      </c>
      <c r="F1972" t="s">
        <v>26</v>
      </c>
      <c r="G1972" t="s">
        <v>52</v>
      </c>
      <c r="H1972" s="1">
        <v>45233.391423611109</v>
      </c>
      <c r="I1972" s="1">
        <v>45234.391423611109</v>
      </c>
      <c r="J1972" s="1">
        <v>45233.392812500002</v>
      </c>
      <c r="K1972" s="2">
        <v>45233.394278877313</v>
      </c>
      <c r="L1972" t="s">
        <v>38</v>
      </c>
      <c r="M1972" s="2">
        <v>45233.618849918981</v>
      </c>
      <c r="N1972" t="s">
        <v>28</v>
      </c>
      <c r="O1972" s="2">
        <v>45236.708530011572</v>
      </c>
      <c r="P1972">
        <v>2</v>
      </c>
      <c r="Q1972">
        <v>4</v>
      </c>
      <c r="R1972" t="s">
        <v>50</v>
      </c>
      <c r="S1972" t="s">
        <v>30</v>
      </c>
      <c r="T1972" t="s">
        <v>65</v>
      </c>
      <c r="U1972">
        <v>46.149166399999999</v>
      </c>
      <c r="V1972">
        <v>14.9860106</v>
      </c>
      <c r="W1972" t="str">
        <f t="shared" si="211"/>
        <v>ok</v>
      </c>
      <c r="X1972" t="str">
        <f t="shared" si="217"/>
        <v>ok</v>
      </c>
      <c r="Y1972" t="str">
        <f t="shared" si="212"/>
        <v>ok</v>
      </c>
      <c r="Z1972" t="str">
        <f t="shared" si="213"/>
        <v>ok</v>
      </c>
      <c r="AA1972" s="4" t="str">
        <f t="shared" si="214"/>
        <v>ok</v>
      </c>
      <c r="AB1972" s="4" t="str">
        <f t="shared" si="215"/>
        <v>ok</v>
      </c>
      <c r="AC1972" s="6">
        <f t="shared" si="216"/>
        <v>5.4582313889404759</v>
      </c>
    </row>
    <row r="1973" spans="1:29" x14ac:dyDescent="0.3">
      <c r="A1973" t="s">
        <v>22</v>
      </c>
      <c r="B1973">
        <v>3505</v>
      </c>
      <c r="C1973" t="s">
        <v>23</v>
      </c>
      <c r="D1973" t="s">
        <v>43</v>
      </c>
      <c r="E1973" t="s">
        <v>35</v>
      </c>
      <c r="F1973" t="s">
        <v>36</v>
      </c>
      <c r="G1973" t="s">
        <v>37</v>
      </c>
      <c r="H1973" s="1">
        <v>45233.265983796293</v>
      </c>
      <c r="I1973" s="1">
        <v>45234.265983796293</v>
      </c>
      <c r="J1973" s="1">
        <v>45233.267372685186</v>
      </c>
      <c r="K1973" s="2">
        <v>45233.267165671299</v>
      </c>
      <c r="L1973" t="s">
        <v>28</v>
      </c>
      <c r="M1973" s="2">
        <v>45233.703856030093</v>
      </c>
      <c r="N1973" t="s">
        <v>28</v>
      </c>
      <c r="O1973" s="2">
        <v>45239.038590520831</v>
      </c>
      <c r="P1973">
        <v>2</v>
      </c>
      <c r="Q1973">
        <v>4</v>
      </c>
      <c r="R1973" t="s">
        <v>39</v>
      </c>
      <c r="S1973" t="s">
        <v>40</v>
      </c>
      <c r="T1973" t="s">
        <v>41</v>
      </c>
      <c r="U1973">
        <v>43.036776000000003</v>
      </c>
      <c r="V1973">
        <v>12.678565000000001</v>
      </c>
      <c r="W1973" t="str">
        <f t="shared" si="211"/>
        <v>ok</v>
      </c>
      <c r="X1973" t="str">
        <f t="shared" si="217"/>
        <v>ok</v>
      </c>
      <c r="Y1973" t="str">
        <f t="shared" si="212"/>
        <v>ok</v>
      </c>
      <c r="Z1973" t="str">
        <f t="shared" si="213"/>
        <v>ok</v>
      </c>
      <c r="AA1973" s="4" t="str">
        <f t="shared" si="214"/>
        <v>ok</v>
      </c>
      <c r="AB1973" s="4" t="str">
        <f t="shared" si="215"/>
        <v>ok</v>
      </c>
      <c r="AC1973" s="6">
        <f t="shared" si="216"/>
        <v>10.508933611214161</v>
      </c>
    </row>
    <row r="1974" spans="1:29" x14ac:dyDescent="0.3">
      <c r="A1974" t="s">
        <v>22</v>
      </c>
      <c r="B1974">
        <v>3506</v>
      </c>
      <c r="C1974" t="s">
        <v>23</v>
      </c>
      <c r="D1974" t="s">
        <v>43</v>
      </c>
      <c r="E1974" t="s">
        <v>25</v>
      </c>
      <c r="F1974" t="s">
        <v>36</v>
      </c>
      <c r="G1974" t="s">
        <v>54</v>
      </c>
      <c r="H1974" s="1">
        <v>45234.626493055555</v>
      </c>
      <c r="I1974" s="1">
        <v>45235.626493055555</v>
      </c>
      <c r="J1974" s="1">
        <v>45234.627881944441</v>
      </c>
      <c r="K1974" s="2">
        <v>45234.627875034719</v>
      </c>
      <c r="L1974" t="s">
        <v>28</v>
      </c>
      <c r="M1974" s="2">
        <v>45235.40304365741</v>
      </c>
      <c r="N1974" t="s">
        <v>28</v>
      </c>
      <c r="O1974" s="2">
        <v>45241.332953715275</v>
      </c>
      <c r="P1974">
        <v>6</v>
      </c>
      <c r="Q1974">
        <v>4</v>
      </c>
      <c r="R1974" t="s">
        <v>50</v>
      </c>
      <c r="S1974" t="s">
        <v>40</v>
      </c>
      <c r="T1974" t="s">
        <v>57</v>
      </c>
      <c r="U1974">
        <v>51.165691000000002</v>
      </c>
      <c r="V1974">
        <v>10.451525999999999</v>
      </c>
      <c r="W1974" t="str">
        <f t="shared" si="211"/>
        <v>ok</v>
      </c>
      <c r="X1974" t="str">
        <f t="shared" si="217"/>
        <v>ok</v>
      </c>
      <c r="Y1974" t="str">
        <f t="shared" si="212"/>
        <v>ok</v>
      </c>
      <c r="Z1974" t="str">
        <f t="shared" si="213"/>
        <v>ok</v>
      </c>
      <c r="AA1974" s="4" t="str">
        <f t="shared" si="214"/>
        <v>ok</v>
      </c>
      <c r="AB1974" s="4" t="str">
        <f t="shared" si="215"/>
        <v>ok</v>
      </c>
      <c r="AC1974" s="6">
        <f t="shared" si="216"/>
        <v>18.637214444519486</v>
      </c>
    </row>
    <row r="1975" spans="1:29" x14ac:dyDescent="0.3">
      <c r="A1975" t="s">
        <v>32</v>
      </c>
      <c r="B1975">
        <v>3507</v>
      </c>
      <c r="C1975" t="s">
        <v>33</v>
      </c>
      <c r="D1975" t="s">
        <v>43</v>
      </c>
      <c r="E1975" t="s">
        <v>48</v>
      </c>
      <c r="F1975" t="s">
        <v>26</v>
      </c>
      <c r="G1975" t="s">
        <v>27</v>
      </c>
      <c r="H1975" s="1">
        <v>45234.765092592592</v>
      </c>
      <c r="I1975" s="1">
        <v>45235.765092592592</v>
      </c>
      <c r="J1975" s="1">
        <v>45234.766481481478</v>
      </c>
      <c r="K1975" s="2">
        <v>45234.766002442128</v>
      </c>
      <c r="L1975" t="s">
        <v>28</v>
      </c>
      <c r="N1975" t="s">
        <v>38</v>
      </c>
      <c r="P1975">
        <v>5</v>
      </c>
      <c r="R1975" t="s">
        <v>50</v>
      </c>
      <c r="S1975" t="s">
        <v>30</v>
      </c>
      <c r="T1975" t="s">
        <v>56</v>
      </c>
      <c r="U1975">
        <v>52.536273000000001</v>
      </c>
      <c r="V1975">
        <v>19.050639</v>
      </c>
      <c r="W1975" t="str">
        <f t="shared" si="211"/>
        <v>ok</v>
      </c>
      <c r="X1975" t="str">
        <f t="shared" si="217"/>
        <v>ok</v>
      </c>
      <c r="Y1975" t="str">
        <f t="shared" si="212"/>
        <v>ok</v>
      </c>
      <c r="Z1975" t="str">
        <f t="shared" si="213"/>
        <v>ok</v>
      </c>
      <c r="AA1975" s="4" t="str">
        <f t="shared" si="214"/>
        <v>ok</v>
      </c>
      <c r="AB1975" s="4" t="str">
        <f t="shared" si="215"/>
        <v>no resolution</v>
      </c>
      <c r="AC1975" s="6" t="str">
        <f t="shared" si="216"/>
        <v/>
      </c>
    </row>
    <row r="1976" spans="1:29" x14ac:dyDescent="0.3">
      <c r="A1976" t="s">
        <v>22</v>
      </c>
      <c r="B1976">
        <v>3508</v>
      </c>
      <c r="C1976" t="s">
        <v>33</v>
      </c>
      <c r="D1976" t="s">
        <v>43</v>
      </c>
      <c r="E1976" t="s">
        <v>67</v>
      </c>
      <c r="F1976" t="s">
        <v>26</v>
      </c>
      <c r="G1976" t="s">
        <v>52</v>
      </c>
      <c r="H1976" s="1">
        <v>45234.88616898148</v>
      </c>
      <c r="I1976" s="1">
        <v>45235.88616898148</v>
      </c>
      <c r="J1976" s="1">
        <v>45234.887557870374</v>
      </c>
      <c r="K1976" s="2">
        <v>45234.886215937498</v>
      </c>
      <c r="L1976" t="s">
        <v>28</v>
      </c>
      <c r="M1976" s="2">
        <v>45235.690980416664</v>
      </c>
      <c r="N1976" t="s">
        <v>28</v>
      </c>
      <c r="O1976" s="2">
        <v>45240.999483425927</v>
      </c>
      <c r="P1976">
        <v>6</v>
      </c>
      <c r="Q1976">
        <v>4</v>
      </c>
      <c r="R1976" t="s">
        <v>29</v>
      </c>
      <c r="S1976" t="s">
        <v>30</v>
      </c>
      <c r="T1976" t="s">
        <v>41</v>
      </c>
      <c r="U1976">
        <v>43.036776000000003</v>
      </c>
      <c r="V1976">
        <v>12.678565000000001</v>
      </c>
      <c r="W1976" t="str">
        <f t="shared" si="211"/>
        <v>ok</v>
      </c>
      <c r="X1976" t="str">
        <f t="shared" si="217"/>
        <v>ok</v>
      </c>
      <c r="Y1976" t="str">
        <f t="shared" si="212"/>
        <v>ok</v>
      </c>
      <c r="Z1976" t="str">
        <f t="shared" si="213"/>
        <v>ok</v>
      </c>
      <c r="AA1976" s="4" t="str">
        <f t="shared" si="214"/>
        <v>ok</v>
      </c>
      <c r="AB1976" s="4" t="str">
        <f t="shared" si="215"/>
        <v>ok</v>
      </c>
      <c r="AC1976" s="6">
        <f t="shared" si="216"/>
        <v>19.315474444418214</v>
      </c>
    </row>
    <row r="1977" spans="1:29" x14ac:dyDescent="0.3">
      <c r="A1977" t="s">
        <v>22</v>
      </c>
      <c r="B1977">
        <v>3522</v>
      </c>
      <c r="C1977" t="s">
        <v>47</v>
      </c>
      <c r="D1977" t="s">
        <v>43</v>
      </c>
      <c r="E1977" t="s">
        <v>48</v>
      </c>
      <c r="F1977" t="s">
        <v>26</v>
      </c>
      <c r="G1977" t="s">
        <v>52</v>
      </c>
      <c r="H1977" s="1">
        <v>45235.030057870368</v>
      </c>
      <c r="I1977" s="1">
        <v>45236.030057870368</v>
      </c>
      <c r="J1977" s="1">
        <v>45235.031446759262</v>
      </c>
      <c r="K1977" s="2">
        <v>45235.030477546294</v>
      </c>
      <c r="L1977" t="s">
        <v>28</v>
      </c>
      <c r="M1977" s="2">
        <v>45237.601601851849</v>
      </c>
      <c r="N1977" t="s">
        <v>38</v>
      </c>
      <c r="O1977" s="2">
        <v>45238.920999918984</v>
      </c>
      <c r="P1977">
        <v>5</v>
      </c>
      <c r="Q1977">
        <v>5</v>
      </c>
      <c r="R1977" t="s">
        <v>55</v>
      </c>
      <c r="S1977" t="s">
        <v>30</v>
      </c>
      <c r="T1977" t="s">
        <v>41</v>
      </c>
      <c r="U1977">
        <v>43.036776000000003</v>
      </c>
      <c r="V1977">
        <v>12.678565000000001</v>
      </c>
      <c r="W1977" t="str">
        <f t="shared" si="211"/>
        <v>ok</v>
      </c>
      <c r="X1977" t="str">
        <f t="shared" si="217"/>
        <v>ok</v>
      </c>
      <c r="Y1977" t="str">
        <f t="shared" si="212"/>
        <v>ok</v>
      </c>
      <c r="Z1977" t="str">
        <f t="shared" si="213"/>
        <v>ok</v>
      </c>
      <c r="AA1977" s="4" t="str">
        <f t="shared" si="214"/>
        <v>ok</v>
      </c>
      <c r="AB1977" s="4" t="str">
        <f t="shared" si="215"/>
        <v>ok</v>
      </c>
      <c r="AC1977" s="6">
        <f t="shared" si="216"/>
        <v>61.71705555554945</v>
      </c>
    </row>
    <row r="1978" spans="1:29" x14ac:dyDescent="0.3">
      <c r="A1978" t="s">
        <v>32</v>
      </c>
      <c r="B1978">
        <v>3523</v>
      </c>
      <c r="C1978" t="s">
        <v>47</v>
      </c>
      <c r="D1978" t="s">
        <v>43</v>
      </c>
      <c r="E1978" t="s">
        <v>25</v>
      </c>
      <c r="F1978" t="s">
        <v>26</v>
      </c>
      <c r="G1978" t="s">
        <v>45</v>
      </c>
      <c r="H1978" s="1">
        <v>45235.703020833331</v>
      </c>
      <c r="I1978" s="1">
        <v>45236.703020833331</v>
      </c>
      <c r="J1978" s="1">
        <v>45235.704409722224</v>
      </c>
      <c r="K1978" s="2">
        <v>45235.70435122685</v>
      </c>
      <c r="L1978" t="s">
        <v>28</v>
      </c>
      <c r="N1978" t="s">
        <v>38</v>
      </c>
      <c r="P1978">
        <v>6</v>
      </c>
      <c r="R1978" t="s">
        <v>50</v>
      </c>
      <c r="S1978" t="s">
        <v>30</v>
      </c>
      <c r="T1978" t="s">
        <v>58</v>
      </c>
      <c r="U1978">
        <v>49.8037633</v>
      </c>
      <c r="V1978">
        <v>15.4749126</v>
      </c>
      <c r="W1978" t="str">
        <f t="shared" si="211"/>
        <v>ok</v>
      </c>
      <c r="X1978" t="str">
        <f t="shared" si="217"/>
        <v>ok</v>
      </c>
      <c r="Y1978" t="str">
        <f t="shared" si="212"/>
        <v>ok</v>
      </c>
      <c r="Z1978" t="str">
        <f t="shared" si="213"/>
        <v>ok</v>
      </c>
      <c r="AA1978" s="4" t="str">
        <f t="shared" si="214"/>
        <v>ok</v>
      </c>
      <c r="AB1978" s="4" t="str">
        <f t="shared" si="215"/>
        <v>no resolution</v>
      </c>
      <c r="AC1978" s="6" t="str">
        <f t="shared" si="216"/>
        <v/>
      </c>
    </row>
    <row r="1979" spans="1:29" x14ac:dyDescent="0.3">
      <c r="A1979" t="s">
        <v>22</v>
      </c>
      <c r="B1979">
        <v>3524</v>
      </c>
      <c r="C1979" t="s">
        <v>23</v>
      </c>
      <c r="D1979" t="s">
        <v>43</v>
      </c>
      <c r="E1979" t="s">
        <v>48</v>
      </c>
      <c r="F1979" t="s">
        <v>26</v>
      </c>
      <c r="G1979" t="s">
        <v>60</v>
      </c>
      <c r="H1979" s="1">
        <v>45235.520937499998</v>
      </c>
      <c r="I1979" s="1">
        <v>45236.520937499998</v>
      </c>
      <c r="J1979" s="1">
        <v>45235.522326388891</v>
      </c>
      <c r="K1979" s="2">
        <v>45235.52152652778</v>
      </c>
      <c r="L1979" t="s">
        <v>28</v>
      </c>
      <c r="M1979" s="2">
        <v>45235.693734293978</v>
      </c>
      <c r="N1979" t="s">
        <v>28</v>
      </c>
      <c r="O1979" s="2">
        <v>45238.7609384838</v>
      </c>
      <c r="P1979">
        <v>2</v>
      </c>
      <c r="Q1979">
        <v>1</v>
      </c>
      <c r="R1979" t="s">
        <v>50</v>
      </c>
      <c r="S1979" t="s">
        <v>30</v>
      </c>
      <c r="T1979" t="s">
        <v>58</v>
      </c>
      <c r="U1979">
        <v>49.8037633</v>
      </c>
      <c r="V1979">
        <v>15.4749126</v>
      </c>
      <c r="W1979" t="str">
        <f t="shared" si="211"/>
        <v>ok</v>
      </c>
      <c r="X1979" t="str">
        <f t="shared" si="217"/>
        <v>ok</v>
      </c>
      <c r="Y1979" t="str">
        <f t="shared" si="212"/>
        <v>ok</v>
      </c>
      <c r="Z1979" t="str">
        <f t="shared" si="213"/>
        <v>ok</v>
      </c>
      <c r="AA1979" s="4" t="str">
        <f t="shared" si="214"/>
        <v>ok</v>
      </c>
      <c r="AB1979" s="4" t="str">
        <f t="shared" si="215"/>
        <v>ok</v>
      </c>
      <c r="AC1979" s="6">
        <f t="shared" si="216"/>
        <v>4.1471230555325747</v>
      </c>
    </row>
    <row r="1980" spans="1:29" x14ac:dyDescent="0.3">
      <c r="A1980" t="s">
        <v>22</v>
      </c>
      <c r="B1980">
        <v>3525</v>
      </c>
      <c r="C1980" t="s">
        <v>23</v>
      </c>
      <c r="D1980" t="s">
        <v>43</v>
      </c>
      <c r="E1980" t="s">
        <v>39</v>
      </c>
      <c r="F1980" t="s">
        <v>26</v>
      </c>
      <c r="G1980" t="s">
        <v>60</v>
      </c>
      <c r="H1980" s="1">
        <v>45236.411770833336</v>
      </c>
      <c r="I1980" s="1">
        <v>45237.411770833336</v>
      </c>
      <c r="J1980" s="1">
        <v>45236.413159722222</v>
      </c>
      <c r="K1980" s="2">
        <v>45236.41297041667</v>
      </c>
      <c r="L1980" t="s">
        <v>28</v>
      </c>
      <c r="M1980" s="2">
        <v>45236.955917233798</v>
      </c>
      <c r="N1980" t="s">
        <v>28</v>
      </c>
      <c r="O1980" s="2">
        <v>45243.415420092591</v>
      </c>
      <c r="P1980">
        <v>8</v>
      </c>
      <c r="Q1980">
        <v>4</v>
      </c>
      <c r="R1980" t="s">
        <v>55</v>
      </c>
      <c r="S1980" t="s">
        <v>30</v>
      </c>
      <c r="T1980" t="s">
        <v>31</v>
      </c>
      <c r="U1980">
        <v>53.094023999999997</v>
      </c>
      <c r="V1980">
        <v>-8.0196749999999994</v>
      </c>
      <c r="W1980" t="str">
        <f t="shared" si="211"/>
        <v>ok</v>
      </c>
      <c r="X1980" t="str">
        <f t="shared" si="217"/>
        <v>ok</v>
      </c>
      <c r="Y1980" t="str">
        <f t="shared" si="212"/>
        <v>ok</v>
      </c>
      <c r="Z1980" t="str">
        <f t="shared" si="213"/>
        <v>ok</v>
      </c>
      <c r="AA1980" s="4" t="str">
        <f t="shared" si="214"/>
        <v>ok</v>
      </c>
      <c r="AB1980" s="4" t="str">
        <f t="shared" si="215"/>
        <v>ok</v>
      </c>
      <c r="AC1980" s="6">
        <f t="shared" si="216"/>
        <v>13.059513611078728</v>
      </c>
    </row>
    <row r="1981" spans="1:29" x14ac:dyDescent="0.3">
      <c r="A1981" t="s">
        <v>32</v>
      </c>
      <c r="B1981">
        <v>3526</v>
      </c>
      <c r="C1981" t="s">
        <v>23</v>
      </c>
      <c r="D1981" t="s">
        <v>24</v>
      </c>
      <c r="E1981" t="s">
        <v>35</v>
      </c>
      <c r="F1981" t="s">
        <v>26</v>
      </c>
      <c r="G1981" t="s">
        <v>27</v>
      </c>
      <c r="H1981" s="1">
        <v>45236.40929398148</v>
      </c>
      <c r="I1981" s="1">
        <v>45238.40929398148</v>
      </c>
      <c r="J1981" s="1">
        <v>45236.450960648152</v>
      </c>
      <c r="K1981" s="2">
        <v>45236.436173090275</v>
      </c>
      <c r="L1981" t="s">
        <v>28</v>
      </c>
      <c r="N1981" t="s">
        <v>38</v>
      </c>
      <c r="P1981">
        <v>1</v>
      </c>
      <c r="R1981" t="s">
        <v>39</v>
      </c>
      <c r="S1981" t="s">
        <v>30</v>
      </c>
      <c r="T1981" t="s">
        <v>58</v>
      </c>
      <c r="U1981">
        <v>49.8037633</v>
      </c>
      <c r="V1981">
        <v>15.4749126</v>
      </c>
      <c r="W1981" t="str">
        <f t="shared" si="211"/>
        <v>ok</v>
      </c>
      <c r="X1981" t="str">
        <f t="shared" si="217"/>
        <v>ok</v>
      </c>
      <c r="Y1981" t="str">
        <f t="shared" si="212"/>
        <v>ok</v>
      </c>
      <c r="Z1981" t="str">
        <f t="shared" si="213"/>
        <v>ok</v>
      </c>
      <c r="AA1981" s="4" t="str">
        <f t="shared" si="214"/>
        <v>ok</v>
      </c>
      <c r="AB1981" s="4" t="str">
        <f t="shared" si="215"/>
        <v>no resolution</v>
      </c>
      <c r="AC1981" s="6" t="str">
        <f t="shared" si="216"/>
        <v/>
      </c>
    </row>
    <row r="1982" spans="1:29" x14ac:dyDescent="0.3">
      <c r="A1982" t="s">
        <v>22</v>
      </c>
      <c r="B1982">
        <v>3527</v>
      </c>
      <c r="C1982" t="s">
        <v>47</v>
      </c>
      <c r="D1982" t="s">
        <v>24</v>
      </c>
      <c r="E1982" t="s">
        <v>48</v>
      </c>
      <c r="F1982" t="s">
        <v>26</v>
      </c>
      <c r="G1982" t="s">
        <v>52</v>
      </c>
      <c r="H1982" s="1">
        <v>45236.554386574076</v>
      </c>
      <c r="I1982" s="1">
        <v>45238.554386574076</v>
      </c>
      <c r="J1982" s="1">
        <v>45236.596053240741</v>
      </c>
      <c r="K1982" s="2">
        <v>45236.580542083335</v>
      </c>
      <c r="L1982" t="s">
        <v>28</v>
      </c>
      <c r="M1982" s="2">
        <v>45237.784873275465</v>
      </c>
      <c r="N1982" t="s">
        <v>28</v>
      </c>
      <c r="O1982" s="2">
        <v>45238.420845752313</v>
      </c>
      <c r="P1982">
        <v>3</v>
      </c>
      <c r="Q1982">
        <v>3</v>
      </c>
      <c r="R1982" t="s">
        <v>39</v>
      </c>
      <c r="S1982" t="s">
        <v>30</v>
      </c>
      <c r="T1982" t="s">
        <v>61</v>
      </c>
      <c r="U1982">
        <v>42.724992499999999</v>
      </c>
      <c r="V1982">
        <v>25.483303899999999</v>
      </c>
      <c r="W1982" t="str">
        <f t="shared" si="211"/>
        <v>ok</v>
      </c>
      <c r="X1982" t="str">
        <f t="shared" si="217"/>
        <v>ok</v>
      </c>
      <c r="Y1982" t="str">
        <f t="shared" si="212"/>
        <v>ok</v>
      </c>
      <c r="Z1982" t="str">
        <f t="shared" si="213"/>
        <v>ok</v>
      </c>
      <c r="AA1982" s="4" t="str">
        <f t="shared" si="214"/>
        <v>ok</v>
      </c>
      <c r="AB1982" s="4" t="str">
        <f t="shared" si="215"/>
        <v>ok</v>
      </c>
      <c r="AC1982" s="6">
        <f t="shared" si="216"/>
        <v>29.531680833315477</v>
      </c>
    </row>
    <row r="1983" spans="1:29" x14ac:dyDescent="0.3">
      <c r="A1983" t="s">
        <v>22</v>
      </c>
      <c r="B1983">
        <v>3528</v>
      </c>
      <c r="C1983" t="s">
        <v>23</v>
      </c>
      <c r="D1983" t="s">
        <v>43</v>
      </c>
      <c r="E1983" t="s">
        <v>48</v>
      </c>
      <c r="F1983" t="s">
        <v>26</v>
      </c>
      <c r="G1983" t="s">
        <v>52</v>
      </c>
      <c r="H1983" s="1">
        <v>45236.310081018521</v>
      </c>
      <c r="I1983" s="1">
        <v>45237.310081018521</v>
      </c>
      <c r="J1983" s="1">
        <v>45236.311469907407</v>
      </c>
      <c r="K1983" s="2">
        <v>45236.310537847225</v>
      </c>
      <c r="L1983" t="s">
        <v>28</v>
      </c>
      <c r="M1983" s="2">
        <v>45236.447821134258</v>
      </c>
      <c r="N1983" t="s">
        <v>28</v>
      </c>
      <c r="O1983" s="2">
        <v>45239.549773449071</v>
      </c>
      <c r="P1983">
        <v>2</v>
      </c>
      <c r="Q1983">
        <v>4</v>
      </c>
      <c r="R1983" t="s">
        <v>50</v>
      </c>
      <c r="S1983" t="s">
        <v>30</v>
      </c>
      <c r="T1983" t="s">
        <v>61</v>
      </c>
      <c r="U1983">
        <v>42.724992499999999</v>
      </c>
      <c r="V1983">
        <v>25.483303899999999</v>
      </c>
      <c r="W1983" t="str">
        <f t="shared" si="211"/>
        <v>ok</v>
      </c>
      <c r="X1983" t="str">
        <f t="shared" si="217"/>
        <v>ok</v>
      </c>
      <c r="Y1983" t="str">
        <f t="shared" si="212"/>
        <v>ok</v>
      </c>
      <c r="Z1983" t="str">
        <f t="shared" si="213"/>
        <v>ok</v>
      </c>
      <c r="AA1983" s="4" t="str">
        <f t="shared" si="214"/>
        <v>ok</v>
      </c>
      <c r="AB1983" s="4" t="str">
        <f t="shared" si="215"/>
        <v>ok</v>
      </c>
      <c r="AC1983" s="6">
        <f t="shared" si="216"/>
        <v>3.3057627776870504</v>
      </c>
    </row>
    <row r="1984" spans="1:29" x14ac:dyDescent="0.3">
      <c r="A1984" t="s">
        <v>22</v>
      </c>
      <c r="B1984">
        <v>3529</v>
      </c>
      <c r="C1984" t="s">
        <v>23</v>
      </c>
      <c r="D1984" t="s">
        <v>24</v>
      </c>
      <c r="E1984" t="s">
        <v>48</v>
      </c>
      <c r="F1984" t="s">
        <v>26</v>
      </c>
      <c r="G1984" t="s">
        <v>52</v>
      </c>
      <c r="H1984" s="1">
        <v>45236.991932870369</v>
      </c>
      <c r="I1984" s="1">
        <v>45238.991932870369</v>
      </c>
      <c r="J1984" s="1">
        <v>45237.033599537041</v>
      </c>
      <c r="K1984" s="2">
        <v>45237.006327060182</v>
      </c>
      <c r="L1984" t="s">
        <v>28</v>
      </c>
      <c r="M1984" s="2">
        <v>45237.386951446759</v>
      </c>
      <c r="N1984" t="s">
        <v>28</v>
      </c>
      <c r="O1984" s="2">
        <v>45240.33659752315</v>
      </c>
      <c r="P1984">
        <v>1</v>
      </c>
      <c r="Q1984">
        <v>2</v>
      </c>
      <c r="R1984" t="s">
        <v>50</v>
      </c>
      <c r="S1984" t="s">
        <v>30</v>
      </c>
      <c r="T1984" t="s">
        <v>31</v>
      </c>
      <c r="U1984">
        <v>53.094023999999997</v>
      </c>
      <c r="V1984">
        <v>-8.0196749999999994</v>
      </c>
      <c r="W1984" t="str">
        <f t="shared" si="211"/>
        <v>ok</v>
      </c>
      <c r="X1984" t="str">
        <f t="shared" si="217"/>
        <v>ok</v>
      </c>
      <c r="Y1984" t="str">
        <f t="shared" si="212"/>
        <v>ok</v>
      </c>
      <c r="Z1984" t="str">
        <f t="shared" si="213"/>
        <v>ok</v>
      </c>
      <c r="AA1984" s="4" t="str">
        <f t="shared" si="214"/>
        <v>ok</v>
      </c>
      <c r="AB1984" s="4" t="str">
        <f t="shared" si="215"/>
        <v>ok</v>
      </c>
      <c r="AC1984" s="6">
        <f t="shared" si="216"/>
        <v>9.4804458333528601</v>
      </c>
    </row>
    <row r="1985" spans="1:29" x14ac:dyDescent="0.3">
      <c r="A1985" t="s">
        <v>22</v>
      </c>
      <c r="B1985">
        <v>3530</v>
      </c>
      <c r="C1985" t="s">
        <v>23</v>
      </c>
      <c r="D1985" t="s">
        <v>43</v>
      </c>
      <c r="E1985" t="s">
        <v>48</v>
      </c>
      <c r="F1985" t="s">
        <v>26</v>
      </c>
      <c r="G1985" t="s">
        <v>60</v>
      </c>
      <c r="H1985" s="1">
        <v>45236.691631944443</v>
      </c>
      <c r="I1985" s="1">
        <v>45237.691631944443</v>
      </c>
      <c r="J1985" s="1">
        <v>45236.693020833336</v>
      </c>
      <c r="K1985" s="2">
        <v>45236.693863599539</v>
      </c>
      <c r="L1985" t="s">
        <v>38</v>
      </c>
      <c r="M1985" s="2">
        <v>45240.737411006943</v>
      </c>
      <c r="N1985" t="s">
        <v>38</v>
      </c>
      <c r="O1985" s="2">
        <v>45241.193478680558</v>
      </c>
      <c r="P1985">
        <v>6</v>
      </c>
      <c r="Q1985">
        <v>4</v>
      </c>
      <c r="R1985" t="s">
        <v>50</v>
      </c>
      <c r="S1985" t="s">
        <v>30</v>
      </c>
      <c r="T1985" t="s">
        <v>63</v>
      </c>
      <c r="U1985">
        <v>55.378051999999997</v>
      </c>
      <c r="V1985">
        <v>-3.4359730000000002</v>
      </c>
      <c r="W1985" t="str">
        <f t="shared" si="211"/>
        <v>ok</v>
      </c>
      <c r="X1985" t="str">
        <f t="shared" si="217"/>
        <v>ok</v>
      </c>
      <c r="Y1985" t="str">
        <f t="shared" si="212"/>
        <v>ok</v>
      </c>
      <c r="Z1985" t="str">
        <f t="shared" si="213"/>
        <v>ok</v>
      </c>
      <c r="AA1985" s="4" t="str">
        <f t="shared" si="214"/>
        <v>ok</v>
      </c>
      <c r="AB1985" s="4" t="str">
        <f t="shared" si="215"/>
        <v>ok</v>
      </c>
      <c r="AC1985" s="6">
        <f t="shared" si="216"/>
        <v>97.098697500012349</v>
      </c>
    </row>
    <row r="1986" spans="1:29" x14ac:dyDescent="0.3">
      <c r="A1986" t="s">
        <v>22</v>
      </c>
      <c r="B1986">
        <v>3531</v>
      </c>
      <c r="C1986" t="s">
        <v>23</v>
      </c>
      <c r="D1986" t="s">
        <v>24</v>
      </c>
      <c r="E1986" t="s">
        <v>35</v>
      </c>
      <c r="F1986" t="s">
        <v>26</v>
      </c>
      <c r="G1986" t="s">
        <v>49</v>
      </c>
      <c r="H1986" s="1">
        <v>45236.806354166663</v>
      </c>
      <c r="I1986" s="1">
        <v>45238.806354166663</v>
      </c>
      <c r="J1986" s="1">
        <v>45236.848020833335</v>
      </c>
      <c r="K1986" s="2">
        <v>45236.837139305557</v>
      </c>
      <c r="L1986" t="s">
        <v>28</v>
      </c>
      <c r="M1986" s="2">
        <v>45237.065448564812</v>
      </c>
      <c r="N1986" t="s">
        <v>28</v>
      </c>
      <c r="O1986" s="2">
        <v>45243.081780891203</v>
      </c>
      <c r="P1986">
        <v>2</v>
      </c>
      <c r="Q1986">
        <v>3</v>
      </c>
      <c r="R1986" t="s">
        <v>50</v>
      </c>
      <c r="S1986" t="s">
        <v>30</v>
      </c>
      <c r="T1986" t="s">
        <v>63</v>
      </c>
      <c r="U1986">
        <v>55.378051999999997</v>
      </c>
      <c r="V1986">
        <v>-3.4359730000000002</v>
      </c>
      <c r="W1986" t="str">
        <f t="shared" ref="W1986:W2049" si="218">IF(K1986&lt;H1986,"check","ok")</f>
        <v>ok</v>
      </c>
      <c r="X1986" t="str">
        <f t="shared" si="217"/>
        <v>ok</v>
      </c>
      <c r="Y1986" t="str">
        <f t="shared" ref="Y1986:Y2049" si="219">IF(AND(M1986&lt;&gt;"",O1986&lt;&gt;"",O1986&lt;M1986),"check","ok")</f>
        <v>ok</v>
      </c>
      <c r="Z1986" t="str">
        <f t="shared" ref="Z1986:Z2049" si="220">IF(AND(OR(CA1986="Closed",A1986="Resolved"),M1986=""),"check","ok")</f>
        <v>ok</v>
      </c>
      <c r="AA1986" s="4" t="str">
        <f t="shared" ref="AA1986:AA2049" si="221">IF(K1986="","no response",IF(OR(AND(K1986&lt;=J1986,L1986="Within SLA"),AND(K1986&gt;J1986,L1986="SLA Violated")),"ok","check"))</f>
        <v>ok</v>
      </c>
      <c r="AB1986" s="4" t="str">
        <f t="shared" ref="AB1986:AB2049" si="222">IF(M1986="","no resolution",IF(OR(AND(M1986&lt;=I1986,N1986="Within SLA"),AND(M1986&gt;I1986,N1986="SLA Violated")),"ok","check"))</f>
        <v>ok</v>
      </c>
      <c r="AC1986" s="6">
        <f t="shared" ref="AC1986:AC2049" si="223">IF(M1986="","",(M1986-H1986)*24)</f>
        <v>6.2182655555661768</v>
      </c>
    </row>
    <row r="1987" spans="1:29" x14ac:dyDescent="0.3">
      <c r="A1987" t="s">
        <v>32</v>
      </c>
      <c r="B1987">
        <v>3532</v>
      </c>
      <c r="C1987" t="s">
        <v>47</v>
      </c>
      <c r="D1987" t="s">
        <v>24</v>
      </c>
      <c r="E1987" t="s">
        <v>35</v>
      </c>
      <c r="F1987" t="s">
        <v>26</v>
      </c>
      <c r="G1987" t="s">
        <v>27</v>
      </c>
      <c r="H1987" s="1">
        <v>45236.025416666664</v>
      </c>
      <c r="I1987" s="1">
        <v>45238.025416666664</v>
      </c>
      <c r="J1987" s="1">
        <v>45236.067083333335</v>
      </c>
      <c r="K1987" s="2">
        <v>45236.044036122687</v>
      </c>
      <c r="L1987" t="s">
        <v>28</v>
      </c>
      <c r="N1987" t="s">
        <v>38</v>
      </c>
      <c r="P1987">
        <v>8</v>
      </c>
      <c r="R1987" t="s">
        <v>55</v>
      </c>
      <c r="S1987" t="s">
        <v>30</v>
      </c>
      <c r="T1987" t="s">
        <v>51</v>
      </c>
      <c r="U1987">
        <v>39.673369999999998</v>
      </c>
      <c r="V1987">
        <v>-4.7677259999999997</v>
      </c>
      <c r="W1987" t="str">
        <f t="shared" si="218"/>
        <v>ok</v>
      </c>
      <c r="X1987" t="str">
        <f t="shared" ref="X1987:X2050" si="224">IF(AND(M1987&lt;&gt;"",M1987&lt;H1987),"check","ok")</f>
        <v>ok</v>
      </c>
      <c r="Y1987" t="str">
        <f t="shared" si="219"/>
        <v>ok</v>
      </c>
      <c r="Z1987" t="str">
        <f t="shared" si="220"/>
        <v>ok</v>
      </c>
      <c r="AA1987" s="4" t="str">
        <f t="shared" si="221"/>
        <v>ok</v>
      </c>
      <c r="AB1987" s="4" t="str">
        <f t="shared" si="222"/>
        <v>no resolution</v>
      </c>
      <c r="AC1987" s="6" t="str">
        <f t="shared" si="223"/>
        <v/>
      </c>
    </row>
    <row r="1988" spans="1:29" x14ac:dyDescent="0.3">
      <c r="A1988" t="s">
        <v>22</v>
      </c>
      <c r="B1988">
        <v>3533</v>
      </c>
      <c r="C1988" t="s">
        <v>23</v>
      </c>
      <c r="D1988" t="s">
        <v>24</v>
      </c>
      <c r="E1988" t="s">
        <v>44</v>
      </c>
      <c r="F1988" t="s">
        <v>26</v>
      </c>
      <c r="G1988" t="s">
        <v>49</v>
      </c>
      <c r="H1988" s="1">
        <v>45237.532430555555</v>
      </c>
      <c r="I1988" s="1">
        <v>45239.532430555555</v>
      </c>
      <c r="J1988" s="1">
        <v>45237.574097222219</v>
      </c>
      <c r="K1988" s="2">
        <v>45237.551977951392</v>
      </c>
      <c r="L1988" t="s">
        <v>28</v>
      </c>
      <c r="M1988" s="2">
        <v>45238.897309143518</v>
      </c>
      <c r="N1988" t="s">
        <v>28</v>
      </c>
      <c r="O1988" s="2">
        <v>45243.784286469905</v>
      </c>
      <c r="P1988">
        <v>1</v>
      </c>
      <c r="Q1988">
        <v>5</v>
      </c>
      <c r="R1988" t="s">
        <v>50</v>
      </c>
      <c r="S1988" t="s">
        <v>30</v>
      </c>
      <c r="T1988" t="s">
        <v>46</v>
      </c>
      <c r="U1988">
        <v>47.696471899999999</v>
      </c>
      <c r="V1988">
        <v>13.3457347</v>
      </c>
      <c r="W1988" t="str">
        <f t="shared" si="218"/>
        <v>ok</v>
      </c>
      <c r="X1988" t="str">
        <f t="shared" si="224"/>
        <v>ok</v>
      </c>
      <c r="Y1988" t="str">
        <f t="shared" si="219"/>
        <v>ok</v>
      </c>
      <c r="Z1988" t="str">
        <f t="shared" si="220"/>
        <v>ok</v>
      </c>
      <c r="AA1988" s="4" t="str">
        <f t="shared" si="221"/>
        <v>ok</v>
      </c>
      <c r="AB1988" s="4" t="str">
        <f t="shared" si="222"/>
        <v>ok</v>
      </c>
      <c r="AC1988" s="6">
        <f t="shared" si="223"/>
        <v>32.757086111116223</v>
      </c>
    </row>
    <row r="1989" spans="1:29" x14ac:dyDescent="0.3">
      <c r="A1989" t="s">
        <v>42</v>
      </c>
      <c r="B1989">
        <v>3534</v>
      </c>
      <c r="C1989" t="s">
        <v>23</v>
      </c>
      <c r="D1989" t="s">
        <v>24</v>
      </c>
      <c r="E1989" t="s">
        <v>48</v>
      </c>
      <c r="F1989" t="s">
        <v>26</v>
      </c>
      <c r="G1989" t="s">
        <v>52</v>
      </c>
      <c r="H1989" s="1">
        <v>45237.019791666666</v>
      </c>
      <c r="I1989" s="1">
        <v>45239.019791666666</v>
      </c>
      <c r="J1989" s="1">
        <v>45237.06145833333</v>
      </c>
      <c r="K1989" s="2">
        <v>45237.033107222225</v>
      </c>
      <c r="L1989" t="s">
        <v>28</v>
      </c>
      <c r="M1989" s="2">
        <v>45242.863121875002</v>
      </c>
      <c r="N1989" t="s">
        <v>38</v>
      </c>
      <c r="P1989">
        <v>5</v>
      </c>
      <c r="R1989" t="s">
        <v>39</v>
      </c>
      <c r="S1989" t="s">
        <v>30</v>
      </c>
      <c r="T1989" t="s">
        <v>46</v>
      </c>
      <c r="U1989">
        <v>47.696471899999999</v>
      </c>
      <c r="V1989">
        <v>13.3457347</v>
      </c>
      <c r="W1989" t="str">
        <f t="shared" si="218"/>
        <v>ok</v>
      </c>
      <c r="X1989" t="str">
        <f t="shared" si="224"/>
        <v>ok</v>
      </c>
      <c r="Y1989" t="str">
        <f t="shared" si="219"/>
        <v>ok</v>
      </c>
      <c r="Z1989" t="str">
        <f t="shared" si="220"/>
        <v>ok</v>
      </c>
      <c r="AA1989" s="4" t="str">
        <f t="shared" si="221"/>
        <v>ok</v>
      </c>
      <c r="AB1989" s="4" t="str">
        <f t="shared" si="222"/>
        <v>ok</v>
      </c>
      <c r="AC1989" s="6">
        <f t="shared" si="223"/>
        <v>140.23992500005988</v>
      </c>
    </row>
    <row r="1990" spans="1:29" x14ac:dyDescent="0.3">
      <c r="A1990" t="s">
        <v>22</v>
      </c>
      <c r="B1990">
        <v>3535</v>
      </c>
      <c r="C1990" t="s">
        <v>23</v>
      </c>
      <c r="D1990" t="s">
        <v>43</v>
      </c>
      <c r="E1990" t="s">
        <v>25</v>
      </c>
      <c r="F1990" t="s">
        <v>26</v>
      </c>
      <c r="G1990" t="s">
        <v>60</v>
      </c>
      <c r="H1990" s="1">
        <v>45237.070324074077</v>
      </c>
      <c r="I1990" s="1">
        <v>45238.070324074077</v>
      </c>
      <c r="J1990" s="1">
        <v>45237.071712962963</v>
      </c>
      <c r="K1990" s="2">
        <v>45237.071157847226</v>
      </c>
      <c r="L1990" t="s">
        <v>28</v>
      </c>
      <c r="M1990" s="2">
        <v>45237.703058263891</v>
      </c>
      <c r="N1990" t="s">
        <v>28</v>
      </c>
      <c r="O1990" s="2">
        <v>45240.308162777779</v>
      </c>
      <c r="P1990">
        <v>6</v>
      </c>
      <c r="Q1990">
        <v>4</v>
      </c>
      <c r="R1990" t="s">
        <v>29</v>
      </c>
      <c r="S1990" t="s">
        <v>30</v>
      </c>
      <c r="T1990" t="s">
        <v>56</v>
      </c>
      <c r="U1990">
        <v>52.536273000000001</v>
      </c>
      <c r="V1990">
        <v>19.050639</v>
      </c>
      <c r="W1990" t="str">
        <f t="shared" si="218"/>
        <v>ok</v>
      </c>
      <c r="X1990" t="str">
        <f t="shared" si="224"/>
        <v>ok</v>
      </c>
      <c r="Y1990" t="str">
        <f t="shared" si="219"/>
        <v>ok</v>
      </c>
      <c r="Z1990" t="str">
        <f t="shared" si="220"/>
        <v>ok</v>
      </c>
      <c r="AA1990" s="4" t="str">
        <f t="shared" si="221"/>
        <v>ok</v>
      </c>
      <c r="AB1990" s="4" t="str">
        <f t="shared" si="222"/>
        <v>ok</v>
      </c>
      <c r="AC1990" s="6">
        <f t="shared" si="223"/>
        <v>15.185620555537753</v>
      </c>
    </row>
    <row r="1991" spans="1:29" x14ac:dyDescent="0.3">
      <c r="A1991" t="s">
        <v>22</v>
      </c>
      <c r="B1991">
        <v>3536</v>
      </c>
      <c r="C1991" t="s">
        <v>47</v>
      </c>
      <c r="D1991" t="s">
        <v>24</v>
      </c>
      <c r="E1991" t="s">
        <v>25</v>
      </c>
      <c r="F1991" t="s">
        <v>26</v>
      </c>
      <c r="G1991" t="s">
        <v>27</v>
      </c>
      <c r="H1991" s="1">
        <v>45237.045694444445</v>
      </c>
      <c r="I1991" s="1">
        <v>45239.045694444445</v>
      </c>
      <c r="J1991" s="1">
        <v>45237.087361111109</v>
      </c>
      <c r="K1991" s="2">
        <v>45237.298183969906</v>
      </c>
      <c r="L1991" t="s">
        <v>38</v>
      </c>
      <c r="M1991" s="2">
        <v>45237.363499629631</v>
      </c>
      <c r="N1991" t="s">
        <v>28</v>
      </c>
      <c r="O1991" s="2">
        <v>45237.723949560183</v>
      </c>
      <c r="P1991">
        <v>9</v>
      </c>
      <c r="Q1991">
        <v>1</v>
      </c>
      <c r="R1991" t="s">
        <v>50</v>
      </c>
      <c r="S1991" t="s">
        <v>30</v>
      </c>
      <c r="T1991" t="s">
        <v>57</v>
      </c>
      <c r="U1991">
        <v>51.165691000000002</v>
      </c>
      <c r="V1991">
        <v>10.451525999999999</v>
      </c>
      <c r="W1991" t="str">
        <f t="shared" si="218"/>
        <v>ok</v>
      </c>
      <c r="X1991" t="str">
        <f t="shared" si="224"/>
        <v>ok</v>
      </c>
      <c r="Y1991" t="str">
        <f t="shared" si="219"/>
        <v>ok</v>
      </c>
      <c r="Z1991" t="str">
        <f t="shared" si="220"/>
        <v>ok</v>
      </c>
      <c r="AA1991" s="4" t="str">
        <f t="shared" si="221"/>
        <v>ok</v>
      </c>
      <c r="AB1991" s="4" t="str">
        <f t="shared" si="222"/>
        <v>ok</v>
      </c>
      <c r="AC1991" s="6">
        <f t="shared" si="223"/>
        <v>7.6273244444746524</v>
      </c>
    </row>
    <row r="1992" spans="1:29" x14ac:dyDescent="0.3">
      <c r="A1992" t="s">
        <v>22</v>
      </c>
      <c r="B1992">
        <v>3537</v>
      </c>
      <c r="C1992" t="s">
        <v>23</v>
      </c>
      <c r="D1992" t="s">
        <v>24</v>
      </c>
      <c r="E1992" t="s">
        <v>48</v>
      </c>
      <c r="F1992" t="s">
        <v>26</v>
      </c>
      <c r="G1992" t="s">
        <v>27</v>
      </c>
      <c r="H1992" s="1">
        <v>45237.807222222225</v>
      </c>
      <c r="I1992" s="1">
        <v>45239.807222222225</v>
      </c>
      <c r="J1992" s="1">
        <v>45237.84888888889</v>
      </c>
      <c r="K1992" s="2">
        <v>45237.811577824075</v>
      </c>
      <c r="L1992" t="s">
        <v>28</v>
      </c>
      <c r="M1992" s="2">
        <v>45241.553068854169</v>
      </c>
      <c r="N1992" t="s">
        <v>38</v>
      </c>
      <c r="O1992" s="2">
        <v>45241.994158668982</v>
      </c>
      <c r="P1992">
        <v>8</v>
      </c>
      <c r="Q1992">
        <v>5</v>
      </c>
      <c r="R1992" t="s">
        <v>39</v>
      </c>
      <c r="S1992" t="s">
        <v>30</v>
      </c>
      <c r="T1992" t="s">
        <v>41</v>
      </c>
      <c r="U1992">
        <v>43.036776000000003</v>
      </c>
      <c r="V1992">
        <v>12.678565000000001</v>
      </c>
      <c r="W1992" t="str">
        <f t="shared" si="218"/>
        <v>ok</v>
      </c>
      <c r="X1992" t="str">
        <f t="shared" si="224"/>
        <v>ok</v>
      </c>
      <c r="Y1992" t="str">
        <f t="shared" si="219"/>
        <v>ok</v>
      </c>
      <c r="Z1992" t="str">
        <f t="shared" si="220"/>
        <v>ok</v>
      </c>
      <c r="AA1992" s="4" t="str">
        <f t="shared" si="221"/>
        <v>ok</v>
      </c>
      <c r="AB1992" s="4" t="str">
        <f t="shared" si="222"/>
        <v>ok</v>
      </c>
      <c r="AC1992" s="6">
        <f t="shared" si="223"/>
        <v>89.900319166656118</v>
      </c>
    </row>
    <row r="1993" spans="1:29" x14ac:dyDescent="0.3">
      <c r="A1993" t="s">
        <v>22</v>
      </c>
      <c r="B1993">
        <v>3538</v>
      </c>
      <c r="C1993" t="s">
        <v>23</v>
      </c>
      <c r="D1993" t="s">
        <v>43</v>
      </c>
      <c r="E1993" t="s">
        <v>59</v>
      </c>
      <c r="F1993" t="s">
        <v>26</v>
      </c>
      <c r="G1993" t="s">
        <v>27</v>
      </c>
      <c r="H1993" s="1">
        <v>45237.213402777779</v>
      </c>
      <c r="I1993" s="1">
        <v>45238.213402777779</v>
      </c>
      <c r="J1993" s="1">
        <v>45237.214791666665</v>
      </c>
      <c r="K1993" s="2">
        <v>45237.21365824074</v>
      </c>
      <c r="L1993" t="s">
        <v>28</v>
      </c>
      <c r="M1993" s="2">
        <v>45237.273037685183</v>
      </c>
      <c r="N1993" t="s">
        <v>28</v>
      </c>
      <c r="O1993" s="2">
        <v>45242.156295752313</v>
      </c>
      <c r="P1993">
        <v>7</v>
      </c>
      <c r="Q1993">
        <v>2</v>
      </c>
      <c r="R1993" t="s">
        <v>29</v>
      </c>
      <c r="S1993" t="s">
        <v>30</v>
      </c>
      <c r="T1993" t="s">
        <v>31</v>
      </c>
      <c r="U1993">
        <v>53.094023999999997</v>
      </c>
      <c r="V1993">
        <v>-8.0196749999999994</v>
      </c>
      <c r="W1993" t="str">
        <f t="shared" si="218"/>
        <v>ok</v>
      </c>
      <c r="X1993" t="str">
        <f t="shared" si="224"/>
        <v>ok</v>
      </c>
      <c r="Y1993" t="str">
        <f t="shared" si="219"/>
        <v>ok</v>
      </c>
      <c r="Z1993" t="str">
        <f t="shared" si="220"/>
        <v>ok</v>
      </c>
      <c r="AA1993" s="4" t="str">
        <f t="shared" si="221"/>
        <v>ok</v>
      </c>
      <c r="AB1993" s="4" t="str">
        <f t="shared" si="222"/>
        <v>ok</v>
      </c>
      <c r="AC1993" s="6">
        <f t="shared" si="223"/>
        <v>1.4312377776950598</v>
      </c>
    </row>
    <row r="1994" spans="1:29" x14ac:dyDescent="0.3">
      <c r="A1994" t="s">
        <v>22</v>
      </c>
      <c r="B1994">
        <v>3539</v>
      </c>
      <c r="C1994" t="s">
        <v>33</v>
      </c>
      <c r="D1994" t="s">
        <v>43</v>
      </c>
      <c r="E1994" t="s">
        <v>39</v>
      </c>
      <c r="F1994" t="s">
        <v>26</v>
      </c>
      <c r="G1994" t="s">
        <v>52</v>
      </c>
      <c r="H1994" s="1">
        <v>45237.032962962963</v>
      </c>
      <c r="I1994" s="1">
        <v>45238.032962962963</v>
      </c>
      <c r="J1994" s="1">
        <v>45237.034351851849</v>
      </c>
      <c r="K1994" s="2">
        <v>45237.033235138886</v>
      </c>
      <c r="L1994" t="s">
        <v>28</v>
      </c>
      <c r="M1994" s="2">
        <v>45237.354584918983</v>
      </c>
      <c r="N1994" t="s">
        <v>28</v>
      </c>
      <c r="O1994" s="2">
        <v>45238.768645300923</v>
      </c>
      <c r="P1994">
        <v>6</v>
      </c>
      <c r="Q1994">
        <v>5</v>
      </c>
      <c r="R1994" t="s">
        <v>50</v>
      </c>
      <c r="S1994" t="s">
        <v>30</v>
      </c>
      <c r="T1994" t="s">
        <v>56</v>
      </c>
      <c r="U1994">
        <v>52.536273000000001</v>
      </c>
      <c r="V1994">
        <v>19.050639</v>
      </c>
      <c r="W1994" t="str">
        <f t="shared" si="218"/>
        <v>ok</v>
      </c>
      <c r="X1994" t="str">
        <f t="shared" si="224"/>
        <v>ok</v>
      </c>
      <c r="Y1994" t="str">
        <f t="shared" si="219"/>
        <v>ok</v>
      </c>
      <c r="Z1994" t="str">
        <f t="shared" si="220"/>
        <v>ok</v>
      </c>
      <c r="AA1994" s="4" t="str">
        <f t="shared" si="221"/>
        <v>ok</v>
      </c>
      <c r="AB1994" s="4" t="str">
        <f t="shared" si="222"/>
        <v>ok</v>
      </c>
      <c r="AC1994" s="6">
        <f t="shared" si="223"/>
        <v>7.7189269444788806</v>
      </c>
    </row>
    <row r="1995" spans="1:29" x14ac:dyDescent="0.3">
      <c r="A1995" t="s">
        <v>22</v>
      </c>
      <c r="B1995">
        <v>3540</v>
      </c>
      <c r="C1995" t="s">
        <v>47</v>
      </c>
      <c r="D1995" t="s">
        <v>24</v>
      </c>
      <c r="E1995" t="s">
        <v>35</v>
      </c>
      <c r="F1995" t="s">
        <v>26</v>
      </c>
      <c r="G1995" t="s">
        <v>60</v>
      </c>
      <c r="H1995" s="1">
        <v>45238.298877314817</v>
      </c>
      <c r="I1995" s="1">
        <v>45240.298877314817</v>
      </c>
      <c r="J1995" s="1">
        <v>45238.340543981481</v>
      </c>
      <c r="K1995" s="2">
        <v>45238.329080833333</v>
      </c>
      <c r="L1995" t="s">
        <v>28</v>
      </c>
      <c r="M1995" s="2">
        <v>45243.327852175928</v>
      </c>
      <c r="N1995" t="s">
        <v>38</v>
      </c>
      <c r="O1995" s="2">
        <v>45244.403723993055</v>
      </c>
      <c r="P1995">
        <v>3</v>
      </c>
      <c r="Q1995">
        <v>3</v>
      </c>
      <c r="R1995" t="s">
        <v>50</v>
      </c>
      <c r="S1995" t="s">
        <v>30</v>
      </c>
      <c r="T1995" t="s">
        <v>51</v>
      </c>
      <c r="U1995">
        <v>39.673369999999998</v>
      </c>
      <c r="V1995">
        <v>-4.7677259999999997</v>
      </c>
      <c r="W1995" t="str">
        <f t="shared" si="218"/>
        <v>ok</v>
      </c>
      <c r="X1995" t="str">
        <f t="shared" si="224"/>
        <v>ok</v>
      </c>
      <c r="Y1995" t="str">
        <f t="shared" si="219"/>
        <v>ok</v>
      </c>
      <c r="Z1995" t="str">
        <f t="shared" si="220"/>
        <v>ok</v>
      </c>
      <c r="AA1995" s="4" t="str">
        <f t="shared" si="221"/>
        <v>ok</v>
      </c>
      <c r="AB1995" s="4" t="str">
        <f t="shared" si="222"/>
        <v>ok</v>
      </c>
      <c r="AC1995" s="6">
        <f t="shared" si="223"/>
        <v>120.69539666664787</v>
      </c>
    </row>
    <row r="1996" spans="1:29" x14ac:dyDescent="0.3">
      <c r="A1996" t="s">
        <v>42</v>
      </c>
      <c r="B1996">
        <v>3542</v>
      </c>
      <c r="C1996" t="s">
        <v>47</v>
      </c>
      <c r="D1996" t="s">
        <v>24</v>
      </c>
      <c r="E1996" t="s">
        <v>25</v>
      </c>
      <c r="F1996" t="s">
        <v>26</v>
      </c>
      <c r="G1996" t="s">
        <v>45</v>
      </c>
      <c r="H1996" s="1">
        <v>45238.862986111111</v>
      </c>
      <c r="I1996" s="1">
        <v>45240.862986111111</v>
      </c>
      <c r="J1996" s="1">
        <v>45238.904652777775</v>
      </c>
      <c r="K1996" s="2">
        <v>45238.895618159724</v>
      </c>
      <c r="L1996" t="s">
        <v>28</v>
      </c>
      <c r="M1996" s="2">
        <v>45238.863802118052</v>
      </c>
      <c r="N1996" t="s">
        <v>28</v>
      </c>
      <c r="P1996">
        <v>2</v>
      </c>
      <c r="R1996" t="s">
        <v>50</v>
      </c>
      <c r="S1996" t="s">
        <v>30</v>
      </c>
      <c r="T1996" t="s">
        <v>56</v>
      </c>
      <c r="U1996">
        <v>52.536273000000001</v>
      </c>
      <c r="V1996">
        <v>19.050639</v>
      </c>
      <c r="W1996" t="str">
        <f t="shared" si="218"/>
        <v>ok</v>
      </c>
      <c r="X1996" t="str">
        <f t="shared" si="224"/>
        <v>ok</v>
      </c>
      <c r="Y1996" t="str">
        <f t="shared" si="219"/>
        <v>ok</v>
      </c>
      <c r="Z1996" t="str">
        <f t="shared" si="220"/>
        <v>ok</v>
      </c>
      <c r="AA1996" s="4" t="str">
        <f t="shared" si="221"/>
        <v>ok</v>
      </c>
      <c r="AB1996" s="4" t="str">
        <f t="shared" si="222"/>
        <v>ok</v>
      </c>
      <c r="AC1996" s="6">
        <f t="shared" si="223"/>
        <v>1.9584166584536433E-2</v>
      </c>
    </row>
    <row r="1997" spans="1:29" x14ac:dyDescent="0.3">
      <c r="A1997" t="s">
        <v>42</v>
      </c>
      <c r="B1997">
        <v>3543</v>
      </c>
      <c r="C1997" t="s">
        <v>33</v>
      </c>
      <c r="D1997" t="s">
        <v>24</v>
      </c>
      <c r="E1997" t="s">
        <v>48</v>
      </c>
      <c r="F1997" t="s">
        <v>26</v>
      </c>
      <c r="G1997" t="s">
        <v>45</v>
      </c>
      <c r="H1997" s="1">
        <v>45238.949016203704</v>
      </c>
      <c r="I1997" s="1">
        <v>45240.949016203704</v>
      </c>
      <c r="J1997" s="1">
        <v>45238.990682870368</v>
      </c>
      <c r="K1997" s="2">
        <v>45238.955999976853</v>
      </c>
      <c r="L1997" t="s">
        <v>28</v>
      </c>
      <c r="M1997" s="2">
        <v>45239.029493842594</v>
      </c>
      <c r="N1997" t="s">
        <v>28</v>
      </c>
      <c r="P1997">
        <v>3</v>
      </c>
      <c r="R1997" t="s">
        <v>50</v>
      </c>
      <c r="S1997" t="s">
        <v>30</v>
      </c>
      <c r="T1997" t="s">
        <v>63</v>
      </c>
      <c r="U1997">
        <v>55.378051999999997</v>
      </c>
      <c r="V1997">
        <v>-3.4359730000000002</v>
      </c>
      <c r="W1997" t="str">
        <f t="shared" si="218"/>
        <v>ok</v>
      </c>
      <c r="X1997" t="str">
        <f t="shared" si="224"/>
        <v>ok</v>
      </c>
      <c r="Y1997" t="str">
        <f t="shared" si="219"/>
        <v>ok</v>
      </c>
      <c r="Z1997" t="str">
        <f t="shared" si="220"/>
        <v>ok</v>
      </c>
      <c r="AA1997" s="4" t="str">
        <f t="shared" si="221"/>
        <v>ok</v>
      </c>
      <c r="AB1997" s="4" t="str">
        <f t="shared" si="222"/>
        <v>ok</v>
      </c>
      <c r="AC1997" s="6">
        <f t="shared" si="223"/>
        <v>1.9314633333706297</v>
      </c>
    </row>
    <row r="1998" spans="1:29" x14ac:dyDescent="0.3">
      <c r="A1998" t="s">
        <v>42</v>
      </c>
      <c r="B1998">
        <v>3544</v>
      </c>
      <c r="C1998" t="s">
        <v>23</v>
      </c>
      <c r="D1998" t="s">
        <v>24</v>
      </c>
      <c r="E1998" t="s">
        <v>25</v>
      </c>
      <c r="F1998" t="s">
        <v>36</v>
      </c>
      <c r="G1998" t="s">
        <v>54</v>
      </c>
      <c r="H1998" s="1">
        <v>45238.050798611112</v>
      </c>
      <c r="I1998" s="1">
        <v>45240.050798611112</v>
      </c>
      <c r="J1998" s="1">
        <v>45238.092465277776</v>
      </c>
      <c r="K1998" s="2">
        <v>45238.083559004626</v>
      </c>
      <c r="L1998" t="s">
        <v>28</v>
      </c>
      <c r="M1998" s="2">
        <v>45239.774634421294</v>
      </c>
      <c r="N1998" t="s">
        <v>28</v>
      </c>
      <c r="P1998">
        <v>2</v>
      </c>
      <c r="R1998" t="s">
        <v>50</v>
      </c>
      <c r="S1998" t="s">
        <v>40</v>
      </c>
      <c r="T1998" t="s">
        <v>57</v>
      </c>
      <c r="U1998">
        <v>51.165691000000002</v>
      </c>
      <c r="V1998">
        <v>10.451525999999999</v>
      </c>
      <c r="W1998" t="str">
        <f t="shared" si="218"/>
        <v>ok</v>
      </c>
      <c r="X1998" t="str">
        <f t="shared" si="224"/>
        <v>ok</v>
      </c>
      <c r="Y1998" t="str">
        <f t="shared" si="219"/>
        <v>ok</v>
      </c>
      <c r="Z1998" t="str">
        <f t="shared" si="220"/>
        <v>ok</v>
      </c>
      <c r="AA1998" s="4" t="str">
        <f t="shared" si="221"/>
        <v>ok</v>
      </c>
      <c r="AB1998" s="4" t="str">
        <f t="shared" si="222"/>
        <v>ok</v>
      </c>
      <c r="AC1998" s="6">
        <f t="shared" si="223"/>
        <v>41.372059444373008</v>
      </c>
    </row>
    <row r="1999" spans="1:29" x14ac:dyDescent="0.3">
      <c r="A1999" t="s">
        <v>22</v>
      </c>
      <c r="B1999">
        <v>3545</v>
      </c>
      <c r="C1999" t="s">
        <v>23</v>
      </c>
      <c r="D1999" t="s">
        <v>24</v>
      </c>
      <c r="E1999" t="s">
        <v>25</v>
      </c>
      <c r="F1999" t="s">
        <v>26</v>
      </c>
      <c r="G1999" t="s">
        <v>45</v>
      </c>
      <c r="H1999" s="1">
        <v>45238.065416666665</v>
      </c>
      <c r="I1999" s="1">
        <v>45240.065416666665</v>
      </c>
      <c r="J1999" s="1">
        <v>45238.107083333336</v>
      </c>
      <c r="K1999" s="2">
        <v>45238.101896168984</v>
      </c>
      <c r="L1999" t="s">
        <v>28</v>
      </c>
      <c r="M1999" s="2">
        <v>45239.713112175923</v>
      </c>
      <c r="N1999" t="s">
        <v>28</v>
      </c>
      <c r="O1999" s="2">
        <v>45243.888284155095</v>
      </c>
      <c r="P1999">
        <v>4</v>
      </c>
      <c r="Q1999">
        <v>4</v>
      </c>
      <c r="R1999" t="s">
        <v>39</v>
      </c>
      <c r="S1999" t="s">
        <v>30</v>
      </c>
      <c r="T1999" t="s">
        <v>56</v>
      </c>
      <c r="U1999">
        <v>52.536273000000001</v>
      </c>
      <c r="V1999">
        <v>19.050639</v>
      </c>
      <c r="W1999" t="str">
        <f t="shared" si="218"/>
        <v>ok</v>
      </c>
      <c r="X1999" t="str">
        <f t="shared" si="224"/>
        <v>ok</v>
      </c>
      <c r="Y1999" t="str">
        <f t="shared" si="219"/>
        <v>ok</v>
      </c>
      <c r="Z1999" t="str">
        <f t="shared" si="220"/>
        <v>ok</v>
      </c>
      <c r="AA1999" s="4" t="str">
        <f t="shared" si="221"/>
        <v>ok</v>
      </c>
      <c r="AB1999" s="4" t="str">
        <f t="shared" si="222"/>
        <v>ok</v>
      </c>
      <c r="AC1999" s="6">
        <f t="shared" si="223"/>
        <v>39.544692222203594</v>
      </c>
    </row>
    <row r="2000" spans="1:29" x14ac:dyDescent="0.3">
      <c r="A2000" t="s">
        <v>22</v>
      </c>
      <c r="B2000">
        <v>3546</v>
      </c>
      <c r="C2000" t="s">
        <v>23</v>
      </c>
      <c r="D2000" t="s">
        <v>24</v>
      </c>
      <c r="E2000" t="s">
        <v>48</v>
      </c>
      <c r="F2000" t="s">
        <v>36</v>
      </c>
      <c r="G2000" t="s">
        <v>54</v>
      </c>
      <c r="H2000" s="1">
        <v>45238.321620370371</v>
      </c>
      <c r="I2000" s="1">
        <v>45240.321620370371</v>
      </c>
      <c r="J2000" s="1">
        <v>45238.363287037035</v>
      </c>
      <c r="K2000" s="2">
        <v>45238.342712025464</v>
      </c>
      <c r="L2000" t="s">
        <v>28</v>
      </c>
      <c r="M2000" s="2">
        <v>45238.712229745368</v>
      </c>
      <c r="N2000" t="s">
        <v>28</v>
      </c>
      <c r="O2000" s="2">
        <v>45242.991683587963</v>
      </c>
      <c r="P2000">
        <v>8</v>
      </c>
      <c r="Q2000">
        <v>3</v>
      </c>
      <c r="R2000" t="s">
        <v>55</v>
      </c>
      <c r="S2000" t="s">
        <v>40</v>
      </c>
      <c r="T2000" t="s">
        <v>63</v>
      </c>
      <c r="U2000">
        <v>55.378051999999997</v>
      </c>
      <c r="V2000">
        <v>-3.4359730000000002</v>
      </c>
      <c r="W2000" t="str">
        <f t="shared" si="218"/>
        <v>ok</v>
      </c>
      <c r="X2000" t="str">
        <f t="shared" si="224"/>
        <v>ok</v>
      </c>
      <c r="Y2000" t="str">
        <f t="shared" si="219"/>
        <v>ok</v>
      </c>
      <c r="Z2000" t="str">
        <f t="shared" si="220"/>
        <v>ok</v>
      </c>
      <c r="AA2000" s="4" t="str">
        <f t="shared" si="221"/>
        <v>ok</v>
      </c>
      <c r="AB2000" s="4" t="str">
        <f t="shared" si="222"/>
        <v>ok</v>
      </c>
      <c r="AC2000" s="6">
        <f t="shared" si="223"/>
        <v>9.3746249999385327</v>
      </c>
    </row>
    <row r="2001" spans="1:29" x14ac:dyDescent="0.3">
      <c r="A2001" t="s">
        <v>42</v>
      </c>
      <c r="B2001">
        <v>3547</v>
      </c>
      <c r="C2001" t="s">
        <v>47</v>
      </c>
      <c r="D2001" t="s">
        <v>43</v>
      </c>
      <c r="E2001" t="s">
        <v>39</v>
      </c>
      <c r="F2001" t="s">
        <v>26</v>
      </c>
      <c r="G2001" t="s">
        <v>27</v>
      </c>
      <c r="H2001" s="1">
        <v>45238.08861111111</v>
      </c>
      <c r="I2001" s="1">
        <v>45239.08861111111</v>
      </c>
      <c r="J2001" s="1">
        <v>45238.09</v>
      </c>
      <c r="K2001" s="2">
        <v>45238.092677071756</v>
      </c>
      <c r="L2001" t="s">
        <v>38</v>
      </c>
      <c r="M2001" s="2">
        <v>45238.767980682867</v>
      </c>
      <c r="N2001" t="s">
        <v>28</v>
      </c>
      <c r="P2001">
        <v>2</v>
      </c>
      <c r="R2001" t="s">
        <v>55</v>
      </c>
      <c r="S2001" t="s">
        <v>30</v>
      </c>
      <c r="T2001" t="s">
        <v>41</v>
      </c>
      <c r="U2001">
        <v>43.036776000000003</v>
      </c>
      <c r="V2001">
        <v>12.678565000000001</v>
      </c>
      <c r="W2001" t="str">
        <f t="shared" si="218"/>
        <v>ok</v>
      </c>
      <c r="X2001" t="str">
        <f t="shared" si="224"/>
        <v>ok</v>
      </c>
      <c r="Y2001" t="str">
        <f t="shared" si="219"/>
        <v>ok</v>
      </c>
      <c r="Z2001" t="str">
        <f t="shared" si="220"/>
        <v>ok</v>
      </c>
      <c r="AA2001" s="4" t="str">
        <f t="shared" si="221"/>
        <v>ok</v>
      </c>
      <c r="AB2001" s="4" t="str">
        <f t="shared" si="222"/>
        <v>ok</v>
      </c>
      <c r="AC2001" s="6">
        <f t="shared" si="223"/>
        <v>16.304869722167496</v>
      </c>
    </row>
    <row r="2002" spans="1:29" x14ac:dyDescent="0.3">
      <c r="A2002" t="s">
        <v>42</v>
      </c>
      <c r="B2002">
        <v>3548</v>
      </c>
      <c r="C2002" t="s">
        <v>23</v>
      </c>
      <c r="D2002" t="s">
        <v>24</v>
      </c>
      <c r="E2002" t="s">
        <v>39</v>
      </c>
      <c r="F2002" t="s">
        <v>26</v>
      </c>
      <c r="G2002" t="s">
        <v>60</v>
      </c>
      <c r="H2002" s="1">
        <v>45238.484189814815</v>
      </c>
      <c r="I2002" s="1">
        <v>45240.484189814815</v>
      </c>
      <c r="J2002" s="1">
        <v>45238.525856481479</v>
      </c>
      <c r="K2002" s="2">
        <v>45238.518548900465</v>
      </c>
      <c r="L2002" t="s">
        <v>28</v>
      </c>
      <c r="M2002" s="2">
        <v>45241.581802326386</v>
      </c>
      <c r="N2002" t="s">
        <v>38</v>
      </c>
      <c r="P2002">
        <v>6</v>
      </c>
      <c r="R2002" t="s">
        <v>29</v>
      </c>
      <c r="S2002" t="s">
        <v>30</v>
      </c>
      <c r="T2002" t="s">
        <v>57</v>
      </c>
      <c r="U2002">
        <v>51.165691000000002</v>
      </c>
      <c r="V2002">
        <v>10.451525999999999</v>
      </c>
      <c r="W2002" t="str">
        <f t="shared" si="218"/>
        <v>ok</v>
      </c>
      <c r="X2002" t="str">
        <f t="shared" si="224"/>
        <v>ok</v>
      </c>
      <c r="Y2002" t="str">
        <f t="shared" si="219"/>
        <v>ok</v>
      </c>
      <c r="Z2002" t="str">
        <f t="shared" si="220"/>
        <v>ok</v>
      </c>
      <c r="AA2002" s="4" t="str">
        <f t="shared" si="221"/>
        <v>ok</v>
      </c>
      <c r="AB2002" s="4" t="str">
        <f t="shared" si="222"/>
        <v>ok</v>
      </c>
      <c r="AC2002" s="6">
        <f t="shared" si="223"/>
        <v>74.342700277687982</v>
      </c>
    </row>
    <row r="2003" spans="1:29" x14ac:dyDescent="0.3">
      <c r="A2003" t="s">
        <v>42</v>
      </c>
      <c r="B2003">
        <v>3550</v>
      </c>
      <c r="C2003" t="s">
        <v>47</v>
      </c>
      <c r="D2003" t="s">
        <v>43</v>
      </c>
      <c r="E2003" t="s">
        <v>35</v>
      </c>
      <c r="F2003" t="s">
        <v>36</v>
      </c>
      <c r="G2003" t="s">
        <v>37</v>
      </c>
      <c r="H2003" s="1">
        <v>45238.513333333336</v>
      </c>
      <c r="I2003" s="1">
        <v>45239.513333333336</v>
      </c>
      <c r="J2003" s="1">
        <v>45238.514722222222</v>
      </c>
      <c r="K2003" s="2">
        <v>45238.513925578707</v>
      </c>
      <c r="L2003" t="s">
        <v>28</v>
      </c>
      <c r="M2003" s="2">
        <v>45239.298848124999</v>
      </c>
      <c r="N2003" t="s">
        <v>28</v>
      </c>
      <c r="P2003">
        <v>5</v>
      </c>
      <c r="R2003" t="s">
        <v>50</v>
      </c>
      <c r="S2003" t="s">
        <v>40</v>
      </c>
      <c r="T2003" t="s">
        <v>65</v>
      </c>
      <c r="U2003">
        <v>46.149166399999999</v>
      </c>
      <c r="V2003">
        <v>14.9860106</v>
      </c>
      <c r="W2003" t="str">
        <f t="shared" si="218"/>
        <v>ok</v>
      </c>
      <c r="X2003" t="str">
        <f t="shared" si="224"/>
        <v>ok</v>
      </c>
      <c r="Y2003" t="str">
        <f t="shared" si="219"/>
        <v>ok</v>
      </c>
      <c r="Z2003" t="str">
        <f t="shared" si="220"/>
        <v>ok</v>
      </c>
      <c r="AA2003" s="4" t="str">
        <f t="shared" si="221"/>
        <v>ok</v>
      </c>
      <c r="AB2003" s="4" t="str">
        <f t="shared" si="222"/>
        <v>ok</v>
      </c>
      <c r="AC2003" s="6">
        <f t="shared" si="223"/>
        <v>18.852354999922682</v>
      </c>
    </row>
    <row r="2004" spans="1:29" x14ac:dyDescent="0.3">
      <c r="A2004" t="s">
        <v>22</v>
      </c>
      <c r="B2004">
        <v>3551</v>
      </c>
      <c r="C2004" t="s">
        <v>33</v>
      </c>
      <c r="D2004" t="s">
        <v>24</v>
      </c>
      <c r="E2004" t="s">
        <v>25</v>
      </c>
      <c r="F2004" t="s">
        <v>26</v>
      </c>
      <c r="G2004" t="s">
        <v>45</v>
      </c>
      <c r="H2004" s="1">
        <v>45238.894178240742</v>
      </c>
      <c r="I2004" s="1">
        <v>45240.894178240742</v>
      </c>
      <c r="J2004" s="1">
        <v>45238.935844907406</v>
      </c>
      <c r="K2004" s="2">
        <v>45238.901621238423</v>
      </c>
      <c r="L2004" t="s">
        <v>28</v>
      </c>
      <c r="M2004" s="2">
        <v>45241.161913518517</v>
      </c>
      <c r="N2004" t="s">
        <v>38</v>
      </c>
      <c r="O2004" s="2">
        <v>45243.05290289352</v>
      </c>
      <c r="P2004">
        <v>9</v>
      </c>
      <c r="Q2004">
        <v>4</v>
      </c>
      <c r="R2004" t="s">
        <v>50</v>
      </c>
      <c r="S2004" t="s">
        <v>30</v>
      </c>
      <c r="T2004" t="s">
        <v>56</v>
      </c>
      <c r="U2004">
        <v>52.536273000000001</v>
      </c>
      <c r="V2004">
        <v>19.050639</v>
      </c>
      <c r="W2004" t="str">
        <f t="shared" si="218"/>
        <v>ok</v>
      </c>
      <c r="X2004" t="str">
        <f t="shared" si="224"/>
        <v>ok</v>
      </c>
      <c r="Y2004" t="str">
        <f t="shared" si="219"/>
        <v>ok</v>
      </c>
      <c r="Z2004" t="str">
        <f t="shared" si="220"/>
        <v>ok</v>
      </c>
      <c r="AA2004" s="4" t="str">
        <f t="shared" si="221"/>
        <v>ok</v>
      </c>
      <c r="AB2004" s="4" t="str">
        <f t="shared" si="222"/>
        <v>ok</v>
      </c>
      <c r="AC2004" s="6">
        <f t="shared" si="223"/>
        <v>54.42564666661201</v>
      </c>
    </row>
    <row r="2005" spans="1:29" x14ac:dyDescent="0.3">
      <c r="A2005" t="s">
        <v>32</v>
      </c>
      <c r="B2005">
        <v>3552</v>
      </c>
      <c r="C2005" t="s">
        <v>23</v>
      </c>
      <c r="D2005" t="s">
        <v>43</v>
      </c>
      <c r="E2005" t="s">
        <v>39</v>
      </c>
      <c r="F2005" t="s">
        <v>26</v>
      </c>
      <c r="G2005" t="s">
        <v>27</v>
      </c>
      <c r="H2005" s="1">
        <v>45238.328090277777</v>
      </c>
      <c r="I2005" s="1">
        <v>45239.328090277777</v>
      </c>
      <c r="J2005" s="1">
        <v>45238.329479166663</v>
      </c>
      <c r="K2005" s="2">
        <v>45238.328766006947</v>
      </c>
      <c r="L2005" t="s">
        <v>28</v>
      </c>
      <c r="N2005" t="s">
        <v>38</v>
      </c>
      <c r="P2005">
        <v>8</v>
      </c>
      <c r="R2005" t="s">
        <v>29</v>
      </c>
      <c r="S2005" t="s">
        <v>30</v>
      </c>
      <c r="T2005" t="s">
        <v>66</v>
      </c>
      <c r="U2005">
        <v>48.864716000000001</v>
      </c>
      <c r="V2005">
        <v>2.3490139999999999</v>
      </c>
      <c r="W2005" t="str">
        <f t="shared" si="218"/>
        <v>ok</v>
      </c>
      <c r="X2005" t="str">
        <f t="shared" si="224"/>
        <v>ok</v>
      </c>
      <c r="Y2005" t="str">
        <f t="shared" si="219"/>
        <v>ok</v>
      </c>
      <c r="Z2005" t="str">
        <f t="shared" si="220"/>
        <v>ok</v>
      </c>
      <c r="AA2005" s="4" t="str">
        <f t="shared" si="221"/>
        <v>ok</v>
      </c>
      <c r="AB2005" s="4" t="str">
        <f t="shared" si="222"/>
        <v>no resolution</v>
      </c>
      <c r="AC2005" s="6" t="str">
        <f t="shared" si="223"/>
        <v/>
      </c>
    </row>
    <row r="2006" spans="1:29" x14ac:dyDescent="0.3">
      <c r="A2006" t="s">
        <v>22</v>
      </c>
      <c r="B2006">
        <v>3553</v>
      </c>
      <c r="C2006" t="s">
        <v>33</v>
      </c>
      <c r="D2006" t="s">
        <v>24</v>
      </c>
      <c r="E2006" t="s">
        <v>62</v>
      </c>
      <c r="F2006" t="s">
        <v>26</v>
      </c>
      <c r="G2006" t="s">
        <v>49</v>
      </c>
      <c r="H2006" s="1">
        <v>45239.19972222222</v>
      </c>
      <c r="I2006" s="1">
        <v>45241.19972222222</v>
      </c>
      <c r="J2006" s="1">
        <v>45239.241388888891</v>
      </c>
      <c r="K2006" s="2">
        <v>45239.209032870371</v>
      </c>
      <c r="L2006" t="s">
        <v>28</v>
      </c>
      <c r="M2006" s="2">
        <v>45239.296210567132</v>
      </c>
      <c r="N2006" t="s">
        <v>28</v>
      </c>
      <c r="O2006" s="2">
        <v>45241.344046030092</v>
      </c>
      <c r="P2006">
        <v>5</v>
      </c>
      <c r="Q2006">
        <v>5</v>
      </c>
      <c r="R2006" t="s">
        <v>55</v>
      </c>
      <c r="S2006" t="s">
        <v>30</v>
      </c>
      <c r="T2006" t="s">
        <v>66</v>
      </c>
      <c r="U2006">
        <v>48.864716000000001</v>
      </c>
      <c r="V2006">
        <v>2.3490139999999999</v>
      </c>
      <c r="W2006" t="str">
        <f t="shared" si="218"/>
        <v>ok</v>
      </c>
      <c r="X2006" t="str">
        <f t="shared" si="224"/>
        <v>ok</v>
      </c>
      <c r="Y2006" t="str">
        <f t="shared" si="219"/>
        <v>ok</v>
      </c>
      <c r="Z2006" t="str">
        <f t="shared" si="220"/>
        <v>ok</v>
      </c>
      <c r="AA2006" s="4" t="str">
        <f t="shared" si="221"/>
        <v>ok</v>
      </c>
      <c r="AB2006" s="4" t="str">
        <f t="shared" si="222"/>
        <v>ok</v>
      </c>
      <c r="AC2006" s="6">
        <f t="shared" si="223"/>
        <v>2.3157202778966166</v>
      </c>
    </row>
    <row r="2007" spans="1:29" x14ac:dyDescent="0.3">
      <c r="A2007" t="s">
        <v>32</v>
      </c>
      <c r="B2007">
        <v>3554</v>
      </c>
      <c r="C2007" t="s">
        <v>23</v>
      </c>
      <c r="D2007" t="s">
        <v>24</v>
      </c>
      <c r="E2007" t="s">
        <v>48</v>
      </c>
      <c r="F2007" t="s">
        <v>26</v>
      </c>
      <c r="G2007" t="s">
        <v>45</v>
      </c>
      <c r="H2007" s="1">
        <v>45239.865162037036</v>
      </c>
      <c r="I2007" s="1">
        <v>45241.865162037036</v>
      </c>
      <c r="J2007" s="1">
        <v>45239.906828703701</v>
      </c>
      <c r="K2007" s="2">
        <v>45239.905785000003</v>
      </c>
      <c r="L2007" t="s">
        <v>28</v>
      </c>
      <c r="N2007" t="s">
        <v>38</v>
      </c>
      <c r="P2007">
        <v>8</v>
      </c>
      <c r="R2007" t="s">
        <v>50</v>
      </c>
      <c r="S2007" t="s">
        <v>30</v>
      </c>
      <c r="T2007" t="s">
        <v>51</v>
      </c>
      <c r="U2007">
        <v>39.673369999999998</v>
      </c>
      <c r="V2007">
        <v>-4.7677259999999997</v>
      </c>
      <c r="W2007" t="str">
        <f t="shared" si="218"/>
        <v>ok</v>
      </c>
      <c r="X2007" t="str">
        <f t="shared" si="224"/>
        <v>ok</v>
      </c>
      <c r="Y2007" t="str">
        <f t="shared" si="219"/>
        <v>ok</v>
      </c>
      <c r="Z2007" t="str">
        <f t="shared" si="220"/>
        <v>ok</v>
      </c>
      <c r="AA2007" s="4" t="str">
        <f t="shared" si="221"/>
        <v>ok</v>
      </c>
      <c r="AB2007" s="4" t="str">
        <f t="shared" si="222"/>
        <v>no resolution</v>
      </c>
      <c r="AC2007" s="6" t="str">
        <f t="shared" si="223"/>
        <v/>
      </c>
    </row>
    <row r="2008" spans="1:29" x14ac:dyDescent="0.3">
      <c r="A2008" t="s">
        <v>22</v>
      </c>
      <c r="B2008">
        <v>3555</v>
      </c>
      <c r="C2008" t="s">
        <v>23</v>
      </c>
      <c r="D2008" t="s">
        <v>24</v>
      </c>
      <c r="E2008" t="s">
        <v>35</v>
      </c>
      <c r="F2008" t="s">
        <v>26</v>
      </c>
      <c r="G2008" t="s">
        <v>27</v>
      </c>
      <c r="H2008" s="1">
        <v>45239.888009259259</v>
      </c>
      <c r="I2008" s="1">
        <v>45241.888009259259</v>
      </c>
      <c r="J2008" s="1">
        <v>45239.929675925923</v>
      </c>
      <c r="K2008" s="2">
        <v>45239.891961307869</v>
      </c>
      <c r="L2008" t="s">
        <v>28</v>
      </c>
      <c r="M2008" s="2">
        <v>45241.389089953707</v>
      </c>
      <c r="N2008" t="s">
        <v>28</v>
      </c>
      <c r="O2008" s="2">
        <v>45242.499872754626</v>
      </c>
      <c r="P2008">
        <v>9</v>
      </c>
      <c r="Q2008">
        <v>4</v>
      </c>
      <c r="R2008" t="s">
        <v>39</v>
      </c>
      <c r="S2008" t="s">
        <v>30</v>
      </c>
      <c r="T2008" t="s">
        <v>57</v>
      </c>
      <c r="U2008">
        <v>51.165691000000002</v>
      </c>
      <c r="V2008">
        <v>10.451525999999999</v>
      </c>
      <c r="W2008" t="str">
        <f t="shared" si="218"/>
        <v>ok</v>
      </c>
      <c r="X2008" t="str">
        <f t="shared" si="224"/>
        <v>ok</v>
      </c>
      <c r="Y2008" t="str">
        <f t="shared" si="219"/>
        <v>ok</v>
      </c>
      <c r="Z2008" t="str">
        <f t="shared" si="220"/>
        <v>ok</v>
      </c>
      <c r="AA2008" s="4" t="str">
        <f t="shared" si="221"/>
        <v>ok</v>
      </c>
      <c r="AB2008" s="4" t="str">
        <f t="shared" si="222"/>
        <v>ok</v>
      </c>
      <c r="AC2008" s="6">
        <f t="shared" si="223"/>
        <v>36.025936666759662</v>
      </c>
    </row>
    <row r="2009" spans="1:29" x14ac:dyDescent="0.3">
      <c r="A2009" t="s">
        <v>22</v>
      </c>
      <c r="B2009">
        <v>3556</v>
      </c>
      <c r="C2009" t="s">
        <v>23</v>
      </c>
      <c r="D2009" t="s">
        <v>24</v>
      </c>
      <c r="E2009" t="s">
        <v>48</v>
      </c>
      <c r="F2009" t="s">
        <v>26</v>
      </c>
      <c r="G2009" t="s">
        <v>49</v>
      </c>
      <c r="H2009" s="1">
        <v>45239.971493055556</v>
      </c>
      <c r="I2009" s="1">
        <v>45241.971493055556</v>
      </c>
      <c r="J2009" s="1">
        <v>45240.013159722221</v>
      </c>
      <c r="K2009" s="2">
        <v>45239.980172083335</v>
      </c>
      <c r="L2009" t="s">
        <v>28</v>
      </c>
      <c r="M2009" s="2">
        <v>45240.072250185185</v>
      </c>
      <c r="N2009" t="s">
        <v>28</v>
      </c>
      <c r="O2009" s="2">
        <v>45241.367724479169</v>
      </c>
      <c r="P2009">
        <v>2</v>
      </c>
      <c r="Q2009">
        <v>3</v>
      </c>
      <c r="R2009" t="s">
        <v>29</v>
      </c>
      <c r="S2009" t="s">
        <v>30</v>
      </c>
      <c r="T2009" t="s">
        <v>46</v>
      </c>
      <c r="U2009">
        <v>47.696471899999999</v>
      </c>
      <c r="V2009">
        <v>13.3457347</v>
      </c>
      <c r="W2009" t="str">
        <f t="shared" si="218"/>
        <v>ok</v>
      </c>
      <c r="X2009" t="str">
        <f t="shared" si="224"/>
        <v>ok</v>
      </c>
      <c r="Y2009" t="str">
        <f t="shared" si="219"/>
        <v>ok</v>
      </c>
      <c r="Z2009" t="str">
        <f t="shared" si="220"/>
        <v>ok</v>
      </c>
      <c r="AA2009" s="4" t="str">
        <f t="shared" si="221"/>
        <v>ok</v>
      </c>
      <c r="AB2009" s="4" t="str">
        <f t="shared" si="222"/>
        <v>ok</v>
      </c>
      <c r="AC2009" s="6">
        <f t="shared" si="223"/>
        <v>2.4181711110868491</v>
      </c>
    </row>
    <row r="2010" spans="1:29" x14ac:dyDescent="0.3">
      <c r="A2010" t="s">
        <v>22</v>
      </c>
      <c r="B2010">
        <v>3557</v>
      </c>
      <c r="C2010" t="s">
        <v>47</v>
      </c>
      <c r="D2010" t="s">
        <v>43</v>
      </c>
      <c r="E2010" t="s">
        <v>44</v>
      </c>
      <c r="F2010" t="s">
        <v>26</v>
      </c>
      <c r="G2010" t="s">
        <v>49</v>
      </c>
      <c r="H2010" s="1">
        <v>45239.344363425924</v>
      </c>
      <c r="I2010" s="1">
        <v>45240.344363425924</v>
      </c>
      <c r="J2010" s="1">
        <v>45239.345752314817</v>
      </c>
      <c r="K2010" s="2">
        <v>45239.345535451386</v>
      </c>
      <c r="L2010" t="s">
        <v>28</v>
      </c>
      <c r="M2010" s="2">
        <v>45239.965011875</v>
      </c>
      <c r="N2010" t="s">
        <v>28</v>
      </c>
      <c r="O2010" s="2">
        <v>45244.514524259263</v>
      </c>
      <c r="P2010">
        <v>5</v>
      </c>
      <c r="Q2010">
        <v>3</v>
      </c>
      <c r="R2010" t="s">
        <v>50</v>
      </c>
      <c r="S2010" t="s">
        <v>30</v>
      </c>
      <c r="T2010" t="s">
        <v>61</v>
      </c>
      <c r="U2010">
        <v>42.724992499999999</v>
      </c>
      <c r="V2010">
        <v>25.483303899999999</v>
      </c>
      <c r="W2010" t="str">
        <f t="shared" si="218"/>
        <v>ok</v>
      </c>
      <c r="X2010" t="str">
        <f t="shared" si="224"/>
        <v>ok</v>
      </c>
      <c r="Y2010" t="str">
        <f t="shared" si="219"/>
        <v>ok</v>
      </c>
      <c r="Z2010" t="str">
        <f t="shared" si="220"/>
        <v>ok</v>
      </c>
      <c r="AA2010" s="4" t="str">
        <f t="shared" si="221"/>
        <v>ok</v>
      </c>
      <c r="AB2010" s="4" t="str">
        <f t="shared" si="222"/>
        <v>ok</v>
      </c>
      <c r="AC2010" s="6">
        <f t="shared" si="223"/>
        <v>14.895562777819578</v>
      </c>
    </row>
    <row r="2011" spans="1:29" x14ac:dyDescent="0.3">
      <c r="A2011" t="s">
        <v>22</v>
      </c>
      <c r="B2011">
        <v>3559</v>
      </c>
      <c r="C2011" t="s">
        <v>33</v>
      </c>
      <c r="D2011" t="s">
        <v>24</v>
      </c>
      <c r="E2011" t="s">
        <v>59</v>
      </c>
      <c r="F2011" t="s">
        <v>26</v>
      </c>
      <c r="G2011" t="s">
        <v>49</v>
      </c>
      <c r="H2011" s="1">
        <v>45239.126388888886</v>
      </c>
      <c r="I2011" s="1">
        <v>45241.126388888886</v>
      </c>
      <c r="J2011" s="1">
        <v>45239.168055555558</v>
      </c>
      <c r="K2011" s="2">
        <v>45239.163933819444</v>
      </c>
      <c r="L2011" t="s">
        <v>28</v>
      </c>
      <c r="M2011" s="2">
        <v>45241.963567129627</v>
      </c>
      <c r="N2011" t="s">
        <v>38</v>
      </c>
      <c r="O2011" s="2">
        <v>45243.247677893516</v>
      </c>
      <c r="P2011">
        <v>1</v>
      </c>
      <c r="Q2011">
        <v>3</v>
      </c>
      <c r="R2011" t="s">
        <v>29</v>
      </c>
      <c r="S2011" t="s">
        <v>30</v>
      </c>
      <c r="T2011" t="s">
        <v>41</v>
      </c>
      <c r="U2011">
        <v>43.036776000000003</v>
      </c>
      <c r="V2011">
        <v>12.678565000000001</v>
      </c>
      <c r="W2011" t="str">
        <f t="shared" si="218"/>
        <v>ok</v>
      </c>
      <c r="X2011" t="str">
        <f t="shared" si="224"/>
        <v>ok</v>
      </c>
      <c r="Y2011" t="str">
        <f t="shared" si="219"/>
        <v>ok</v>
      </c>
      <c r="Z2011" t="str">
        <f t="shared" si="220"/>
        <v>ok</v>
      </c>
      <c r="AA2011" s="4" t="str">
        <f t="shared" si="221"/>
        <v>ok</v>
      </c>
      <c r="AB2011" s="4" t="str">
        <f t="shared" si="222"/>
        <v>ok</v>
      </c>
      <c r="AC2011" s="6">
        <f t="shared" si="223"/>
        <v>68.092277777788695</v>
      </c>
    </row>
    <row r="2012" spans="1:29" x14ac:dyDescent="0.3">
      <c r="A2012" t="s">
        <v>22</v>
      </c>
      <c r="B2012">
        <v>3560</v>
      </c>
      <c r="C2012" t="s">
        <v>47</v>
      </c>
      <c r="D2012" t="s">
        <v>43</v>
      </c>
      <c r="E2012" t="s">
        <v>25</v>
      </c>
      <c r="F2012" t="s">
        <v>26</v>
      </c>
      <c r="G2012" t="s">
        <v>52</v>
      </c>
      <c r="H2012" s="1">
        <v>45239.217499999999</v>
      </c>
      <c r="I2012" s="1">
        <v>45240.217499999999</v>
      </c>
      <c r="J2012" s="1">
        <v>45239.218888888892</v>
      </c>
      <c r="K2012" s="2">
        <v>45239.217562418984</v>
      </c>
      <c r="L2012" t="s">
        <v>28</v>
      </c>
      <c r="M2012" s="2">
        <v>45239.43832119213</v>
      </c>
      <c r="N2012" t="s">
        <v>28</v>
      </c>
      <c r="O2012" s="2">
        <v>45241.170486296294</v>
      </c>
      <c r="P2012">
        <v>4</v>
      </c>
      <c r="Q2012">
        <v>2</v>
      </c>
      <c r="R2012" t="s">
        <v>39</v>
      </c>
      <c r="S2012" t="s">
        <v>30</v>
      </c>
      <c r="T2012" t="s">
        <v>53</v>
      </c>
      <c r="U2012">
        <v>39.368279000000001</v>
      </c>
      <c r="V2012">
        <v>21.863140999999999</v>
      </c>
      <c r="W2012" t="str">
        <f t="shared" si="218"/>
        <v>ok</v>
      </c>
      <c r="X2012" t="str">
        <f t="shared" si="224"/>
        <v>ok</v>
      </c>
      <c r="Y2012" t="str">
        <f t="shared" si="219"/>
        <v>ok</v>
      </c>
      <c r="Z2012" t="str">
        <f t="shared" si="220"/>
        <v>ok</v>
      </c>
      <c r="AA2012" s="4" t="str">
        <f t="shared" si="221"/>
        <v>ok</v>
      </c>
      <c r="AB2012" s="4" t="str">
        <f t="shared" si="222"/>
        <v>ok</v>
      </c>
      <c r="AC2012" s="6">
        <f t="shared" si="223"/>
        <v>5.2997086111572571</v>
      </c>
    </row>
    <row r="2013" spans="1:29" x14ac:dyDescent="0.3">
      <c r="A2013" t="s">
        <v>42</v>
      </c>
      <c r="B2013">
        <v>3561</v>
      </c>
      <c r="C2013" t="s">
        <v>47</v>
      </c>
      <c r="D2013" t="s">
        <v>24</v>
      </c>
      <c r="E2013" t="s">
        <v>67</v>
      </c>
      <c r="F2013" t="s">
        <v>26</v>
      </c>
      <c r="G2013" t="s">
        <v>49</v>
      </c>
      <c r="H2013" s="1">
        <v>45239.030115740738</v>
      </c>
      <c r="I2013" s="1">
        <v>45241.030115740738</v>
      </c>
      <c r="J2013" s="1">
        <v>45239.071782407409</v>
      </c>
      <c r="K2013" s="2">
        <v>45239.042383391206</v>
      </c>
      <c r="L2013" t="s">
        <v>28</v>
      </c>
      <c r="M2013" s="2">
        <v>45240.92087923611</v>
      </c>
      <c r="N2013" t="s">
        <v>28</v>
      </c>
      <c r="P2013">
        <v>1</v>
      </c>
      <c r="R2013" t="s">
        <v>29</v>
      </c>
      <c r="S2013" t="s">
        <v>30</v>
      </c>
      <c r="T2013" t="s">
        <v>51</v>
      </c>
      <c r="U2013">
        <v>39.673369999999998</v>
      </c>
      <c r="V2013">
        <v>-4.7677259999999997</v>
      </c>
      <c r="W2013" t="str">
        <f t="shared" si="218"/>
        <v>ok</v>
      </c>
      <c r="X2013" t="str">
        <f t="shared" si="224"/>
        <v>ok</v>
      </c>
      <c r="Y2013" t="str">
        <f t="shared" si="219"/>
        <v>ok</v>
      </c>
      <c r="Z2013" t="str">
        <f t="shared" si="220"/>
        <v>ok</v>
      </c>
      <c r="AA2013" s="4" t="str">
        <f t="shared" si="221"/>
        <v>ok</v>
      </c>
      <c r="AB2013" s="4" t="str">
        <f t="shared" si="222"/>
        <v>ok</v>
      </c>
      <c r="AC2013" s="6">
        <f t="shared" si="223"/>
        <v>45.378323888930026</v>
      </c>
    </row>
    <row r="2014" spans="1:29" x14ac:dyDescent="0.3">
      <c r="A2014" t="s">
        <v>22</v>
      </c>
      <c r="B2014">
        <v>3562</v>
      </c>
      <c r="C2014" t="s">
        <v>33</v>
      </c>
      <c r="D2014" t="s">
        <v>24</v>
      </c>
      <c r="E2014" t="s">
        <v>48</v>
      </c>
      <c r="F2014" t="s">
        <v>26</v>
      </c>
      <c r="G2014" t="s">
        <v>52</v>
      </c>
      <c r="H2014" s="1">
        <v>45240.590428240743</v>
      </c>
      <c r="I2014" s="1">
        <v>45242.590428240743</v>
      </c>
      <c r="J2014" s="1">
        <v>45240.632094907407</v>
      </c>
      <c r="K2014" s="2">
        <v>45240.602394386573</v>
      </c>
      <c r="L2014" t="s">
        <v>28</v>
      </c>
      <c r="M2014" s="2">
        <v>45241.964240601854</v>
      </c>
      <c r="N2014" t="s">
        <v>28</v>
      </c>
      <c r="O2014" s="2">
        <v>45243.937735740743</v>
      </c>
      <c r="P2014">
        <v>1</v>
      </c>
      <c r="Q2014">
        <v>4</v>
      </c>
      <c r="R2014" t="s">
        <v>50</v>
      </c>
      <c r="S2014" t="s">
        <v>30</v>
      </c>
      <c r="T2014" t="s">
        <v>41</v>
      </c>
      <c r="U2014">
        <v>43.036776000000003</v>
      </c>
      <c r="V2014">
        <v>12.678565000000001</v>
      </c>
      <c r="W2014" t="str">
        <f t="shared" si="218"/>
        <v>ok</v>
      </c>
      <c r="X2014" t="str">
        <f t="shared" si="224"/>
        <v>ok</v>
      </c>
      <c r="Y2014" t="str">
        <f t="shared" si="219"/>
        <v>ok</v>
      </c>
      <c r="Z2014" t="str">
        <f t="shared" si="220"/>
        <v>ok</v>
      </c>
      <c r="AA2014" s="4" t="str">
        <f t="shared" si="221"/>
        <v>ok</v>
      </c>
      <c r="AB2014" s="4" t="str">
        <f t="shared" si="222"/>
        <v>ok</v>
      </c>
      <c r="AC2014" s="6">
        <f t="shared" si="223"/>
        <v>32.971496666665189</v>
      </c>
    </row>
    <row r="2015" spans="1:29" x14ac:dyDescent="0.3">
      <c r="A2015" t="s">
        <v>22</v>
      </c>
      <c r="B2015">
        <v>3563</v>
      </c>
      <c r="C2015" t="s">
        <v>47</v>
      </c>
      <c r="D2015" t="s">
        <v>43</v>
      </c>
      <c r="E2015" t="s">
        <v>35</v>
      </c>
      <c r="F2015" t="s">
        <v>26</v>
      </c>
      <c r="G2015" t="s">
        <v>52</v>
      </c>
      <c r="H2015" s="1">
        <v>45240.039965277778</v>
      </c>
      <c r="I2015" s="1">
        <v>45241.039965277778</v>
      </c>
      <c r="J2015" s="1">
        <v>45240.041354166664</v>
      </c>
      <c r="K2015" s="2">
        <v>45240.040208981482</v>
      </c>
      <c r="L2015" t="s">
        <v>28</v>
      </c>
      <c r="M2015" s="2">
        <v>45244.715049062499</v>
      </c>
      <c r="N2015" t="s">
        <v>38</v>
      </c>
      <c r="O2015" s="2">
        <v>45246.420197094907</v>
      </c>
      <c r="P2015">
        <v>7</v>
      </c>
      <c r="Q2015">
        <v>3</v>
      </c>
      <c r="R2015" t="s">
        <v>50</v>
      </c>
      <c r="S2015" t="s">
        <v>30</v>
      </c>
      <c r="T2015" t="s">
        <v>41</v>
      </c>
      <c r="U2015">
        <v>43.036776000000003</v>
      </c>
      <c r="V2015">
        <v>12.678565000000001</v>
      </c>
      <c r="W2015" t="str">
        <f t="shared" si="218"/>
        <v>ok</v>
      </c>
      <c r="X2015" t="str">
        <f t="shared" si="224"/>
        <v>ok</v>
      </c>
      <c r="Y2015" t="str">
        <f t="shared" si="219"/>
        <v>ok</v>
      </c>
      <c r="Z2015" t="str">
        <f t="shared" si="220"/>
        <v>ok</v>
      </c>
      <c r="AA2015" s="4" t="str">
        <f t="shared" si="221"/>
        <v>ok</v>
      </c>
      <c r="AB2015" s="4" t="str">
        <f t="shared" si="222"/>
        <v>ok</v>
      </c>
      <c r="AC2015" s="6">
        <f t="shared" si="223"/>
        <v>112.20201083330903</v>
      </c>
    </row>
    <row r="2016" spans="1:29" x14ac:dyDescent="0.3">
      <c r="A2016" t="s">
        <v>22</v>
      </c>
      <c r="B2016">
        <v>3565</v>
      </c>
      <c r="C2016" t="s">
        <v>23</v>
      </c>
      <c r="D2016" t="s">
        <v>24</v>
      </c>
      <c r="E2016" t="s">
        <v>39</v>
      </c>
      <c r="F2016" t="s">
        <v>36</v>
      </c>
      <c r="G2016" t="s">
        <v>37</v>
      </c>
      <c r="H2016" s="1">
        <v>45240.539178240739</v>
      </c>
      <c r="I2016" s="1">
        <v>45242.539178240739</v>
      </c>
      <c r="J2016" s="1">
        <v>45240.58084490741</v>
      </c>
      <c r="K2016" s="2">
        <v>45240.575455092592</v>
      </c>
      <c r="L2016" t="s">
        <v>28</v>
      </c>
      <c r="M2016" s="2">
        <v>45241.944598680559</v>
      </c>
      <c r="N2016" t="s">
        <v>28</v>
      </c>
      <c r="O2016" s="2">
        <v>45242.505423761577</v>
      </c>
      <c r="P2016">
        <v>2</v>
      </c>
      <c r="Q2016">
        <v>3</v>
      </c>
      <c r="R2016" t="s">
        <v>50</v>
      </c>
      <c r="S2016" t="s">
        <v>40</v>
      </c>
      <c r="T2016" t="s">
        <v>41</v>
      </c>
      <c r="U2016">
        <v>43.036776000000003</v>
      </c>
      <c r="V2016">
        <v>12.678565000000001</v>
      </c>
      <c r="W2016" t="str">
        <f t="shared" si="218"/>
        <v>ok</v>
      </c>
      <c r="X2016" t="str">
        <f t="shared" si="224"/>
        <v>ok</v>
      </c>
      <c r="Y2016" t="str">
        <f t="shared" si="219"/>
        <v>ok</v>
      </c>
      <c r="Z2016" t="str">
        <f t="shared" si="220"/>
        <v>ok</v>
      </c>
      <c r="AA2016" s="4" t="str">
        <f t="shared" si="221"/>
        <v>ok</v>
      </c>
      <c r="AB2016" s="4" t="str">
        <f t="shared" si="222"/>
        <v>ok</v>
      </c>
      <c r="AC2016" s="6">
        <f t="shared" si="223"/>
        <v>33.730090555676725</v>
      </c>
    </row>
    <row r="2017" spans="1:29" x14ac:dyDescent="0.3">
      <c r="A2017" t="s">
        <v>22</v>
      </c>
      <c r="B2017">
        <v>3566</v>
      </c>
      <c r="C2017" t="s">
        <v>23</v>
      </c>
      <c r="D2017" t="s">
        <v>34</v>
      </c>
      <c r="E2017" t="s">
        <v>35</v>
      </c>
      <c r="F2017" t="s">
        <v>26</v>
      </c>
      <c r="G2017" t="s">
        <v>60</v>
      </c>
      <c r="H2017" s="1">
        <v>45240.990335648145</v>
      </c>
      <c r="I2017" s="1">
        <v>45242.990335648145</v>
      </c>
      <c r="J2017" s="1">
        <v>45240.991724537038</v>
      </c>
      <c r="K2017" s="2">
        <v>45240.991164826388</v>
      </c>
      <c r="L2017" t="s">
        <v>28</v>
      </c>
      <c r="M2017" s="2">
        <v>45241.92271298611</v>
      </c>
      <c r="N2017" t="s">
        <v>28</v>
      </c>
      <c r="O2017" s="2">
        <v>45242.244249247684</v>
      </c>
      <c r="P2017">
        <v>2</v>
      </c>
      <c r="Q2017">
        <v>3</v>
      </c>
      <c r="R2017" t="s">
        <v>50</v>
      </c>
      <c r="S2017" t="s">
        <v>30</v>
      </c>
      <c r="T2017" t="s">
        <v>46</v>
      </c>
      <c r="U2017">
        <v>47.696471899999999</v>
      </c>
      <c r="V2017">
        <v>13.3457347</v>
      </c>
      <c r="W2017" t="str">
        <f t="shared" si="218"/>
        <v>ok</v>
      </c>
      <c r="X2017" t="str">
        <f t="shared" si="224"/>
        <v>ok</v>
      </c>
      <c r="Y2017" t="str">
        <f t="shared" si="219"/>
        <v>ok</v>
      </c>
      <c r="Z2017" t="str">
        <f t="shared" si="220"/>
        <v>ok</v>
      </c>
      <c r="AA2017" s="4" t="str">
        <f t="shared" si="221"/>
        <v>ok</v>
      </c>
      <c r="AB2017" s="4" t="str">
        <f t="shared" si="222"/>
        <v>ok</v>
      </c>
      <c r="AC2017" s="6">
        <f t="shared" si="223"/>
        <v>22.37705611117417</v>
      </c>
    </row>
    <row r="2018" spans="1:29" x14ac:dyDescent="0.3">
      <c r="A2018" t="s">
        <v>22</v>
      </c>
      <c r="B2018">
        <v>3567</v>
      </c>
      <c r="C2018" t="s">
        <v>33</v>
      </c>
      <c r="D2018" t="s">
        <v>24</v>
      </c>
      <c r="E2018" t="s">
        <v>35</v>
      </c>
      <c r="F2018" t="s">
        <v>26</v>
      </c>
      <c r="G2018" t="s">
        <v>45</v>
      </c>
      <c r="H2018" s="1">
        <v>45240.490914351853</v>
      </c>
      <c r="I2018" s="1">
        <v>45242.490914351853</v>
      </c>
      <c r="J2018" s="1">
        <v>45240.532581018517</v>
      </c>
      <c r="K2018" s="2">
        <v>45240.498577511571</v>
      </c>
      <c r="L2018" t="s">
        <v>28</v>
      </c>
      <c r="M2018" s="2">
        <v>45240.675409201387</v>
      </c>
      <c r="N2018" t="s">
        <v>28</v>
      </c>
      <c r="O2018" s="2">
        <v>45240.738411087965</v>
      </c>
      <c r="P2018">
        <v>4</v>
      </c>
      <c r="Q2018">
        <v>4</v>
      </c>
      <c r="R2018" t="s">
        <v>39</v>
      </c>
      <c r="S2018" t="s">
        <v>30</v>
      </c>
      <c r="T2018" t="s">
        <v>58</v>
      </c>
      <c r="U2018">
        <v>49.8037633</v>
      </c>
      <c r="V2018">
        <v>15.4749126</v>
      </c>
      <c r="W2018" t="str">
        <f t="shared" si="218"/>
        <v>ok</v>
      </c>
      <c r="X2018" t="str">
        <f t="shared" si="224"/>
        <v>ok</v>
      </c>
      <c r="Y2018" t="str">
        <f t="shared" si="219"/>
        <v>ok</v>
      </c>
      <c r="Z2018" t="str">
        <f t="shared" si="220"/>
        <v>ok</v>
      </c>
      <c r="AA2018" s="4" t="str">
        <f t="shared" si="221"/>
        <v>ok</v>
      </c>
      <c r="AB2018" s="4" t="str">
        <f t="shared" si="222"/>
        <v>ok</v>
      </c>
      <c r="AC2018" s="6">
        <f t="shared" si="223"/>
        <v>4.4278763888287358</v>
      </c>
    </row>
    <row r="2019" spans="1:29" x14ac:dyDescent="0.3">
      <c r="A2019" t="s">
        <v>42</v>
      </c>
      <c r="B2019">
        <v>3568</v>
      </c>
      <c r="C2019" t="s">
        <v>23</v>
      </c>
      <c r="D2019" t="s">
        <v>43</v>
      </c>
      <c r="E2019" t="s">
        <v>35</v>
      </c>
      <c r="F2019" t="s">
        <v>26</v>
      </c>
      <c r="G2019" t="s">
        <v>52</v>
      </c>
      <c r="H2019" s="1">
        <v>45240.290868055556</v>
      </c>
      <c r="I2019" s="1">
        <v>45241.290868055556</v>
      </c>
      <c r="J2019" s="1">
        <v>45240.292256944442</v>
      </c>
      <c r="K2019" s="2">
        <v>45240.291839328704</v>
      </c>
      <c r="L2019" t="s">
        <v>28</v>
      </c>
      <c r="M2019" s="2">
        <v>45241.079716759261</v>
      </c>
      <c r="N2019" t="s">
        <v>28</v>
      </c>
      <c r="P2019">
        <v>6</v>
      </c>
      <c r="R2019" t="s">
        <v>39</v>
      </c>
      <c r="S2019" t="s">
        <v>30</v>
      </c>
      <c r="T2019" t="s">
        <v>57</v>
      </c>
      <c r="U2019">
        <v>51.165691000000002</v>
      </c>
      <c r="V2019">
        <v>10.451525999999999</v>
      </c>
      <c r="W2019" t="str">
        <f t="shared" si="218"/>
        <v>ok</v>
      </c>
      <c r="X2019" t="str">
        <f t="shared" si="224"/>
        <v>ok</v>
      </c>
      <c r="Y2019" t="str">
        <f t="shared" si="219"/>
        <v>ok</v>
      </c>
      <c r="Z2019" t="str">
        <f t="shared" si="220"/>
        <v>ok</v>
      </c>
      <c r="AA2019" s="4" t="str">
        <f t="shared" si="221"/>
        <v>ok</v>
      </c>
      <c r="AB2019" s="4" t="str">
        <f t="shared" si="222"/>
        <v>ok</v>
      </c>
      <c r="AC2019" s="6">
        <f t="shared" si="223"/>
        <v>18.932368888927158</v>
      </c>
    </row>
    <row r="2020" spans="1:29" x14ac:dyDescent="0.3">
      <c r="A2020" t="s">
        <v>22</v>
      </c>
      <c r="B2020">
        <v>3569</v>
      </c>
      <c r="C2020" t="s">
        <v>47</v>
      </c>
      <c r="D2020" t="s">
        <v>24</v>
      </c>
      <c r="E2020" t="s">
        <v>48</v>
      </c>
      <c r="F2020" t="s">
        <v>26</v>
      </c>
      <c r="G2020" t="s">
        <v>52</v>
      </c>
      <c r="H2020" s="1">
        <v>45241.028460648151</v>
      </c>
      <c r="I2020" s="1">
        <v>45243.028460648151</v>
      </c>
      <c r="J2020" s="1">
        <v>45241.070127314815</v>
      </c>
      <c r="K2020" s="2">
        <v>45241.040048402778</v>
      </c>
      <c r="L2020" t="s">
        <v>28</v>
      </c>
      <c r="M2020" s="2">
        <v>45243.202728321761</v>
      </c>
      <c r="N2020" t="s">
        <v>38</v>
      </c>
      <c r="O2020" s="2">
        <v>45245.195583043984</v>
      </c>
      <c r="P2020">
        <v>1</v>
      </c>
      <c r="Q2020">
        <v>4</v>
      </c>
      <c r="R2020" t="s">
        <v>29</v>
      </c>
      <c r="S2020" t="s">
        <v>30</v>
      </c>
      <c r="T2020" t="s">
        <v>61</v>
      </c>
      <c r="U2020">
        <v>42.724992499999999</v>
      </c>
      <c r="V2020">
        <v>25.483303899999999</v>
      </c>
      <c r="W2020" t="str">
        <f t="shared" si="218"/>
        <v>ok</v>
      </c>
      <c r="X2020" t="str">
        <f t="shared" si="224"/>
        <v>ok</v>
      </c>
      <c r="Y2020" t="str">
        <f t="shared" si="219"/>
        <v>ok</v>
      </c>
      <c r="Z2020" t="str">
        <f t="shared" si="220"/>
        <v>ok</v>
      </c>
      <c r="AA2020" s="4" t="str">
        <f t="shared" si="221"/>
        <v>ok</v>
      </c>
      <c r="AB2020" s="4" t="str">
        <f t="shared" si="222"/>
        <v>ok</v>
      </c>
      <c r="AC2020" s="6">
        <f t="shared" si="223"/>
        <v>52.182424166647252</v>
      </c>
    </row>
    <row r="2021" spans="1:29" x14ac:dyDescent="0.3">
      <c r="A2021" t="s">
        <v>22</v>
      </c>
      <c r="B2021">
        <v>3570</v>
      </c>
      <c r="C2021" t="s">
        <v>23</v>
      </c>
      <c r="D2021" t="s">
        <v>24</v>
      </c>
      <c r="E2021" t="s">
        <v>25</v>
      </c>
      <c r="F2021" t="s">
        <v>26</v>
      </c>
      <c r="G2021" t="s">
        <v>27</v>
      </c>
      <c r="H2021" s="1">
        <v>45241.368298611109</v>
      </c>
      <c r="I2021" s="1">
        <v>45243.368298611109</v>
      </c>
      <c r="J2021" s="1">
        <v>45241.40996527778</v>
      </c>
      <c r="K2021" s="2">
        <v>45241.406573576387</v>
      </c>
      <c r="L2021" t="s">
        <v>28</v>
      </c>
      <c r="M2021" s="2">
        <v>45242.361941354167</v>
      </c>
      <c r="N2021" t="s">
        <v>28</v>
      </c>
      <c r="O2021" s="2">
        <v>45242.882480659726</v>
      </c>
      <c r="P2021">
        <v>2</v>
      </c>
      <c r="Q2021">
        <v>5</v>
      </c>
      <c r="R2021" t="s">
        <v>39</v>
      </c>
      <c r="S2021" t="s">
        <v>30</v>
      </c>
      <c r="T2021" t="s">
        <v>41</v>
      </c>
      <c r="U2021">
        <v>43.036776000000003</v>
      </c>
      <c r="V2021">
        <v>12.678565000000001</v>
      </c>
      <c r="W2021" t="str">
        <f t="shared" si="218"/>
        <v>ok</v>
      </c>
      <c r="X2021" t="str">
        <f t="shared" si="224"/>
        <v>ok</v>
      </c>
      <c r="Y2021" t="str">
        <f t="shared" si="219"/>
        <v>ok</v>
      </c>
      <c r="Z2021" t="str">
        <f t="shared" si="220"/>
        <v>ok</v>
      </c>
      <c r="AA2021" s="4" t="str">
        <f t="shared" si="221"/>
        <v>ok</v>
      </c>
      <c r="AB2021" s="4" t="str">
        <f t="shared" si="222"/>
        <v>ok</v>
      </c>
      <c r="AC2021" s="6">
        <f t="shared" si="223"/>
        <v>23.847425833402667</v>
      </c>
    </row>
    <row r="2022" spans="1:29" x14ac:dyDescent="0.3">
      <c r="A2022" t="s">
        <v>42</v>
      </c>
      <c r="B2022">
        <v>3571</v>
      </c>
      <c r="C2022" t="s">
        <v>33</v>
      </c>
      <c r="D2022" t="s">
        <v>34</v>
      </c>
      <c r="E2022" t="s">
        <v>25</v>
      </c>
      <c r="F2022" t="s">
        <v>26</v>
      </c>
      <c r="G2022" t="s">
        <v>60</v>
      </c>
      <c r="H2022" s="1">
        <v>45241.023969907408</v>
      </c>
      <c r="I2022" s="1">
        <v>45243.023969907408</v>
      </c>
      <c r="J2022" s="1">
        <v>45241.025358796294</v>
      </c>
      <c r="K2022" s="2">
        <v>45241.026360046293</v>
      </c>
      <c r="L2022" t="s">
        <v>38</v>
      </c>
      <c r="M2022" s="2">
        <v>45242.871815995371</v>
      </c>
      <c r="N2022" t="s">
        <v>28</v>
      </c>
      <c r="P2022">
        <v>4</v>
      </c>
      <c r="R2022" t="s">
        <v>50</v>
      </c>
      <c r="S2022" t="s">
        <v>30</v>
      </c>
      <c r="T2022" t="s">
        <v>56</v>
      </c>
      <c r="U2022">
        <v>52.536273000000001</v>
      </c>
      <c r="V2022">
        <v>19.050639</v>
      </c>
      <c r="W2022" t="str">
        <f t="shared" si="218"/>
        <v>ok</v>
      </c>
      <c r="X2022" t="str">
        <f t="shared" si="224"/>
        <v>ok</v>
      </c>
      <c r="Y2022" t="str">
        <f t="shared" si="219"/>
        <v>ok</v>
      </c>
      <c r="Z2022" t="str">
        <f t="shared" si="220"/>
        <v>ok</v>
      </c>
      <c r="AA2022" s="4" t="str">
        <f t="shared" si="221"/>
        <v>ok</v>
      </c>
      <c r="AB2022" s="4" t="str">
        <f t="shared" si="222"/>
        <v>ok</v>
      </c>
      <c r="AC2022" s="6">
        <f t="shared" si="223"/>
        <v>44.348306111118291</v>
      </c>
    </row>
    <row r="2023" spans="1:29" x14ac:dyDescent="0.3">
      <c r="A2023" t="s">
        <v>22</v>
      </c>
      <c r="B2023">
        <v>3572</v>
      </c>
      <c r="C2023" t="s">
        <v>23</v>
      </c>
      <c r="D2023" t="s">
        <v>43</v>
      </c>
      <c r="E2023" t="s">
        <v>44</v>
      </c>
      <c r="F2023" t="s">
        <v>26</v>
      </c>
      <c r="G2023" t="s">
        <v>52</v>
      </c>
      <c r="H2023" s="1">
        <v>45241.841481481482</v>
      </c>
      <c r="I2023" s="1">
        <v>45242.841481481482</v>
      </c>
      <c r="J2023" s="1">
        <v>45241.842870370368</v>
      </c>
      <c r="K2023" s="2">
        <v>45241.841725219907</v>
      </c>
      <c r="L2023" t="s">
        <v>28</v>
      </c>
      <c r="M2023" s="2">
        <v>45242.765922615741</v>
      </c>
      <c r="N2023" t="s">
        <v>28</v>
      </c>
      <c r="O2023" s="2">
        <v>45248.467539398145</v>
      </c>
      <c r="P2023">
        <v>2</v>
      </c>
      <c r="Q2023">
        <v>5</v>
      </c>
      <c r="R2023" t="s">
        <v>50</v>
      </c>
      <c r="S2023" t="s">
        <v>30</v>
      </c>
      <c r="T2023" t="s">
        <v>61</v>
      </c>
      <c r="U2023">
        <v>42.724992499999999</v>
      </c>
      <c r="V2023">
        <v>25.483303899999999</v>
      </c>
      <c r="W2023" t="str">
        <f t="shared" si="218"/>
        <v>ok</v>
      </c>
      <c r="X2023" t="str">
        <f t="shared" si="224"/>
        <v>ok</v>
      </c>
      <c r="Y2023" t="str">
        <f t="shared" si="219"/>
        <v>ok</v>
      </c>
      <c r="Z2023" t="str">
        <f t="shared" si="220"/>
        <v>ok</v>
      </c>
      <c r="AA2023" s="4" t="str">
        <f t="shared" si="221"/>
        <v>ok</v>
      </c>
      <c r="AB2023" s="4" t="str">
        <f t="shared" si="222"/>
        <v>ok</v>
      </c>
      <c r="AC2023" s="6">
        <f t="shared" si="223"/>
        <v>22.186587222211529</v>
      </c>
    </row>
    <row r="2024" spans="1:29" x14ac:dyDescent="0.3">
      <c r="A2024" t="s">
        <v>22</v>
      </c>
      <c r="B2024">
        <v>3573</v>
      </c>
      <c r="C2024" t="s">
        <v>33</v>
      </c>
      <c r="D2024" t="s">
        <v>24</v>
      </c>
      <c r="E2024" t="s">
        <v>44</v>
      </c>
      <c r="F2024" t="s">
        <v>26</v>
      </c>
      <c r="G2024" t="s">
        <v>60</v>
      </c>
      <c r="H2024" s="1">
        <v>45241.012997685182</v>
      </c>
      <c r="I2024" s="1">
        <v>45243.012997685182</v>
      </c>
      <c r="J2024" s="1">
        <v>45241.054664351854</v>
      </c>
      <c r="K2024" s="2">
        <v>45241.036100335645</v>
      </c>
      <c r="L2024" t="s">
        <v>28</v>
      </c>
      <c r="M2024" s="2">
        <v>45242.207034953703</v>
      </c>
      <c r="N2024" t="s">
        <v>28</v>
      </c>
      <c r="O2024" s="2">
        <v>45244.310439525463</v>
      </c>
      <c r="P2024">
        <v>7</v>
      </c>
      <c r="Q2024">
        <v>3</v>
      </c>
      <c r="R2024" t="s">
        <v>50</v>
      </c>
      <c r="S2024" t="s">
        <v>30</v>
      </c>
      <c r="T2024" t="s">
        <v>46</v>
      </c>
      <c r="U2024">
        <v>47.696471899999999</v>
      </c>
      <c r="V2024">
        <v>13.3457347</v>
      </c>
      <c r="W2024" t="str">
        <f t="shared" si="218"/>
        <v>ok</v>
      </c>
      <c r="X2024" t="str">
        <f t="shared" si="224"/>
        <v>ok</v>
      </c>
      <c r="Y2024" t="str">
        <f t="shared" si="219"/>
        <v>ok</v>
      </c>
      <c r="Z2024" t="str">
        <f t="shared" si="220"/>
        <v>ok</v>
      </c>
      <c r="AA2024" s="4" t="str">
        <f t="shared" si="221"/>
        <v>ok</v>
      </c>
      <c r="AB2024" s="4" t="str">
        <f t="shared" si="222"/>
        <v>ok</v>
      </c>
      <c r="AC2024" s="6">
        <f t="shared" si="223"/>
        <v>28.656894444487989</v>
      </c>
    </row>
    <row r="2025" spans="1:29" x14ac:dyDescent="0.3">
      <c r="A2025" t="s">
        <v>22</v>
      </c>
      <c r="B2025">
        <v>3574</v>
      </c>
      <c r="C2025" t="s">
        <v>47</v>
      </c>
      <c r="D2025" t="s">
        <v>24</v>
      </c>
      <c r="E2025" t="s">
        <v>39</v>
      </c>
      <c r="F2025" t="s">
        <v>26</v>
      </c>
      <c r="G2025" t="s">
        <v>49</v>
      </c>
      <c r="H2025" s="1">
        <v>45242.451932870368</v>
      </c>
      <c r="I2025" s="1">
        <v>45244.451932870368</v>
      </c>
      <c r="J2025" s="1">
        <v>45242.49359953704</v>
      </c>
      <c r="K2025" s="2">
        <v>45242.472160289355</v>
      </c>
      <c r="L2025" t="s">
        <v>28</v>
      </c>
      <c r="M2025" s="2">
        <v>45245.353764444444</v>
      </c>
      <c r="N2025" t="s">
        <v>38</v>
      </c>
      <c r="O2025" s="2">
        <v>45247.229681342593</v>
      </c>
      <c r="P2025">
        <v>2</v>
      </c>
      <c r="Q2025">
        <v>3</v>
      </c>
      <c r="R2025" t="s">
        <v>50</v>
      </c>
      <c r="S2025" t="s">
        <v>30</v>
      </c>
      <c r="T2025" t="s">
        <v>58</v>
      </c>
      <c r="U2025">
        <v>49.8037633</v>
      </c>
      <c r="V2025">
        <v>15.4749126</v>
      </c>
      <c r="W2025" t="str">
        <f t="shared" si="218"/>
        <v>ok</v>
      </c>
      <c r="X2025" t="str">
        <f t="shared" si="224"/>
        <v>ok</v>
      </c>
      <c r="Y2025" t="str">
        <f t="shared" si="219"/>
        <v>ok</v>
      </c>
      <c r="Z2025" t="str">
        <f t="shared" si="220"/>
        <v>ok</v>
      </c>
      <c r="AA2025" s="4" t="str">
        <f t="shared" si="221"/>
        <v>ok</v>
      </c>
      <c r="AB2025" s="4" t="str">
        <f t="shared" si="222"/>
        <v>ok</v>
      </c>
      <c r="AC2025" s="6">
        <f t="shared" si="223"/>
        <v>69.643957777821925</v>
      </c>
    </row>
    <row r="2026" spans="1:29" x14ac:dyDescent="0.3">
      <c r="A2026" t="s">
        <v>22</v>
      </c>
      <c r="B2026">
        <v>3575</v>
      </c>
      <c r="C2026" t="s">
        <v>47</v>
      </c>
      <c r="D2026" t="s">
        <v>24</v>
      </c>
      <c r="E2026" t="s">
        <v>48</v>
      </c>
      <c r="F2026" t="s">
        <v>26</v>
      </c>
      <c r="G2026" t="s">
        <v>60</v>
      </c>
      <c r="H2026" s="1">
        <v>45242.01116898148</v>
      </c>
      <c r="I2026" s="1">
        <v>45244.01116898148</v>
      </c>
      <c r="J2026" s="1">
        <v>45242.052835648145</v>
      </c>
      <c r="K2026" s="2">
        <v>45242.019350347226</v>
      </c>
      <c r="L2026" t="s">
        <v>28</v>
      </c>
      <c r="M2026" s="2">
        <v>45242.686269282407</v>
      </c>
      <c r="N2026" t="s">
        <v>28</v>
      </c>
      <c r="O2026" s="2">
        <v>45244.160857662035</v>
      </c>
      <c r="P2026">
        <v>2</v>
      </c>
      <c r="Q2026">
        <v>5</v>
      </c>
      <c r="R2026" t="s">
        <v>50</v>
      </c>
      <c r="S2026" t="s">
        <v>30</v>
      </c>
      <c r="T2026" t="s">
        <v>65</v>
      </c>
      <c r="U2026">
        <v>46.149166399999999</v>
      </c>
      <c r="V2026">
        <v>14.9860106</v>
      </c>
      <c r="W2026" t="str">
        <f t="shared" si="218"/>
        <v>ok</v>
      </c>
      <c r="X2026" t="str">
        <f t="shared" si="224"/>
        <v>ok</v>
      </c>
      <c r="Y2026" t="str">
        <f t="shared" si="219"/>
        <v>ok</v>
      </c>
      <c r="Z2026" t="str">
        <f t="shared" si="220"/>
        <v>ok</v>
      </c>
      <c r="AA2026" s="4" t="str">
        <f t="shared" si="221"/>
        <v>ok</v>
      </c>
      <c r="AB2026" s="4" t="str">
        <f t="shared" si="222"/>
        <v>ok</v>
      </c>
      <c r="AC2026" s="6">
        <f t="shared" si="223"/>
        <v>16.202407222241163</v>
      </c>
    </row>
    <row r="2027" spans="1:29" x14ac:dyDescent="0.3">
      <c r="A2027" t="s">
        <v>22</v>
      </c>
      <c r="B2027">
        <v>3576</v>
      </c>
      <c r="C2027" t="s">
        <v>23</v>
      </c>
      <c r="D2027" t="s">
        <v>24</v>
      </c>
      <c r="E2027" t="s">
        <v>35</v>
      </c>
      <c r="F2027" t="s">
        <v>36</v>
      </c>
      <c r="G2027" t="s">
        <v>37</v>
      </c>
      <c r="H2027" s="1">
        <v>45242.70045138889</v>
      </c>
      <c r="I2027" s="1">
        <v>45244.70045138889</v>
      </c>
      <c r="J2027" s="1">
        <v>45242.742118055554</v>
      </c>
      <c r="K2027" s="2">
        <v>45242.734449837961</v>
      </c>
      <c r="L2027" t="s">
        <v>28</v>
      </c>
      <c r="M2027" s="2">
        <v>45243.597864884257</v>
      </c>
      <c r="N2027" t="s">
        <v>28</v>
      </c>
      <c r="O2027" s="2">
        <v>45249.18658371528</v>
      </c>
      <c r="P2027">
        <v>3</v>
      </c>
      <c r="Q2027">
        <v>5</v>
      </c>
      <c r="R2027" t="s">
        <v>55</v>
      </c>
      <c r="S2027" t="s">
        <v>40</v>
      </c>
      <c r="T2027" t="s">
        <v>31</v>
      </c>
      <c r="U2027">
        <v>53.094023999999997</v>
      </c>
      <c r="V2027">
        <v>-8.0196749999999994</v>
      </c>
      <c r="W2027" t="str">
        <f t="shared" si="218"/>
        <v>ok</v>
      </c>
      <c r="X2027" t="str">
        <f t="shared" si="224"/>
        <v>ok</v>
      </c>
      <c r="Y2027" t="str">
        <f t="shared" si="219"/>
        <v>ok</v>
      </c>
      <c r="Z2027" t="str">
        <f t="shared" si="220"/>
        <v>ok</v>
      </c>
      <c r="AA2027" s="4" t="str">
        <f t="shared" si="221"/>
        <v>ok</v>
      </c>
      <c r="AB2027" s="4" t="str">
        <f t="shared" si="222"/>
        <v>ok</v>
      </c>
      <c r="AC2027" s="6">
        <f t="shared" si="223"/>
        <v>21.537923888827208</v>
      </c>
    </row>
    <row r="2028" spans="1:29" x14ac:dyDescent="0.3">
      <c r="A2028" t="s">
        <v>42</v>
      </c>
      <c r="B2028">
        <v>3584</v>
      </c>
      <c r="C2028" t="s">
        <v>47</v>
      </c>
      <c r="D2028" t="s">
        <v>34</v>
      </c>
      <c r="E2028" t="s">
        <v>25</v>
      </c>
      <c r="F2028" t="s">
        <v>26</v>
      </c>
      <c r="G2028" t="s">
        <v>49</v>
      </c>
      <c r="H2028" s="1">
        <v>45243.702430555553</v>
      </c>
      <c r="I2028" s="1">
        <v>45245.702430555553</v>
      </c>
      <c r="J2028" s="1">
        <v>45243.703819444447</v>
      </c>
      <c r="K2028" s="2">
        <v>45243.703481909724</v>
      </c>
      <c r="L2028" t="s">
        <v>28</v>
      </c>
      <c r="M2028" s="2">
        <v>45245.430989074077</v>
      </c>
      <c r="N2028" t="s">
        <v>28</v>
      </c>
      <c r="P2028">
        <v>2</v>
      </c>
      <c r="R2028" t="s">
        <v>39</v>
      </c>
      <c r="S2028" t="s">
        <v>30</v>
      </c>
      <c r="T2028" t="s">
        <v>66</v>
      </c>
      <c r="U2028">
        <v>48.864716000000001</v>
      </c>
      <c r="V2028">
        <v>2.3490139999999999</v>
      </c>
      <c r="W2028" t="str">
        <f t="shared" si="218"/>
        <v>ok</v>
      </c>
      <c r="X2028" t="str">
        <f t="shared" si="224"/>
        <v>ok</v>
      </c>
      <c r="Y2028" t="str">
        <f t="shared" si="219"/>
        <v>ok</v>
      </c>
      <c r="Z2028" t="str">
        <f t="shared" si="220"/>
        <v>ok</v>
      </c>
      <c r="AA2028" s="4" t="str">
        <f t="shared" si="221"/>
        <v>ok</v>
      </c>
      <c r="AB2028" s="4" t="str">
        <f t="shared" si="222"/>
        <v>ok</v>
      </c>
      <c r="AC2028" s="6">
        <f t="shared" si="223"/>
        <v>41.485404444567394</v>
      </c>
    </row>
    <row r="2029" spans="1:29" x14ac:dyDescent="0.3">
      <c r="A2029" t="s">
        <v>32</v>
      </c>
      <c r="B2029">
        <v>3585</v>
      </c>
      <c r="C2029" t="s">
        <v>23</v>
      </c>
      <c r="D2029" t="s">
        <v>24</v>
      </c>
      <c r="E2029" t="s">
        <v>35</v>
      </c>
      <c r="F2029" t="s">
        <v>26</v>
      </c>
      <c r="G2029" t="s">
        <v>52</v>
      </c>
      <c r="H2029" s="1">
        <v>45243.628993055558</v>
      </c>
      <c r="I2029" s="1">
        <v>45245.628993055558</v>
      </c>
      <c r="J2029" s="1">
        <v>45243.670659722222</v>
      </c>
      <c r="K2029" s="2">
        <v>45243.663731076391</v>
      </c>
      <c r="L2029" t="s">
        <v>28</v>
      </c>
      <c r="N2029" t="s">
        <v>38</v>
      </c>
      <c r="P2029">
        <v>5</v>
      </c>
      <c r="R2029" t="s">
        <v>50</v>
      </c>
      <c r="S2029" t="s">
        <v>30</v>
      </c>
      <c r="T2029" t="s">
        <v>56</v>
      </c>
      <c r="U2029">
        <v>52.536273000000001</v>
      </c>
      <c r="V2029">
        <v>19.050639</v>
      </c>
      <c r="W2029" t="str">
        <f t="shared" si="218"/>
        <v>ok</v>
      </c>
      <c r="X2029" t="str">
        <f t="shared" si="224"/>
        <v>ok</v>
      </c>
      <c r="Y2029" t="str">
        <f t="shared" si="219"/>
        <v>ok</v>
      </c>
      <c r="Z2029" t="str">
        <f t="shared" si="220"/>
        <v>ok</v>
      </c>
      <c r="AA2029" s="4" t="str">
        <f t="shared" si="221"/>
        <v>ok</v>
      </c>
      <c r="AB2029" s="4" t="str">
        <f t="shared" si="222"/>
        <v>no resolution</v>
      </c>
      <c r="AC2029" s="6" t="str">
        <f t="shared" si="223"/>
        <v/>
      </c>
    </row>
    <row r="2030" spans="1:29" x14ac:dyDescent="0.3">
      <c r="A2030" t="s">
        <v>32</v>
      </c>
      <c r="B2030">
        <v>3586</v>
      </c>
      <c r="C2030" t="s">
        <v>23</v>
      </c>
      <c r="D2030" t="s">
        <v>24</v>
      </c>
      <c r="E2030" t="s">
        <v>44</v>
      </c>
      <c r="F2030" t="s">
        <v>26</v>
      </c>
      <c r="G2030" t="s">
        <v>60</v>
      </c>
      <c r="H2030" s="1">
        <v>45243.352256944447</v>
      </c>
      <c r="I2030" s="1">
        <v>45245.352256944447</v>
      </c>
      <c r="J2030" s="1">
        <v>45243.393923611111</v>
      </c>
      <c r="K2030" s="2">
        <v>45243.374590462961</v>
      </c>
      <c r="L2030" t="s">
        <v>28</v>
      </c>
      <c r="N2030" t="s">
        <v>38</v>
      </c>
      <c r="P2030">
        <v>5</v>
      </c>
      <c r="R2030" t="s">
        <v>29</v>
      </c>
      <c r="S2030" t="s">
        <v>30</v>
      </c>
      <c r="T2030" t="s">
        <v>31</v>
      </c>
      <c r="U2030">
        <v>53.094023999999997</v>
      </c>
      <c r="V2030">
        <v>-8.0196749999999994</v>
      </c>
      <c r="W2030" t="str">
        <f t="shared" si="218"/>
        <v>ok</v>
      </c>
      <c r="X2030" t="str">
        <f t="shared" si="224"/>
        <v>ok</v>
      </c>
      <c r="Y2030" t="str">
        <f t="shared" si="219"/>
        <v>ok</v>
      </c>
      <c r="Z2030" t="str">
        <f t="shared" si="220"/>
        <v>ok</v>
      </c>
      <c r="AA2030" s="4" t="str">
        <f t="shared" si="221"/>
        <v>ok</v>
      </c>
      <c r="AB2030" s="4" t="str">
        <f t="shared" si="222"/>
        <v>no resolution</v>
      </c>
      <c r="AC2030" s="6" t="str">
        <f t="shared" si="223"/>
        <v/>
      </c>
    </row>
    <row r="2031" spans="1:29" x14ac:dyDescent="0.3">
      <c r="A2031" t="s">
        <v>22</v>
      </c>
      <c r="B2031">
        <v>3587</v>
      </c>
      <c r="C2031" t="s">
        <v>23</v>
      </c>
      <c r="D2031" t="s">
        <v>24</v>
      </c>
      <c r="E2031" t="s">
        <v>48</v>
      </c>
      <c r="F2031" t="s">
        <v>36</v>
      </c>
      <c r="G2031" t="s">
        <v>54</v>
      </c>
      <c r="H2031" s="1">
        <v>45243.397048611114</v>
      </c>
      <c r="I2031" s="1">
        <v>45245.397048611114</v>
      </c>
      <c r="J2031" s="1">
        <v>45243.438715277778</v>
      </c>
      <c r="K2031" s="2">
        <v>45243.433244560183</v>
      </c>
      <c r="L2031" t="s">
        <v>28</v>
      </c>
      <c r="M2031" s="2">
        <v>45244.920785972223</v>
      </c>
      <c r="N2031" t="s">
        <v>28</v>
      </c>
      <c r="O2031" s="2">
        <v>45250.308062974538</v>
      </c>
      <c r="P2031">
        <v>7</v>
      </c>
      <c r="Q2031">
        <v>4</v>
      </c>
      <c r="R2031" t="s">
        <v>55</v>
      </c>
      <c r="S2031" t="s">
        <v>40</v>
      </c>
      <c r="T2031" t="s">
        <v>63</v>
      </c>
      <c r="U2031">
        <v>55.378051999999997</v>
      </c>
      <c r="V2031">
        <v>-3.4359730000000002</v>
      </c>
      <c r="W2031" t="str">
        <f t="shared" si="218"/>
        <v>ok</v>
      </c>
      <c r="X2031" t="str">
        <f t="shared" si="224"/>
        <v>ok</v>
      </c>
      <c r="Y2031" t="str">
        <f t="shared" si="219"/>
        <v>ok</v>
      </c>
      <c r="Z2031" t="str">
        <f t="shared" si="220"/>
        <v>ok</v>
      </c>
      <c r="AA2031" s="4" t="str">
        <f t="shared" si="221"/>
        <v>ok</v>
      </c>
      <c r="AB2031" s="4" t="str">
        <f t="shared" si="222"/>
        <v>ok</v>
      </c>
      <c r="AC2031" s="6">
        <f t="shared" si="223"/>
        <v>36.569696666614618</v>
      </c>
    </row>
    <row r="2032" spans="1:29" x14ac:dyDescent="0.3">
      <c r="A2032" t="s">
        <v>42</v>
      </c>
      <c r="B2032">
        <v>3588</v>
      </c>
      <c r="C2032" t="s">
        <v>33</v>
      </c>
      <c r="D2032" t="s">
        <v>43</v>
      </c>
      <c r="E2032" t="s">
        <v>35</v>
      </c>
      <c r="F2032" t="s">
        <v>26</v>
      </c>
      <c r="G2032" t="s">
        <v>52</v>
      </c>
      <c r="H2032" s="1">
        <v>45243.960648148146</v>
      </c>
      <c r="I2032" s="1">
        <v>45244.960648148146</v>
      </c>
      <c r="J2032" s="1">
        <v>45243.962037037039</v>
      </c>
      <c r="K2032" s="2">
        <v>45243.960908425928</v>
      </c>
      <c r="L2032" t="s">
        <v>28</v>
      </c>
      <c r="M2032" s="2">
        <v>45244.468932476855</v>
      </c>
      <c r="N2032" t="s">
        <v>28</v>
      </c>
      <c r="P2032">
        <v>9</v>
      </c>
      <c r="R2032" t="s">
        <v>50</v>
      </c>
      <c r="S2032" t="s">
        <v>30</v>
      </c>
      <c r="T2032" t="s">
        <v>63</v>
      </c>
      <c r="U2032">
        <v>55.378051999999997</v>
      </c>
      <c r="V2032">
        <v>-3.4359730000000002</v>
      </c>
      <c r="W2032" t="str">
        <f t="shared" si="218"/>
        <v>ok</v>
      </c>
      <c r="X2032" t="str">
        <f t="shared" si="224"/>
        <v>ok</v>
      </c>
      <c r="Y2032" t="str">
        <f t="shared" si="219"/>
        <v>ok</v>
      </c>
      <c r="Z2032" t="str">
        <f t="shared" si="220"/>
        <v>ok</v>
      </c>
      <c r="AA2032" s="4" t="str">
        <f t="shared" si="221"/>
        <v>ok</v>
      </c>
      <c r="AB2032" s="4" t="str">
        <f t="shared" si="222"/>
        <v>ok</v>
      </c>
      <c r="AC2032" s="6">
        <f t="shared" si="223"/>
        <v>12.198823889018968</v>
      </c>
    </row>
    <row r="2033" spans="1:29" x14ac:dyDescent="0.3">
      <c r="A2033" t="s">
        <v>22</v>
      </c>
      <c r="B2033">
        <v>3589</v>
      </c>
      <c r="C2033" t="s">
        <v>23</v>
      </c>
      <c r="D2033" t="s">
        <v>24</v>
      </c>
      <c r="E2033" t="s">
        <v>44</v>
      </c>
      <c r="F2033" t="s">
        <v>26</v>
      </c>
      <c r="G2033" t="s">
        <v>60</v>
      </c>
      <c r="H2033" s="1">
        <v>45243.490520833337</v>
      </c>
      <c r="I2033" s="1">
        <v>45245.490520833337</v>
      </c>
      <c r="J2033" s="1">
        <v>45243.532187500001</v>
      </c>
      <c r="K2033" s="2">
        <v>45243.498926608794</v>
      </c>
      <c r="L2033" t="s">
        <v>28</v>
      </c>
      <c r="M2033" s="2">
        <v>45245.152661944441</v>
      </c>
      <c r="N2033" t="s">
        <v>28</v>
      </c>
      <c r="O2033" s="2">
        <v>45247.589871018521</v>
      </c>
      <c r="P2033">
        <v>4</v>
      </c>
      <c r="Q2033">
        <v>4</v>
      </c>
      <c r="R2033" t="s">
        <v>50</v>
      </c>
      <c r="S2033" t="s">
        <v>30</v>
      </c>
      <c r="T2033" t="s">
        <v>61</v>
      </c>
      <c r="U2033">
        <v>42.724992499999999</v>
      </c>
      <c r="V2033">
        <v>25.483303899999999</v>
      </c>
      <c r="W2033" t="str">
        <f t="shared" si="218"/>
        <v>ok</v>
      </c>
      <c r="X2033" t="str">
        <f t="shared" si="224"/>
        <v>ok</v>
      </c>
      <c r="Y2033" t="str">
        <f t="shared" si="219"/>
        <v>ok</v>
      </c>
      <c r="Z2033" t="str">
        <f t="shared" si="220"/>
        <v>ok</v>
      </c>
      <c r="AA2033" s="4" t="str">
        <f t="shared" si="221"/>
        <v>ok</v>
      </c>
      <c r="AB2033" s="4" t="str">
        <f t="shared" si="222"/>
        <v>ok</v>
      </c>
      <c r="AC2033" s="6">
        <f t="shared" si="223"/>
        <v>39.891386666509788</v>
      </c>
    </row>
    <row r="2034" spans="1:29" x14ac:dyDescent="0.3">
      <c r="A2034" t="s">
        <v>32</v>
      </c>
      <c r="B2034">
        <v>3590</v>
      </c>
      <c r="C2034" t="s">
        <v>23</v>
      </c>
      <c r="D2034" t="s">
        <v>43</v>
      </c>
      <c r="E2034" t="s">
        <v>35</v>
      </c>
      <c r="F2034" t="s">
        <v>36</v>
      </c>
      <c r="G2034" t="s">
        <v>37</v>
      </c>
      <c r="H2034" s="1">
        <v>45243.181921296295</v>
      </c>
      <c r="I2034" s="1">
        <v>45244.181921296295</v>
      </c>
      <c r="J2034" s="1">
        <v>45243.183310185188</v>
      </c>
      <c r="K2034" s="2">
        <v>45243.184590752317</v>
      </c>
      <c r="L2034" t="s">
        <v>38</v>
      </c>
      <c r="N2034" t="s">
        <v>38</v>
      </c>
      <c r="P2034">
        <v>6</v>
      </c>
      <c r="R2034" t="s">
        <v>29</v>
      </c>
      <c r="S2034" t="s">
        <v>40</v>
      </c>
      <c r="T2034" t="s">
        <v>57</v>
      </c>
      <c r="U2034">
        <v>51.165691000000002</v>
      </c>
      <c r="V2034">
        <v>10.451525999999999</v>
      </c>
      <c r="W2034" t="str">
        <f t="shared" si="218"/>
        <v>ok</v>
      </c>
      <c r="X2034" t="str">
        <f t="shared" si="224"/>
        <v>ok</v>
      </c>
      <c r="Y2034" t="str">
        <f t="shared" si="219"/>
        <v>ok</v>
      </c>
      <c r="Z2034" t="str">
        <f t="shared" si="220"/>
        <v>ok</v>
      </c>
      <c r="AA2034" s="4" t="str">
        <f t="shared" si="221"/>
        <v>ok</v>
      </c>
      <c r="AB2034" s="4" t="str">
        <f t="shared" si="222"/>
        <v>no resolution</v>
      </c>
      <c r="AC2034" s="6" t="str">
        <f t="shared" si="223"/>
        <v/>
      </c>
    </row>
    <row r="2035" spans="1:29" x14ac:dyDescent="0.3">
      <c r="A2035" t="s">
        <v>22</v>
      </c>
      <c r="B2035">
        <v>3591</v>
      </c>
      <c r="C2035" t="s">
        <v>47</v>
      </c>
      <c r="D2035" t="s">
        <v>24</v>
      </c>
      <c r="E2035" t="s">
        <v>25</v>
      </c>
      <c r="F2035" t="s">
        <v>26</v>
      </c>
      <c r="G2035" t="s">
        <v>45</v>
      </c>
      <c r="H2035" s="1">
        <v>45244.406539351854</v>
      </c>
      <c r="I2035" s="1">
        <v>45246.406539351854</v>
      </c>
      <c r="J2035" s="1">
        <v>45244.448206018518</v>
      </c>
      <c r="K2035" s="2">
        <v>45244.441749571757</v>
      </c>
      <c r="L2035" t="s">
        <v>28</v>
      </c>
      <c r="M2035" s="2">
        <v>45249.007546446759</v>
      </c>
      <c r="N2035" t="s">
        <v>38</v>
      </c>
      <c r="O2035" s="2">
        <v>45249.674693692126</v>
      </c>
      <c r="P2035">
        <v>9</v>
      </c>
      <c r="Q2035">
        <v>5</v>
      </c>
      <c r="R2035" t="s">
        <v>50</v>
      </c>
      <c r="S2035" t="s">
        <v>30</v>
      </c>
      <c r="T2035" t="s">
        <v>57</v>
      </c>
      <c r="U2035">
        <v>51.165691000000002</v>
      </c>
      <c r="V2035">
        <v>10.451525999999999</v>
      </c>
      <c r="W2035" t="str">
        <f t="shared" si="218"/>
        <v>ok</v>
      </c>
      <c r="X2035" t="str">
        <f t="shared" si="224"/>
        <v>ok</v>
      </c>
      <c r="Y2035" t="str">
        <f t="shared" si="219"/>
        <v>ok</v>
      </c>
      <c r="Z2035" t="str">
        <f t="shared" si="220"/>
        <v>ok</v>
      </c>
      <c r="AA2035" s="4" t="str">
        <f t="shared" si="221"/>
        <v>ok</v>
      </c>
      <c r="AB2035" s="4" t="str">
        <f t="shared" si="222"/>
        <v>ok</v>
      </c>
      <c r="AC2035" s="6">
        <f t="shared" si="223"/>
        <v>110.42417027772171</v>
      </c>
    </row>
    <row r="2036" spans="1:29" x14ac:dyDescent="0.3">
      <c r="A2036" t="s">
        <v>22</v>
      </c>
      <c r="B2036">
        <v>3592</v>
      </c>
      <c r="C2036" t="s">
        <v>33</v>
      </c>
      <c r="D2036" t="s">
        <v>34</v>
      </c>
      <c r="E2036" t="s">
        <v>35</v>
      </c>
      <c r="F2036" t="s">
        <v>26</v>
      </c>
      <c r="G2036" t="s">
        <v>45</v>
      </c>
      <c r="H2036" s="1">
        <v>45244.503831018519</v>
      </c>
      <c r="I2036" s="1">
        <v>45246.503831018519</v>
      </c>
      <c r="J2036" s="1">
        <v>45244.505219907405</v>
      </c>
      <c r="K2036" s="2">
        <v>45244.503852743059</v>
      </c>
      <c r="L2036" t="s">
        <v>28</v>
      </c>
      <c r="M2036" s="2">
        <v>45247.146187905091</v>
      </c>
      <c r="N2036" t="s">
        <v>38</v>
      </c>
      <c r="O2036" s="2">
        <v>45247.498562511573</v>
      </c>
      <c r="P2036">
        <v>4</v>
      </c>
      <c r="Q2036">
        <v>5</v>
      </c>
      <c r="R2036" t="s">
        <v>50</v>
      </c>
      <c r="S2036" t="s">
        <v>30</v>
      </c>
      <c r="T2036" t="s">
        <v>56</v>
      </c>
      <c r="U2036">
        <v>52.536273000000001</v>
      </c>
      <c r="V2036">
        <v>19.050639</v>
      </c>
      <c r="W2036" t="str">
        <f t="shared" si="218"/>
        <v>ok</v>
      </c>
      <c r="X2036" t="str">
        <f t="shared" si="224"/>
        <v>ok</v>
      </c>
      <c r="Y2036" t="str">
        <f t="shared" si="219"/>
        <v>ok</v>
      </c>
      <c r="Z2036" t="str">
        <f t="shared" si="220"/>
        <v>ok</v>
      </c>
      <c r="AA2036" s="4" t="str">
        <f t="shared" si="221"/>
        <v>ok</v>
      </c>
      <c r="AB2036" s="4" t="str">
        <f t="shared" si="222"/>
        <v>ok</v>
      </c>
      <c r="AC2036" s="6">
        <f t="shared" si="223"/>
        <v>63.416565277730115</v>
      </c>
    </row>
    <row r="2037" spans="1:29" x14ac:dyDescent="0.3">
      <c r="A2037" t="s">
        <v>32</v>
      </c>
      <c r="B2037">
        <v>3593</v>
      </c>
      <c r="C2037" t="s">
        <v>23</v>
      </c>
      <c r="D2037" t="s">
        <v>43</v>
      </c>
      <c r="E2037" t="s">
        <v>48</v>
      </c>
      <c r="F2037" t="s">
        <v>26</v>
      </c>
      <c r="G2037" t="s">
        <v>45</v>
      </c>
      <c r="H2037" s="1">
        <v>45244.213530092595</v>
      </c>
      <c r="I2037" s="1">
        <v>45245.213530092595</v>
      </c>
      <c r="J2037" s="1">
        <v>45244.214918981481</v>
      </c>
      <c r="K2037" s="2">
        <v>45244.214624328706</v>
      </c>
      <c r="L2037" t="s">
        <v>28</v>
      </c>
      <c r="N2037" t="s">
        <v>38</v>
      </c>
      <c r="P2037">
        <v>6</v>
      </c>
      <c r="R2037" t="s">
        <v>29</v>
      </c>
      <c r="S2037" t="s">
        <v>30</v>
      </c>
      <c r="T2037" t="s">
        <v>41</v>
      </c>
      <c r="U2037">
        <v>43.036776000000003</v>
      </c>
      <c r="V2037">
        <v>12.678565000000001</v>
      </c>
      <c r="W2037" t="str">
        <f t="shared" si="218"/>
        <v>ok</v>
      </c>
      <c r="X2037" t="str">
        <f t="shared" si="224"/>
        <v>ok</v>
      </c>
      <c r="Y2037" t="str">
        <f t="shared" si="219"/>
        <v>ok</v>
      </c>
      <c r="Z2037" t="str">
        <f t="shared" si="220"/>
        <v>ok</v>
      </c>
      <c r="AA2037" s="4" t="str">
        <f t="shared" si="221"/>
        <v>ok</v>
      </c>
      <c r="AB2037" s="4" t="str">
        <f t="shared" si="222"/>
        <v>no resolution</v>
      </c>
      <c r="AC2037" s="6" t="str">
        <f t="shared" si="223"/>
        <v/>
      </c>
    </row>
    <row r="2038" spans="1:29" x14ac:dyDescent="0.3">
      <c r="A2038" t="s">
        <v>22</v>
      </c>
      <c r="B2038">
        <v>3594</v>
      </c>
      <c r="C2038" t="s">
        <v>23</v>
      </c>
      <c r="D2038" t="s">
        <v>24</v>
      </c>
      <c r="E2038" t="s">
        <v>25</v>
      </c>
      <c r="F2038" t="s">
        <v>26</v>
      </c>
      <c r="G2038" t="s">
        <v>45</v>
      </c>
      <c r="H2038" s="1">
        <v>45244.674432870372</v>
      </c>
      <c r="I2038" s="1">
        <v>45246.674432870372</v>
      </c>
      <c r="J2038" s="1">
        <v>45244.716099537036</v>
      </c>
      <c r="K2038" s="2">
        <v>45244.7141303588</v>
      </c>
      <c r="L2038" t="s">
        <v>28</v>
      </c>
      <c r="M2038" s="2">
        <v>45245.702801608793</v>
      </c>
      <c r="N2038" t="s">
        <v>28</v>
      </c>
      <c r="O2038" s="2">
        <v>45246.878718912034</v>
      </c>
      <c r="P2038">
        <v>7</v>
      </c>
      <c r="Q2038">
        <v>3</v>
      </c>
      <c r="R2038" t="s">
        <v>50</v>
      </c>
      <c r="S2038" t="s">
        <v>30</v>
      </c>
      <c r="T2038" t="s">
        <v>41</v>
      </c>
      <c r="U2038">
        <v>43.036776000000003</v>
      </c>
      <c r="V2038">
        <v>12.678565000000001</v>
      </c>
      <c r="W2038" t="str">
        <f t="shared" si="218"/>
        <v>ok</v>
      </c>
      <c r="X2038" t="str">
        <f t="shared" si="224"/>
        <v>ok</v>
      </c>
      <c r="Y2038" t="str">
        <f t="shared" si="219"/>
        <v>ok</v>
      </c>
      <c r="Z2038" t="str">
        <f t="shared" si="220"/>
        <v>ok</v>
      </c>
      <c r="AA2038" s="4" t="str">
        <f t="shared" si="221"/>
        <v>ok</v>
      </c>
      <c r="AB2038" s="4" t="str">
        <f t="shared" si="222"/>
        <v>ok</v>
      </c>
      <c r="AC2038" s="6">
        <f t="shared" si="223"/>
        <v>24.680849722120911</v>
      </c>
    </row>
    <row r="2039" spans="1:29" x14ac:dyDescent="0.3">
      <c r="A2039" t="s">
        <v>32</v>
      </c>
      <c r="B2039">
        <v>3595</v>
      </c>
      <c r="C2039" t="s">
        <v>23</v>
      </c>
      <c r="D2039" t="s">
        <v>24</v>
      </c>
      <c r="E2039" t="s">
        <v>62</v>
      </c>
      <c r="F2039" t="s">
        <v>26</v>
      </c>
      <c r="G2039" t="s">
        <v>45</v>
      </c>
      <c r="H2039" s="1">
        <v>45244.37636574074</v>
      </c>
      <c r="I2039" s="1">
        <v>45246.37636574074</v>
      </c>
      <c r="J2039" s="1">
        <v>45244.418032407404</v>
      </c>
      <c r="K2039" s="2">
        <v>45244.412030277781</v>
      </c>
      <c r="L2039" t="s">
        <v>28</v>
      </c>
      <c r="N2039" t="s">
        <v>38</v>
      </c>
      <c r="P2039">
        <v>2</v>
      </c>
      <c r="R2039" t="s">
        <v>55</v>
      </c>
      <c r="S2039" t="s">
        <v>30</v>
      </c>
      <c r="T2039" t="s">
        <v>65</v>
      </c>
      <c r="U2039">
        <v>46.149166399999999</v>
      </c>
      <c r="V2039">
        <v>14.9860106</v>
      </c>
      <c r="W2039" t="str">
        <f t="shared" si="218"/>
        <v>ok</v>
      </c>
      <c r="X2039" t="str">
        <f t="shared" si="224"/>
        <v>ok</v>
      </c>
      <c r="Y2039" t="str">
        <f t="shared" si="219"/>
        <v>ok</v>
      </c>
      <c r="Z2039" t="str">
        <f t="shared" si="220"/>
        <v>ok</v>
      </c>
      <c r="AA2039" s="4" t="str">
        <f t="shared" si="221"/>
        <v>ok</v>
      </c>
      <c r="AB2039" s="4" t="str">
        <f t="shared" si="222"/>
        <v>no resolution</v>
      </c>
      <c r="AC2039" s="6" t="str">
        <f t="shared" si="223"/>
        <v/>
      </c>
    </row>
    <row r="2040" spans="1:29" x14ac:dyDescent="0.3">
      <c r="A2040" t="s">
        <v>22</v>
      </c>
      <c r="B2040">
        <v>3596</v>
      </c>
      <c r="C2040" t="s">
        <v>33</v>
      </c>
      <c r="D2040" t="s">
        <v>24</v>
      </c>
      <c r="E2040" t="s">
        <v>35</v>
      </c>
      <c r="F2040" t="s">
        <v>26</v>
      </c>
      <c r="G2040" t="s">
        <v>60</v>
      </c>
      <c r="H2040" s="1">
        <v>45244.885752314818</v>
      </c>
      <c r="I2040" s="1">
        <v>45246.885752314818</v>
      </c>
      <c r="J2040" s="1">
        <v>45244.927418981482</v>
      </c>
      <c r="K2040" s="2">
        <v>45244.916836111108</v>
      </c>
      <c r="L2040" t="s">
        <v>28</v>
      </c>
      <c r="M2040" s="2">
        <v>45246.704172523147</v>
      </c>
      <c r="N2040" t="s">
        <v>28</v>
      </c>
      <c r="O2040" s="2">
        <v>45248.187839571758</v>
      </c>
      <c r="P2040">
        <v>1</v>
      </c>
      <c r="Q2040">
        <v>4</v>
      </c>
      <c r="R2040" t="s">
        <v>50</v>
      </c>
      <c r="S2040" t="s">
        <v>30</v>
      </c>
      <c r="T2040" t="s">
        <v>51</v>
      </c>
      <c r="U2040">
        <v>39.673369999999998</v>
      </c>
      <c r="V2040">
        <v>-4.7677259999999997</v>
      </c>
      <c r="W2040" t="str">
        <f t="shared" si="218"/>
        <v>ok</v>
      </c>
      <c r="X2040" t="str">
        <f t="shared" si="224"/>
        <v>ok</v>
      </c>
      <c r="Y2040" t="str">
        <f t="shared" si="219"/>
        <v>ok</v>
      </c>
      <c r="Z2040" t="str">
        <f t="shared" si="220"/>
        <v>ok</v>
      </c>
      <c r="AA2040" s="4" t="str">
        <f t="shared" si="221"/>
        <v>ok</v>
      </c>
      <c r="AB2040" s="4" t="str">
        <f t="shared" si="222"/>
        <v>ok</v>
      </c>
      <c r="AC2040" s="6">
        <f t="shared" si="223"/>
        <v>43.642084999883082</v>
      </c>
    </row>
    <row r="2041" spans="1:29" x14ac:dyDescent="0.3">
      <c r="A2041" t="s">
        <v>42</v>
      </c>
      <c r="B2041">
        <v>3597</v>
      </c>
      <c r="C2041" t="s">
        <v>47</v>
      </c>
      <c r="D2041" t="s">
        <v>34</v>
      </c>
      <c r="E2041" t="s">
        <v>48</v>
      </c>
      <c r="F2041" t="s">
        <v>36</v>
      </c>
      <c r="G2041" t="s">
        <v>37</v>
      </c>
      <c r="H2041" s="1">
        <v>45244.222592592596</v>
      </c>
      <c r="I2041" s="1">
        <v>45246.222592592596</v>
      </c>
      <c r="J2041" s="1">
        <v>45244.223981481482</v>
      </c>
      <c r="K2041" s="2">
        <v>45244.22380890046</v>
      </c>
      <c r="L2041" t="s">
        <v>28</v>
      </c>
      <c r="M2041" s="2">
        <v>45245.799375173614</v>
      </c>
      <c r="N2041" t="s">
        <v>28</v>
      </c>
      <c r="P2041">
        <v>1</v>
      </c>
      <c r="R2041" t="s">
        <v>50</v>
      </c>
      <c r="S2041" t="s">
        <v>40</v>
      </c>
      <c r="T2041" t="s">
        <v>63</v>
      </c>
      <c r="U2041">
        <v>55.378051999999997</v>
      </c>
      <c r="V2041">
        <v>-3.4359730000000002</v>
      </c>
      <c r="W2041" t="str">
        <f t="shared" si="218"/>
        <v>ok</v>
      </c>
      <c r="X2041" t="str">
        <f t="shared" si="224"/>
        <v>ok</v>
      </c>
      <c r="Y2041" t="str">
        <f t="shared" si="219"/>
        <v>ok</v>
      </c>
      <c r="Z2041" t="str">
        <f t="shared" si="220"/>
        <v>ok</v>
      </c>
      <c r="AA2041" s="4" t="str">
        <f t="shared" si="221"/>
        <v>ok</v>
      </c>
      <c r="AB2041" s="4" t="str">
        <f t="shared" si="222"/>
        <v>ok</v>
      </c>
      <c r="AC2041" s="6">
        <f t="shared" si="223"/>
        <v>37.842781944433227</v>
      </c>
    </row>
    <row r="2042" spans="1:29" x14ac:dyDescent="0.3">
      <c r="A2042" t="s">
        <v>32</v>
      </c>
      <c r="B2042">
        <v>3598</v>
      </c>
      <c r="C2042" t="s">
        <v>33</v>
      </c>
      <c r="D2042" t="s">
        <v>24</v>
      </c>
      <c r="E2042" t="s">
        <v>35</v>
      </c>
      <c r="F2042" t="s">
        <v>26</v>
      </c>
      <c r="G2042" t="s">
        <v>45</v>
      </c>
      <c r="H2042" s="1">
        <v>45244.093171296299</v>
      </c>
      <c r="I2042" s="1">
        <v>45246.093171296299</v>
      </c>
      <c r="J2042" s="1">
        <v>45244.134837962964</v>
      </c>
      <c r="K2042" s="2">
        <v>45244.129842731483</v>
      </c>
      <c r="L2042" t="s">
        <v>28</v>
      </c>
      <c r="N2042" t="s">
        <v>38</v>
      </c>
      <c r="P2042">
        <v>7</v>
      </c>
      <c r="R2042" t="s">
        <v>50</v>
      </c>
      <c r="S2042" t="s">
        <v>30</v>
      </c>
      <c r="T2042" t="s">
        <v>61</v>
      </c>
      <c r="U2042">
        <v>42.724992499999999</v>
      </c>
      <c r="V2042">
        <v>25.483303899999999</v>
      </c>
      <c r="W2042" t="str">
        <f t="shared" si="218"/>
        <v>ok</v>
      </c>
      <c r="X2042" t="str">
        <f t="shared" si="224"/>
        <v>ok</v>
      </c>
      <c r="Y2042" t="str">
        <f t="shared" si="219"/>
        <v>ok</v>
      </c>
      <c r="Z2042" t="str">
        <f t="shared" si="220"/>
        <v>ok</v>
      </c>
      <c r="AA2042" s="4" t="str">
        <f t="shared" si="221"/>
        <v>ok</v>
      </c>
      <c r="AB2042" s="4" t="str">
        <f t="shared" si="222"/>
        <v>no resolution</v>
      </c>
      <c r="AC2042" s="6" t="str">
        <f t="shared" si="223"/>
        <v/>
      </c>
    </row>
    <row r="2043" spans="1:29" x14ac:dyDescent="0.3">
      <c r="A2043" t="s">
        <v>42</v>
      </c>
      <c r="B2043">
        <v>3599</v>
      </c>
      <c r="C2043" t="s">
        <v>33</v>
      </c>
      <c r="D2043" t="s">
        <v>43</v>
      </c>
      <c r="E2043" t="s">
        <v>48</v>
      </c>
      <c r="F2043" t="s">
        <v>26</v>
      </c>
      <c r="G2043" t="s">
        <v>60</v>
      </c>
      <c r="H2043" s="1">
        <v>45244.244409722225</v>
      </c>
      <c r="I2043" s="1">
        <v>45245.244409722225</v>
      </c>
      <c r="J2043" s="1">
        <v>45244.245798611111</v>
      </c>
      <c r="K2043" s="2">
        <v>45244.244566238427</v>
      </c>
      <c r="L2043" t="s">
        <v>28</v>
      </c>
      <c r="M2043" s="2">
        <v>45248.220643402776</v>
      </c>
      <c r="N2043" t="s">
        <v>38</v>
      </c>
      <c r="P2043">
        <v>5</v>
      </c>
      <c r="R2043" t="s">
        <v>50</v>
      </c>
      <c r="S2043" t="s">
        <v>30</v>
      </c>
      <c r="T2043" t="s">
        <v>58</v>
      </c>
      <c r="U2043">
        <v>49.8037633</v>
      </c>
      <c r="V2043">
        <v>15.4749126</v>
      </c>
      <c r="W2043" t="str">
        <f t="shared" si="218"/>
        <v>ok</v>
      </c>
      <c r="X2043" t="str">
        <f t="shared" si="224"/>
        <v>ok</v>
      </c>
      <c r="Y2043" t="str">
        <f t="shared" si="219"/>
        <v>ok</v>
      </c>
      <c r="Z2043" t="str">
        <f t="shared" si="220"/>
        <v>ok</v>
      </c>
      <c r="AA2043" s="4" t="str">
        <f t="shared" si="221"/>
        <v>ok</v>
      </c>
      <c r="AB2043" s="4" t="str">
        <f t="shared" si="222"/>
        <v>ok</v>
      </c>
      <c r="AC2043" s="6">
        <f t="shared" si="223"/>
        <v>95.429608333215583</v>
      </c>
    </row>
    <row r="2044" spans="1:29" x14ac:dyDescent="0.3">
      <c r="A2044" t="s">
        <v>42</v>
      </c>
      <c r="B2044">
        <v>3600</v>
      </c>
      <c r="C2044" t="s">
        <v>23</v>
      </c>
      <c r="D2044" t="s">
        <v>24</v>
      </c>
      <c r="E2044" t="s">
        <v>35</v>
      </c>
      <c r="F2044" t="s">
        <v>26</v>
      </c>
      <c r="G2044" t="s">
        <v>27</v>
      </c>
      <c r="H2044" s="1">
        <v>45245.572118055556</v>
      </c>
      <c r="I2044" s="1">
        <v>45247.572118055556</v>
      </c>
      <c r="J2044" s="1">
        <v>45245.61378472222</v>
      </c>
      <c r="K2044" s="2">
        <v>45245.611647233796</v>
      </c>
      <c r="L2044" t="s">
        <v>28</v>
      </c>
      <c r="M2044" s="2">
        <v>45246.343597025465</v>
      </c>
      <c r="N2044" t="s">
        <v>28</v>
      </c>
      <c r="P2044">
        <v>8</v>
      </c>
      <c r="R2044" t="s">
        <v>39</v>
      </c>
      <c r="S2044" t="s">
        <v>30</v>
      </c>
      <c r="T2044" t="s">
        <v>31</v>
      </c>
      <c r="U2044">
        <v>53.094023999999997</v>
      </c>
      <c r="V2044">
        <v>-8.0196749999999994</v>
      </c>
      <c r="W2044" t="str">
        <f t="shared" si="218"/>
        <v>ok</v>
      </c>
      <c r="X2044" t="str">
        <f t="shared" si="224"/>
        <v>ok</v>
      </c>
      <c r="Y2044" t="str">
        <f t="shared" si="219"/>
        <v>ok</v>
      </c>
      <c r="Z2044" t="str">
        <f t="shared" si="220"/>
        <v>ok</v>
      </c>
      <c r="AA2044" s="4" t="str">
        <f t="shared" si="221"/>
        <v>ok</v>
      </c>
      <c r="AB2044" s="4" t="str">
        <f t="shared" si="222"/>
        <v>ok</v>
      </c>
      <c r="AC2044" s="6">
        <f t="shared" si="223"/>
        <v>18.515495277824812</v>
      </c>
    </row>
    <row r="2045" spans="1:29" x14ac:dyDescent="0.3">
      <c r="A2045" t="s">
        <v>22</v>
      </c>
      <c r="B2045">
        <v>3601</v>
      </c>
      <c r="C2045" t="s">
        <v>23</v>
      </c>
      <c r="D2045" t="s">
        <v>34</v>
      </c>
      <c r="E2045" t="s">
        <v>67</v>
      </c>
      <c r="F2045" t="s">
        <v>26</v>
      </c>
      <c r="G2045" t="s">
        <v>49</v>
      </c>
      <c r="H2045" s="1">
        <v>45245.794583333336</v>
      </c>
      <c r="I2045" s="1">
        <v>45247.794583333336</v>
      </c>
      <c r="J2045" s="1">
        <v>45245.795972222222</v>
      </c>
      <c r="K2045" s="2">
        <v>45245.796284942131</v>
      </c>
      <c r="L2045" t="s">
        <v>38</v>
      </c>
      <c r="M2045" s="2">
        <v>45246.510467071763</v>
      </c>
      <c r="N2045" t="s">
        <v>28</v>
      </c>
      <c r="O2045" s="2">
        <v>45250.754594421298</v>
      </c>
      <c r="P2045">
        <v>3</v>
      </c>
      <c r="Q2045">
        <v>5</v>
      </c>
      <c r="R2045" t="s">
        <v>29</v>
      </c>
      <c r="S2045" t="s">
        <v>30</v>
      </c>
      <c r="T2045" t="s">
        <v>65</v>
      </c>
      <c r="U2045">
        <v>46.149166399999999</v>
      </c>
      <c r="V2045">
        <v>14.9860106</v>
      </c>
      <c r="W2045" t="str">
        <f t="shared" si="218"/>
        <v>ok</v>
      </c>
      <c r="X2045" t="str">
        <f t="shared" si="224"/>
        <v>ok</v>
      </c>
      <c r="Y2045" t="str">
        <f t="shared" si="219"/>
        <v>ok</v>
      </c>
      <c r="Z2045" t="str">
        <f t="shared" si="220"/>
        <v>ok</v>
      </c>
      <c r="AA2045" s="4" t="str">
        <f t="shared" si="221"/>
        <v>ok</v>
      </c>
      <c r="AB2045" s="4" t="str">
        <f t="shared" si="222"/>
        <v>ok</v>
      </c>
      <c r="AC2045" s="6">
        <f t="shared" si="223"/>
        <v>17.181209722242784</v>
      </c>
    </row>
    <row r="2046" spans="1:29" x14ac:dyDescent="0.3">
      <c r="A2046" t="s">
        <v>32</v>
      </c>
      <c r="B2046">
        <v>3602</v>
      </c>
      <c r="C2046" t="s">
        <v>47</v>
      </c>
      <c r="D2046" t="s">
        <v>43</v>
      </c>
      <c r="E2046" t="s">
        <v>35</v>
      </c>
      <c r="F2046" t="s">
        <v>26</v>
      </c>
      <c r="G2046" t="s">
        <v>49</v>
      </c>
      <c r="H2046" s="1">
        <v>45245.675925925927</v>
      </c>
      <c r="I2046" s="1">
        <v>45246.675925925927</v>
      </c>
      <c r="J2046" s="1">
        <v>45245.677314814813</v>
      </c>
      <c r="K2046" s="2">
        <v>45245.676974224538</v>
      </c>
      <c r="L2046" t="s">
        <v>28</v>
      </c>
      <c r="N2046" t="s">
        <v>38</v>
      </c>
      <c r="P2046">
        <v>6</v>
      </c>
      <c r="R2046" t="s">
        <v>55</v>
      </c>
      <c r="S2046" t="s">
        <v>30</v>
      </c>
      <c r="T2046" t="s">
        <v>63</v>
      </c>
      <c r="U2046">
        <v>55.378051999999997</v>
      </c>
      <c r="V2046">
        <v>-3.4359730000000002</v>
      </c>
      <c r="W2046" t="str">
        <f t="shared" si="218"/>
        <v>ok</v>
      </c>
      <c r="X2046" t="str">
        <f t="shared" si="224"/>
        <v>ok</v>
      </c>
      <c r="Y2046" t="str">
        <f t="shared" si="219"/>
        <v>ok</v>
      </c>
      <c r="Z2046" t="str">
        <f t="shared" si="220"/>
        <v>ok</v>
      </c>
      <c r="AA2046" s="4" t="str">
        <f t="shared" si="221"/>
        <v>ok</v>
      </c>
      <c r="AB2046" s="4" t="str">
        <f t="shared" si="222"/>
        <v>no resolution</v>
      </c>
      <c r="AC2046" s="6" t="str">
        <f t="shared" si="223"/>
        <v/>
      </c>
    </row>
    <row r="2047" spans="1:29" x14ac:dyDescent="0.3">
      <c r="A2047" t="s">
        <v>32</v>
      </c>
      <c r="B2047">
        <v>3603</v>
      </c>
      <c r="C2047" t="s">
        <v>23</v>
      </c>
      <c r="D2047" t="s">
        <v>43</v>
      </c>
      <c r="E2047" t="s">
        <v>48</v>
      </c>
      <c r="F2047" t="s">
        <v>36</v>
      </c>
      <c r="G2047" t="s">
        <v>64</v>
      </c>
      <c r="H2047" s="1">
        <v>45245.647245370368</v>
      </c>
      <c r="I2047" s="1">
        <v>45246.647245370368</v>
      </c>
      <c r="J2047" s="1">
        <v>45245.648634259262</v>
      </c>
      <c r="K2047" s="2">
        <v>45245.650475555558</v>
      </c>
      <c r="L2047" t="s">
        <v>38</v>
      </c>
      <c r="N2047" t="s">
        <v>38</v>
      </c>
      <c r="P2047">
        <v>2</v>
      </c>
      <c r="R2047" t="s">
        <v>50</v>
      </c>
      <c r="S2047" t="s">
        <v>40</v>
      </c>
      <c r="T2047" t="s">
        <v>63</v>
      </c>
      <c r="U2047">
        <v>55.378051999999997</v>
      </c>
      <c r="V2047">
        <v>-3.4359730000000002</v>
      </c>
      <c r="W2047" t="str">
        <f t="shared" si="218"/>
        <v>ok</v>
      </c>
      <c r="X2047" t="str">
        <f t="shared" si="224"/>
        <v>ok</v>
      </c>
      <c r="Y2047" t="str">
        <f t="shared" si="219"/>
        <v>ok</v>
      </c>
      <c r="Z2047" t="str">
        <f t="shared" si="220"/>
        <v>ok</v>
      </c>
      <c r="AA2047" s="4" t="str">
        <f t="shared" si="221"/>
        <v>ok</v>
      </c>
      <c r="AB2047" s="4" t="str">
        <f t="shared" si="222"/>
        <v>no resolution</v>
      </c>
      <c r="AC2047" s="6" t="str">
        <f t="shared" si="223"/>
        <v/>
      </c>
    </row>
    <row r="2048" spans="1:29" x14ac:dyDescent="0.3">
      <c r="A2048" t="s">
        <v>22</v>
      </c>
      <c r="B2048">
        <v>3604</v>
      </c>
      <c r="C2048" t="s">
        <v>23</v>
      </c>
      <c r="D2048" t="s">
        <v>24</v>
      </c>
      <c r="E2048" t="s">
        <v>59</v>
      </c>
      <c r="F2048" t="s">
        <v>26</v>
      </c>
      <c r="G2048" t="s">
        <v>45</v>
      </c>
      <c r="H2048" s="1">
        <v>45245.945393518516</v>
      </c>
      <c r="I2048" s="1">
        <v>45247.945393518516</v>
      </c>
      <c r="J2048" s="1">
        <v>45245.987060185187</v>
      </c>
      <c r="K2048" s="2">
        <v>45245.969841053244</v>
      </c>
      <c r="L2048" t="s">
        <v>28</v>
      </c>
      <c r="M2048" s="2">
        <v>45246.708328321758</v>
      </c>
      <c r="N2048" t="s">
        <v>28</v>
      </c>
      <c r="O2048" s="2">
        <v>45248.992967638886</v>
      </c>
      <c r="P2048">
        <v>2</v>
      </c>
      <c r="Q2048">
        <v>4</v>
      </c>
      <c r="R2048" t="s">
        <v>50</v>
      </c>
      <c r="S2048" t="s">
        <v>30</v>
      </c>
      <c r="T2048" t="s">
        <v>63</v>
      </c>
      <c r="U2048">
        <v>55.378051999999997</v>
      </c>
      <c r="V2048">
        <v>-3.4359730000000002</v>
      </c>
      <c r="W2048" t="str">
        <f t="shared" si="218"/>
        <v>ok</v>
      </c>
      <c r="X2048" t="str">
        <f t="shared" si="224"/>
        <v>ok</v>
      </c>
      <c r="Y2048" t="str">
        <f t="shared" si="219"/>
        <v>ok</v>
      </c>
      <c r="Z2048" t="str">
        <f t="shared" si="220"/>
        <v>ok</v>
      </c>
      <c r="AA2048" s="4" t="str">
        <f t="shared" si="221"/>
        <v>ok</v>
      </c>
      <c r="AB2048" s="4" t="str">
        <f t="shared" si="222"/>
        <v>ok</v>
      </c>
      <c r="AC2048" s="6">
        <f t="shared" si="223"/>
        <v>18.310435277817305</v>
      </c>
    </row>
    <row r="2049" spans="1:29" x14ac:dyDescent="0.3">
      <c r="A2049" t="s">
        <v>32</v>
      </c>
      <c r="B2049">
        <v>3605</v>
      </c>
      <c r="C2049" t="s">
        <v>47</v>
      </c>
      <c r="D2049" t="s">
        <v>24</v>
      </c>
      <c r="E2049" t="s">
        <v>48</v>
      </c>
      <c r="F2049" t="s">
        <v>26</v>
      </c>
      <c r="G2049" t="s">
        <v>27</v>
      </c>
      <c r="H2049" s="1">
        <v>45245.342511574076</v>
      </c>
      <c r="I2049" s="1">
        <v>45247.342511574076</v>
      </c>
      <c r="J2049" s="1">
        <v>45245.38417824074</v>
      </c>
      <c r="K2049" s="2">
        <v>45245.414989884259</v>
      </c>
      <c r="L2049" t="s">
        <v>38</v>
      </c>
      <c r="N2049" t="s">
        <v>38</v>
      </c>
      <c r="P2049">
        <v>1</v>
      </c>
      <c r="R2049" t="s">
        <v>39</v>
      </c>
      <c r="S2049" t="s">
        <v>30</v>
      </c>
      <c r="T2049" t="s">
        <v>56</v>
      </c>
      <c r="U2049">
        <v>52.536273000000001</v>
      </c>
      <c r="V2049">
        <v>19.050639</v>
      </c>
      <c r="W2049" t="str">
        <f t="shared" si="218"/>
        <v>ok</v>
      </c>
      <c r="X2049" t="str">
        <f t="shared" si="224"/>
        <v>ok</v>
      </c>
      <c r="Y2049" t="str">
        <f t="shared" si="219"/>
        <v>ok</v>
      </c>
      <c r="Z2049" t="str">
        <f t="shared" si="220"/>
        <v>ok</v>
      </c>
      <c r="AA2049" s="4" t="str">
        <f t="shared" si="221"/>
        <v>ok</v>
      </c>
      <c r="AB2049" s="4" t="str">
        <f t="shared" si="222"/>
        <v>no resolution</v>
      </c>
      <c r="AC2049" s="6" t="str">
        <f t="shared" si="223"/>
        <v/>
      </c>
    </row>
    <row r="2050" spans="1:29" x14ac:dyDescent="0.3">
      <c r="A2050" t="s">
        <v>42</v>
      </c>
      <c r="B2050">
        <v>3606</v>
      </c>
      <c r="C2050" t="s">
        <v>23</v>
      </c>
      <c r="D2050" t="s">
        <v>24</v>
      </c>
      <c r="E2050" t="s">
        <v>25</v>
      </c>
      <c r="F2050" t="s">
        <v>26</v>
      </c>
      <c r="G2050" t="s">
        <v>60</v>
      </c>
      <c r="H2050" s="1">
        <v>45245.825219907405</v>
      </c>
      <c r="I2050" s="1">
        <v>45247.825219907405</v>
      </c>
      <c r="J2050" s="1">
        <v>45245.866886574076</v>
      </c>
      <c r="K2050" s="2">
        <v>45245.831150393518</v>
      </c>
      <c r="L2050" t="s">
        <v>28</v>
      </c>
      <c r="M2050" s="2">
        <v>45247.918887256943</v>
      </c>
      <c r="N2050" t="s">
        <v>38</v>
      </c>
      <c r="P2050">
        <v>8</v>
      </c>
      <c r="R2050" t="s">
        <v>50</v>
      </c>
      <c r="S2050" t="s">
        <v>30</v>
      </c>
      <c r="T2050" t="s">
        <v>53</v>
      </c>
      <c r="U2050">
        <v>39.368279000000001</v>
      </c>
      <c r="V2050">
        <v>21.863140999999999</v>
      </c>
      <c r="W2050" t="str">
        <f t="shared" ref="W2050:W2113" si="225">IF(K2050&lt;H2050,"check","ok")</f>
        <v>ok</v>
      </c>
      <c r="X2050" t="str">
        <f t="shared" si="224"/>
        <v>ok</v>
      </c>
      <c r="Y2050" t="str">
        <f t="shared" ref="Y2050:Y2113" si="226">IF(AND(M2050&lt;&gt;"",O2050&lt;&gt;"",O2050&lt;M2050),"check","ok")</f>
        <v>ok</v>
      </c>
      <c r="Z2050" t="str">
        <f t="shared" ref="Z2050:Z2113" si="227">IF(AND(OR(CA2050="Closed",A2050="Resolved"),M2050=""),"check","ok")</f>
        <v>ok</v>
      </c>
      <c r="AA2050" s="4" t="str">
        <f t="shared" ref="AA2050:AA2113" si="228">IF(K2050="","no response",IF(OR(AND(K2050&lt;=J2050,L2050="Within SLA"),AND(K2050&gt;J2050,L2050="SLA Violated")),"ok","check"))</f>
        <v>ok</v>
      </c>
      <c r="AB2050" s="4" t="str">
        <f t="shared" ref="AB2050:AB2113" si="229">IF(M2050="","no resolution",IF(OR(AND(M2050&lt;=I2050,N2050="Within SLA"),AND(M2050&gt;I2050,N2050="SLA Violated")),"ok","check"))</f>
        <v>ok</v>
      </c>
      <c r="AC2050" s="6">
        <f t="shared" ref="AC2050:AC2113" si="230">IF(M2050="","",(M2050-H2050)*24)</f>
        <v>50.24801638891222</v>
      </c>
    </row>
    <row r="2051" spans="1:29" x14ac:dyDescent="0.3">
      <c r="A2051" t="s">
        <v>22</v>
      </c>
      <c r="B2051">
        <v>3607</v>
      </c>
      <c r="C2051" t="s">
        <v>47</v>
      </c>
      <c r="D2051" t="s">
        <v>43</v>
      </c>
      <c r="E2051" t="s">
        <v>39</v>
      </c>
      <c r="F2051" t="s">
        <v>26</v>
      </c>
      <c r="G2051" t="s">
        <v>45</v>
      </c>
      <c r="H2051" s="1">
        <v>45245.740856481483</v>
      </c>
      <c r="I2051" s="1">
        <v>45246.740856481483</v>
      </c>
      <c r="J2051" s="1">
        <v>45245.742245370369</v>
      </c>
      <c r="K2051" s="2">
        <v>45245.741250763887</v>
      </c>
      <c r="L2051" t="s">
        <v>28</v>
      </c>
      <c r="M2051" s="2">
        <v>45246.537141944442</v>
      </c>
      <c r="N2051" t="s">
        <v>28</v>
      </c>
      <c r="O2051" s="2">
        <v>45250.704569953705</v>
      </c>
      <c r="P2051">
        <v>5</v>
      </c>
      <c r="Q2051">
        <v>5</v>
      </c>
      <c r="R2051" t="s">
        <v>55</v>
      </c>
      <c r="S2051" t="s">
        <v>30</v>
      </c>
      <c r="T2051" t="s">
        <v>63</v>
      </c>
      <c r="U2051">
        <v>55.378051999999997</v>
      </c>
      <c r="V2051">
        <v>-3.4359730000000002</v>
      </c>
      <c r="W2051" t="str">
        <f t="shared" si="225"/>
        <v>ok</v>
      </c>
      <c r="X2051" t="str">
        <f t="shared" ref="X2051:X2114" si="231">IF(AND(M2051&lt;&gt;"",M2051&lt;H2051),"check","ok")</f>
        <v>ok</v>
      </c>
      <c r="Y2051" t="str">
        <f t="shared" si="226"/>
        <v>ok</v>
      </c>
      <c r="Z2051" t="str">
        <f t="shared" si="227"/>
        <v>ok</v>
      </c>
      <c r="AA2051" s="4" t="str">
        <f t="shared" si="228"/>
        <v>ok</v>
      </c>
      <c r="AB2051" s="4" t="str">
        <f t="shared" si="229"/>
        <v>ok</v>
      </c>
      <c r="AC2051" s="6">
        <f t="shared" si="230"/>
        <v>19.110851111006923</v>
      </c>
    </row>
    <row r="2052" spans="1:29" x14ac:dyDescent="0.3">
      <c r="A2052" t="s">
        <v>22</v>
      </c>
      <c r="B2052">
        <v>3608</v>
      </c>
      <c r="C2052" t="s">
        <v>23</v>
      </c>
      <c r="D2052" t="s">
        <v>43</v>
      </c>
      <c r="E2052" t="s">
        <v>35</v>
      </c>
      <c r="F2052" t="s">
        <v>26</v>
      </c>
      <c r="G2052" t="s">
        <v>49</v>
      </c>
      <c r="H2052" s="1">
        <v>45246.623402777775</v>
      </c>
      <c r="I2052" s="1">
        <v>45247.623402777775</v>
      </c>
      <c r="J2052" s="1">
        <v>45246.624791666669</v>
      </c>
      <c r="K2052" s="2">
        <v>45246.624464131943</v>
      </c>
      <c r="L2052" t="s">
        <v>28</v>
      </c>
      <c r="M2052" s="2">
        <v>45249.249944930554</v>
      </c>
      <c r="N2052" t="s">
        <v>38</v>
      </c>
      <c r="O2052" s="2">
        <v>45250.175406226852</v>
      </c>
      <c r="P2052">
        <v>5</v>
      </c>
      <c r="Q2052">
        <v>3</v>
      </c>
      <c r="R2052" t="s">
        <v>50</v>
      </c>
      <c r="S2052" t="s">
        <v>30</v>
      </c>
      <c r="T2052" t="s">
        <v>63</v>
      </c>
      <c r="U2052">
        <v>55.378051999999997</v>
      </c>
      <c r="V2052">
        <v>-3.4359730000000002</v>
      </c>
      <c r="W2052" t="str">
        <f t="shared" si="225"/>
        <v>ok</v>
      </c>
      <c r="X2052" t="str">
        <f t="shared" si="231"/>
        <v>ok</v>
      </c>
      <c r="Y2052" t="str">
        <f t="shared" si="226"/>
        <v>ok</v>
      </c>
      <c r="Z2052" t="str">
        <f t="shared" si="227"/>
        <v>ok</v>
      </c>
      <c r="AA2052" s="4" t="str">
        <f t="shared" si="228"/>
        <v>ok</v>
      </c>
      <c r="AB2052" s="4" t="str">
        <f t="shared" si="229"/>
        <v>ok</v>
      </c>
      <c r="AC2052" s="6">
        <f t="shared" si="230"/>
        <v>63.037011666689068</v>
      </c>
    </row>
    <row r="2053" spans="1:29" x14ac:dyDescent="0.3">
      <c r="A2053" t="s">
        <v>22</v>
      </c>
      <c r="B2053">
        <v>3609</v>
      </c>
      <c r="C2053" t="s">
        <v>23</v>
      </c>
      <c r="D2053" t="s">
        <v>24</v>
      </c>
      <c r="E2053" t="s">
        <v>35</v>
      </c>
      <c r="F2053" t="s">
        <v>26</v>
      </c>
      <c r="G2053" t="s">
        <v>52</v>
      </c>
      <c r="H2053" s="1">
        <v>45246.113437499997</v>
      </c>
      <c r="I2053" s="1">
        <v>45248.113437499997</v>
      </c>
      <c r="J2053" s="1">
        <v>45246.155104166668</v>
      </c>
      <c r="K2053" s="2">
        <v>45246.14704265046</v>
      </c>
      <c r="L2053" t="s">
        <v>28</v>
      </c>
      <c r="M2053" s="2">
        <v>45247.755159641201</v>
      </c>
      <c r="N2053" t="s">
        <v>28</v>
      </c>
      <c r="O2053" s="2">
        <v>45248.640203368057</v>
      </c>
      <c r="P2053">
        <v>1</v>
      </c>
      <c r="Q2053">
        <v>4</v>
      </c>
      <c r="R2053" t="s">
        <v>50</v>
      </c>
      <c r="S2053" t="s">
        <v>30</v>
      </c>
      <c r="T2053" t="s">
        <v>53</v>
      </c>
      <c r="U2053">
        <v>39.368279000000001</v>
      </c>
      <c r="V2053">
        <v>21.863140999999999</v>
      </c>
      <c r="W2053" t="str">
        <f t="shared" si="225"/>
        <v>ok</v>
      </c>
      <c r="X2053" t="str">
        <f t="shared" si="231"/>
        <v>ok</v>
      </c>
      <c r="Y2053" t="str">
        <f t="shared" si="226"/>
        <v>ok</v>
      </c>
      <c r="Z2053" t="str">
        <f t="shared" si="227"/>
        <v>ok</v>
      </c>
      <c r="AA2053" s="4" t="str">
        <f t="shared" si="228"/>
        <v>ok</v>
      </c>
      <c r="AB2053" s="4" t="str">
        <f t="shared" si="229"/>
        <v>ok</v>
      </c>
      <c r="AC2053" s="6">
        <f t="shared" si="230"/>
        <v>39.401331388915423</v>
      </c>
    </row>
    <row r="2054" spans="1:29" x14ac:dyDescent="0.3">
      <c r="A2054" t="s">
        <v>32</v>
      </c>
      <c r="B2054">
        <v>3610</v>
      </c>
      <c r="C2054" t="s">
        <v>47</v>
      </c>
      <c r="D2054" t="s">
        <v>43</v>
      </c>
      <c r="E2054" t="s">
        <v>44</v>
      </c>
      <c r="F2054" t="s">
        <v>36</v>
      </c>
      <c r="G2054" t="s">
        <v>37</v>
      </c>
      <c r="H2054" s="1">
        <v>45246.519976851851</v>
      </c>
      <c r="I2054" s="1">
        <v>45247.519976851851</v>
      </c>
      <c r="J2054" s="1">
        <v>45246.521365740744</v>
      </c>
      <c r="K2054" s="2">
        <v>45246.521000624998</v>
      </c>
      <c r="L2054" t="s">
        <v>28</v>
      </c>
      <c r="N2054" t="s">
        <v>38</v>
      </c>
      <c r="P2054">
        <v>8</v>
      </c>
      <c r="R2054" t="s">
        <v>50</v>
      </c>
      <c r="S2054" t="s">
        <v>40</v>
      </c>
      <c r="T2054" t="s">
        <v>57</v>
      </c>
      <c r="U2054">
        <v>51.165691000000002</v>
      </c>
      <c r="V2054">
        <v>10.451525999999999</v>
      </c>
      <c r="W2054" t="str">
        <f t="shared" si="225"/>
        <v>ok</v>
      </c>
      <c r="X2054" t="str">
        <f t="shared" si="231"/>
        <v>ok</v>
      </c>
      <c r="Y2054" t="str">
        <f t="shared" si="226"/>
        <v>ok</v>
      </c>
      <c r="Z2054" t="str">
        <f t="shared" si="227"/>
        <v>ok</v>
      </c>
      <c r="AA2054" s="4" t="str">
        <f t="shared" si="228"/>
        <v>ok</v>
      </c>
      <c r="AB2054" s="4" t="str">
        <f t="shared" si="229"/>
        <v>no resolution</v>
      </c>
      <c r="AC2054" s="6" t="str">
        <f t="shared" si="230"/>
        <v/>
      </c>
    </row>
    <row r="2055" spans="1:29" x14ac:dyDescent="0.3">
      <c r="A2055" t="s">
        <v>22</v>
      </c>
      <c r="B2055">
        <v>3611</v>
      </c>
      <c r="C2055" t="s">
        <v>33</v>
      </c>
      <c r="D2055" t="s">
        <v>24</v>
      </c>
      <c r="E2055" t="s">
        <v>48</v>
      </c>
      <c r="F2055" t="s">
        <v>26</v>
      </c>
      <c r="G2055" t="s">
        <v>60</v>
      </c>
      <c r="H2055" s="1">
        <v>45246.249571759261</v>
      </c>
      <c r="I2055" s="1">
        <v>45248.249571759261</v>
      </c>
      <c r="J2055" s="1">
        <v>45246.291238425925</v>
      </c>
      <c r="K2055" s="2">
        <v>45246.250811284721</v>
      </c>
      <c r="L2055" t="s">
        <v>28</v>
      </c>
      <c r="M2055" s="2">
        <v>45247.242715219909</v>
      </c>
      <c r="N2055" t="s">
        <v>28</v>
      </c>
      <c r="O2055" s="2">
        <v>45248.871113854169</v>
      </c>
      <c r="P2055">
        <v>1</v>
      </c>
      <c r="Q2055">
        <v>4</v>
      </c>
      <c r="R2055" t="s">
        <v>29</v>
      </c>
      <c r="S2055" t="s">
        <v>30</v>
      </c>
      <c r="T2055" t="s">
        <v>57</v>
      </c>
      <c r="U2055">
        <v>51.165691000000002</v>
      </c>
      <c r="V2055">
        <v>10.451525999999999</v>
      </c>
      <c r="W2055" t="str">
        <f t="shared" si="225"/>
        <v>ok</v>
      </c>
      <c r="X2055" t="str">
        <f t="shared" si="231"/>
        <v>ok</v>
      </c>
      <c r="Y2055" t="str">
        <f t="shared" si="226"/>
        <v>ok</v>
      </c>
      <c r="Z2055" t="str">
        <f t="shared" si="227"/>
        <v>ok</v>
      </c>
      <c r="AA2055" s="4" t="str">
        <f t="shared" si="228"/>
        <v>ok</v>
      </c>
      <c r="AB2055" s="4" t="str">
        <f t="shared" si="229"/>
        <v>ok</v>
      </c>
      <c r="AC2055" s="6">
        <f t="shared" si="230"/>
        <v>23.835443055548239</v>
      </c>
    </row>
    <row r="2056" spans="1:29" x14ac:dyDescent="0.3">
      <c r="A2056" t="s">
        <v>22</v>
      </c>
      <c r="B2056">
        <v>3612</v>
      </c>
      <c r="C2056" t="s">
        <v>23</v>
      </c>
      <c r="D2056" t="s">
        <v>43</v>
      </c>
      <c r="E2056" t="s">
        <v>48</v>
      </c>
      <c r="F2056" t="s">
        <v>26</v>
      </c>
      <c r="G2056" t="s">
        <v>60</v>
      </c>
      <c r="H2056" s="1">
        <v>45246.674814814818</v>
      </c>
      <c r="I2056" s="1">
        <v>45247.674814814818</v>
      </c>
      <c r="J2056" s="1">
        <v>45246.676203703704</v>
      </c>
      <c r="K2056" s="2">
        <v>45246.675516643518</v>
      </c>
      <c r="L2056" t="s">
        <v>28</v>
      </c>
      <c r="M2056" s="2">
        <v>45246.811414699077</v>
      </c>
      <c r="N2056" t="s">
        <v>28</v>
      </c>
      <c r="O2056" s="2">
        <v>45253.280245069443</v>
      </c>
      <c r="P2056">
        <v>4</v>
      </c>
      <c r="Q2056">
        <v>4</v>
      </c>
      <c r="R2056" t="s">
        <v>55</v>
      </c>
      <c r="S2056" t="s">
        <v>30</v>
      </c>
      <c r="T2056" t="s">
        <v>56</v>
      </c>
      <c r="U2056">
        <v>52.536273000000001</v>
      </c>
      <c r="V2056">
        <v>19.050639</v>
      </c>
      <c r="W2056" t="str">
        <f t="shared" si="225"/>
        <v>ok</v>
      </c>
      <c r="X2056" t="str">
        <f t="shared" si="231"/>
        <v>ok</v>
      </c>
      <c r="Y2056" t="str">
        <f t="shared" si="226"/>
        <v>ok</v>
      </c>
      <c r="Z2056" t="str">
        <f t="shared" si="227"/>
        <v>ok</v>
      </c>
      <c r="AA2056" s="4" t="str">
        <f t="shared" si="228"/>
        <v>ok</v>
      </c>
      <c r="AB2056" s="4" t="str">
        <f t="shared" si="229"/>
        <v>ok</v>
      </c>
      <c r="AC2056" s="6">
        <f t="shared" si="230"/>
        <v>3.2783972222241573</v>
      </c>
    </row>
    <row r="2057" spans="1:29" x14ac:dyDescent="0.3">
      <c r="A2057" t="s">
        <v>42</v>
      </c>
      <c r="B2057">
        <v>3613</v>
      </c>
      <c r="C2057" t="s">
        <v>23</v>
      </c>
      <c r="D2057" t="s">
        <v>43</v>
      </c>
      <c r="E2057" t="s">
        <v>48</v>
      </c>
      <c r="F2057" t="s">
        <v>36</v>
      </c>
      <c r="G2057" t="s">
        <v>54</v>
      </c>
      <c r="H2057" s="1">
        <v>45246.137916666667</v>
      </c>
      <c r="I2057" s="1">
        <v>45247.137916666667</v>
      </c>
      <c r="J2057" s="1">
        <v>45246.139305555553</v>
      </c>
      <c r="K2057" s="2">
        <v>45246.138237453706</v>
      </c>
      <c r="L2057" t="s">
        <v>28</v>
      </c>
      <c r="M2057" s="2">
        <v>45250.30495474537</v>
      </c>
      <c r="N2057" t="s">
        <v>38</v>
      </c>
      <c r="P2057">
        <v>2</v>
      </c>
      <c r="R2057" t="s">
        <v>29</v>
      </c>
      <c r="S2057" t="s">
        <v>40</v>
      </c>
      <c r="T2057" t="s">
        <v>31</v>
      </c>
      <c r="U2057">
        <v>53.094023999999997</v>
      </c>
      <c r="V2057">
        <v>-8.0196749999999994</v>
      </c>
      <c r="W2057" t="str">
        <f t="shared" si="225"/>
        <v>ok</v>
      </c>
      <c r="X2057" t="str">
        <f t="shared" si="231"/>
        <v>ok</v>
      </c>
      <c r="Y2057" t="str">
        <f t="shared" si="226"/>
        <v>ok</v>
      </c>
      <c r="Z2057" t="str">
        <f t="shared" si="227"/>
        <v>ok</v>
      </c>
      <c r="AA2057" s="4" t="str">
        <f t="shared" si="228"/>
        <v>ok</v>
      </c>
      <c r="AB2057" s="4" t="str">
        <f t="shared" si="229"/>
        <v>ok</v>
      </c>
      <c r="AC2057" s="6">
        <f t="shared" si="230"/>
        <v>100.00891388888704</v>
      </c>
    </row>
    <row r="2058" spans="1:29" x14ac:dyDescent="0.3">
      <c r="A2058" t="s">
        <v>22</v>
      </c>
      <c r="B2058">
        <v>3614</v>
      </c>
      <c r="C2058" t="s">
        <v>23</v>
      </c>
      <c r="D2058" t="s">
        <v>24</v>
      </c>
      <c r="E2058" t="s">
        <v>35</v>
      </c>
      <c r="F2058" t="s">
        <v>36</v>
      </c>
      <c r="G2058" t="s">
        <v>64</v>
      </c>
      <c r="H2058" s="1">
        <v>45246.006747685184</v>
      </c>
      <c r="I2058" s="1">
        <v>45248.006747685184</v>
      </c>
      <c r="J2058" s="1">
        <v>45246.048414351855</v>
      </c>
      <c r="K2058" s="2">
        <v>45246.039239722224</v>
      </c>
      <c r="L2058" t="s">
        <v>28</v>
      </c>
      <c r="M2058" s="2">
        <v>45250.708621134261</v>
      </c>
      <c r="N2058" t="s">
        <v>38</v>
      </c>
      <c r="O2058" s="2">
        <v>45251.174590590279</v>
      </c>
      <c r="P2058">
        <v>10</v>
      </c>
      <c r="Q2058">
        <v>2</v>
      </c>
      <c r="R2058" t="s">
        <v>55</v>
      </c>
      <c r="S2058" t="s">
        <v>40</v>
      </c>
      <c r="T2058" t="s">
        <v>56</v>
      </c>
      <c r="U2058">
        <v>52.536273000000001</v>
      </c>
      <c r="V2058">
        <v>19.050639</v>
      </c>
      <c r="W2058" t="str">
        <f t="shared" si="225"/>
        <v>ok</v>
      </c>
      <c r="X2058" t="str">
        <f t="shared" si="231"/>
        <v>ok</v>
      </c>
      <c r="Y2058" t="str">
        <f t="shared" si="226"/>
        <v>ok</v>
      </c>
      <c r="Z2058" t="str">
        <f t="shared" si="227"/>
        <v>ok</v>
      </c>
      <c r="AA2058" s="4" t="str">
        <f t="shared" si="228"/>
        <v>ok</v>
      </c>
      <c r="AB2058" s="4" t="str">
        <f t="shared" si="229"/>
        <v>ok</v>
      </c>
      <c r="AC2058" s="6">
        <f t="shared" si="230"/>
        <v>112.84496277786093</v>
      </c>
    </row>
    <row r="2059" spans="1:29" x14ac:dyDescent="0.3">
      <c r="A2059" t="s">
        <v>32</v>
      </c>
      <c r="B2059">
        <v>3615</v>
      </c>
      <c r="C2059" t="s">
        <v>23</v>
      </c>
      <c r="D2059" t="s">
        <v>43</v>
      </c>
      <c r="E2059" t="s">
        <v>62</v>
      </c>
      <c r="F2059" t="s">
        <v>26</v>
      </c>
      <c r="G2059" t="s">
        <v>49</v>
      </c>
      <c r="H2059" s="1">
        <v>45247.909421296295</v>
      </c>
      <c r="I2059" s="1">
        <v>45248.909421296295</v>
      </c>
      <c r="J2059" s="1">
        <v>45247.910810185182</v>
      </c>
      <c r="K2059" s="2">
        <v>45247.91032664352</v>
      </c>
      <c r="L2059" t="s">
        <v>28</v>
      </c>
      <c r="N2059" t="s">
        <v>38</v>
      </c>
      <c r="P2059">
        <v>6</v>
      </c>
      <c r="R2059" t="s">
        <v>55</v>
      </c>
      <c r="S2059" t="s">
        <v>30</v>
      </c>
      <c r="T2059" t="s">
        <v>61</v>
      </c>
      <c r="U2059">
        <v>42.724992499999999</v>
      </c>
      <c r="V2059">
        <v>25.483303899999999</v>
      </c>
      <c r="W2059" t="str">
        <f t="shared" si="225"/>
        <v>ok</v>
      </c>
      <c r="X2059" t="str">
        <f t="shared" si="231"/>
        <v>ok</v>
      </c>
      <c r="Y2059" t="str">
        <f t="shared" si="226"/>
        <v>ok</v>
      </c>
      <c r="Z2059" t="str">
        <f t="shared" si="227"/>
        <v>ok</v>
      </c>
      <c r="AA2059" s="4" t="str">
        <f t="shared" si="228"/>
        <v>ok</v>
      </c>
      <c r="AB2059" s="4" t="str">
        <f t="shared" si="229"/>
        <v>no resolution</v>
      </c>
      <c r="AC2059" s="6" t="str">
        <f t="shared" si="230"/>
        <v/>
      </c>
    </row>
    <row r="2060" spans="1:29" x14ac:dyDescent="0.3">
      <c r="A2060" t="s">
        <v>32</v>
      </c>
      <c r="B2060">
        <v>3616</v>
      </c>
      <c r="C2060" t="s">
        <v>23</v>
      </c>
      <c r="D2060" t="s">
        <v>24</v>
      </c>
      <c r="E2060" t="s">
        <v>25</v>
      </c>
      <c r="F2060" t="s">
        <v>26</v>
      </c>
      <c r="G2060" t="s">
        <v>60</v>
      </c>
      <c r="H2060" s="1">
        <v>45247.223194444443</v>
      </c>
      <c r="I2060" s="1">
        <v>45249.223194444443</v>
      </c>
      <c r="J2060" s="1">
        <v>45247.264861111114</v>
      </c>
      <c r="K2060" s="2">
        <v>45247.231820370369</v>
      </c>
      <c r="L2060" t="s">
        <v>28</v>
      </c>
      <c r="N2060" t="s">
        <v>38</v>
      </c>
      <c r="P2060">
        <v>2</v>
      </c>
      <c r="R2060" t="s">
        <v>50</v>
      </c>
      <c r="S2060" t="s">
        <v>30</v>
      </c>
      <c r="T2060" t="s">
        <v>63</v>
      </c>
      <c r="U2060">
        <v>55.378051999999997</v>
      </c>
      <c r="V2060">
        <v>-3.4359730000000002</v>
      </c>
      <c r="W2060" t="str">
        <f t="shared" si="225"/>
        <v>ok</v>
      </c>
      <c r="X2060" t="str">
        <f t="shared" si="231"/>
        <v>ok</v>
      </c>
      <c r="Y2060" t="str">
        <f t="shared" si="226"/>
        <v>ok</v>
      </c>
      <c r="Z2060" t="str">
        <f t="shared" si="227"/>
        <v>ok</v>
      </c>
      <c r="AA2060" s="4" t="str">
        <f t="shared" si="228"/>
        <v>ok</v>
      </c>
      <c r="AB2060" s="4" t="str">
        <f t="shared" si="229"/>
        <v>no resolution</v>
      </c>
      <c r="AC2060" s="6" t="str">
        <f t="shared" si="230"/>
        <v/>
      </c>
    </row>
    <row r="2061" spans="1:29" x14ac:dyDescent="0.3">
      <c r="A2061" t="s">
        <v>42</v>
      </c>
      <c r="B2061">
        <v>3617</v>
      </c>
      <c r="C2061" t="s">
        <v>47</v>
      </c>
      <c r="D2061" t="s">
        <v>24</v>
      </c>
      <c r="E2061" t="s">
        <v>35</v>
      </c>
      <c r="F2061" t="s">
        <v>36</v>
      </c>
      <c r="G2061" t="s">
        <v>37</v>
      </c>
      <c r="H2061" s="1">
        <v>45247.328090277777</v>
      </c>
      <c r="I2061" s="1">
        <v>45249.328090277777</v>
      </c>
      <c r="J2061" s="1">
        <v>45247.369756944441</v>
      </c>
      <c r="K2061" s="2">
        <v>45247.349958368053</v>
      </c>
      <c r="L2061" t="s">
        <v>28</v>
      </c>
      <c r="M2061" s="2">
        <v>45248.256432534719</v>
      </c>
      <c r="N2061" t="s">
        <v>28</v>
      </c>
      <c r="P2061">
        <v>3</v>
      </c>
      <c r="R2061" t="s">
        <v>39</v>
      </c>
      <c r="S2061" t="s">
        <v>40</v>
      </c>
      <c r="T2061" t="s">
        <v>65</v>
      </c>
      <c r="U2061">
        <v>46.149166399999999</v>
      </c>
      <c r="V2061">
        <v>14.9860106</v>
      </c>
      <c r="W2061" t="str">
        <f t="shared" si="225"/>
        <v>ok</v>
      </c>
      <c r="X2061" t="str">
        <f t="shared" si="231"/>
        <v>ok</v>
      </c>
      <c r="Y2061" t="str">
        <f t="shared" si="226"/>
        <v>ok</v>
      </c>
      <c r="Z2061" t="str">
        <f t="shared" si="227"/>
        <v>ok</v>
      </c>
      <c r="AA2061" s="4" t="str">
        <f t="shared" si="228"/>
        <v>ok</v>
      </c>
      <c r="AB2061" s="4" t="str">
        <f t="shared" si="229"/>
        <v>ok</v>
      </c>
      <c r="AC2061" s="6">
        <f t="shared" si="230"/>
        <v>22.280214166617952</v>
      </c>
    </row>
    <row r="2062" spans="1:29" x14ac:dyDescent="0.3">
      <c r="A2062" t="s">
        <v>22</v>
      </c>
      <c r="B2062">
        <v>3618</v>
      </c>
      <c r="C2062" t="s">
        <v>47</v>
      </c>
      <c r="D2062" t="s">
        <v>24</v>
      </c>
      <c r="E2062" t="s">
        <v>25</v>
      </c>
      <c r="F2062" t="s">
        <v>26</v>
      </c>
      <c r="G2062" t="s">
        <v>27</v>
      </c>
      <c r="H2062" s="1">
        <v>45247.819687499999</v>
      </c>
      <c r="I2062" s="1">
        <v>45249.819687499999</v>
      </c>
      <c r="J2062" s="1">
        <v>45247.861354166664</v>
      </c>
      <c r="K2062" s="2">
        <v>45247.829862962964</v>
      </c>
      <c r="L2062" t="s">
        <v>28</v>
      </c>
      <c r="M2062" s="2">
        <v>45249.764903206022</v>
      </c>
      <c r="N2062" t="s">
        <v>28</v>
      </c>
      <c r="O2062" s="2">
        <v>45252.583700208335</v>
      </c>
      <c r="P2062">
        <v>3</v>
      </c>
      <c r="Q2062">
        <v>5</v>
      </c>
      <c r="R2062" t="s">
        <v>50</v>
      </c>
      <c r="S2062" t="s">
        <v>30</v>
      </c>
      <c r="T2062" t="s">
        <v>66</v>
      </c>
      <c r="U2062">
        <v>48.864716000000001</v>
      </c>
      <c r="V2062">
        <v>2.3490139999999999</v>
      </c>
      <c r="W2062" t="str">
        <f t="shared" si="225"/>
        <v>ok</v>
      </c>
      <c r="X2062" t="str">
        <f t="shared" si="231"/>
        <v>ok</v>
      </c>
      <c r="Y2062" t="str">
        <f t="shared" si="226"/>
        <v>ok</v>
      </c>
      <c r="Z2062" t="str">
        <f t="shared" si="227"/>
        <v>ok</v>
      </c>
      <c r="AA2062" s="4" t="str">
        <f t="shared" si="228"/>
        <v>ok</v>
      </c>
      <c r="AB2062" s="4" t="str">
        <f t="shared" si="229"/>
        <v>ok</v>
      </c>
      <c r="AC2062" s="6">
        <f t="shared" si="230"/>
        <v>46.68517694453476</v>
      </c>
    </row>
    <row r="2063" spans="1:29" x14ac:dyDescent="0.3">
      <c r="A2063" t="s">
        <v>22</v>
      </c>
      <c r="B2063">
        <v>3619</v>
      </c>
      <c r="C2063" t="s">
        <v>47</v>
      </c>
      <c r="D2063" t="s">
        <v>24</v>
      </c>
      <c r="E2063" t="s">
        <v>25</v>
      </c>
      <c r="F2063" t="s">
        <v>26</v>
      </c>
      <c r="G2063" t="s">
        <v>49</v>
      </c>
      <c r="H2063" s="1">
        <v>45247.419907407406</v>
      </c>
      <c r="I2063" s="1">
        <v>45249.419907407406</v>
      </c>
      <c r="J2063" s="1">
        <v>45247.461574074077</v>
      </c>
      <c r="K2063" s="2">
        <v>45247.432107488428</v>
      </c>
      <c r="L2063" t="s">
        <v>28</v>
      </c>
      <c r="M2063" s="2">
        <v>45250.240794247686</v>
      </c>
      <c r="N2063" t="s">
        <v>38</v>
      </c>
      <c r="O2063" s="2">
        <v>45251.766332210645</v>
      </c>
      <c r="P2063">
        <v>4</v>
      </c>
      <c r="Q2063">
        <v>5</v>
      </c>
      <c r="R2063" t="s">
        <v>29</v>
      </c>
      <c r="S2063" t="s">
        <v>30</v>
      </c>
      <c r="T2063" t="s">
        <v>58</v>
      </c>
      <c r="U2063">
        <v>49.8037633</v>
      </c>
      <c r="V2063">
        <v>15.4749126</v>
      </c>
      <c r="W2063" t="str">
        <f t="shared" si="225"/>
        <v>ok</v>
      </c>
      <c r="X2063" t="str">
        <f t="shared" si="231"/>
        <v>ok</v>
      </c>
      <c r="Y2063" t="str">
        <f t="shared" si="226"/>
        <v>ok</v>
      </c>
      <c r="Z2063" t="str">
        <f t="shared" si="227"/>
        <v>ok</v>
      </c>
      <c r="AA2063" s="4" t="str">
        <f t="shared" si="228"/>
        <v>ok</v>
      </c>
      <c r="AB2063" s="4" t="str">
        <f t="shared" si="229"/>
        <v>ok</v>
      </c>
      <c r="AC2063" s="6">
        <f t="shared" si="230"/>
        <v>67.701284166716505</v>
      </c>
    </row>
    <row r="2064" spans="1:29" x14ac:dyDescent="0.3">
      <c r="A2064" t="s">
        <v>42</v>
      </c>
      <c r="B2064">
        <v>3620</v>
      </c>
      <c r="C2064" t="s">
        <v>23</v>
      </c>
      <c r="D2064" t="s">
        <v>24</v>
      </c>
      <c r="E2064" t="s">
        <v>67</v>
      </c>
      <c r="F2064" t="s">
        <v>26</v>
      </c>
      <c r="G2064" t="s">
        <v>52</v>
      </c>
      <c r="H2064" s="1">
        <v>45247.833599537036</v>
      </c>
      <c r="I2064" s="1">
        <v>45249.833599537036</v>
      </c>
      <c r="J2064" s="1">
        <v>45247.8752662037</v>
      </c>
      <c r="K2064" s="2">
        <v>45247.861019988428</v>
      </c>
      <c r="L2064" t="s">
        <v>28</v>
      </c>
      <c r="M2064" s="2">
        <v>45248.314153032406</v>
      </c>
      <c r="N2064" t="s">
        <v>28</v>
      </c>
      <c r="P2064">
        <v>6</v>
      </c>
      <c r="R2064" t="s">
        <v>29</v>
      </c>
      <c r="S2064" t="s">
        <v>30</v>
      </c>
      <c r="T2064" t="s">
        <v>58</v>
      </c>
      <c r="U2064">
        <v>49.8037633</v>
      </c>
      <c r="V2064">
        <v>15.4749126</v>
      </c>
      <c r="W2064" t="str">
        <f t="shared" si="225"/>
        <v>ok</v>
      </c>
      <c r="X2064" t="str">
        <f t="shared" si="231"/>
        <v>ok</v>
      </c>
      <c r="Y2064" t="str">
        <f t="shared" si="226"/>
        <v>ok</v>
      </c>
      <c r="Z2064" t="str">
        <f t="shared" si="227"/>
        <v>ok</v>
      </c>
      <c r="AA2064" s="4" t="str">
        <f t="shared" si="228"/>
        <v>ok</v>
      </c>
      <c r="AB2064" s="4" t="str">
        <f t="shared" si="229"/>
        <v>ok</v>
      </c>
      <c r="AC2064" s="6">
        <f t="shared" si="230"/>
        <v>11.533283888886217</v>
      </c>
    </row>
    <row r="2065" spans="1:29" x14ac:dyDescent="0.3">
      <c r="A2065" t="s">
        <v>22</v>
      </c>
      <c r="B2065">
        <v>3621</v>
      </c>
      <c r="C2065" t="s">
        <v>23</v>
      </c>
      <c r="D2065" t="s">
        <v>43</v>
      </c>
      <c r="E2065" t="s">
        <v>48</v>
      </c>
      <c r="F2065" t="s">
        <v>26</v>
      </c>
      <c r="G2065" t="s">
        <v>60</v>
      </c>
      <c r="H2065" s="1">
        <v>45247.650312500002</v>
      </c>
      <c r="I2065" s="1">
        <v>45248.650312500002</v>
      </c>
      <c r="J2065" s="1">
        <v>45247.651701388888</v>
      </c>
      <c r="K2065" s="2">
        <v>45247.650561932867</v>
      </c>
      <c r="L2065" t="s">
        <v>28</v>
      </c>
      <c r="M2065" s="2">
        <v>45248.524010821762</v>
      </c>
      <c r="N2065" t="s">
        <v>28</v>
      </c>
      <c r="O2065" s="2">
        <v>45252.4998190162</v>
      </c>
      <c r="P2065">
        <v>5</v>
      </c>
      <c r="Q2065">
        <v>3</v>
      </c>
      <c r="R2065" t="s">
        <v>29</v>
      </c>
      <c r="S2065" t="s">
        <v>30</v>
      </c>
      <c r="T2065" t="s">
        <v>41</v>
      </c>
      <c r="U2065">
        <v>43.036776000000003</v>
      </c>
      <c r="V2065">
        <v>12.678565000000001</v>
      </c>
      <c r="W2065" t="str">
        <f t="shared" si="225"/>
        <v>ok</v>
      </c>
      <c r="X2065" t="str">
        <f t="shared" si="231"/>
        <v>ok</v>
      </c>
      <c r="Y2065" t="str">
        <f t="shared" si="226"/>
        <v>ok</v>
      </c>
      <c r="Z2065" t="str">
        <f t="shared" si="227"/>
        <v>ok</v>
      </c>
      <c r="AA2065" s="4" t="str">
        <f t="shared" si="228"/>
        <v>ok</v>
      </c>
      <c r="AB2065" s="4" t="str">
        <f t="shared" si="229"/>
        <v>ok</v>
      </c>
      <c r="AC2065" s="6">
        <f t="shared" si="230"/>
        <v>20.968759722250979</v>
      </c>
    </row>
    <row r="2066" spans="1:29" x14ac:dyDescent="0.3">
      <c r="A2066" t="s">
        <v>22</v>
      </c>
      <c r="B2066">
        <v>3622</v>
      </c>
      <c r="C2066" t="s">
        <v>23</v>
      </c>
      <c r="D2066" t="s">
        <v>43</v>
      </c>
      <c r="E2066" t="s">
        <v>48</v>
      </c>
      <c r="F2066" t="s">
        <v>26</v>
      </c>
      <c r="G2066" t="s">
        <v>52</v>
      </c>
      <c r="H2066" s="1">
        <v>45247.43577546296</v>
      </c>
      <c r="I2066" s="1">
        <v>45248.43577546296</v>
      </c>
      <c r="J2066" s="1">
        <v>45247.437164351853</v>
      </c>
      <c r="K2066" s="2">
        <v>45247.437125763892</v>
      </c>
      <c r="L2066" t="s">
        <v>28</v>
      </c>
      <c r="M2066" s="2">
        <v>45248.056677199071</v>
      </c>
      <c r="N2066" t="s">
        <v>28</v>
      </c>
      <c r="O2066" s="2">
        <v>45250.938307256947</v>
      </c>
      <c r="P2066">
        <v>2</v>
      </c>
      <c r="Q2066">
        <v>5</v>
      </c>
      <c r="R2066" t="s">
        <v>39</v>
      </c>
      <c r="S2066" t="s">
        <v>30</v>
      </c>
      <c r="T2066" t="s">
        <v>57</v>
      </c>
      <c r="U2066">
        <v>51.165691000000002</v>
      </c>
      <c r="V2066">
        <v>10.451525999999999</v>
      </c>
      <c r="W2066" t="str">
        <f t="shared" si="225"/>
        <v>ok</v>
      </c>
      <c r="X2066" t="str">
        <f t="shared" si="231"/>
        <v>ok</v>
      </c>
      <c r="Y2066" t="str">
        <f t="shared" si="226"/>
        <v>ok</v>
      </c>
      <c r="Z2066" t="str">
        <f t="shared" si="227"/>
        <v>ok</v>
      </c>
      <c r="AA2066" s="4" t="str">
        <f t="shared" si="228"/>
        <v>ok</v>
      </c>
      <c r="AB2066" s="4" t="str">
        <f t="shared" si="229"/>
        <v>ok</v>
      </c>
      <c r="AC2066" s="6">
        <f t="shared" si="230"/>
        <v>14.90164166665636</v>
      </c>
    </row>
    <row r="2067" spans="1:29" x14ac:dyDescent="0.3">
      <c r="A2067" t="s">
        <v>22</v>
      </c>
      <c r="B2067">
        <v>3628</v>
      </c>
      <c r="C2067" t="s">
        <v>23</v>
      </c>
      <c r="D2067" t="s">
        <v>43</v>
      </c>
      <c r="E2067" t="s">
        <v>59</v>
      </c>
      <c r="F2067" t="s">
        <v>36</v>
      </c>
      <c r="G2067" t="s">
        <v>54</v>
      </c>
      <c r="H2067" s="1">
        <v>45248.08935185185</v>
      </c>
      <c r="I2067" s="1">
        <v>45249.08935185185</v>
      </c>
      <c r="J2067" s="1">
        <v>45248.090740740743</v>
      </c>
      <c r="K2067" s="2">
        <v>45248.090158831015</v>
      </c>
      <c r="L2067" t="s">
        <v>28</v>
      </c>
      <c r="M2067" s="2">
        <v>45248.13443701389</v>
      </c>
      <c r="N2067" t="s">
        <v>28</v>
      </c>
      <c r="O2067" s="2">
        <v>45250.953857395834</v>
      </c>
      <c r="P2067">
        <v>60</v>
      </c>
      <c r="Q2067">
        <v>1</v>
      </c>
      <c r="R2067" t="s">
        <v>39</v>
      </c>
      <c r="S2067" t="s">
        <v>40</v>
      </c>
      <c r="T2067" t="s">
        <v>51</v>
      </c>
      <c r="U2067">
        <v>39.673369999999998</v>
      </c>
      <c r="V2067">
        <v>-4.7677259999999997</v>
      </c>
      <c r="W2067" t="str">
        <f t="shared" si="225"/>
        <v>ok</v>
      </c>
      <c r="X2067" t="str">
        <f t="shared" si="231"/>
        <v>ok</v>
      </c>
      <c r="Y2067" t="str">
        <f t="shared" si="226"/>
        <v>ok</v>
      </c>
      <c r="Z2067" t="str">
        <f t="shared" si="227"/>
        <v>ok</v>
      </c>
      <c r="AA2067" s="4" t="str">
        <f t="shared" si="228"/>
        <v>ok</v>
      </c>
      <c r="AB2067" s="4" t="str">
        <f t="shared" si="229"/>
        <v>ok</v>
      </c>
      <c r="AC2067" s="6">
        <f t="shared" si="230"/>
        <v>1.0820438889786601</v>
      </c>
    </row>
    <row r="2068" spans="1:29" x14ac:dyDescent="0.3">
      <c r="A2068" t="s">
        <v>22</v>
      </c>
      <c r="B2068">
        <v>3629</v>
      </c>
      <c r="C2068" t="s">
        <v>23</v>
      </c>
      <c r="D2068" t="s">
        <v>43</v>
      </c>
      <c r="E2068" t="s">
        <v>44</v>
      </c>
      <c r="F2068" t="s">
        <v>26</v>
      </c>
      <c r="G2068" t="s">
        <v>45</v>
      </c>
      <c r="H2068" s="1">
        <v>45248.46979166667</v>
      </c>
      <c r="I2068" s="1">
        <v>45249.46979166667</v>
      </c>
      <c r="J2068" s="1">
        <v>45248.471180555556</v>
      </c>
      <c r="K2068" s="2">
        <v>45248.469804409724</v>
      </c>
      <c r="L2068" t="s">
        <v>28</v>
      </c>
      <c r="M2068" s="2">
        <v>45248.546557615744</v>
      </c>
      <c r="N2068" t="s">
        <v>28</v>
      </c>
      <c r="O2068" s="2">
        <v>45249.839034907411</v>
      </c>
      <c r="P2068">
        <v>5</v>
      </c>
      <c r="Q2068">
        <v>2</v>
      </c>
      <c r="R2068" t="s">
        <v>39</v>
      </c>
      <c r="S2068" t="s">
        <v>30</v>
      </c>
      <c r="T2068" t="s">
        <v>63</v>
      </c>
      <c r="U2068">
        <v>55.378051999999997</v>
      </c>
      <c r="V2068">
        <v>-3.4359730000000002</v>
      </c>
      <c r="W2068" t="str">
        <f t="shared" si="225"/>
        <v>ok</v>
      </c>
      <c r="X2068" t="str">
        <f t="shared" si="231"/>
        <v>ok</v>
      </c>
      <c r="Y2068" t="str">
        <f t="shared" si="226"/>
        <v>ok</v>
      </c>
      <c r="Z2068" t="str">
        <f t="shared" si="227"/>
        <v>ok</v>
      </c>
      <c r="AA2068" s="4" t="str">
        <f t="shared" si="228"/>
        <v>ok</v>
      </c>
      <c r="AB2068" s="4" t="str">
        <f t="shared" si="229"/>
        <v>ok</v>
      </c>
      <c r="AC2068" s="6">
        <f t="shared" si="230"/>
        <v>1.8423827777733095</v>
      </c>
    </row>
    <row r="2069" spans="1:29" x14ac:dyDescent="0.3">
      <c r="A2069" t="s">
        <v>42</v>
      </c>
      <c r="B2069">
        <v>3630</v>
      </c>
      <c r="C2069" t="s">
        <v>47</v>
      </c>
      <c r="D2069" t="s">
        <v>24</v>
      </c>
      <c r="E2069" t="s">
        <v>44</v>
      </c>
      <c r="F2069" t="s">
        <v>26</v>
      </c>
      <c r="G2069" t="s">
        <v>27</v>
      </c>
      <c r="H2069" s="1">
        <v>45248.849629629629</v>
      </c>
      <c r="I2069" s="1">
        <v>45250.849629629629</v>
      </c>
      <c r="J2069" s="1">
        <v>45248.891296296293</v>
      </c>
      <c r="K2069" s="2">
        <v>45248.862257743058</v>
      </c>
      <c r="L2069" t="s">
        <v>28</v>
      </c>
      <c r="M2069" s="2">
        <v>45249.676419074072</v>
      </c>
      <c r="N2069" t="s">
        <v>28</v>
      </c>
      <c r="P2069">
        <v>6</v>
      </c>
      <c r="R2069" t="s">
        <v>50</v>
      </c>
      <c r="S2069" t="s">
        <v>30</v>
      </c>
      <c r="T2069" t="s">
        <v>65</v>
      </c>
      <c r="U2069">
        <v>46.149166399999999</v>
      </c>
      <c r="V2069">
        <v>14.9860106</v>
      </c>
      <c r="W2069" t="str">
        <f t="shared" si="225"/>
        <v>ok</v>
      </c>
      <c r="X2069" t="str">
        <f t="shared" si="231"/>
        <v>ok</v>
      </c>
      <c r="Y2069" t="str">
        <f t="shared" si="226"/>
        <v>ok</v>
      </c>
      <c r="Z2069" t="str">
        <f t="shared" si="227"/>
        <v>ok</v>
      </c>
      <c r="AA2069" s="4" t="str">
        <f t="shared" si="228"/>
        <v>ok</v>
      </c>
      <c r="AB2069" s="4" t="str">
        <f t="shared" si="229"/>
        <v>ok</v>
      </c>
      <c r="AC2069" s="6">
        <f t="shared" si="230"/>
        <v>19.842946666642092</v>
      </c>
    </row>
    <row r="2070" spans="1:29" x14ac:dyDescent="0.3">
      <c r="A2070" t="s">
        <v>42</v>
      </c>
      <c r="B2070">
        <v>3631</v>
      </c>
      <c r="C2070" t="s">
        <v>23</v>
      </c>
      <c r="D2070" t="s">
        <v>34</v>
      </c>
      <c r="E2070" t="s">
        <v>35</v>
      </c>
      <c r="F2070" t="s">
        <v>26</v>
      </c>
      <c r="G2070" t="s">
        <v>49</v>
      </c>
      <c r="H2070" s="1">
        <v>45249.835555555554</v>
      </c>
      <c r="I2070" s="1">
        <v>45251.835555555554</v>
      </c>
      <c r="J2070" s="1">
        <v>45249.836944444447</v>
      </c>
      <c r="K2070" s="2">
        <v>45249.836330520833</v>
      </c>
      <c r="L2070" t="s">
        <v>28</v>
      </c>
      <c r="M2070" s="2">
        <v>45250.08239546296</v>
      </c>
      <c r="N2070" t="s">
        <v>28</v>
      </c>
      <c r="P2070">
        <v>4</v>
      </c>
      <c r="R2070" t="s">
        <v>50</v>
      </c>
      <c r="S2070" t="s">
        <v>30</v>
      </c>
      <c r="T2070" t="s">
        <v>51</v>
      </c>
      <c r="U2070">
        <v>39.673369999999998</v>
      </c>
      <c r="V2070">
        <v>-4.7677259999999997</v>
      </c>
      <c r="W2070" t="str">
        <f t="shared" si="225"/>
        <v>ok</v>
      </c>
      <c r="X2070" t="str">
        <f t="shared" si="231"/>
        <v>ok</v>
      </c>
      <c r="Y2070" t="str">
        <f t="shared" si="226"/>
        <v>ok</v>
      </c>
      <c r="Z2070" t="str">
        <f t="shared" si="227"/>
        <v>ok</v>
      </c>
      <c r="AA2070" s="4" t="str">
        <f t="shared" si="228"/>
        <v>ok</v>
      </c>
      <c r="AB2070" s="4" t="str">
        <f t="shared" si="229"/>
        <v>ok</v>
      </c>
      <c r="AC2070" s="6">
        <f t="shared" si="230"/>
        <v>5.9241577777429484</v>
      </c>
    </row>
    <row r="2071" spans="1:29" x14ac:dyDescent="0.3">
      <c r="A2071" t="s">
        <v>22</v>
      </c>
      <c r="B2071">
        <v>3632</v>
      </c>
      <c r="C2071" t="s">
        <v>23</v>
      </c>
      <c r="D2071" t="s">
        <v>34</v>
      </c>
      <c r="E2071" t="s">
        <v>25</v>
      </c>
      <c r="F2071" t="s">
        <v>26</v>
      </c>
      <c r="G2071" t="s">
        <v>60</v>
      </c>
      <c r="H2071" s="1">
        <v>45249.079004629632</v>
      </c>
      <c r="I2071" s="1">
        <v>45251.079004629632</v>
      </c>
      <c r="J2071" s="1">
        <v>45249.080393518518</v>
      </c>
      <c r="K2071" s="2">
        <v>45249.079587719905</v>
      </c>
      <c r="L2071" t="s">
        <v>28</v>
      </c>
      <c r="M2071" s="2">
        <v>45250.891567916668</v>
      </c>
      <c r="N2071" t="s">
        <v>28</v>
      </c>
      <c r="O2071" s="2">
        <v>45253.577070567131</v>
      </c>
      <c r="P2071">
        <v>1</v>
      </c>
      <c r="Q2071">
        <v>4</v>
      </c>
      <c r="R2071" t="s">
        <v>50</v>
      </c>
      <c r="S2071" t="s">
        <v>30</v>
      </c>
      <c r="T2071" t="s">
        <v>65</v>
      </c>
      <c r="U2071">
        <v>46.149166399999999</v>
      </c>
      <c r="V2071">
        <v>14.9860106</v>
      </c>
      <c r="W2071" t="str">
        <f t="shared" si="225"/>
        <v>ok</v>
      </c>
      <c r="X2071" t="str">
        <f t="shared" si="231"/>
        <v>ok</v>
      </c>
      <c r="Y2071" t="str">
        <f t="shared" si="226"/>
        <v>ok</v>
      </c>
      <c r="Z2071" t="str">
        <f t="shared" si="227"/>
        <v>ok</v>
      </c>
      <c r="AA2071" s="4" t="str">
        <f t="shared" si="228"/>
        <v>ok</v>
      </c>
      <c r="AB2071" s="4" t="str">
        <f t="shared" si="229"/>
        <v>ok</v>
      </c>
      <c r="AC2071" s="6">
        <f t="shared" si="230"/>
        <v>43.501518888864666</v>
      </c>
    </row>
    <row r="2072" spans="1:29" x14ac:dyDescent="0.3">
      <c r="A2072" t="s">
        <v>42</v>
      </c>
      <c r="B2072">
        <v>3633</v>
      </c>
      <c r="C2072" t="s">
        <v>23</v>
      </c>
      <c r="D2072" t="s">
        <v>24</v>
      </c>
      <c r="E2072" t="s">
        <v>48</v>
      </c>
      <c r="F2072" t="s">
        <v>26</v>
      </c>
      <c r="G2072" t="s">
        <v>49</v>
      </c>
      <c r="H2072" s="1">
        <v>45249.046168981484</v>
      </c>
      <c r="I2072" s="1">
        <v>45251.046168981484</v>
      </c>
      <c r="J2072" s="1">
        <v>45249.087835648148</v>
      </c>
      <c r="K2072" s="2">
        <v>45249.059973761578</v>
      </c>
      <c r="L2072" t="s">
        <v>28</v>
      </c>
      <c r="M2072" s="2">
        <v>45251.093386400462</v>
      </c>
      <c r="N2072" t="s">
        <v>38</v>
      </c>
      <c r="P2072">
        <v>2</v>
      </c>
      <c r="R2072" t="s">
        <v>55</v>
      </c>
      <c r="S2072" t="s">
        <v>30</v>
      </c>
      <c r="T2072" t="s">
        <v>51</v>
      </c>
      <c r="U2072">
        <v>39.673369999999998</v>
      </c>
      <c r="V2072">
        <v>-4.7677259999999997</v>
      </c>
      <c r="W2072" t="str">
        <f t="shared" si="225"/>
        <v>ok</v>
      </c>
      <c r="X2072" t="str">
        <f t="shared" si="231"/>
        <v>ok</v>
      </c>
      <c r="Y2072" t="str">
        <f t="shared" si="226"/>
        <v>ok</v>
      </c>
      <c r="Z2072" t="str">
        <f t="shared" si="227"/>
        <v>ok</v>
      </c>
      <c r="AA2072" s="4" t="str">
        <f t="shared" si="228"/>
        <v>ok</v>
      </c>
      <c r="AB2072" s="4" t="str">
        <f t="shared" si="229"/>
        <v>ok</v>
      </c>
      <c r="AC2072" s="6">
        <f t="shared" si="230"/>
        <v>49.133218055474572</v>
      </c>
    </row>
    <row r="2073" spans="1:29" x14ac:dyDescent="0.3">
      <c r="A2073" t="s">
        <v>42</v>
      </c>
      <c r="B2073">
        <v>3634</v>
      </c>
      <c r="C2073" t="s">
        <v>23</v>
      </c>
      <c r="D2073" t="s">
        <v>24</v>
      </c>
      <c r="E2073" t="s">
        <v>25</v>
      </c>
      <c r="F2073" t="s">
        <v>26</v>
      </c>
      <c r="G2073" t="s">
        <v>52</v>
      </c>
      <c r="H2073" s="1">
        <v>45249.30127314815</v>
      </c>
      <c r="I2073" s="1">
        <v>45251.30127314815</v>
      </c>
      <c r="J2073" s="1">
        <v>45249.342939814815</v>
      </c>
      <c r="K2073" s="2">
        <v>45249.33476834491</v>
      </c>
      <c r="L2073" t="s">
        <v>28</v>
      </c>
      <c r="M2073" s="2">
        <v>45254.949259108798</v>
      </c>
      <c r="N2073" t="s">
        <v>38</v>
      </c>
      <c r="P2073">
        <v>9</v>
      </c>
      <c r="R2073" t="s">
        <v>29</v>
      </c>
      <c r="S2073" t="s">
        <v>30</v>
      </c>
      <c r="T2073" t="s">
        <v>57</v>
      </c>
      <c r="U2073">
        <v>51.165691000000002</v>
      </c>
      <c r="V2073">
        <v>10.451525999999999</v>
      </c>
      <c r="W2073" t="str">
        <f t="shared" si="225"/>
        <v>ok</v>
      </c>
      <c r="X2073" t="str">
        <f t="shared" si="231"/>
        <v>ok</v>
      </c>
      <c r="Y2073" t="str">
        <f t="shared" si="226"/>
        <v>ok</v>
      </c>
      <c r="Z2073" t="str">
        <f t="shared" si="227"/>
        <v>ok</v>
      </c>
      <c r="AA2073" s="4" t="str">
        <f t="shared" si="228"/>
        <v>ok</v>
      </c>
      <c r="AB2073" s="4" t="str">
        <f t="shared" si="229"/>
        <v>ok</v>
      </c>
      <c r="AC2073" s="6">
        <f t="shared" si="230"/>
        <v>135.55166305555031</v>
      </c>
    </row>
    <row r="2074" spans="1:29" x14ac:dyDescent="0.3">
      <c r="A2074" t="s">
        <v>22</v>
      </c>
      <c r="B2074">
        <v>3641</v>
      </c>
      <c r="C2074" t="s">
        <v>23</v>
      </c>
      <c r="D2074" t="s">
        <v>34</v>
      </c>
      <c r="E2074" t="s">
        <v>48</v>
      </c>
      <c r="F2074" t="s">
        <v>26</v>
      </c>
      <c r="G2074" t="s">
        <v>45</v>
      </c>
      <c r="H2074" s="1">
        <v>45249.334166666667</v>
      </c>
      <c r="I2074" s="1">
        <v>45251.334166666667</v>
      </c>
      <c r="J2074" s="1">
        <v>45249.335555555554</v>
      </c>
      <c r="K2074" s="2">
        <v>45249.334234050926</v>
      </c>
      <c r="L2074" t="s">
        <v>28</v>
      </c>
      <c r="M2074" s="2">
        <v>45252.92176701389</v>
      </c>
      <c r="N2074" t="s">
        <v>38</v>
      </c>
      <c r="O2074" s="2">
        <v>45253.778909189816</v>
      </c>
      <c r="P2074">
        <v>7</v>
      </c>
      <c r="Q2074">
        <v>2</v>
      </c>
      <c r="R2074" t="s">
        <v>39</v>
      </c>
      <c r="S2074" t="s">
        <v>30</v>
      </c>
      <c r="T2074" t="s">
        <v>41</v>
      </c>
      <c r="U2074">
        <v>43.036776000000003</v>
      </c>
      <c r="V2074">
        <v>12.678565000000001</v>
      </c>
      <c r="W2074" t="str">
        <f t="shared" si="225"/>
        <v>ok</v>
      </c>
      <c r="X2074" t="str">
        <f t="shared" si="231"/>
        <v>ok</v>
      </c>
      <c r="Y2074" t="str">
        <f t="shared" si="226"/>
        <v>ok</v>
      </c>
      <c r="Z2074" t="str">
        <f t="shared" si="227"/>
        <v>ok</v>
      </c>
      <c r="AA2074" s="4" t="str">
        <f t="shared" si="228"/>
        <v>ok</v>
      </c>
      <c r="AB2074" s="4" t="str">
        <f t="shared" si="229"/>
        <v>ok</v>
      </c>
      <c r="AC2074" s="6">
        <f t="shared" si="230"/>
        <v>86.102408333332278</v>
      </c>
    </row>
    <row r="2075" spans="1:29" x14ac:dyDescent="0.3">
      <c r="A2075" t="s">
        <v>22</v>
      </c>
      <c r="B2075">
        <v>3642</v>
      </c>
      <c r="C2075" t="s">
        <v>47</v>
      </c>
      <c r="D2075" t="s">
        <v>24</v>
      </c>
      <c r="E2075" t="s">
        <v>44</v>
      </c>
      <c r="F2075" t="s">
        <v>26</v>
      </c>
      <c r="G2075" t="s">
        <v>60</v>
      </c>
      <c r="H2075" s="1">
        <v>45250.909942129627</v>
      </c>
      <c r="I2075" s="1">
        <v>45252.909942129627</v>
      </c>
      <c r="J2075" s="1">
        <v>45250.951608796298</v>
      </c>
      <c r="K2075" s="2">
        <v>45250.933501504631</v>
      </c>
      <c r="L2075" t="s">
        <v>28</v>
      </c>
      <c r="M2075" s="2">
        <v>45252.057287858799</v>
      </c>
      <c r="N2075" t="s">
        <v>28</v>
      </c>
      <c r="O2075" s="2">
        <v>45252.312947951388</v>
      </c>
      <c r="P2075">
        <v>10</v>
      </c>
      <c r="Q2075">
        <v>4</v>
      </c>
      <c r="R2075" t="s">
        <v>39</v>
      </c>
      <c r="S2075" t="s">
        <v>30</v>
      </c>
      <c r="T2075" t="s">
        <v>57</v>
      </c>
      <c r="U2075">
        <v>51.165691000000002</v>
      </c>
      <c r="V2075">
        <v>10.451525999999999</v>
      </c>
      <c r="W2075" t="str">
        <f t="shared" si="225"/>
        <v>ok</v>
      </c>
      <c r="X2075" t="str">
        <f t="shared" si="231"/>
        <v>ok</v>
      </c>
      <c r="Y2075" t="str">
        <f t="shared" si="226"/>
        <v>ok</v>
      </c>
      <c r="Z2075" t="str">
        <f t="shared" si="227"/>
        <v>ok</v>
      </c>
      <c r="AA2075" s="4" t="str">
        <f t="shared" si="228"/>
        <v>ok</v>
      </c>
      <c r="AB2075" s="4" t="str">
        <f t="shared" si="229"/>
        <v>ok</v>
      </c>
      <c r="AC2075" s="6">
        <f t="shared" si="230"/>
        <v>27.536297500133514</v>
      </c>
    </row>
    <row r="2076" spans="1:29" x14ac:dyDescent="0.3">
      <c r="A2076" t="s">
        <v>22</v>
      </c>
      <c r="B2076">
        <v>3643</v>
      </c>
      <c r="C2076" t="s">
        <v>23</v>
      </c>
      <c r="D2076" t="s">
        <v>43</v>
      </c>
      <c r="E2076" t="s">
        <v>48</v>
      </c>
      <c r="F2076" t="s">
        <v>26</v>
      </c>
      <c r="G2076" t="s">
        <v>45</v>
      </c>
      <c r="H2076" s="1">
        <v>45250.651898148149</v>
      </c>
      <c r="I2076" s="1">
        <v>45251.651898148149</v>
      </c>
      <c r="J2076" s="1">
        <v>45250.653287037036</v>
      </c>
      <c r="K2076" s="2">
        <v>45250.652002407405</v>
      </c>
      <c r="L2076" t="s">
        <v>28</v>
      </c>
      <c r="M2076" s="2">
        <v>45251.559938958337</v>
      </c>
      <c r="N2076" t="s">
        <v>28</v>
      </c>
      <c r="O2076" s="2">
        <v>45253.050496469907</v>
      </c>
      <c r="P2076">
        <v>2</v>
      </c>
      <c r="Q2076">
        <v>3</v>
      </c>
      <c r="R2076" t="s">
        <v>39</v>
      </c>
      <c r="S2076" t="s">
        <v>30</v>
      </c>
      <c r="T2076" t="s">
        <v>65</v>
      </c>
      <c r="U2076">
        <v>46.149166399999999</v>
      </c>
      <c r="V2076">
        <v>14.9860106</v>
      </c>
      <c r="W2076" t="str">
        <f t="shared" si="225"/>
        <v>ok</v>
      </c>
      <c r="X2076" t="str">
        <f t="shared" si="231"/>
        <v>ok</v>
      </c>
      <c r="Y2076" t="str">
        <f t="shared" si="226"/>
        <v>ok</v>
      </c>
      <c r="Z2076" t="str">
        <f t="shared" si="227"/>
        <v>ok</v>
      </c>
      <c r="AA2076" s="4" t="str">
        <f t="shared" si="228"/>
        <v>ok</v>
      </c>
      <c r="AB2076" s="4" t="str">
        <f t="shared" si="229"/>
        <v>ok</v>
      </c>
      <c r="AC2076" s="6">
        <f t="shared" si="230"/>
        <v>21.79297944449354</v>
      </c>
    </row>
    <row r="2077" spans="1:29" x14ac:dyDescent="0.3">
      <c r="A2077" t="s">
        <v>32</v>
      </c>
      <c r="B2077">
        <v>3644</v>
      </c>
      <c r="C2077" t="s">
        <v>33</v>
      </c>
      <c r="D2077" t="s">
        <v>34</v>
      </c>
      <c r="E2077" t="s">
        <v>35</v>
      </c>
      <c r="F2077" t="s">
        <v>26</v>
      </c>
      <c r="G2077" t="s">
        <v>45</v>
      </c>
      <c r="H2077" s="1">
        <v>45250.169340277775</v>
      </c>
      <c r="I2077" s="1">
        <v>45252.169340277775</v>
      </c>
      <c r="J2077" s="1">
        <v>45250.170729166668</v>
      </c>
      <c r="K2077" s="2">
        <v>45250.169719074074</v>
      </c>
      <c r="L2077" t="s">
        <v>28</v>
      </c>
      <c r="N2077" t="s">
        <v>38</v>
      </c>
      <c r="P2077">
        <v>3</v>
      </c>
      <c r="R2077" t="s">
        <v>50</v>
      </c>
      <c r="S2077" t="s">
        <v>30</v>
      </c>
      <c r="T2077" t="s">
        <v>41</v>
      </c>
      <c r="U2077">
        <v>43.036776000000003</v>
      </c>
      <c r="V2077">
        <v>12.678565000000001</v>
      </c>
      <c r="W2077" t="str">
        <f t="shared" si="225"/>
        <v>ok</v>
      </c>
      <c r="X2077" t="str">
        <f t="shared" si="231"/>
        <v>ok</v>
      </c>
      <c r="Y2077" t="str">
        <f t="shared" si="226"/>
        <v>ok</v>
      </c>
      <c r="Z2077" t="str">
        <f t="shared" si="227"/>
        <v>ok</v>
      </c>
      <c r="AA2077" s="4" t="str">
        <f t="shared" si="228"/>
        <v>ok</v>
      </c>
      <c r="AB2077" s="4" t="str">
        <f t="shared" si="229"/>
        <v>no resolution</v>
      </c>
      <c r="AC2077" s="6" t="str">
        <f t="shared" si="230"/>
        <v/>
      </c>
    </row>
    <row r="2078" spans="1:29" x14ac:dyDescent="0.3">
      <c r="A2078" t="s">
        <v>22</v>
      </c>
      <c r="B2078">
        <v>3646</v>
      </c>
      <c r="C2078" t="s">
        <v>33</v>
      </c>
      <c r="D2078" t="s">
        <v>24</v>
      </c>
      <c r="E2078" t="s">
        <v>25</v>
      </c>
      <c r="F2078" t="s">
        <v>26</v>
      </c>
      <c r="G2078" t="s">
        <v>45</v>
      </c>
      <c r="H2078" s="1">
        <v>45250.367349537039</v>
      </c>
      <c r="I2078" s="1">
        <v>45252.367349537039</v>
      </c>
      <c r="J2078" s="1">
        <v>45250.409016203703</v>
      </c>
      <c r="K2078" s="2">
        <v>45250.375351493058</v>
      </c>
      <c r="L2078" t="s">
        <v>28</v>
      </c>
      <c r="M2078" s="2">
        <v>45251.978248749998</v>
      </c>
      <c r="N2078" t="s">
        <v>28</v>
      </c>
      <c r="O2078" s="2">
        <v>45252.514188877314</v>
      </c>
      <c r="P2078">
        <v>2</v>
      </c>
      <c r="Q2078">
        <v>5</v>
      </c>
      <c r="R2078" t="s">
        <v>29</v>
      </c>
      <c r="S2078" t="s">
        <v>30</v>
      </c>
      <c r="T2078" t="s">
        <v>65</v>
      </c>
      <c r="U2078">
        <v>46.149166399999999</v>
      </c>
      <c r="V2078">
        <v>14.9860106</v>
      </c>
      <c r="W2078" t="str">
        <f t="shared" si="225"/>
        <v>ok</v>
      </c>
      <c r="X2078" t="str">
        <f t="shared" si="231"/>
        <v>ok</v>
      </c>
      <c r="Y2078" t="str">
        <f t="shared" si="226"/>
        <v>ok</v>
      </c>
      <c r="Z2078" t="str">
        <f t="shared" si="227"/>
        <v>ok</v>
      </c>
      <c r="AA2078" s="4" t="str">
        <f t="shared" si="228"/>
        <v>ok</v>
      </c>
      <c r="AB2078" s="4" t="str">
        <f t="shared" si="229"/>
        <v>ok</v>
      </c>
      <c r="AC2078" s="6">
        <f t="shared" si="230"/>
        <v>38.661581111024134</v>
      </c>
    </row>
    <row r="2079" spans="1:29" x14ac:dyDescent="0.3">
      <c r="A2079" t="s">
        <v>22</v>
      </c>
      <c r="B2079">
        <v>3647</v>
      </c>
      <c r="C2079" t="s">
        <v>23</v>
      </c>
      <c r="D2079" t="s">
        <v>24</v>
      </c>
      <c r="E2079" t="s">
        <v>35</v>
      </c>
      <c r="F2079" t="s">
        <v>36</v>
      </c>
      <c r="G2079" t="s">
        <v>54</v>
      </c>
      <c r="H2079" s="1">
        <v>45250.667141203703</v>
      </c>
      <c r="I2079" s="1">
        <v>45252.667141203703</v>
      </c>
      <c r="J2079" s="1">
        <v>45250.708807870367</v>
      </c>
      <c r="K2079" s="2">
        <v>45250.677937256944</v>
      </c>
      <c r="L2079" t="s">
        <v>28</v>
      </c>
      <c r="M2079" s="2">
        <v>45252.04785033565</v>
      </c>
      <c r="N2079" t="s">
        <v>28</v>
      </c>
      <c r="O2079" s="2">
        <v>45254.882076493057</v>
      </c>
      <c r="P2079">
        <v>3</v>
      </c>
      <c r="Q2079">
        <v>4</v>
      </c>
      <c r="R2079" t="s">
        <v>50</v>
      </c>
      <c r="S2079" t="s">
        <v>40</v>
      </c>
      <c r="T2079" t="s">
        <v>41</v>
      </c>
      <c r="U2079">
        <v>43.036776000000003</v>
      </c>
      <c r="V2079">
        <v>12.678565000000001</v>
      </c>
      <c r="W2079" t="str">
        <f t="shared" si="225"/>
        <v>ok</v>
      </c>
      <c r="X2079" t="str">
        <f t="shared" si="231"/>
        <v>ok</v>
      </c>
      <c r="Y2079" t="str">
        <f t="shared" si="226"/>
        <v>ok</v>
      </c>
      <c r="Z2079" t="str">
        <f t="shared" si="227"/>
        <v>ok</v>
      </c>
      <c r="AA2079" s="4" t="str">
        <f t="shared" si="228"/>
        <v>ok</v>
      </c>
      <c r="AB2079" s="4" t="str">
        <f t="shared" si="229"/>
        <v>ok</v>
      </c>
      <c r="AC2079" s="6">
        <f t="shared" si="230"/>
        <v>33.137019166722894</v>
      </c>
    </row>
    <row r="2080" spans="1:29" x14ac:dyDescent="0.3">
      <c r="A2080" t="s">
        <v>42</v>
      </c>
      <c r="B2080">
        <v>3648</v>
      </c>
      <c r="C2080" t="s">
        <v>33</v>
      </c>
      <c r="D2080" t="s">
        <v>43</v>
      </c>
      <c r="E2080" t="s">
        <v>35</v>
      </c>
      <c r="F2080" t="s">
        <v>26</v>
      </c>
      <c r="G2080" t="s">
        <v>52</v>
      </c>
      <c r="H2080" s="1">
        <v>45250.250127314815</v>
      </c>
      <c r="I2080" s="1">
        <v>45251.250127314815</v>
      </c>
      <c r="J2080" s="1">
        <v>45250.251516203702</v>
      </c>
      <c r="K2080" s="2">
        <v>45250.250536006941</v>
      </c>
      <c r="L2080" t="s">
        <v>28</v>
      </c>
      <c r="M2080" s="2">
        <v>45250.439589409725</v>
      </c>
      <c r="N2080" t="s">
        <v>28</v>
      </c>
      <c r="P2080">
        <v>8</v>
      </c>
      <c r="R2080" t="s">
        <v>55</v>
      </c>
      <c r="S2080" t="s">
        <v>30</v>
      </c>
      <c r="T2080" t="s">
        <v>57</v>
      </c>
      <c r="U2080">
        <v>51.165691000000002</v>
      </c>
      <c r="V2080">
        <v>10.451525999999999</v>
      </c>
      <c r="W2080" t="str">
        <f t="shared" si="225"/>
        <v>ok</v>
      </c>
      <c r="X2080" t="str">
        <f t="shared" si="231"/>
        <v>ok</v>
      </c>
      <c r="Y2080" t="str">
        <f t="shared" si="226"/>
        <v>ok</v>
      </c>
      <c r="Z2080" t="str">
        <f t="shared" si="227"/>
        <v>ok</v>
      </c>
      <c r="AA2080" s="4" t="str">
        <f t="shared" si="228"/>
        <v>ok</v>
      </c>
      <c r="AB2080" s="4" t="str">
        <f t="shared" si="229"/>
        <v>ok</v>
      </c>
      <c r="AC2080" s="6">
        <f t="shared" si="230"/>
        <v>4.5470902778324671</v>
      </c>
    </row>
    <row r="2081" spans="1:29" x14ac:dyDescent="0.3">
      <c r="A2081" t="s">
        <v>32</v>
      </c>
      <c r="B2081">
        <v>3649</v>
      </c>
      <c r="C2081" t="s">
        <v>47</v>
      </c>
      <c r="D2081" t="s">
        <v>24</v>
      </c>
      <c r="E2081" t="s">
        <v>59</v>
      </c>
      <c r="F2081" t="s">
        <v>26</v>
      </c>
      <c r="G2081" t="s">
        <v>49</v>
      </c>
      <c r="H2081" s="1">
        <v>45250.793715277781</v>
      </c>
      <c r="I2081" s="1">
        <v>45252.793715277781</v>
      </c>
      <c r="J2081" s="1">
        <v>45250.835381944446</v>
      </c>
      <c r="K2081" s="2">
        <v>45250.796617418979</v>
      </c>
      <c r="L2081" t="s">
        <v>28</v>
      </c>
      <c r="N2081" t="s">
        <v>38</v>
      </c>
      <c r="P2081">
        <v>1</v>
      </c>
      <c r="R2081" t="s">
        <v>50</v>
      </c>
      <c r="S2081" t="s">
        <v>30</v>
      </c>
      <c r="T2081" t="s">
        <v>66</v>
      </c>
      <c r="U2081">
        <v>48.864716000000001</v>
      </c>
      <c r="V2081">
        <v>2.3490139999999999</v>
      </c>
      <c r="W2081" t="str">
        <f t="shared" si="225"/>
        <v>ok</v>
      </c>
      <c r="X2081" t="str">
        <f t="shared" si="231"/>
        <v>ok</v>
      </c>
      <c r="Y2081" t="str">
        <f t="shared" si="226"/>
        <v>ok</v>
      </c>
      <c r="Z2081" t="str">
        <f t="shared" si="227"/>
        <v>ok</v>
      </c>
      <c r="AA2081" s="4" t="str">
        <f t="shared" si="228"/>
        <v>ok</v>
      </c>
      <c r="AB2081" s="4" t="str">
        <f t="shared" si="229"/>
        <v>no resolution</v>
      </c>
      <c r="AC2081" s="6" t="str">
        <f t="shared" si="230"/>
        <v/>
      </c>
    </row>
    <row r="2082" spans="1:29" x14ac:dyDescent="0.3">
      <c r="A2082" t="s">
        <v>22</v>
      </c>
      <c r="B2082">
        <v>3650</v>
      </c>
      <c r="C2082" t="s">
        <v>47</v>
      </c>
      <c r="D2082" t="s">
        <v>24</v>
      </c>
      <c r="E2082" t="s">
        <v>25</v>
      </c>
      <c r="F2082" t="s">
        <v>26</v>
      </c>
      <c r="G2082" t="s">
        <v>49</v>
      </c>
      <c r="H2082" s="1">
        <v>45251.316655092596</v>
      </c>
      <c r="I2082" s="1">
        <v>45253.316655092596</v>
      </c>
      <c r="J2082" s="1">
        <v>45251.35832175926</v>
      </c>
      <c r="K2082" s="2">
        <v>45251.321749513889</v>
      </c>
      <c r="L2082" t="s">
        <v>28</v>
      </c>
      <c r="M2082" s="2">
        <v>45253.08427777778</v>
      </c>
      <c r="N2082" t="s">
        <v>28</v>
      </c>
      <c r="O2082" s="2">
        <v>45255.547412418979</v>
      </c>
      <c r="P2082">
        <v>3</v>
      </c>
      <c r="Q2082">
        <v>5</v>
      </c>
      <c r="R2082" t="s">
        <v>39</v>
      </c>
      <c r="S2082" t="s">
        <v>30</v>
      </c>
      <c r="T2082" t="s">
        <v>57</v>
      </c>
      <c r="U2082">
        <v>51.165691000000002</v>
      </c>
      <c r="V2082">
        <v>10.451525999999999</v>
      </c>
      <c r="W2082" t="str">
        <f t="shared" si="225"/>
        <v>ok</v>
      </c>
      <c r="X2082" t="str">
        <f t="shared" si="231"/>
        <v>ok</v>
      </c>
      <c r="Y2082" t="str">
        <f t="shared" si="226"/>
        <v>ok</v>
      </c>
      <c r="Z2082" t="str">
        <f t="shared" si="227"/>
        <v>ok</v>
      </c>
      <c r="AA2082" s="4" t="str">
        <f t="shared" si="228"/>
        <v>ok</v>
      </c>
      <c r="AB2082" s="4" t="str">
        <f t="shared" si="229"/>
        <v>ok</v>
      </c>
      <c r="AC2082" s="6">
        <f t="shared" si="230"/>
        <v>42.422944444406312</v>
      </c>
    </row>
    <row r="2083" spans="1:29" x14ac:dyDescent="0.3">
      <c r="A2083" t="s">
        <v>22</v>
      </c>
      <c r="B2083">
        <v>3651</v>
      </c>
      <c r="C2083" t="s">
        <v>23</v>
      </c>
      <c r="D2083" t="s">
        <v>24</v>
      </c>
      <c r="E2083" t="s">
        <v>59</v>
      </c>
      <c r="F2083" t="s">
        <v>36</v>
      </c>
      <c r="G2083" t="s">
        <v>64</v>
      </c>
      <c r="H2083" s="1">
        <v>45251.002152777779</v>
      </c>
      <c r="I2083" s="1">
        <v>45253.002152777779</v>
      </c>
      <c r="J2083" s="1">
        <v>45251.043819444443</v>
      </c>
      <c r="K2083" s="2">
        <v>45251.037837546297</v>
      </c>
      <c r="L2083" t="s">
        <v>28</v>
      </c>
      <c r="M2083" s="2">
        <v>45251.569662268521</v>
      </c>
      <c r="N2083" t="s">
        <v>28</v>
      </c>
      <c r="O2083" s="2">
        <v>45253.550896620371</v>
      </c>
      <c r="P2083">
        <v>10</v>
      </c>
      <c r="Q2083">
        <v>4</v>
      </c>
      <c r="R2083" t="s">
        <v>39</v>
      </c>
      <c r="S2083" t="s">
        <v>40</v>
      </c>
      <c r="T2083" t="s">
        <v>31</v>
      </c>
      <c r="U2083">
        <v>53.094023999999997</v>
      </c>
      <c r="V2083">
        <v>-8.0196749999999994</v>
      </c>
      <c r="W2083" t="str">
        <f t="shared" si="225"/>
        <v>ok</v>
      </c>
      <c r="X2083" t="str">
        <f t="shared" si="231"/>
        <v>ok</v>
      </c>
      <c r="Y2083" t="str">
        <f t="shared" si="226"/>
        <v>ok</v>
      </c>
      <c r="Z2083" t="str">
        <f t="shared" si="227"/>
        <v>ok</v>
      </c>
      <c r="AA2083" s="4" t="str">
        <f t="shared" si="228"/>
        <v>ok</v>
      </c>
      <c r="AB2083" s="4" t="str">
        <f t="shared" si="229"/>
        <v>ok</v>
      </c>
      <c r="AC2083" s="6">
        <f t="shared" si="230"/>
        <v>13.620227777806576</v>
      </c>
    </row>
    <row r="2084" spans="1:29" x14ac:dyDescent="0.3">
      <c r="A2084" t="s">
        <v>22</v>
      </c>
      <c r="B2084">
        <v>3652</v>
      </c>
      <c r="C2084" t="s">
        <v>23</v>
      </c>
      <c r="D2084" t="s">
        <v>43</v>
      </c>
      <c r="E2084" t="s">
        <v>25</v>
      </c>
      <c r="F2084" t="s">
        <v>26</v>
      </c>
      <c r="G2084" t="s">
        <v>27</v>
      </c>
      <c r="H2084" s="1">
        <v>45251.95548611111</v>
      </c>
      <c r="I2084" s="1">
        <v>45252.95548611111</v>
      </c>
      <c r="J2084" s="1">
        <v>45251.956875000003</v>
      </c>
      <c r="K2084" s="2">
        <v>45251.956358900461</v>
      </c>
      <c r="L2084" t="s">
        <v>28</v>
      </c>
      <c r="M2084" s="2">
        <v>45256.519952881943</v>
      </c>
      <c r="N2084" t="s">
        <v>38</v>
      </c>
      <c r="O2084" s="2">
        <v>45258.406534270835</v>
      </c>
      <c r="P2084">
        <v>5</v>
      </c>
      <c r="Q2084">
        <v>4</v>
      </c>
      <c r="R2084" t="s">
        <v>29</v>
      </c>
      <c r="S2084" t="s">
        <v>30</v>
      </c>
      <c r="T2084" t="s">
        <v>63</v>
      </c>
      <c r="U2084">
        <v>55.378051999999997</v>
      </c>
      <c r="V2084">
        <v>-3.4359730000000002</v>
      </c>
      <c r="W2084" t="str">
        <f t="shared" si="225"/>
        <v>ok</v>
      </c>
      <c r="X2084" t="str">
        <f t="shared" si="231"/>
        <v>ok</v>
      </c>
      <c r="Y2084" t="str">
        <f t="shared" si="226"/>
        <v>ok</v>
      </c>
      <c r="Z2084" t="str">
        <f t="shared" si="227"/>
        <v>ok</v>
      </c>
      <c r="AA2084" s="4" t="str">
        <f t="shared" si="228"/>
        <v>ok</v>
      </c>
      <c r="AB2084" s="4" t="str">
        <f t="shared" si="229"/>
        <v>ok</v>
      </c>
      <c r="AC2084" s="6">
        <f t="shared" si="230"/>
        <v>109.54720249999082</v>
      </c>
    </row>
    <row r="2085" spans="1:29" x14ac:dyDescent="0.3">
      <c r="A2085" t="s">
        <v>22</v>
      </c>
      <c r="B2085">
        <v>3653</v>
      </c>
      <c r="C2085" t="s">
        <v>47</v>
      </c>
      <c r="D2085" t="s">
        <v>24</v>
      </c>
      <c r="E2085" t="s">
        <v>48</v>
      </c>
      <c r="F2085" t="s">
        <v>26</v>
      </c>
      <c r="G2085" t="s">
        <v>52</v>
      </c>
      <c r="H2085" s="1">
        <v>45251.291041666664</v>
      </c>
      <c r="I2085" s="1">
        <v>45253.291041666664</v>
      </c>
      <c r="J2085" s="1">
        <v>45251.332708333335</v>
      </c>
      <c r="K2085" s="2">
        <v>45251.291419583336</v>
      </c>
      <c r="L2085" t="s">
        <v>28</v>
      </c>
      <c r="M2085" s="2">
        <v>45251.793827766203</v>
      </c>
      <c r="N2085" t="s">
        <v>28</v>
      </c>
      <c r="O2085" s="2">
        <v>45258.681715439816</v>
      </c>
      <c r="P2085">
        <v>2</v>
      </c>
      <c r="Q2085">
        <v>5</v>
      </c>
      <c r="R2085" t="s">
        <v>29</v>
      </c>
      <c r="S2085" t="s">
        <v>30</v>
      </c>
      <c r="T2085" t="s">
        <v>56</v>
      </c>
      <c r="U2085">
        <v>52.536273000000001</v>
      </c>
      <c r="V2085">
        <v>19.050639</v>
      </c>
      <c r="W2085" t="str">
        <f t="shared" si="225"/>
        <v>ok</v>
      </c>
      <c r="X2085" t="str">
        <f t="shared" si="231"/>
        <v>ok</v>
      </c>
      <c r="Y2085" t="str">
        <f t="shared" si="226"/>
        <v>ok</v>
      </c>
      <c r="Z2085" t="str">
        <f t="shared" si="227"/>
        <v>ok</v>
      </c>
      <c r="AA2085" s="4" t="str">
        <f t="shared" si="228"/>
        <v>ok</v>
      </c>
      <c r="AB2085" s="4" t="str">
        <f t="shared" si="229"/>
        <v>ok</v>
      </c>
      <c r="AC2085" s="6">
        <f t="shared" si="230"/>
        <v>12.066866388951894</v>
      </c>
    </row>
    <row r="2086" spans="1:29" x14ac:dyDescent="0.3">
      <c r="A2086" t="s">
        <v>22</v>
      </c>
      <c r="B2086">
        <v>3654</v>
      </c>
      <c r="C2086" t="s">
        <v>47</v>
      </c>
      <c r="D2086" t="s">
        <v>43</v>
      </c>
      <c r="E2086" t="s">
        <v>25</v>
      </c>
      <c r="F2086" t="s">
        <v>36</v>
      </c>
      <c r="G2086" t="s">
        <v>37</v>
      </c>
      <c r="H2086" s="1">
        <v>45251.794016203705</v>
      </c>
      <c r="I2086" s="1">
        <v>45252.794016203705</v>
      </c>
      <c r="J2086" s="1">
        <v>45251.795405092591</v>
      </c>
      <c r="K2086" s="2">
        <v>45251.797614270836</v>
      </c>
      <c r="L2086" t="s">
        <v>38</v>
      </c>
      <c r="M2086" s="2">
        <v>45252.099289606478</v>
      </c>
      <c r="N2086" t="s">
        <v>28</v>
      </c>
      <c r="O2086" s="2">
        <v>45255.14038409722</v>
      </c>
      <c r="P2086">
        <v>2</v>
      </c>
      <c r="Q2086">
        <v>3</v>
      </c>
      <c r="R2086" t="s">
        <v>50</v>
      </c>
      <c r="S2086" t="s">
        <v>40</v>
      </c>
      <c r="T2086" t="s">
        <v>61</v>
      </c>
      <c r="U2086">
        <v>42.724992499999999</v>
      </c>
      <c r="V2086">
        <v>25.483303899999999</v>
      </c>
      <c r="W2086" t="str">
        <f t="shared" si="225"/>
        <v>ok</v>
      </c>
      <c r="X2086" t="str">
        <f t="shared" si="231"/>
        <v>ok</v>
      </c>
      <c r="Y2086" t="str">
        <f t="shared" si="226"/>
        <v>ok</v>
      </c>
      <c r="Z2086" t="str">
        <f t="shared" si="227"/>
        <v>ok</v>
      </c>
      <c r="AA2086" s="4" t="str">
        <f t="shared" si="228"/>
        <v>ok</v>
      </c>
      <c r="AB2086" s="4" t="str">
        <f t="shared" si="229"/>
        <v>ok</v>
      </c>
      <c r="AC2086" s="6">
        <f t="shared" si="230"/>
        <v>7.326561666559428</v>
      </c>
    </row>
    <row r="2087" spans="1:29" x14ac:dyDescent="0.3">
      <c r="A2087" t="s">
        <v>22</v>
      </c>
      <c r="B2087">
        <v>3655</v>
      </c>
      <c r="C2087" t="s">
        <v>33</v>
      </c>
      <c r="D2087" t="s">
        <v>24</v>
      </c>
      <c r="E2087" t="s">
        <v>35</v>
      </c>
      <c r="F2087" t="s">
        <v>26</v>
      </c>
      <c r="G2087" t="s">
        <v>27</v>
      </c>
      <c r="H2087" s="1">
        <v>45251.965127314812</v>
      </c>
      <c r="I2087" s="1">
        <v>45253.965127314812</v>
      </c>
      <c r="J2087" s="1">
        <v>45252.006793981483</v>
      </c>
      <c r="K2087" s="2">
        <v>45251.976284259261</v>
      </c>
      <c r="L2087" t="s">
        <v>28</v>
      </c>
      <c r="M2087" s="2">
        <v>45253.839574502315</v>
      </c>
      <c r="N2087" t="s">
        <v>28</v>
      </c>
      <c r="O2087" s="2">
        <v>45256.667915590275</v>
      </c>
      <c r="P2087">
        <v>1</v>
      </c>
      <c r="Q2087">
        <v>3</v>
      </c>
      <c r="R2087" t="s">
        <v>50</v>
      </c>
      <c r="S2087" t="s">
        <v>30</v>
      </c>
      <c r="T2087" t="s">
        <v>41</v>
      </c>
      <c r="U2087">
        <v>43.036776000000003</v>
      </c>
      <c r="V2087">
        <v>12.678565000000001</v>
      </c>
      <c r="W2087" t="str">
        <f t="shared" si="225"/>
        <v>ok</v>
      </c>
      <c r="X2087" t="str">
        <f t="shared" si="231"/>
        <v>ok</v>
      </c>
      <c r="Y2087" t="str">
        <f t="shared" si="226"/>
        <v>ok</v>
      </c>
      <c r="Z2087" t="str">
        <f t="shared" si="227"/>
        <v>ok</v>
      </c>
      <c r="AA2087" s="4" t="str">
        <f t="shared" si="228"/>
        <v>ok</v>
      </c>
      <c r="AB2087" s="4" t="str">
        <f t="shared" si="229"/>
        <v>ok</v>
      </c>
      <c r="AC2087" s="6">
        <f t="shared" si="230"/>
        <v>44.986732500081416</v>
      </c>
    </row>
    <row r="2088" spans="1:29" x14ac:dyDescent="0.3">
      <c r="A2088" t="s">
        <v>22</v>
      </c>
      <c r="B2088">
        <v>3656</v>
      </c>
      <c r="C2088" t="s">
        <v>47</v>
      </c>
      <c r="D2088" t="s">
        <v>43</v>
      </c>
      <c r="E2088" t="s">
        <v>39</v>
      </c>
      <c r="F2088" t="s">
        <v>26</v>
      </c>
      <c r="G2088" t="s">
        <v>49</v>
      </c>
      <c r="H2088" s="1">
        <v>45251.270208333335</v>
      </c>
      <c r="I2088" s="1">
        <v>45252.270208333335</v>
      </c>
      <c r="J2088" s="1">
        <v>45251.271597222221</v>
      </c>
      <c r="K2088" s="2">
        <v>45251.271449918982</v>
      </c>
      <c r="L2088" t="s">
        <v>28</v>
      </c>
      <c r="M2088" s="2">
        <v>45253.844589432869</v>
      </c>
      <c r="N2088" t="s">
        <v>38</v>
      </c>
      <c r="O2088" s="2">
        <v>45254.881259490743</v>
      </c>
      <c r="P2088">
        <v>2</v>
      </c>
      <c r="Q2088">
        <v>3</v>
      </c>
      <c r="R2088" t="s">
        <v>39</v>
      </c>
      <c r="S2088" t="s">
        <v>30</v>
      </c>
      <c r="T2088" t="s">
        <v>51</v>
      </c>
      <c r="U2088">
        <v>39.673369999999998</v>
      </c>
      <c r="V2088">
        <v>-4.7677259999999997</v>
      </c>
      <c r="W2088" t="str">
        <f t="shared" si="225"/>
        <v>ok</v>
      </c>
      <c r="X2088" t="str">
        <f t="shared" si="231"/>
        <v>ok</v>
      </c>
      <c r="Y2088" t="str">
        <f t="shared" si="226"/>
        <v>ok</v>
      </c>
      <c r="Z2088" t="str">
        <f t="shared" si="227"/>
        <v>ok</v>
      </c>
      <c r="AA2088" s="4" t="str">
        <f t="shared" si="228"/>
        <v>ok</v>
      </c>
      <c r="AB2088" s="4" t="str">
        <f t="shared" si="229"/>
        <v>ok</v>
      </c>
      <c r="AC2088" s="6">
        <f t="shared" si="230"/>
        <v>61.785146388807334</v>
      </c>
    </row>
    <row r="2089" spans="1:29" x14ac:dyDescent="0.3">
      <c r="A2089" t="s">
        <v>22</v>
      </c>
      <c r="B2089">
        <v>3657</v>
      </c>
      <c r="C2089" t="s">
        <v>33</v>
      </c>
      <c r="D2089" t="s">
        <v>43</v>
      </c>
      <c r="E2089" t="s">
        <v>48</v>
      </c>
      <c r="F2089" t="s">
        <v>26</v>
      </c>
      <c r="G2089" t="s">
        <v>27</v>
      </c>
      <c r="H2089" s="1">
        <v>45251.658148148148</v>
      </c>
      <c r="I2089" s="1">
        <v>45252.658148148148</v>
      </c>
      <c r="J2089" s="1">
        <v>45251.659537037034</v>
      </c>
      <c r="K2089" s="2">
        <v>45251.658271388886</v>
      </c>
      <c r="L2089" t="s">
        <v>28</v>
      </c>
      <c r="M2089" s="2">
        <v>45257.019274317128</v>
      </c>
      <c r="N2089" t="s">
        <v>38</v>
      </c>
      <c r="O2089" s="2">
        <v>45258.437130069447</v>
      </c>
      <c r="P2089">
        <v>6</v>
      </c>
      <c r="Q2089">
        <v>4</v>
      </c>
      <c r="R2089" t="s">
        <v>50</v>
      </c>
      <c r="S2089" t="s">
        <v>30</v>
      </c>
      <c r="T2089" t="s">
        <v>41</v>
      </c>
      <c r="U2089">
        <v>43.036776000000003</v>
      </c>
      <c r="V2089">
        <v>12.678565000000001</v>
      </c>
      <c r="W2089" t="str">
        <f t="shared" si="225"/>
        <v>ok</v>
      </c>
      <c r="X2089" t="str">
        <f t="shared" si="231"/>
        <v>ok</v>
      </c>
      <c r="Y2089" t="str">
        <f t="shared" si="226"/>
        <v>ok</v>
      </c>
      <c r="Z2089" t="str">
        <f t="shared" si="227"/>
        <v>ok</v>
      </c>
      <c r="AA2089" s="4" t="str">
        <f t="shared" si="228"/>
        <v>ok</v>
      </c>
      <c r="AB2089" s="4" t="str">
        <f t="shared" si="229"/>
        <v>ok</v>
      </c>
      <c r="AC2089" s="6">
        <f t="shared" si="230"/>
        <v>128.66702805552632</v>
      </c>
    </row>
    <row r="2090" spans="1:29" x14ac:dyDescent="0.3">
      <c r="A2090" t="s">
        <v>42</v>
      </c>
      <c r="B2090">
        <v>3658</v>
      </c>
      <c r="C2090" t="s">
        <v>47</v>
      </c>
      <c r="D2090" t="s">
        <v>43</v>
      </c>
      <c r="E2090" t="s">
        <v>44</v>
      </c>
      <c r="F2090" t="s">
        <v>26</v>
      </c>
      <c r="G2090" t="s">
        <v>27</v>
      </c>
      <c r="H2090" s="1">
        <v>45252.381157407406</v>
      </c>
      <c r="I2090" s="1">
        <v>45253.381157407406</v>
      </c>
      <c r="J2090" s="1">
        <v>45252.3825462963</v>
      </c>
      <c r="K2090" s="2">
        <v>45252.382010034722</v>
      </c>
      <c r="L2090" t="s">
        <v>28</v>
      </c>
      <c r="M2090" s="2">
        <v>45253.39424228009</v>
      </c>
      <c r="N2090" t="s">
        <v>38</v>
      </c>
      <c r="P2090">
        <v>5</v>
      </c>
      <c r="R2090" t="s">
        <v>29</v>
      </c>
      <c r="S2090" t="s">
        <v>30</v>
      </c>
      <c r="T2090" t="s">
        <v>46</v>
      </c>
      <c r="U2090">
        <v>47.696471899999999</v>
      </c>
      <c r="V2090">
        <v>13.3457347</v>
      </c>
      <c r="W2090" t="str">
        <f t="shared" si="225"/>
        <v>ok</v>
      </c>
      <c r="X2090" t="str">
        <f t="shared" si="231"/>
        <v>ok</v>
      </c>
      <c r="Y2090" t="str">
        <f t="shared" si="226"/>
        <v>ok</v>
      </c>
      <c r="Z2090" t="str">
        <f t="shared" si="227"/>
        <v>ok</v>
      </c>
      <c r="AA2090" s="4" t="str">
        <f t="shared" si="228"/>
        <v>ok</v>
      </c>
      <c r="AB2090" s="4" t="str">
        <f t="shared" si="229"/>
        <v>ok</v>
      </c>
      <c r="AC2090" s="6">
        <f t="shared" si="230"/>
        <v>24.31403694441542</v>
      </c>
    </row>
    <row r="2091" spans="1:29" x14ac:dyDescent="0.3">
      <c r="A2091" t="s">
        <v>42</v>
      </c>
      <c r="B2091">
        <v>3659</v>
      </c>
      <c r="C2091" t="s">
        <v>33</v>
      </c>
      <c r="D2091" t="s">
        <v>43</v>
      </c>
      <c r="E2091" t="s">
        <v>48</v>
      </c>
      <c r="F2091" t="s">
        <v>36</v>
      </c>
      <c r="G2091" t="s">
        <v>54</v>
      </c>
      <c r="H2091" s="1">
        <v>45252.191365740742</v>
      </c>
      <c r="I2091" s="1">
        <v>45253.191365740742</v>
      </c>
      <c r="J2091" s="1">
        <v>45252.192754629628</v>
      </c>
      <c r="K2091" s="2">
        <v>45252.191704965277</v>
      </c>
      <c r="L2091" t="s">
        <v>28</v>
      </c>
      <c r="M2091" s="2">
        <v>45252.819054513886</v>
      </c>
      <c r="N2091" t="s">
        <v>28</v>
      </c>
      <c r="P2091">
        <v>2</v>
      </c>
      <c r="R2091" t="s">
        <v>50</v>
      </c>
      <c r="S2091" t="s">
        <v>40</v>
      </c>
      <c r="T2091" t="s">
        <v>58</v>
      </c>
      <c r="U2091">
        <v>49.8037633</v>
      </c>
      <c r="V2091">
        <v>15.4749126</v>
      </c>
      <c r="W2091" t="str">
        <f t="shared" si="225"/>
        <v>ok</v>
      </c>
      <c r="X2091" t="str">
        <f t="shared" si="231"/>
        <v>ok</v>
      </c>
      <c r="Y2091" t="str">
        <f t="shared" si="226"/>
        <v>ok</v>
      </c>
      <c r="Z2091" t="str">
        <f t="shared" si="227"/>
        <v>ok</v>
      </c>
      <c r="AA2091" s="4" t="str">
        <f t="shared" si="228"/>
        <v>ok</v>
      </c>
      <c r="AB2091" s="4" t="str">
        <f t="shared" si="229"/>
        <v>ok</v>
      </c>
      <c r="AC2091" s="6">
        <f t="shared" si="230"/>
        <v>15.064530555449892</v>
      </c>
    </row>
    <row r="2092" spans="1:29" x14ac:dyDescent="0.3">
      <c r="A2092" t="s">
        <v>32</v>
      </c>
      <c r="B2092">
        <v>3660</v>
      </c>
      <c r="C2092" t="s">
        <v>23</v>
      </c>
      <c r="D2092" t="s">
        <v>24</v>
      </c>
      <c r="E2092" t="s">
        <v>35</v>
      </c>
      <c r="F2092" t="s">
        <v>26</v>
      </c>
      <c r="G2092" t="s">
        <v>60</v>
      </c>
      <c r="H2092" s="1">
        <v>45252.660844907405</v>
      </c>
      <c r="I2092" s="1">
        <v>45254.660844907405</v>
      </c>
      <c r="J2092" s="1">
        <v>45252.702511574076</v>
      </c>
      <c r="K2092" s="2">
        <v>45252.6889749537</v>
      </c>
      <c r="L2092" t="s">
        <v>28</v>
      </c>
      <c r="N2092" t="s">
        <v>38</v>
      </c>
      <c r="P2092">
        <v>10</v>
      </c>
      <c r="R2092" t="s">
        <v>50</v>
      </c>
      <c r="S2092" t="s">
        <v>30</v>
      </c>
      <c r="T2092" t="s">
        <v>41</v>
      </c>
      <c r="U2092">
        <v>43.036776000000003</v>
      </c>
      <c r="V2092">
        <v>12.678565000000001</v>
      </c>
      <c r="W2092" t="str">
        <f t="shared" si="225"/>
        <v>ok</v>
      </c>
      <c r="X2092" t="str">
        <f t="shared" si="231"/>
        <v>ok</v>
      </c>
      <c r="Y2092" t="str">
        <f t="shared" si="226"/>
        <v>ok</v>
      </c>
      <c r="Z2092" t="str">
        <f t="shared" si="227"/>
        <v>ok</v>
      </c>
      <c r="AA2092" s="4" t="str">
        <f t="shared" si="228"/>
        <v>ok</v>
      </c>
      <c r="AB2092" s="4" t="str">
        <f t="shared" si="229"/>
        <v>no resolution</v>
      </c>
      <c r="AC2092" s="6" t="str">
        <f t="shared" si="230"/>
        <v/>
      </c>
    </row>
    <row r="2093" spans="1:29" x14ac:dyDescent="0.3">
      <c r="A2093" t="s">
        <v>22</v>
      </c>
      <c r="B2093">
        <v>3661</v>
      </c>
      <c r="C2093" t="s">
        <v>33</v>
      </c>
      <c r="D2093" t="s">
        <v>43</v>
      </c>
      <c r="E2093" t="s">
        <v>25</v>
      </c>
      <c r="F2093" t="s">
        <v>36</v>
      </c>
      <c r="G2093" t="s">
        <v>37</v>
      </c>
      <c r="H2093" s="1">
        <v>45252.401956018519</v>
      </c>
      <c r="I2093" s="1">
        <v>45253.401956018519</v>
      </c>
      <c r="J2093" s="1">
        <v>45252.403344907405</v>
      </c>
      <c r="K2093" s="2">
        <v>45252.404833703702</v>
      </c>
      <c r="L2093" t="s">
        <v>38</v>
      </c>
      <c r="M2093" s="2">
        <v>45253.13654</v>
      </c>
      <c r="N2093" t="s">
        <v>28</v>
      </c>
      <c r="O2093" s="2">
        <v>45254.274868229164</v>
      </c>
      <c r="P2093">
        <v>2</v>
      </c>
      <c r="Q2093">
        <v>3</v>
      </c>
      <c r="R2093" t="s">
        <v>29</v>
      </c>
      <c r="S2093" t="s">
        <v>40</v>
      </c>
      <c r="T2093" t="s">
        <v>63</v>
      </c>
      <c r="U2093">
        <v>55.378051999999997</v>
      </c>
      <c r="V2093">
        <v>-3.4359730000000002</v>
      </c>
      <c r="W2093" t="str">
        <f t="shared" si="225"/>
        <v>ok</v>
      </c>
      <c r="X2093" t="str">
        <f t="shared" si="231"/>
        <v>ok</v>
      </c>
      <c r="Y2093" t="str">
        <f t="shared" si="226"/>
        <v>ok</v>
      </c>
      <c r="Z2093" t="str">
        <f t="shared" si="227"/>
        <v>ok</v>
      </c>
      <c r="AA2093" s="4" t="str">
        <f t="shared" si="228"/>
        <v>ok</v>
      </c>
      <c r="AB2093" s="4" t="str">
        <f t="shared" si="229"/>
        <v>ok</v>
      </c>
      <c r="AC2093" s="6">
        <f t="shared" si="230"/>
        <v>17.630015555536374</v>
      </c>
    </row>
    <row r="2094" spans="1:29" x14ac:dyDescent="0.3">
      <c r="A2094" t="s">
        <v>22</v>
      </c>
      <c r="B2094">
        <v>3662</v>
      </c>
      <c r="C2094" t="s">
        <v>33</v>
      </c>
      <c r="D2094" t="s">
        <v>43</v>
      </c>
      <c r="E2094" t="s">
        <v>67</v>
      </c>
      <c r="F2094" t="s">
        <v>26</v>
      </c>
      <c r="G2094" t="s">
        <v>45</v>
      </c>
      <c r="H2094" s="1">
        <v>45252.47828703704</v>
      </c>
      <c r="I2094" s="1">
        <v>45253.47828703704</v>
      </c>
      <c r="J2094" s="1">
        <v>45252.479675925926</v>
      </c>
      <c r="K2094" s="2">
        <v>45252.478647013886</v>
      </c>
      <c r="L2094" t="s">
        <v>28</v>
      </c>
      <c r="M2094" s="2">
        <v>45252.589770486113</v>
      </c>
      <c r="N2094" t="s">
        <v>28</v>
      </c>
      <c r="O2094" s="2">
        <v>45254.843761388889</v>
      </c>
      <c r="P2094">
        <v>6</v>
      </c>
      <c r="Q2094">
        <v>3</v>
      </c>
      <c r="R2094" t="s">
        <v>29</v>
      </c>
      <c r="S2094" t="s">
        <v>30</v>
      </c>
      <c r="T2094" t="s">
        <v>56</v>
      </c>
      <c r="U2094">
        <v>52.536273000000001</v>
      </c>
      <c r="V2094">
        <v>19.050639</v>
      </c>
      <c r="W2094" t="str">
        <f t="shared" si="225"/>
        <v>ok</v>
      </c>
      <c r="X2094" t="str">
        <f t="shared" si="231"/>
        <v>ok</v>
      </c>
      <c r="Y2094" t="str">
        <f t="shared" si="226"/>
        <v>ok</v>
      </c>
      <c r="Z2094" t="str">
        <f t="shared" si="227"/>
        <v>ok</v>
      </c>
      <c r="AA2094" s="4" t="str">
        <f t="shared" si="228"/>
        <v>ok</v>
      </c>
      <c r="AB2094" s="4" t="str">
        <f t="shared" si="229"/>
        <v>ok</v>
      </c>
      <c r="AC2094" s="6">
        <f t="shared" si="230"/>
        <v>2.6756027777446434</v>
      </c>
    </row>
    <row r="2095" spans="1:29" x14ac:dyDescent="0.3">
      <c r="A2095" t="s">
        <v>22</v>
      </c>
      <c r="B2095">
        <v>3663</v>
      </c>
      <c r="C2095" t="s">
        <v>23</v>
      </c>
      <c r="D2095" t="s">
        <v>24</v>
      </c>
      <c r="E2095" t="s">
        <v>67</v>
      </c>
      <c r="F2095" t="s">
        <v>26</v>
      </c>
      <c r="G2095" t="s">
        <v>60</v>
      </c>
      <c r="H2095" s="1">
        <v>45252.25203703704</v>
      </c>
      <c r="I2095" s="1">
        <v>45254.25203703704</v>
      </c>
      <c r="J2095" s="1">
        <v>45252.293703703705</v>
      </c>
      <c r="K2095" s="2">
        <v>45252.447327083333</v>
      </c>
      <c r="L2095" t="s">
        <v>38</v>
      </c>
      <c r="M2095" s="2">
        <v>45252.970396828707</v>
      </c>
      <c r="N2095" t="s">
        <v>28</v>
      </c>
      <c r="O2095" s="2">
        <v>45255.435039618053</v>
      </c>
      <c r="P2095">
        <v>10</v>
      </c>
      <c r="Q2095">
        <v>4</v>
      </c>
      <c r="R2095" t="s">
        <v>29</v>
      </c>
      <c r="S2095" t="s">
        <v>30</v>
      </c>
      <c r="T2095" t="s">
        <v>56</v>
      </c>
      <c r="U2095">
        <v>52.536273000000001</v>
      </c>
      <c r="V2095">
        <v>19.050639</v>
      </c>
      <c r="W2095" t="str">
        <f t="shared" si="225"/>
        <v>ok</v>
      </c>
      <c r="X2095" t="str">
        <f t="shared" si="231"/>
        <v>ok</v>
      </c>
      <c r="Y2095" t="str">
        <f t="shared" si="226"/>
        <v>ok</v>
      </c>
      <c r="Z2095" t="str">
        <f t="shared" si="227"/>
        <v>ok</v>
      </c>
      <c r="AA2095" s="4" t="str">
        <f t="shared" si="228"/>
        <v>ok</v>
      </c>
      <c r="AB2095" s="4" t="str">
        <f t="shared" si="229"/>
        <v>ok</v>
      </c>
      <c r="AC2095" s="6">
        <f t="shared" si="230"/>
        <v>17.240634999994654</v>
      </c>
    </row>
    <row r="2096" spans="1:29" x14ac:dyDescent="0.3">
      <c r="A2096" t="s">
        <v>22</v>
      </c>
      <c r="B2096">
        <v>3664</v>
      </c>
      <c r="C2096" t="s">
        <v>47</v>
      </c>
      <c r="D2096" t="s">
        <v>43</v>
      </c>
      <c r="E2096" t="s">
        <v>35</v>
      </c>
      <c r="F2096" t="s">
        <v>36</v>
      </c>
      <c r="G2096" t="s">
        <v>37</v>
      </c>
      <c r="H2096" s="1">
        <v>45252.989305555559</v>
      </c>
      <c r="I2096" s="1">
        <v>45253.989305555559</v>
      </c>
      <c r="J2096" s="1">
        <v>45252.990694444445</v>
      </c>
      <c r="K2096" s="2">
        <v>45252.98986858796</v>
      </c>
      <c r="L2096" t="s">
        <v>28</v>
      </c>
      <c r="M2096" s="2">
        <v>45253.561477268522</v>
      </c>
      <c r="N2096" t="s">
        <v>28</v>
      </c>
      <c r="O2096" s="2">
        <v>45255.194859131945</v>
      </c>
      <c r="P2096">
        <v>6</v>
      </c>
      <c r="Q2096">
        <v>4</v>
      </c>
      <c r="R2096" t="s">
        <v>50</v>
      </c>
      <c r="S2096" t="s">
        <v>40</v>
      </c>
      <c r="T2096" t="s">
        <v>56</v>
      </c>
      <c r="U2096">
        <v>52.536273000000001</v>
      </c>
      <c r="V2096">
        <v>19.050639</v>
      </c>
      <c r="W2096" t="str">
        <f t="shared" si="225"/>
        <v>ok</v>
      </c>
      <c r="X2096" t="str">
        <f t="shared" si="231"/>
        <v>ok</v>
      </c>
      <c r="Y2096" t="str">
        <f t="shared" si="226"/>
        <v>ok</v>
      </c>
      <c r="Z2096" t="str">
        <f t="shared" si="227"/>
        <v>ok</v>
      </c>
      <c r="AA2096" s="4" t="str">
        <f t="shared" si="228"/>
        <v>ok</v>
      </c>
      <c r="AB2096" s="4" t="str">
        <f t="shared" si="229"/>
        <v>ok</v>
      </c>
      <c r="AC2096" s="6">
        <f t="shared" si="230"/>
        <v>13.732121111126617</v>
      </c>
    </row>
    <row r="2097" spans="1:29" x14ac:dyDescent="0.3">
      <c r="A2097" t="s">
        <v>42</v>
      </c>
      <c r="B2097">
        <v>3665</v>
      </c>
      <c r="C2097" t="s">
        <v>23</v>
      </c>
      <c r="D2097" t="s">
        <v>43</v>
      </c>
      <c r="E2097" t="s">
        <v>35</v>
      </c>
      <c r="F2097" t="s">
        <v>36</v>
      </c>
      <c r="G2097" t="s">
        <v>64</v>
      </c>
      <c r="H2097" s="1">
        <v>45252.602002314816</v>
      </c>
      <c r="I2097" s="1">
        <v>45253.602002314816</v>
      </c>
      <c r="J2097" s="1">
        <v>45252.603391203702</v>
      </c>
      <c r="K2097" s="2">
        <v>45252.602834247686</v>
      </c>
      <c r="L2097" t="s">
        <v>28</v>
      </c>
      <c r="M2097" s="2">
        <v>45255.826442847225</v>
      </c>
      <c r="N2097" t="s">
        <v>38</v>
      </c>
      <c r="P2097">
        <v>6</v>
      </c>
      <c r="R2097" t="s">
        <v>29</v>
      </c>
      <c r="S2097" t="s">
        <v>40</v>
      </c>
      <c r="T2097" t="s">
        <v>56</v>
      </c>
      <c r="U2097">
        <v>52.536273000000001</v>
      </c>
      <c r="V2097">
        <v>19.050639</v>
      </c>
      <c r="W2097" t="str">
        <f t="shared" si="225"/>
        <v>ok</v>
      </c>
      <c r="X2097" t="str">
        <f t="shared" si="231"/>
        <v>ok</v>
      </c>
      <c r="Y2097" t="str">
        <f t="shared" si="226"/>
        <v>ok</v>
      </c>
      <c r="Z2097" t="str">
        <f t="shared" si="227"/>
        <v>ok</v>
      </c>
      <c r="AA2097" s="4" t="str">
        <f t="shared" si="228"/>
        <v>ok</v>
      </c>
      <c r="AB2097" s="4" t="str">
        <f t="shared" si="229"/>
        <v>ok</v>
      </c>
      <c r="AC2097" s="6">
        <f t="shared" si="230"/>
        <v>77.386572777817491</v>
      </c>
    </row>
    <row r="2098" spans="1:29" x14ac:dyDescent="0.3">
      <c r="A2098" t="s">
        <v>32</v>
      </c>
      <c r="B2098">
        <v>3669</v>
      </c>
      <c r="C2098" t="s">
        <v>23</v>
      </c>
      <c r="D2098" t="s">
        <v>43</v>
      </c>
      <c r="E2098" t="s">
        <v>48</v>
      </c>
      <c r="F2098" t="s">
        <v>26</v>
      </c>
      <c r="G2098" t="s">
        <v>49</v>
      </c>
      <c r="H2098" s="1">
        <v>45253.279247685183</v>
      </c>
      <c r="I2098" s="1">
        <v>45254.279247685183</v>
      </c>
      <c r="J2098" s="1">
        <v>45253.280636574076</v>
      </c>
      <c r="K2098" s="2">
        <v>45253.280192939812</v>
      </c>
      <c r="L2098" t="s">
        <v>28</v>
      </c>
      <c r="N2098" t="s">
        <v>38</v>
      </c>
      <c r="P2098">
        <v>2</v>
      </c>
      <c r="R2098" t="s">
        <v>50</v>
      </c>
      <c r="S2098" t="s">
        <v>30</v>
      </c>
      <c r="T2098" t="s">
        <v>57</v>
      </c>
      <c r="U2098">
        <v>51.165691000000002</v>
      </c>
      <c r="V2098">
        <v>10.451525999999999</v>
      </c>
      <c r="W2098" t="str">
        <f t="shared" si="225"/>
        <v>ok</v>
      </c>
      <c r="X2098" t="str">
        <f t="shared" si="231"/>
        <v>ok</v>
      </c>
      <c r="Y2098" t="str">
        <f t="shared" si="226"/>
        <v>ok</v>
      </c>
      <c r="Z2098" t="str">
        <f t="shared" si="227"/>
        <v>ok</v>
      </c>
      <c r="AA2098" s="4" t="str">
        <f t="shared" si="228"/>
        <v>ok</v>
      </c>
      <c r="AB2098" s="4" t="str">
        <f t="shared" si="229"/>
        <v>no resolution</v>
      </c>
      <c r="AC2098" s="6" t="str">
        <f t="shared" si="230"/>
        <v/>
      </c>
    </row>
    <row r="2099" spans="1:29" x14ac:dyDescent="0.3">
      <c r="A2099" t="s">
        <v>42</v>
      </c>
      <c r="B2099">
        <v>3670</v>
      </c>
      <c r="C2099" t="s">
        <v>47</v>
      </c>
      <c r="D2099" t="s">
        <v>43</v>
      </c>
      <c r="E2099" t="s">
        <v>59</v>
      </c>
      <c r="F2099" t="s">
        <v>26</v>
      </c>
      <c r="G2099" t="s">
        <v>45</v>
      </c>
      <c r="H2099" s="1">
        <v>45253.816458333335</v>
      </c>
      <c r="I2099" s="1">
        <v>45254.816458333335</v>
      </c>
      <c r="J2099" s="1">
        <v>45253.817847222221</v>
      </c>
      <c r="K2099" s="2">
        <v>45253.817018518515</v>
      </c>
      <c r="L2099" t="s">
        <v>28</v>
      </c>
      <c r="M2099" s="2">
        <v>45257.370911689817</v>
      </c>
      <c r="N2099" t="s">
        <v>38</v>
      </c>
      <c r="P2099">
        <v>5</v>
      </c>
      <c r="R2099" t="s">
        <v>29</v>
      </c>
      <c r="S2099" t="s">
        <v>30</v>
      </c>
      <c r="T2099" t="s">
        <v>41</v>
      </c>
      <c r="U2099">
        <v>43.036776000000003</v>
      </c>
      <c r="V2099">
        <v>12.678565000000001</v>
      </c>
      <c r="W2099" t="str">
        <f t="shared" si="225"/>
        <v>ok</v>
      </c>
      <c r="X2099" t="str">
        <f t="shared" si="231"/>
        <v>ok</v>
      </c>
      <c r="Y2099" t="str">
        <f t="shared" si="226"/>
        <v>ok</v>
      </c>
      <c r="Z2099" t="str">
        <f t="shared" si="227"/>
        <v>ok</v>
      </c>
      <c r="AA2099" s="4" t="str">
        <f t="shared" si="228"/>
        <v>ok</v>
      </c>
      <c r="AB2099" s="4" t="str">
        <f t="shared" si="229"/>
        <v>ok</v>
      </c>
      <c r="AC2099" s="6">
        <f t="shared" si="230"/>
        <v>85.306880555581301</v>
      </c>
    </row>
    <row r="2100" spans="1:29" x14ac:dyDescent="0.3">
      <c r="A2100" t="s">
        <v>42</v>
      </c>
      <c r="B2100">
        <v>3671</v>
      </c>
      <c r="C2100" t="s">
        <v>33</v>
      </c>
      <c r="D2100" t="s">
        <v>43</v>
      </c>
      <c r="E2100" t="s">
        <v>48</v>
      </c>
      <c r="F2100" t="s">
        <v>26</v>
      </c>
      <c r="G2100" t="s">
        <v>45</v>
      </c>
      <c r="H2100" s="1">
        <v>45253.248703703706</v>
      </c>
      <c r="I2100" s="1">
        <v>45254.248703703706</v>
      </c>
      <c r="J2100" s="1">
        <v>45253.250092592592</v>
      </c>
      <c r="K2100" s="2">
        <v>45253.248890416668</v>
      </c>
      <c r="L2100" t="s">
        <v>28</v>
      </c>
      <c r="M2100" s="2">
        <v>45253.554592037035</v>
      </c>
      <c r="N2100" t="s">
        <v>28</v>
      </c>
      <c r="P2100">
        <v>5</v>
      </c>
      <c r="R2100" t="s">
        <v>50</v>
      </c>
      <c r="S2100" t="s">
        <v>30</v>
      </c>
      <c r="T2100" t="s">
        <v>56</v>
      </c>
      <c r="U2100">
        <v>52.536273000000001</v>
      </c>
      <c r="V2100">
        <v>19.050639</v>
      </c>
      <c r="W2100" t="str">
        <f t="shared" si="225"/>
        <v>ok</v>
      </c>
      <c r="X2100" t="str">
        <f t="shared" si="231"/>
        <v>ok</v>
      </c>
      <c r="Y2100" t="str">
        <f t="shared" si="226"/>
        <v>ok</v>
      </c>
      <c r="Z2100" t="str">
        <f t="shared" si="227"/>
        <v>ok</v>
      </c>
      <c r="AA2100" s="4" t="str">
        <f t="shared" si="228"/>
        <v>ok</v>
      </c>
      <c r="AB2100" s="4" t="str">
        <f t="shared" si="229"/>
        <v>ok</v>
      </c>
      <c r="AC2100" s="6">
        <f t="shared" si="230"/>
        <v>7.341319999890402</v>
      </c>
    </row>
    <row r="2101" spans="1:29" x14ac:dyDescent="0.3">
      <c r="A2101" t="s">
        <v>42</v>
      </c>
      <c r="B2101">
        <v>3672</v>
      </c>
      <c r="C2101" t="s">
        <v>23</v>
      </c>
      <c r="D2101" t="s">
        <v>43</v>
      </c>
      <c r="E2101" t="s">
        <v>44</v>
      </c>
      <c r="F2101" t="s">
        <v>36</v>
      </c>
      <c r="G2101" t="s">
        <v>54</v>
      </c>
      <c r="H2101" s="1">
        <v>45253.437002314815</v>
      </c>
      <c r="I2101" s="1">
        <v>45254.437002314815</v>
      </c>
      <c r="J2101" s="1">
        <v>45253.438391203701</v>
      </c>
      <c r="K2101" s="2">
        <v>45253.437744467592</v>
      </c>
      <c r="L2101" t="s">
        <v>28</v>
      </c>
      <c r="M2101" s="2">
        <v>45253.692891817132</v>
      </c>
      <c r="N2101" t="s">
        <v>28</v>
      </c>
      <c r="P2101">
        <v>8</v>
      </c>
      <c r="R2101" t="s">
        <v>55</v>
      </c>
      <c r="S2101" t="s">
        <v>40</v>
      </c>
      <c r="T2101" t="s">
        <v>58</v>
      </c>
      <c r="U2101">
        <v>49.8037633</v>
      </c>
      <c r="V2101">
        <v>15.4749126</v>
      </c>
      <c r="W2101" t="str">
        <f t="shared" si="225"/>
        <v>ok</v>
      </c>
      <c r="X2101" t="str">
        <f t="shared" si="231"/>
        <v>ok</v>
      </c>
      <c r="Y2101" t="str">
        <f t="shared" si="226"/>
        <v>ok</v>
      </c>
      <c r="Z2101" t="str">
        <f t="shared" si="227"/>
        <v>ok</v>
      </c>
      <c r="AA2101" s="4" t="str">
        <f t="shared" si="228"/>
        <v>ok</v>
      </c>
      <c r="AB2101" s="4" t="str">
        <f t="shared" si="229"/>
        <v>ok</v>
      </c>
      <c r="AC2101" s="6">
        <f t="shared" si="230"/>
        <v>6.1413480556220748</v>
      </c>
    </row>
    <row r="2102" spans="1:29" x14ac:dyDescent="0.3">
      <c r="A2102" t="s">
        <v>22</v>
      </c>
      <c r="B2102">
        <v>3673</v>
      </c>
      <c r="C2102" t="s">
        <v>47</v>
      </c>
      <c r="D2102" t="s">
        <v>24</v>
      </c>
      <c r="E2102" t="s">
        <v>44</v>
      </c>
      <c r="F2102" t="s">
        <v>26</v>
      </c>
      <c r="G2102" t="s">
        <v>60</v>
      </c>
      <c r="H2102" s="1">
        <v>45253.437013888892</v>
      </c>
      <c r="I2102" s="1">
        <v>45255.437013888892</v>
      </c>
      <c r="J2102" s="1">
        <v>45253.478680555556</v>
      </c>
      <c r="K2102" s="2">
        <v>45253.477546423608</v>
      </c>
      <c r="L2102" t="s">
        <v>28</v>
      </c>
      <c r="M2102" s="2">
        <v>45256.675675185186</v>
      </c>
      <c r="N2102" t="s">
        <v>38</v>
      </c>
      <c r="O2102" s="2">
        <v>45257.010491446759</v>
      </c>
      <c r="P2102">
        <v>1</v>
      </c>
      <c r="Q2102">
        <v>5</v>
      </c>
      <c r="R2102" t="s">
        <v>50</v>
      </c>
      <c r="S2102" t="s">
        <v>30</v>
      </c>
      <c r="T2102" t="s">
        <v>53</v>
      </c>
      <c r="U2102">
        <v>39.368279000000001</v>
      </c>
      <c r="V2102">
        <v>21.863140999999999</v>
      </c>
      <c r="W2102" t="str">
        <f t="shared" si="225"/>
        <v>ok</v>
      </c>
      <c r="X2102" t="str">
        <f t="shared" si="231"/>
        <v>ok</v>
      </c>
      <c r="Y2102" t="str">
        <f t="shared" si="226"/>
        <v>ok</v>
      </c>
      <c r="Z2102" t="str">
        <f t="shared" si="227"/>
        <v>ok</v>
      </c>
      <c r="AA2102" s="4" t="str">
        <f t="shared" si="228"/>
        <v>ok</v>
      </c>
      <c r="AB2102" s="4" t="str">
        <f t="shared" si="229"/>
        <v>ok</v>
      </c>
      <c r="AC2102" s="6">
        <f t="shared" si="230"/>
        <v>77.727871111070272</v>
      </c>
    </row>
    <row r="2103" spans="1:29" x14ac:dyDescent="0.3">
      <c r="A2103" t="s">
        <v>42</v>
      </c>
      <c r="B2103">
        <v>3674</v>
      </c>
      <c r="C2103" t="s">
        <v>23</v>
      </c>
      <c r="D2103" t="s">
        <v>43</v>
      </c>
      <c r="E2103" t="s">
        <v>25</v>
      </c>
      <c r="F2103" t="s">
        <v>26</v>
      </c>
      <c r="G2103" t="s">
        <v>60</v>
      </c>
      <c r="H2103" s="1">
        <v>45254.014317129629</v>
      </c>
      <c r="I2103" s="1">
        <v>45255.014317129629</v>
      </c>
      <c r="J2103" s="1">
        <v>45254.015706018516</v>
      </c>
      <c r="K2103" s="2">
        <v>45254.014667083335</v>
      </c>
      <c r="L2103" t="s">
        <v>28</v>
      </c>
      <c r="M2103" s="2">
        <v>45255.51689042824</v>
      </c>
      <c r="N2103" t="s">
        <v>38</v>
      </c>
      <c r="P2103">
        <v>6</v>
      </c>
      <c r="R2103" t="s">
        <v>50</v>
      </c>
      <c r="S2103" t="s">
        <v>30</v>
      </c>
      <c r="T2103" t="s">
        <v>66</v>
      </c>
      <c r="U2103">
        <v>48.864716000000001</v>
      </c>
      <c r="V2103">
        <v>2.3490139999999999</v>
      </c>
      <c r="W2103" t="str">
        <f t="shared" si="225"/>
        <v>ok</v>
      </c>
      <c r="X2103" t="str">
        <f t="shared" si="231"/>
        <v>ok</v>
      </c>
      <c r="Y2103" t="str">
        <f t="shared" si="226"/>
        <v>ok</v>
      </c>
      <c r="Z2103" t="str">
        <f t="shared" si="227"/>
        <v>ok</v>
      </c>
      <c r="AA2103" s="4" t="str">
        <f t="shared" si="228"/>
        <v>ok</v>
      </c>
      <c r="AB2103" s="4" t="str">
        <f t="shared" si="229"/>
        <v>ok</v>
      </c>
      <c r="AC2103" s="6">
        <f t="shared" si="230"/>
        <v>36.061759166652337</v>
      </c>
    </row>
    <row r="2104" spans="1:29" x14ac:dyDescent="0.3">
      <c r="A2104" t="s">
        <v>22</v>
      </c>
      <c r="B2104">
        <v>3675</v>
      </c>
      <c r="C2104" t="s">
        <v>23</v>
      </c>
      <c r="D2104" t="s">
        <v>24</v>
      </c>
      <c r="E2104" t="s">
        <v>39</v>
      </c>
      <c r="F2104" t="s">
        <v>26</v>
      </c>
      <c r="G2104" t="s">
        <v>45</v>
      </c>
      <c r="H2104" s="1">
        <v>45254.444201388891</v>
      </c>
      <c r="I2104" s="1">
        <v>45256.444201388891</v>
      </c>
      <c r="J2104" s="1">
        <v>45254.485868055555</v>
      </c>
      <c r="K2104" s="2">
        <v>45254.44719677083</v>
      </c>
      <c r="L2104" t="s">
        <v>28</v>
      </c>
      <c r="M2104" s="2">
        <v>45256.017639016201</v>
      </c>
      <c r="N2104" t="s">
        <v>28</v>
      </c>
      <c r="O2104" s="2">
        <v>45260.845366979163</v>
      </c>
      <c r="P2104">
        <v>9</v>
      </c>
      <c r="Q2104">
        <v>2</v>
      </c>
      <c r="R2104" t="s">
        <v>55</v>
      </c>
      <c r="S2104" t="s">
        <v>30</v>
      </c>
      <c r="T2104" t="s">
        <v>56</v>
      </c>
      <c r="U2104">
        <v>52.536273000000001</v>
      </c>
      <c r="V2104">
        <v>19.050639</v>
      </c>
      <c r="W2104" t="str">
        <f t="shared" si="225"/>
        <v>ok</v>
      </c>
      <c r="X2104" t="str">
        <f t="shared" si="231"/>
        <v>ok</v>
      </c>
      <c r="Y2104" t="str">
        <f t="shared" si="226"/>
        <v>ok</v>
      </c>
      <c r="Z2104" t="str">
        <f t="shared" si="227"/>
        <v>ok</v>
      </c>
      <c r="AA2104" s="4" t="str">
        <f t="shared" si="228"/>
        <v>ok</v>
      </c>
      <c r="AB2104" s="4" t="str">
        <f t="shared" si="229"/>
        <v>ok</v>
      </c>
      <c r="AC2104" s="6">
        <f t="shared" si="230"/>
        <v>37.762503055448178</v>
      </c>
    </row>
    <row r="2105" spans="1:29" x14ac:dyDescent="0.3">
      <c r="A2105" t="s">
        <v>42</v>
      </c>
      <c r="B2105">
        <v>3677</v>
      </c>
      <c r="C2105" t="s">
        <v>33</v>
      </c>
      <c r="D2105" t="s">
        <v>24</v>
      </c>
      <c r="E2105" t="s">
        <v>35</v>
      </c>
      <c r="F2105" t="s">
        <v>36</v>
      </c>
      <c r="G2105" t="s">
        <v>54</v>
      </c>
      <c r="H2105" s="1">
        <v>45254.074236111112</v>
      </c>
      <c r="I2105" s="1">
        <v>45256.074236111112</v>
      </c>
      <c r="J2105" s="1">
        <v>45254.115902777776</v>
      </c>
      <c r="K2105" s="2">
        <v>45254.094561493053</v>
      </c>
      <c r="L2105" t="s">
        <v>28</v>
      </c>
      <c r="M2105" s="2">
        <v>45254.381988032408</v>
      </c>
      <c r="N2105" t="s">
        <v>28</v>
      </c>
      <c r="P2105">
        <v>2</v>
      </c>
      <c r="R2105" t="s">
        <v>50</v>
      </c>
      <c r="S2105" t="s">
        <v>40</v>
      </c>
      <c r="T2105" t="s">
        <v>46</v>
      </c>
      <c r="U2105">
        <v>47.696471899999999</v>
      </c>
      <c r="V2105">
        <v>13.3457347</v>
      </c>
      <c r="W2105" t="str">
        <f t="shared" si="225"/>
        <v>ok</v>
      </c>
      <c r="X2105" t="str">
        <f t="shared" si="231"/>
        <v>ok</v>
      </c>
      <c r="Y2105" t="str">
        <f t="shared" si="226"/>
        <v>ok</v>
      </c>
      <c r="Z2105" t="str">
        <f t="shared" si="227"/>
        <v>ok</v>
      </c>
      <c r="AA2105" s="4" t="str">
        <f t="shared" si="228"/>
        <v>ok</v>
      </c>
      <c r="AB2105" s="4" t="str">
        <f t="shared" si="229"/>
        <v>ok</v>
      </c>
      <c r="AC2105" s="6">
        <f t="shared" si="230"/>
        <v>7.3860461111180484</v>
      </c>
    </row>
    <row r="2106" spans="1:29" x14ac:dyDescent="0.3">
      <c r="A2106" t="s">
        <v>22</v>
      </c>
      <c r="B2106">
        <v>3678</v>
      </c>
      <c r="C2106" t="s">
        <v>47</v>
      </c>
      <c r="D2106" t="s">
        <v>24</v>
      </c>
      <c r="E2106" t="s">
        <v>59</v>
      </c>
      <c r="F2106" t="s">
        <v>26</v>
      </c>
      <c r="G2106" t="s">
        <v>60</v>
      </c>
      <c r="H2106" s="1">
        <v>45254.616574074076</v>
      </c>
      <c r="I2106" s="1">
        <v>45256.616574074076</v>
      </c>
      <c r="J2106" s="1">
        <v>45254.65824074074</v>
      </c>
      <c r="K2106" s="2">
        <v>45254.649110405095</v>
      </c>
      <c r="L2106" t="s">
        <v>28</v>
      </c>
      <c r="M2106" s="2">
        <v>45254.877533182873</v>
      </c>
      <c r="N2106" t="s">
        <v>28</v>
      </c>
      <c r="O2106" s="2">
        <v>45259.358785335651</v>
      </c>
      <c r="P2106">
        <v>2</v>
      </c>
      <c r="Q2106">
        <v>3</v>
      </c>
      <c r="R2106" t="s">
        <v>50</v>
      </c>
      <c r="S2106" t="s">
        <v>30</v>
      </c>
      <c r="T2106" t="s">
        <v>57</v>
      </c>
      <c r="U2106">
        <v>51.165691000000002</v>
      </c>
      <c r="V2106">
        <v>10.451525999999999</v>
      </c>
      <c r="W2106" t="str">
        <f t="shared" si="225"/>
        <v>ok</v>
      </c>
      <c r="X2106" t="str">
        <f t="shared" si="231"/>
        <v>ok</v>
      </c>
      <c r="Y2106" t="str">
        <f t="shared" si="226"/>
        <v>ok</v>
      </c>
      <c r="Z2106" t="str">
        <f t="shared" si="227"/>
        <v>ok</v>
      </c>
      <c r="AA2106" s="4" t="str">
        <f t="shared" si="228"/>
        <v>ok</v>
      </c>
      <c r="AB2106" s="4" t="str">
        <f t="shared" si="229"/>
        <v>ok</v>
      </c>
      <c r="AC2106" s="6">
        <f t="shared" si="230"/>
        <v>6.2630186111200601</v>
      </c>
    </row>
    <row r="2107" spans="1:29" x14ac:dyDescent="0.3">
      <c r="A2107" t="s">
        <v>42</v>
      </c>
      <c r="B2107">
        <v>3679</v>
      </c>
      <c r="C2107" t="s">
        <v>47</v>
      </c>
      <c r="D2107" t="s">
        <v>24</v>
      </c>
      <c r="E2107" t="s">
        <v>62</v>
      </c>
      <c r="F2107" t="s">
        <v>36</v>
      </c>
      <c r="G2107" t="s">
        <v>64</v>
      </c>
      <c r="H2107" s="1">
        <v>45254.091226851851</v>
      </c>
      <c r="I2107" s="1">
        <v>45256.091226851851</v>
      </c>
      <c r="J2107" s="1">
        <v>45254.132893518516</v>
      </c>
      <c r="K2107" s="2">
        <v>45254.091756643516</v>
      </c>
      <c r="L2107" t="s">
        <v>28</v>
      </c>
      <c r="M2107" s="2">
        <v>45259.915179421296</v>
      </c>
      <c r="N2107" t="s">
        <v>38</v>
      </c>
      <c r="P2107">
        <v>7</v>
      </c>
      <c r="R2107" t="s">
        <v>55</v>
      </c>
      <c r="S2107" t="s">
        <v>40</v>
      </c>
      <c r="T2107" t="s">
        <v>56</v>
      </c>
      <c r="U2107">
        <v>52.536273000000001</v>
      </c>
      <c r="V2107">
        <v>19.050639</v>
      </c>
      <c r="W2107" t="str">
        <f t="shared" si="225"/>
        <v>ok</v>
      </c>
      <c r="X2107" t="str">
        <f t="shared" si="231"/>
        <v>ok</v>
      </c>
      <c r="Y2107" t="str">
        <f t="shared" si="226"/>
        <v>ok</v>
      </c>
      <c r="Z2107" t="str">
        <f t="shared" si="227"/>
        <v>ok</v>
      </c>
      <c r="AA2107" s="4" t="str">
        <f t="shared" si="228"/>
        <v>ok</v>
      </c>
      <c r="AB2107" s="4" t="str">
        <f t="shared" si="229"/>
        <v>ok</v>
      </c>
      <c r="AC2107" s="6">
        <f t="shared" si="230"/>
        <v>139.77486166666495</v>
      </c>
    </row>
    <row r="2108" spans="1:29" x14ac:dyDescent="0.3">
      <c r="A2108" t="s">
        <v>22</v>
      </c>
      <c r="B2108">
        <v>3680</v>
      </c>
      <c r="C2108" t="s">
        <v>33</v>
      </c>
      <c r="D2108" t="s">
        <v>24</v>
      </c>
      <c r="E2108" t="s">
        <v>39</v>
      </c>
      <c r="F2108" t="s">
        <v>26</v>
      </c>
      <c r="G2108" t="s">
        <v>52</v>
      </c>
      <c r="H2108" s="1">
        <v>45254.983703703707</v>
      </c>
      <c r="I2108" s="1">
        <v>45256.983703703707</v>
      </c>
      <c r="J2108" s="1">
        <v>45255.025370370371</v>
      </c>
      <c r="K2108" s="2">
        <v>45255.023082268519</v>
      </c>
      <c r="L2108" t="s">
        <v>28</v>
      </c>
      <c r="M2108" s="2">
        <v>45255.210144398145</v>
      </c>
      <c r="N2108" t="s">
        <v>28</v>
      </c>
      <c r="O2108" s="2">
        <v>45258.225038865741</v>
      </c>
      <c r="P2108">
        <v>2</v>
      </c>
      <c r="Q2108">
        <v>5</v>
      </c>
      <c r="R2108" t="s">
        <v>55</v>
      </c>
      <c r="S2108" t="s">
        <v>30</v>
      </c>
      <c r="T2108" t="s">
        <v>41</v>
      </c>
      <c r="U2108">
        <v>43.036776000000003</v>
      </c>
      <c r="V2108">
        <v>12.678565000000001</v>
      </c>
      <c r="W2108" t="str">
        <f t="shared" si="225"/>
        <v>ok</v>
      </c>
      <c r="X2108" t="str">
        <f t="shared" si="231"/>
        <v>ok</v>
      </c>
      <c r="Y2108" t="str">
        <f t="shared" si="226"/>
        <v>ok</v>
      </c>
      <c r="Z2108" t="str">
        <f t="shared" si="227"/>
        <v>ok</v>
      </c>
      <c r="AA2108" s="4" t="str">
        <f t="shared" si="228"/>
        <v>ok</v>
      </c>
      <c r="AB2108" s="4" t="str">
        <f t="shared" si="229"/>
        <v>ok</v>
      </c>
      <c r="AC2108" s="6">
        <f t="shared" si="230"/>
        <v>5.434576666506473</v>
      </c>
    </row>
    <row r="2109" spans="1:29" x14ac:dyDescent="0.3">
      <c r="A2109" t="s">
        <v>22</v>
      </c>
      <c r="B2109">
        <v>3681</v>
      </c>
      <c r="C2109" t="s">
        <v>23</v>
      </c>
      <c r="D2109" t="s">
        <v>24</v>
      </c>
      <c r="E2109" t="s">
        <v>48</v>
      </c>
      <c r="F2109" t="s">
        <v>26</v>
      </c>
      <c r="G2109" t="s">
        <v>60</v>
      </c>
      <c r="H2109" s="1">
        <v>45254.435729166667</v>
      </c>
      <c r="I2109" s="1">
        <v>45256.435729166667</v>
      </c>
      <c r="J2109" s="1">
        <v>45254.477395833332</v>
      </c>
      <c r="K2109" s="2">
        <v>45254.463391238423</v>
      </c>
      <c r="L2109" t="s">
        <v>28</v>
      </c>
      <c r="M2109" s="2">
        <v>45259.523009918979</v>
      </c>
      <c r="N2109" t="s">
        <v>38</v>
      </c>
      <c r="O2109" s="2">
        <v>45261.039652916668</v>
      </c>
      <c r="P2109">
        <v>2</v>
      </c>
      <c r="Q2109">
        <v>2</v>
      </c>
      <c r="R2109" t="s">
        <v>29</v>
      </c>
      <c r="S2109" t="s">
        <v>30</v>
      </c>
      <c r="T2109" t="s">
        <v>57</v>
      </c>
      <c r="U2109">
        <v>51.165691000000002</v>
      </c>
      <c r="V2109">
        <v>10.451525999999999</v>
      </c>
      <c r="W2109" t="str">
        <f t="shared" si="225"/>
        <v>ok</v>
      </c>
      <c r="X2109" t="str">
        <f t="shared" si="231"/>
        <v>ok</v>
      </c>
      <c r="Y2109" t="str">
        <f t="shared" si="226"/>
        <v>ok</v>
      </c>
      <c r="Z2109" t="str">
        <f t="shared" si="227"/>
        <v>ok</v>
      </c>
      <c r="AA2109" s="4" t="str">
        <f t="shared" si="228"/>
        <v>ok</v>
      </c>
      <c r="AB2109" s="4" t="str">
        <f t="shared" si="229"/>
        <v>ok</v>
      </c>
      <c r="AC2109" s="6">
        <f t="shared" si="230"/>
        <v>122.09473805548623</v>
      </c>
    </row>
    <row r="2110" spans="1:29" x14ac:dyDescent="0.3">
      <c r="A2110" t="s">
        <v>22</v>
      </c>
      <c r="B2110">
        <v>3682</v>
      </c>
      <c r="C2110" t="s">
        <v>23</v>
      </c>
      <c r="D2110" t="s">
        <v>34</v>
      </c>
      <c r="E2110" t="s">
        <v>25</v>
      </c>
      <c r="F2110" t="s">
        <v>26</v>
      </c>
      <c r="G2110" t="s">
        <v>45</v>
      </c>
      <c r="H2110" s="1">
        <v>45254.471435185187</v>
      </c>
      <c r="I2110" s="1">
        <v>45256.471435185187</v>
      </c>
      <c r="J2110" s="1">
        <v>45254.472824074073</v>
      </c>
      <c r="K2110" s="2">
        <v>45254.474160347221</v>
      </c>
      <c r="L2110" t="s">
        <v>38</v>
      </c>
      <c r="M2110" s="2">
        <v>45255.091627499998</v>
      </c>
      <c r="N2110" t="s">
        <v>28</v>
      </c>
      <c r="O2110" s="2">
        <v>45257.163093298608</v>
      </c>
      <c r="P2110">
        <v>2</v>
      </c>
      <c r="Q2110">
        <v>4</v>
      </c>
      <c r="R2110" t="s">
        <v>29</v>
      </c>
      <c r="S2110" t="s">
        <v>30</v>
      </c>
      <c r="T2110" t="s">
        <v>63</v>
      </c>
      <c r="U2110">
        <v>55.378051999999997</v>
      </c>
      <c r="V2110">
        <v>-3.4359730000000002</v>
      </c>
      <c r="W2110" t="str">
        <f t="shared" si="225"/>
        <v>ok</v>
      </c>
      <c r="X2110" t="str">
        <f t="shared" si="231"/>
        <v>ok</v>
      </c>
      <c r="Y2110" t="str">
        <f t="shared" si="226"/>
        <v>ok</v>
      </c>
      <c r="Z2110" t="str">
        <f t="shared" si="227"/>
        <v>ok</v>
      </c>
      <c r="AA2110" s="4" t="str">
        <f t="shared" si="228"/>
        <v>ok</v>
      </c>
      <c r="AB2110" s="4" t="str">
        <f t="shared" si="229"/>
        <v>ok</v>
      </c>
      <c r="AC2110" s="6">
        <f t="shared" si="230"/>
        <v>14.884615555463824</v>
      </c>
    </row>
    <row r="2111" spans="1:29" x14ac:dyDescent="0.3">
      <c r="A2111" t="s">
        <v>42</v>
      </c>
      <c r="B2111">
        <v>3683</v>
      </c>
      <c r="C2111" t="s">
        <v>23</v>
      </c>
      <c r="D2111" t="s">
        <v>24</v>
      </c>
      <c r="E2111" t="s">
        <v>48</v>
      </c>
      <c r="F2111" t="s">
        <v>26</v>
      </c>
      <c r="G2111" t="s">
        <v>27</v>
      </c>
      <c r="H2111" s="1">
        <v>45254.174988425926</v>
      </c>
      <c r="I2111" s="1">
        <v>45256.174988425926</v>
      </c>
      <c r="J2111" s="1">
        <v>45254.21665509259</v>
      </c>
      <c r="K2111" s="2">
        <v>45254.189657314811</v>
      </c>
      <c r="L2111" t="s">
        <v>28</v>
      </c>
      <c r="M2111" s="2">
        <v>45255.20699309028</v>
      </c>
      <c r="N2111" t="s">
        <v>28</v>
      </c>
      <c r="P2111">
        <v>1</v>
      </c>
      <c r="R2111" t="s">
        <v>50</v>
      </c>
      <c r="S2111" t="s">
        <v>30</v>
      </c>
      <c r="T2111" t="s">
        <v>31</v>
      </c>
      <c r="U2111">
        <v>53.094023999999997</v>
      </c>
      <c r="V2111">
        <v>-8.0196749999999994</v>
      </c>
      <c r="W2111" t="str">
        <f t="shared" si="225"/>
        <v>ok</v>
      </c>
      <c r="X2111" t="str">
        <f t="shared" si="231"/>
        <v>ok</v>
      </c>
      <c r="Y2111" t="str">
        <f t="shared" si="226"/>
        <v>ok</v>
      </c>
      <c r="Z2111" t="str">
        <f t="shared" si="227"/>
        <v>ok</v>
      </c>
      <c r="AA2111" s="4" t="str">
        <f t="shared" si="228"/>
        <v>ok</v>
      </c>
      <c r="AB2111" s="4" t="str">
        <f t="shared" si="229"/>
        <v>ok</v>
      </c>
      <c r="AC2111" s="6">
        <f t="shared" si="230"/>
        <v>24.768111944489647</v>
      </c>
    </row>
    <row r="2112" spans="1:29" x14ac:dyDescent="0.3">
      <c r="A2112" t="s">
        <v>22</v>
      </c>
      <c r="B2112">
        <v>3684</v>
      </c>
      <c r="C2112" t="s">
        <v>23</v>
      </c>
      <c r="D2112" t="s">
        <v>43</v>
      </c>
      <c r="E2112" t="s">
        <v>35</v>
      </c>
      <c r="F2112" t="s">
        <v>36</v>
      </c>
      <c r="G2112" t="s">
        <v>37</v>
      </c>
      <c r="H2112" s="1">
        <v>45254.323923611111</v>
      </c>
      <c r="I2112" s="1">
        <v>45255.323923611111</v>
      </c>
      <c r="J2112" s="1">
        <v>45254.325312499997</v>
      </c>
      <c r="K2112" s="2">
        <v>45254.324160879631</v>
      </c>
      <c r="L2112" t="s">
        <v>28</v>
      </c>
      <c r="M2112" s="2">
        <v>45254.371070879628</v>
      </c>
      <c r="N2112" t="s">
        <v>28</v>
      </c>
      <c r="O2112" s="2">
        <v>45257.106138379633</v>
      </c>
      <c r="P2112">
        <v>6</v>
      </c>
      <c r="Q2112">
        <v>4</v>
      </c>
      <c r="R2112" t="s">
        <v>50</v>
      </c>
      <c r="S2112" t="s">
        <v>40</v>
      </c>
      <c r="T2112" t="s">
        <v>57</v>
      </c>
      <c r="U2112">
        <v>51.165691000000002</v>
      </c>
      <c r="V2112">
        <v>10.451525999999999</v>
      </c>
      <c r="W2112" t="str">
        <f t="shared" si="225"/>
        <v>ok</v>
      </c>
      <c r="X2112" t="str">
        <f t="shared" si="231"/>
        <v>ok</v>
      </c>
      <c r="Y2112" t="str">
        <f t="shared" si="226"/>
        <v>ok</v>
      </c>
      <c r="Z2112" t="str">
        <f t="shared" si="227"/>
        <v>ok</v>
      </c>
      <c r="AA2112" s="4" t="str">
        <f t="shared" si="228"/>
        <v>ok</v>
      </c>
      <c r="AB2112" s="4" t="str">
        <f t="shared" si="229"/>
        <v>ok</v>
      </c>
      <c r="AC2112" s="6">
        <f t="shared" si="230"/>
        <v>1.1315344444010407</v>
      </c>
    </row>
    <row r="2113" spans="1:29" x14ac:dyDescent="0.3">
      <c r="A2113" t="s">
        <v>42</v>
      </c>
      <c r="B2113">
        <v>3685</v>
      </c>
      <c r="C2113" t="s">
        <v>23</v>
      </c>
      <c r="D2113" t="s">
        <v>43</v>
      </c>
      <c r="E2113" t="s">
        <v>35</v>
      </c>
      <c r="F2113" t="s">
        <v>26</v>
      </c>
      <c r="G2113" t="s">
        <v>27</v>
      </c>
      <c r="H2113" s="1">
        <v>45254.65662037037</v>
      </c>
      <c r="I2113" s="1">
        <v>45255.65662037037</v>
      </c>
      <c r="J2113" s="1">
        <v>45254.658009259256</v>
      </c>
      <c r="K2113" s="2">
        <v>45254.658100752313</v>
      </c>
      <c r="L2113" t="s">
        <v>38</v>
      </c>
      <c r="M2113" s="2">
        <v>45257.096167141201</v>
      </c>
      <c r="N2113" t="s">
        <v>38</v>
      </c>
      <c r="P2113">
        <v>5</v>
      </c>
      <c r="R2113" t="s">
        <v>50</v>
      </c>
      <c r="S2113" t="s">
        <v>30</v>
      </c>
      <c r="T2113" t="s">
        <v>41</v>
      </c>
      <c r="U2113">
        <v>43.036776000000003</v>
      </c>
      <c r="V2113">
        <v>12.678565000000001</v>
      </c>
      <c r="W2113" t="str">
        <f t="shared" si="225"/>
        <v>ok</v>
      </c>
      <c r="X2113" t="str">
        <f t="shared" si="231"/>
        <v>ok</v>
      </c>
      <c r="Y2113" t="str">
        <f t="shared" si="226"/>
        <v>ok</v>
      </c>
      <c r="Z2113" t="str">
        <f t="shared" si="227"/>
        <v>ok</v>
      </c>
      <c r="AA2113" s="4" t="str">
        <f t="shared" si="228"/>
        <v>ok</v>
      </c>
      <c r="AB2113" s="4" t="str">
        <f t="shared" si="229"/>
        <v>ok</v>
      </c>
      <c r="AC2113" s="6">
        <f t="shared" si="230"/>
        <v>58.549122499942314</v>
      </c>
    </row>
    <row r="2114" spans="1:29" x14ac:dyDescent="0.3">
      <c r="A2114" t="s">
        <v>22</v>
      </c>
      <c r="B2114">
        <v>3686</v>
      </c>
      <c r="C2114" t="s">
        <v>23</v>
      </c>
      <c r="D2114" t="s">
        <v>43</v>
      </c>
      <c r="E2114" t="s">
        <v>59</v>
      </c>
      <c r="F2114" t="s">
        <v>26</v>
      </c>
      <c r="G2114" t="s">
        <v>27</v>
      </c>
      <c r="H2114" s="1">
        <v>45255.794178240743</v>
      </c>
      <c r="I2114" s="1">
        <v>45256.794178240743</v>
      </c>
      <c r="J2114" s="1">
        <v>45255.795567129629</v>
      </c>
      <c r="K2114" s="2">
        <v>45255.794240347219</v>
      </c>
      <c r="L2114" t="s">
        <v>28</v>
      </c>
      <c r="M2114" s="2">
        <v>45255.915910717595</v>
      </c>
      <c r="N2114" t="s">
        <v>28</v>
      </c>
      <c r="O2114" s="2">
        <v>45261.345700335645</v>
      </c>
      <c r="P2114">
        <v>2</v>
      </c>
      <c r="Q2114">
        <v>4</v>
      </c>
      <c r="R2114" t="s">
        <v>50</v>
      </c>
      <c r="S2114" t="s">
        <v>30</v>
      </c>
      <c r="T2114" t="s">
        <v>57</v>
      </c>
      <c r="U2114">
        <v>51.165691000000002</v>
      </c>
      <c r="V2114">
        <v>10.451525999999999</v>
      </c>
      <c r="W2114" t="str">
        <f t="shared" ref="W2114:W2177" si="232">IF(K2114&lt;H2114,"check","ok")</f>
        <v>ok</v>
      </c>
      <c r="X2114" t="str">
        <f t="shared" si="231"/>
        <v>ok</v>
      </c>
      <c r="Y2114" t="str">
        <f t="shared" ref="Y2114:Y2177" si="233">IF(AND(M2114&lt;&gt;"",O2114&lt;&gt;"",O2114&lt;M2114),"check","ok")</f>
        <v>ok</v>
      </c>
      <c r="Z2114" t="str">
        <f t="shared" ref="Z2114:Z2177" si="234">IF(AND(OR(CA2114="Closed",A2114="Resolved"),M2114=""),"check","ok")</f>
        <v>ok</v>
      </c>
      <c r="AA2114" s="4" t="str">
        <f t="shared" ref="AA2114:AA2177" si="235">IF(K2114="","no response",IF(OR(AND(K2114&lt;=J2114,L2114="Within SLA"),AND(K2114&gt;J2114,L2114="SLA Violated")),"ok","check"))</f>
        <v>ok</v>
      </c>
      <c r="AB2114" s="4" t="str">
        <f t="shared" ref="AB2114:AB2177" si="236">IF(M2114="","no resolution",IF(OR(AND(M2114&lt;=I2114,N2114="Within SLA"),AND(M2114&gt;I2114,N2114="SLA Violated")),"ok","check"))</f>
        <v>ok</v>
      </c>
      <c r="AC2114" s="6">
        <f t="shared" ref="AC2114:AC2177" si="237">IF(M2114="","",(M2114-H2114)*24)</f>
        <v>2.9215794444316998</v>
      </c>
    </row>
    <row r="2115" spans="1:29" x14ac:dyDescent="0.3">
      <c r="A2115" t="s">
        <v>42</v>
      </c>
      <c r="B2115">
        <v>3693</v>
      </c>
      <c r="C2115" t="s">
        <v>33</v>
      </c>
      <c r="D2115" t="s">
        <v>43</v>
      </c>
      <c r="E2115" t="s">
        <v>59</v>
      </c>
      <c r="F2115" t="s">
        <v>26</v>
      </c>
      <c r="G2115" t="s">
        <v>27</v>
      </c>
      <c r="H2115" s="1">
        <v>45255.470011574071</v>
      </c>
      <c r="I2115" s="1">
        <v>45256.470011574071</v>
      </c>
      <c r="J2115" s="1">
        <v>45255.471400462964</v>
      </c>
      <c r="K2115" s="2">
        <v>45255.470624814814</v>
      </c>
      <c r="L2115" t="s">
        <v>28</v>
      </c>
      <c r="M2115" s="2">
        <v>45255.986140821762</v>
      </c>
      <c r="N2115" t="s">
        <v>28</v>
      </c>
      <c r="P2115">
        <v>60</v>
      </c>
      <c r="R2115" t="s">
        <v>50</v>
      </c>
      <c r="S2115" t="s">
        <v>30</v>
      </c>
      <c r="T2115" t="s">
        <v>58</v>
      </c>
      <c r="U2115">
        <v>49.8037633</v>
      </c>
      <c r="V2115">
        <v>15.4749126</v>
      </c>
      <c r="W2115" t="str">
        <f t="shared" si="232"/>
        <v>ok</v>
      </c>
      <c r="X2115" t="str">
        <f t="shared" ref="X2115:X2178" si="238">IF(AND(M2115&lt;&gt;"",M2115&lt;H2115),"check","ok")</f>
        <v>ok</v>
      </c>
      <c r="Y2115" t="str">
        <f t="shared" si="233"/>
        <v>ok</v>
      </c>
      <c r="Z2115" t="str">
        <f t="shared" si="234"/>
        <v>ok</v>
      </c>
      <c r="AA2115" s="4" t="str">
        <f t="shared" si="235"/>
        <v>ok</v>
      </c>
      <c r="AB2115" s="4" t="str">
        <f t="shared" si="236"/>
        <v>ok</v>
      </c>
      <c r="AC2115" s="6">
        <f t="shared" si="237"/>
        <v>12.387101944594178</v>
      </c>
    </row>
    <row r="2116" spans="1:29" x14ac:dyDescent="0.3">
      <c r="A2116" t="s">
        <v>32</v>
      </c>
      <c r="B2116">
        <v>3695</v>
      </c>
      <c r="C2116" t="s">
        <v>23</v>
      </c>
      <c r="D2116" t="s">
        <v>43</v>
      </c>
      <c r="E2116" t="s">
        <v>25</v>
      </c>
      <c r="F2116" t="s">
        <v>26</v>
      </c>
      <c r="G2116" t="s">
        <v>60</v>
      </c>
      <c r="H2116" s="1">
        <v>45256.701168981483</v>
      </c>
      <c r="I2116" s="1">
        <v>45257.701168981483</v>
      </c>
      <c r="J2116" s="1">
        <v>45256.702557870369</v>
      </c>
      <c r="K2116" s="2">
        <v>45256.702134525462</v>
      </c>
      <c r="L2116" t="s">
        <v>28</v>
      </c>
      <c r="N2116" t="s">
        <v>38</v>
      </c>
      <c r="P2116">
        <v>6</v>
      </c>
      <c r="R2116" t="s">
        <v>50</v>
      </c>
      <c r="S2116" t="s">
        <v>30</v>
      </c>
      <c r="T2116" t="s">
        <v>56</v>
      </c>
      <c r="U2116">
        <v>52.536273000000001</v>
      </c>
      <c r="V2116">
        <v>19.050639</v>
      </c>
      <c r="W2116" t="str">
        <f t="shared" si="232"/>
        <v>ok</v>
      </c>
      <c r="X2116" t="str">
        <f t="shared" si="238"/>
        <v>ok</v>
      </c>
      <c r="Y2116" t="str">
        <f t="shared" si="233"/>
        <v>ok</v>
      </c>
      <c r="Z2116" t="str">
        <f t="shared" si="234"/>
        <v>ok</v>
      </c>
      <c r="AA2116" s="4" t="str">
        <f t="shared" si="235"/>
        <v>ok</v>
      </c>
      <c r="AB2116" s="4" t="str">
        <f t="shared" si="236"/>
        <v>no resolution</v>
      </c>
      <c r="AC2116" s="6" t="str">
        <f t="shared" si="237"/>
        <v/>
      </c>
    </row>
    <row r="2117" spans="1:29" x14ac:dyDescent="0.3">
      <c r="A2117" t="s">
        <v>22</v>
      </c>
      <c r="B2117">
        <v>3696</v>
      </c>
      <c r="C2117" t="s">
        <v>23</v>
      </c>
      <c r="D2117" t="s">
        <v>43</v>
      </c>
      <c r="E2117" t="s">
        <v>35</v>
      </c>
      <c r="F2117" t="s">
        <v>36</v>
      </c>
      <c r="G2117" t="s">
        <v>37</v>
      </c>
      <c r="H2117" s="1">
        <v>45256.091469907406</v>
      </c>
      <c r="I2117" s="1">
        <v>45257.091469907406</v>
      </c>
      <c r="J2117" s="1">
        <v>45256.092858796299</v>
      </c>
      <c r="K2117" s="2">
        <v>45256.09266746528</v>
      </c>
      <c r="L2117" t="s">
        <v>28</v>
      </c>
      <c r="M2117" s="2">
        <v>45256.758529270832</v>
      </c>
      <c r="N2117" t="s">
        <v>28</v>
      </c>
      <c r="O2117" s="2">
        <v>45258.586765763888</v>
      </c>
      <c r="P2117">
        <v>2</v>
      </c>
      <c r="Q2117">
        <v>5</v>
      </c>
      <c r="R2117" t="s">
        <v>29</v>
      </c>
      <c r="S2117" t="s">
        <v>40</v>
      </c>
      <c r="T2117" t="s">
        <v>46</v>
      </c>
      <c r="U2117">
        <v>47.696471899999999</v>
      </c>
      <c r="V2117">
        <v>13.3457347</v>
      </c>
      <c r="W2117" t="str">
        <f t="shared" si="232"/>
        <v>ok</v>
      </c>
      <c r="X2117" t="str">
        <f t="shared" si="238"/>
        <v>ok</v>
      </c>
      <c r="Y2117" t="str">
        <f t="shared" si="233"/>
        <v>ok</v>
      </c>
      <c r="Z2117" t="str">
        <f t="shared" si="234"/>
        <v>ok</v>
      </c>
      <c r="AA2117" s="4" t="str">
        <f t="shared" si="235"/>
        <v>ok</v>
      </c>
      <c r="AB2117" s="4" t="str">
        <f t="shared" si="236"/>
        <v>ok</v>
      </c>
      <c r="AC2117" s="6">
        <f t="shared" si="237"/>
        <v>16.009424722229596</v>
      </c>
    </row>
    <row r="2118" spans="1:29" x14ac:dyDescent="0.3">
      <c r="A2118" t="s">
        <v>22</v>
      </c>
      <c r="B2118">
        <v>3697</v>
      </c>
      <c r="C2118" t="s">
        <v>47</v>
      </c>
      <c r="D2118" t="s">
        <v>24</v>
      </c>
      <c r="E2118" t="s">
        <v>35</v>
      </c>
      <c r="F2118" t="s">
        <v>36</v>
      </c>
      <c r="G2118" t="s">
        <v>54</v>
      </c>
      <c r="H2118" s="1">
        <v>45257.619074074071</v>
      </c>
      <c r="I2118" s="1">
        <v>45259.619074074071</v>
      </c>
      <c r="J2118" s="1">
        <v>45257.660740740743</v>
      </c>
      <c r="K2118" s="2">
        <v>45257.622614942127</v>
      </c>
      <c r="L2118" t="s">
        <v>28</v>
      </c>
      <c r="M2118" s="2">
        <v>45258.220763530095</v>
      </c>
      <c r="N2118" t="s">
        <v>28</v>
      </c>
      <c r="O2118" s="2">
        <v>45259.63813486111</v>
      </c>
      <c r="P2118">
        <v>1</v>
      </c>
      <c r="Q2118">
        <v>1</v>
      </c>
      <c r="R2118" t="s">
        <v>50</v>
      </c>
      <c r="S2118" t="s">
        <v>40</v>
      </c>
      <c r="T2118" t="s">
        <v>66</v>
      </c>
      <c r="U2118">
        <v>48.864716000000001</v>
      </c>
      <c r="V2118">
        <v>2.3490139999999999</v>
      </c>
      <c r="W2118" t="str">
        <f t="shared" si="232"/>
        <v>ok</v>
      </c>
      <c r="X2118" t="str">
        <f t="shared" si="238"/>
        <v>ok</v>
      </c>
      <c r="Y2118" t="str">
        <f t="shared" si="233"/>
        <v>ok</v>
      </c>
      <c r="Z2118" t="str">
        <f t="shared" si="234"/>
        <v>ok</v>
      </c>
      <c r="AA2118" s="4" t="str">
        <f t="shared" si="235"/>
        <v>ok</v>
      </c>
      <c r="AB2118" s="4" t="str">
        <f t="shared" si="236"/>
        <v>ok</v>
      </c>
      <c r="AC2118" s="6">
        <f t="shared" si="237"/>
        <v>14.440546944562811</v>
      </c>
    </row>
    <row r="2119" spans="1:29" x14ac:dyDescent="0.3">
      <c r="A2119" t="s">
        <v>22</v>
      </c>
      <c r="B2119">
        <v>3698</v>
      </c>
      <c r="C2119" t="s">
        <v>33</v>
      </c>
      <c r="D2119" t="s">
        <v>24</v>
      </c>
      <c r="E2119" t="s">
        <v>35</v>
      </c>
      <c r="F2119" t="s">
        <v>26</v>
      </c>
      <c r="G2119" t="s">
        <v>52</v>
      </c>
      <c r="H2119" s="1">
        <v>45257.392939814818</v>
      </c>
      <c r="I2119" s="1">
        <v>45259.392939814818</v>
      </c>
      <c r="J2119" s="1">
        <v>45257.434606481482</v>
      </c>
      <c r="K2119" s="2">
        <v>45257.431700613422</v>
      </c>
      <c r="L2119" t="s">
        <v>28</v>
      </c>
      <c r="M2119" s="2">
        <v>45259.657871423609</v>
      </c>
      <c r="N2119" t="s">
        <v>38</v>
      </c>
      <c r="O2119" s="2">
        <v>45261.613489780095</v>
      </c>
      <c r="P2119">
        <v>4</v>
      </c>
      <c r="Q2119">
        <v>4</v>
      </c>
      <c r="R2119" t="s">
        <v>50</v>
      </c>
      <c r="S2119" t="s">
        <v>30</v>
      </c>
      <c r="T2119" t="s">
        <v>41</v>
      </c>
      <c r="U2119">
        <v>43.036776000000003</v>
      </c>
      <c r="V2119">
        <v>12.678565000000001</v>
      </c>
      <c r="W2119" t="str">
        <f t="shared" si="232"/>
        <v>ok</v>
      </c>
      <c r="X2119" t="str">
        <f t="shared" si="238"/>
        <v>ok</v>
      </c>
      <c r="Y2119" t="str">
        <f t="shared" si="233"/>
        <v>ok</v>
      </c>
      <c r="Z2119" t="str">
        <f t="shared" si="234"/>
        <v>ok</v>
      </c>
      <c r="AA2119" s="4" t="str">
        <f t="shared" si="235"/>
        <v>ok</v>
      </c>
      <c r="AB2119" s="4" t="str">
        <f t="shared" si="236"/>
        <v>ok</v>
      </c>
      <c r="AC2119" s="6">
        <f t="shared" si="237"/>
        <v>54.358358611003496</v>
      </c>
    </row>
    <row r="2120" spans="1:29" x14ac:dyDescent="0.3">
      <c r="A2120" t="s">
        <v>42</v>
      </c>
      <c r="B2120">
        <v>3699</v>
      </c>
      <c r="C2120" t="s">
        <v>47</v>
      </c>
      <c r="D2120" t="s">
        <v>24</v>
      </c>
      <c r="E2120" t="s">
        <v>59</v>
      </c>
      <c r="F2120" t="s">
        <v>36</v>
      </c>
      <c r="G2120" t="s">
        <v>37</v>
      </c>
      <c r="H2120" s="1">
        <v>45257.142199074071</v>
      </c>
      <c r="I2120" s="1">
        <v>45259.142199074071</v>
      </c>
      <c r="J2120" s="1">
        <v>45257.183865740742</v>
      </c>
      <c r="K2120" s="2">
        <v>45257.182322986111</v>
      </c>
      <c r="L2120" t="s">
        <v>28</v>
      </c>
      <c r="M2120" s="2">
        <v>45260.78702502315</v>
      </c>
      <c r="N2120" t="s">
        <v>38</v>
      </c>
      <c r="P2120">
        <v>5</v>
      </c>
      <c r="R2120" t="s">
        <v>29</v>
      </c>
      <c r="S2120" t="s">
        <v>40</v>
      </c>
      <c r="T2120" t="s">
        <v>63</v>
      </c>
      <c r="U2120">
        <v>55.378051999999997</v>
      </c>
      <c r="V2120">
        <v>-3.4359730000000002</v>
      </c>
      <c r="W2120" t="str">
        <f t="shared" si="232"/>
        <v>ok</v>
      </c>
      <c r="X2120" t="str">
        <f t="shared" si="238"/>
        <v>ok</v>
      </c>
      <c r="Y2120" t="str">
        <f t="shared" si="233"/>
        <v>ok</v>
      </c>
      <c r="Z2120" t="str">
        <f t="shared" si="234"/>
        <v>ok</v>
      </c>
      <c r="AA2120" s="4" t="str">
        <f t="shared" si="235"/>
        <v>ok</v>
      </c>
      <c r="AB2120" s="4" t="str">
        <f t="shared" si="236"/>
        <v>ok</v>
      </c>
      <c r="AC2120" s="6">
        <f t="shared" si="237"/>
        <v>87.475822777894791</v>
      </c>
    </row>
    <row r="2121" spans="1:29" x14ac:dyDescent="0.3">
      <c r="A2121" t="s">
        <v>32</v>
      </c>
      <c r="B2121">
        <v>3700</v>
      </c>
      <c r="C2121" t="s">
        <v>33</v>
      </c>
      <c r="D2121" t="s">
        <v>43</v>
      </c>
      <c r="E2121" t="s">
        <v>25</v>
      </c>
      <c r="F2121" t="s">
        <v>26</v>
      </c>
      <c r="G2121" t="s">
        <v>45</v>
      </c>
      <c r="H2121" s="1">
        <v>45257.291886574072</v>
      </c>
      <c r="I2121" s="1">
        <v>45258.291886574072</v>
      </c>
      <c r="J2121" s="1">
        <v>45257.293275462966</v>
      </c>
      <c r="K2121" s="2">
        <v>45257.295796122686</v>
      </c>
      <c r="L2121" t="s">
        <v>38</v>
      </c>
      <c r="N2121" t="s">
        <v>38</v>
      </c>
      <c r="P2121">
        <v>6</v>
      </c>
      <c r="R2121" t="s">
        <v>29</v>
      </c>
      <c r="S2121" t="s">
        <v>30</v>
      </c>
      <c r="T2121" t="s">
        <v>41</v>
      </c>
      <c r="U2121">
        <v>43.036776000000003</v>
      </c>
      <c r="V2121">
        <v>12.678565000000001</v>
      </c>
      <c r="W2121" t="str">
        <f t="shared" si="232"/>
        <v>ok</v>
      </c>
      <c r="X2121" t="str">
        <f t="shared" si="238"/>
        <v>ok</v>
      </c>
      <c r="Y2121" t="str">
        <f t="shared" si="233"/>
        <v>ok</v>
      </c>
      <c r="Z2121" t="str">
        <f t="shared" si="234"/>
        <v>ok</v>
      </c>
      <c r="AA2121" s="4" t="str">
        <f t="shared" si="235"/>
        <v>ok</v>
      </c>
      <c r="AB2121" s="4" t="str">
        <f t="shared" si="236"/>
        <v>no resolution</v>
      </c>
      <c r="AC2121" s="6" t="str">
        <f t="shared" si="237"/>
        <v/>
      </c>
    </row>
    <row r="2122" spans="1:29" x14ac:dyDescent="0.3">
      <c r="A2122" t="s">
        <v>22</v>
      </c>
      <c r="B2122">
        <v>3701</v>
      </c>
      <c r="C2122" t="s">
        <v>33</v>
      </c>
      <c r="D2122" t="s">
        <v>24</v>
      </c>
      <c r="E2122" t="s">
        <v>44</v>
      </c>
      <c r="F2122" t="s">
        <v>26</v>
      </c>
      <c r="G2122" t="s">
        <v>60</v>
      </c>
      <c r="H2122" s="1">
        <v>45257.612476851849</v>
      </c>
      <c r="I2122" s="1">
        <v>45259.612476851849</v>
      </c>
      <c r="J2122" s="1">
        <v>45257.654143518521</v>
      </c>
      <c r="K2122" s="2">
        <v>45257.652672581018</v>
      </c>
      <c r="L2122" t="s">
        <v>28</v>
      </c>
      <c r="M2122" s="2">
        <v>45259.464440856478</v>
      </c>
      <c r="N2122" t="s">
        <v>28</v>
      </c>
      <c r="O2122" s="2">
        <v>45262.840252511574</v>
      </c>
      <c r="P2122">
        <v>5</v>
      </c>
      <c r="Q2122">
        <v>4</v>
      </c>
      <c r="R2122" t="s">
        <v>29</v>
      </c>
      <c r="S2122" t="s">
        <v>30</v>
      </c>
      <c r="T2122" t="s">
        <v>63</v>
      </c>
      <c r="U2122">
        <v>55.378051999999997</v>
      </c>
      <c r="V2122">
        <v>-3.4359730000000002</v>
      </c>
      <c r="W2122" t="str">
        <f t="shared" si="232"/>
        <v>ok</v>
      </c>
      <c r="X2122" t="str">
        <f t="shared" si="238"/>
        <v>ok</v>
      </c>
      <c r="Y2122" t="str">
        <f t="shared" si="233"/>
        <v>ok</v>
      </c>
      <c r="Z2122" t="str">
        <f t="shared" si="234"/>
        <v>ok</v>
      </c>
      <c r="AA2122" s="4" t="str">
        <f t="shared" si="235"/>
        <v>ok</v>
      </c>
      <c r="AB2122" s="4" t="str">
        <f t="shared" si="236"/>
        <v>ok</v>
      </c>
      <c r="AC2122" s="6">
        <f t="shared" si="237"/>
        <v>44.447136111091822</v>
      </c>
    </row>
    <row r="2123" spans="1:29" x14ac:dyDescent="0.3">
      <c r="A2123" t="s">
        <v>22</v>
      </c>
      <c r="B2123">
        <v>3703</v>
      </c>
      <c r="C2123" t="s">
        <v>23</v>
      </c>
      <c r="D2123" t="s">
        <v>24</v>
      </c>
      <c r="E2123" t="s">
        <v>67</v>
      </c>
      <c r="F2123" t="s">
        <v>26</v>
      </c>
      <c r="G2123" t="s">
        <v>60</v>
      </c>
      <c r="H2123" s="1">
        <v>45257.864027777781</v>
      </c>
      <c r="I2123" s="1">
        <v>45259.864027777781</v>
      </c>
      <c r="J2123" s="1">
        <v>45257.905694444446</v>
      </c>
      <c r="K2123" s="2">
        <v>45257.884906261577</v>
      </c>
      <c r="L2123" t="s">
        <v>28</v>
      </c>
      <c r="M2123" s="2">
        <v>45258.553821365742</v>
      </c>
      <c r="N2123" t="s">
        <v>28</v>
      </c>
      <c r="O2123" s="2">
        <v>45264.005505659719</v>
      </c>
      <c r="P2123">
        <v>1</v>
      </c>
      <c r="Q2123">
        <v>4</v>
      </c>
      <c r="R2123" t="s">
        <v>29</v>
      </c>
      <c r="S2123" t="s">
        <v>30</v>
      </c>
      <c r="T2123" t="s">
        <v>63</v>
      </c>
      <c r="U2123">
        <v>55.378051999999997</v>
      </c>
      <c r="V2123">
        <v>-3.4359730000000002</v>
      </c>
      <c r="W2123" t="str">
        <f t="shared" si="232"/>
        <v>ok</v>
      </c>
      <c r="X2123" t="str">
        <f t="shared" si="238"/>
        <v>ok</v>
      </c>
      <c r="Y2123" t="str">
        <f t="shared" si="233"/>
        <v>ok</v>
      </c>
      <c r="Z2123" t="str">
        <f t="shared" si="234"/>
        <v>ok</v>
      </c>
      <c r="AA2123" s="4" t="str">
        <f t="shared" si="235"/>
        <v>ok</v>
      </c>
      <c r="AB2123" s="4" t="str">
        <f t="shared" si="236"/>
        <v>ok</v>
      </c>
      <c r="AC2123" s="6">
        <f t="shared" si="237"/>
        <v>16.555046111054253</v>
      </c>
    </row>
    <row r="2124" spans="1:29" x14ac:dyDescent="0.3">
      <c r="A2124" t="s">
        <v>42</v>
      </c>
      <c r="B2124">
        <v>3704</v>
      </c>
      <c r="C2124" t="s">
        <v>33</v>
      </c>
      <c r="D2124" t="s">
        <v>43</v>
      </c>
      <c r="E2124" t="s">
        <v>35</v>
      </c>
      <c r="F2124" t="s">
        <v>36</v>
      </c>
      <c r="G2124" t="s">
        <v>54</v>
      </c>
      <c r="H2124" s="1">
        <v>45257.271689814814</v>
      </c>
      <c r="I2124" s="1">
        <v>45258.271689814814</v>
      </c>
      <c r="J2124" s="1">
        <v>45257.273078703707</v>
      </c>
      <c r="K2124" s="2">
        <v>45257.272145104165</v>
      </c>
      <c r="L2124" t="s">
        <v>28</v>
      </c>
      <c r="M2124" s="2">
        <v>45262.231369861111</v>
      </c>
      <c r="N2124" t="s">
        <v>38</v>
      </c>
      <c r="P2124">
        <v>2</v>
      </c>
      <c r="R2124" t="s">
        <v>50</v>
      </c>
      <c r="S2124" t="s">
        <v>40</v>
      </c>
      <c r="T2124" t="s">
        <v>41</v>
      </c>
      <c r="U2124">
        <v>43.036776000000003</v>
      </c>
      <c r="V2124">
        <v>12.678565000000001</v>
      </c>
      <c r="W2124" t="str">
        <f t="shared" si="232"/>
        <v>ok</v>
      </c>
      <c r="X2124" t="str">
        <f t="shared" si="238"/>
        <v>ok</v>
      </c>
      <c r="Y2124" t="str">
        <f t="shared" si="233"/>
        <v>ok</v>
      </c>
      <c r="Z2124" t="str">
        <f t="shared" si="234"/>
        <v>ok</v>
      </c>
      <c r="AA2124" s="4" t="str">
        <f t="shared" si="235"/>
        <v>ok</v>
      </c>
      <c r="AB2124" s="4" t="str">
        <f t="shared" si="236"/>
        <v>ok</v>
      </c>
      <c r="AC2124" s="6">
        <f t="shared" si="237"/>
        <v>119.03232111112447</v>
      </c>
    </row>
    <row r="2125" spans="1:29" x14ac:dyDescent="0.3">
      <c r="A2125" t="s">
        <v>22</v>
      </c>
      <c r="B2125">
        <v>3705</v>
      </c>
      <c r="C2125" t="s">
        <v>23</v>
      </c>
      <c r="D2125" t="s">
        <v>43</v>
      </c>
      <c r="E2125" t="s">
        <v>44</v>
      </c>
      <c r="F2125" t="s">
        <v>26</v>
      </c>
      <c r="G2125" t="s">
        <v>52</v>
      </c>
      <c r="H2125" s="1">
        <v>45257.170578703706</v>
      </c>
      <c r="I2125" s="1">
        <v>45258.170578703706</v>
      </c>
      <c r="J2125" s="1">
        <v>45257.171967592592</v>
      </c>
      <c r="K2125" s="2">
        <v>45257.17107704861</v>
      </c>
      <c r="L2125" t="s">
        <v>28</v>
      </c>
      <c r="M2125" s="2">
        <v>45258.075367488425</v>
      </c>
      <c r="N2125" t="s">
        <v>28</v>
      </c>
      <c r="O2125" s="2">
        <v>45259.466621250001</v>
      </c>
      <c r="P2125">
        <v>6</v>
      </c>
      <c r="Q2125">
        <v>2</v>
      </c>
      <c r="R2125" t="s">
        <v>39</v>
      </c>
      <c r="S2125" t="s">
        <v>30</v>
      </c>
      <c r="T2125" t="s">
        <v>56</v>
      </c>
      <c r="U2125">
        <v>52.536273000000001</v>
      </c>
      <c r="V2125">
        <v>19.050639</v>
      </c>
      <c r="W2125" t="str">
        <f t="shared" si="232"/>
        <v>ok</v>
      </c>
      <c r="X2125" t="str">
        <f t="shared" si="238"/>
        <v>ok</v>
      </c>
      <c r="Y2125" t="str">
        <f t="shared" si="233"/>
        <v>ok</v>
      </c>
      <c r="Z2125" t="str">
        <f t="shared" si="234"/>
        <v>ok</v>
      </c>
      <c r="AA2125" s="4" t="str">
        <f t="shared" si="235"/>
        <v>ok</v>
      </c>
      <c r="AB2125" s="4" t="str">
        <f t="shared" si="236"/>
        <v>ok</v>
      </c>
      <c r="AC2125" s="6">
        <f t="shared" si="237"/>
        <v>21.714930833259132</v>
      </c>
    </row>
    <row r="2126" spans="1:29" x14ac:dyDescent="0.3">
      <c r="A2126" t="s">
        <v>22</v>
      </c>
      <c r="B2126">
        <v>3706</v>
      </c>
      <c r="C2126" t="s">
        <v>23</v>
      </c>
      <c r="D2126" t="s">
        <v>24</v>
      </c>
      <c r="E2126" t="s">
        <v>59</v>
      </c>
      <c r="F2126" t="s">
        <v>26</v>
      </c>
      <c r="G2126" t="s">
        <v>45</v>
      </c>
      <c r="H2126" s="1">
        <v>45257.066550925927</v>
      </c>
      <c r="I2126" s="1">
        <v>45259.066550925927</v>
      </c>
      <c r="J2126" s="1">
        <v>45257.108217592591</v>
      </c>
      <c r="K2126" s="2">
        <v>45257.099440451391</v>
      </c>
      <c r="L2126" t="s">
        <v>28</v>
      </c>
      <c r="M2126" s="2">
        <v>45257.172076122682</v>
      </c>
      <c r="N2126" t="s">
        <v>28</v>
      </c>
      <c r="O2126" s="2">
        <v>45261.481939201389</v>
      </c>
      <c r="P2126">
        <v>5</v>
      </c>
      <c r="Q2126">
        <v>2</v>
      </c>
      <c r="R2126" t="s">
        <v>55</v>
      </c>
      <c r="S2126" t="s">
        <v>30</v>
      </c>
      <c r="T2126" t="s">
        <v>57</v>
      </c>
      <c r="U2126">
        <v>51.165691000000002</v>
      </c>
      <c r="V2126">
        <v>10.451525999999999</v>
      </c>
      <c r="W2126" t="str">
        <f t="shared" si="232"/>
        <v>ok</v>
      </c>
      <c r="X2126" t="str">
        <f t="shared" si="238"/>
        <v>ok</v>
      </c>
      <c r="Y2126" t="str">
        <f t="shared" si="233"/>
        <v>ok</v>
      </c>
      <c r="Z2126" t="str">
        <f t="shared" si="234"/>
        <v>ok</v>
      </c>
      <c r="AA2126" s="4" t="str">
        <f t="shared" si="235"/>
        <v>ok</v>
      </c>
      <c r="AB2126" s="4" t="str">
        <f t="shared" si="236"/>
        <v>ok</v>
      </c>
      <c r="AC2126" s="6">
        <f t="shared" si="237"/>
        <v>2.5326047221315093</v>
      </c>
    </row>
    <row r="2127" spans="1:29" x14ac:dyDescent="0.3">
      <c r="A2127" t="s">
        <v>42</v>
      </c>
      <c r="B2127">
        <v>3707</v>
      </c>
      <c r="C2127" t="s">
        <v>23</v>
      </c>
      <c r="D2127" t="s">
        <v>24</v>
      </c>
      <c r="E2127" t="s">
        <v>35</v>
      </c>
      <c r="F2127" t="s">
        <v>26</v>
      </c>
      <c r="G2127" t="s">
        <v>52</v>
      </c>
      <c r="H2127" s="1">
        <v>45258.076597222222</v>
      </c>
      <c r="I2127" s="1">
        <v>45260.076597222222</v>
      </c>
      <c r="J2127" s="1">
        <v>45258.118263888886</v>
      </c>
      <c r="K2127" s="2">
        <v>45258.101720115737</v>
      </c>
      <c r="L2127" t="s">
        <v>28</v>
      </c>
      <c r="M2127" s="2">
        <v>45263.606222071758</v>
      </c>
      <c r="N2127" t="s">
        <v>38</v>
      </c>
      <c r="P2127">
        <v>4</v>
      </c>
      <c r="R2127" t="s">
        <v>50</v>
      </c>
      <c r="S2127" t="s">
        <v>30</v>
      </c>
      <c r="T2127" t="s">
        <v>41</v>
      </c>
      <c r="U2127">
        <v>43.036776000000003</v>
      </c>
      <c r="V2127">
        <v>12.678565000000001</v>
      </c>
      <c r="W2127" t="str">
        <f t="shared" si="232"/>
        <v>ok</v>
      </c>
      <c r="X2127" t="str">
        <f t="shared" si="238"/>
        <v>ok</v>
      </c>
      <c r="Y2127" t="str">
        <f t="shared" si="233"/>
        <v>ok</v>
      </c>
      <c r="Z2127" t="str">
        <f t="shared" si="234"/>
        <v>ok</v>
      </c>
      <c r="AA2127" s="4" t="str">
        <f t="shared" si="235"/>
        <v>ok</v>
      </c>
      <c r="AB2127" s="4" t="str">
        <f t="shared" si="236"/>
        <v>ok</v>
      </c>
      <c r="AC2127" s="6">
        <f t="shared" si="237"/>
        <v>132.71099638886517</v>
      </c>
    </row>
    <row r="2128" spans="1:29" x14ac:dyDescent="0.3">
      <c r="A2128" t="s">
        <v>42</v>
      </c>
      <c r="B2128">
        <v>3708</v>
      </c>
      <c r="C2128" t="s">
        <v>47</v>
      </c>
      <c r="D2128" t="s">
        <v>24</v>
      </c>
      <c r="E2128" t="s">
        <v>44</v>
      </c>
      <c r="F2128" t="s">
        <v>36</v>
      </c>
      <c r="G2128" t="s">
        <v>37</v>
      </c>
      <c r="H2128" s="1">
        <v>45258.089062500003</v>
      </c>
      <c r="I2128" s="1">
        <v>45260.089062500003</v>
      </c>
      <c r="J2128" s="1">
        <v>45258.130729166667</v>
      </c>
      <c r="K2128" s="2">
        <v>45258.113430613426</v>
      </c>
      <c r="L2128" t="s">
        <v>28</v>
      </c>
      <c r="M2128" s="2">
        <v>45258.189843518521</v>
      </c>
      <c r="N2128" t="s">
        <v>28</v>
      </c>
      <c r="P2128">
        <v>1</v>
      </c>
      <c r="R2128" t="s">
        <v>29</v>
      </c>
      <c r="S2128" t="s">
        <v>40</v>
      </c>
      <c r="T2128" t="s">
        <v>66</v>
      </c>
      <c r="U2128">
        <v>48.864716000000001</v>
      </c>
      <c r="V2128">
        <v>2.3490139999999999</v>
      </c>
      <c r="W2128" t="str">
        <f t="shared" si="232"/>
        <v>ok</v>
      </c>
      <c r="X2128" t="str">
        <f t="shared" si="238"/>
        <v>ok</v>
      </c>
      <c r="Y2128" t="str">
        <f t="shared" si="233"/>
        <v>ok</v>
      </c>
      <c r="Z2128" t="str">
        <f t="shared" si="234"/>
        <v>ok</v>
      </c>
      <c r="AA2128" s="4" t="str">
        <f t="shared" si="235"/>
        <v>ok</v>
      </c>
      <c r="AB2128" s="4" t="str">
        <f t="shared" si="236"/>
        <v>ok</v>
      </c>
      <c r="AC2128" s="6">
        <f t="shared" si="237"/>
        <v>2.4187444444396533</v>
      </c>
    </row>
    <row r="2129" spans="1:29" x14ac:dyDescent="0.3">
      <c r="A2129" t="s">
        <v>22</v>
      </c>
      <c r="B2129">
        <v>3709</v>
      </c>
      <c r="C2129" t="s">
        <v>23</v>
      </c>
      <c r="D2129" t="s">
        <v>24</v>
      </c>
      <c r="E2129" t="s">
        <v>25</v>
      </c>
      <c r="F2129" t="s">
        <v>26</v>
      </c>
      <c r="G2129" t="s">
        <v>52</v>
      </c>
      <c r="H2129" s="1">
        <v>45258.442916666667</v>
      </c>
      <c r="I2129" s="1">
        <v>45260.442916666667</v>
      </c>
      <c r="J2129" s="1">
        <v>45258.484583333331</v>
      </c>
      <c r="K2129" s="2">
        <v>45258.553882094908</v>
      </c>
      <c r="L2129" t="s">
        <v>38</v>
      </c>
      <c r="M2129" s="2">
        <v>45263.377597141203</v>
      </c>
      <c r="N2129" t="s">
        <v>38</v>
      </c>
      <c r="O2129" s="2">
        <v>45263.992895451389</v>
      </c>
      <c r="P2129">
        <v>8</v>
      </c>
      <c r="Q2129">
        <v>3</v>
      </c>
      <c r="R2129" t="s">
        <v>39</v>
      </c>
      <c r="S2129" t="s">
        <v>30</v>
      </c>
      <c r="T2129" t="s">
        <v>41</v>
      </c>
      <c r="U2129">
        <v>43.036776000000003</v>
      </c>
      <c r="V2129">
        <v>12.678565000000001</v>
      </c>
      <c r="W2129" t="str">
        <f t="shared" si="232"/>
        <v>ok</v>
      </c>
      <c r="X2129" t="str">
        <f t="shared" si="238"/>
        <v>ok</v>
      </c>
      <c r="Y2129" t="str">
        <f t="shared" si="233"/>
        <v>ok</v>
      </c>
      <c r="Z2129" t="str">
        <f t="shared" si="234"/>
        <v>ok</v>
      </c>
      <c r="AA2129" s="4" t="str">
        <f t="shared" si="235"/>
        <v>ok</v>
      </c>
      <c r="AB2129" s="4" t="str">
        <f t="shared" si="236"/>
        <v>ok</v>
      </c>
      <c r="AC2129" s="6">
        <f t="shared" si="237"/>
        <v>118.43233138887445</v>
      </c>
    </row>
    <row r="2130" spans="1:29" x14ac:dyDescent="0.3">
      <c r="A2130" t="s">
        <v>32</v>
      </c>
      <c r="B2130">
        <v>3710</v>
      </c>
      <c r="C2130" t="s">
        <v>23</v>
      </c>
      <c r="D2130" t="s">
        <v>24</v>
      </c>
      <c r="E2130" t="s">
        <v>35</v>
      </c>
      <c r="F2130" t="s">
        <v>26</v>
      </c>
      <c r="G2130" t="s">
        <v>52</v>
      </c>
      <c r="H2130" s="1">
        <v>45258.328321759262</v>
      </c>
      <c r="I2130" s="1">
        <v>45260.328321759262</v>
      </c>
      <c r="J2130" s="1">
        <v>45258.369988425926</v>
      </c>
      <c r="K2130" s="2">
        <v>45258.354579884261</v>
      </c>
      <c r="L2130" t="s">
        <v>28</v>
      </c>
      <c r="N2130" t="s">
        <v>38</v>
      </c>
      <c r="P2130">
        <v>8</v>
      </c>
      <c r="R2130" t="s">
        <v>50</v>
      </c>
      <c r="S2130" t="s">
        <v>30</v>
      </c>
      <c r="T2130" t="s">
        <v>41</v>
      </c>
      <c r="U2130">
        <v>43.036776000000003</v>
      </c>
      <c r="V2130">
        <v>12.678565000000001</v>
      </c>
      <c r="W2130" t="str">
        <f t="shared" si="232"/>
        <v>ok</v>
      </c>
      <c r="X2130" t="str">
        <f t="shared" si="238"/>
        <v>ok</v>
      </c>
      <c r="Y2130" t="str">
        <f t="shared" si="233"/>
        <v>ok</v>
      </c>
      <c r="Z2130" t="str">
        <f t="shared" si="234"/>
        <v>ok</v>
      </c>
      <c r="AA2130" s="4" t="str">
        <f t="shared" si="235"/>
        <v>ok</v>
      </c>
      <c r="AB2130" s="4" t="str">
        <f t="shared" si="236"/>
        <v>no resolution</v>
      </c>
      <c r="AC2130" s="6" t="str">
        <f t="shared" si="237"/>
        <v/>
      </c>
    </row>
    <row r="2131" spans="1:29" x14ac:dyDescent="0.3">
      <c r="A2131" t="s">
        <v>42</v>
      </c>
      <c r="B2131">
        <v>3711</v>
      </c>
      <c r="C2131" t="s">
        <v>23</v>
      </c>
      <c r="D2131" t="s">
        <v>24</v>
      </c>
      <c r="E2131" t="s">
        <v>35</v>
      </c>
      <c r="F2131" t="s">
        <v>26</v>
      </c>
      <c r="G2131" t="s">
        <v>60</v>
      </c>
      <c r="H2131" s="1">
        <v>45258.764444444445</v>
      </c>
      <c r="I2131" s="1">
        <v>45260.764444444445</v>
      </c>
      <c r="J2131" s="1">
        <v>45258.806111111109</v>
      </c>
      <c r="K2131" s="2">
        <v>45258.791111840277</v>
      </c>
      <c r="L2131" t="s">
        <v>28</v>
      </c>
      <c r="M2131" s="2">
        <v>45259.98403284722</v>
      </c>
      <c r="N2131" t="s">
        <v>28</v>
      </c>
      <c r="P2131">
        <v>8</v>
      </c>
      <c r="R2131" t="s">
        <v>50</v>
      </c>
      <c r="S2131" t="s">
        <v>30</v>
      </c>
      <c r="T2131" t="s">
        <v>65</v>
      </c>
      <c r="U2131">
        <v>46.149166399999999</v>
      </c>
      <c r="V2131">
        <v>14.9860106</v>
      </c>
      <c r="W2131" t="str">
        <f t="shared" si="232"/>
        <v>ok</v>
      </c>
      <c r="X2131" t="str">
        <f t="shared" si="238"/>
        <v>ok</v>
      </c>
      <c r="Y2131" t="str">
        <f t="shared" si="233"/>
        <v>ok</v>
      </c>
      <c r="Z2131" t="str">
        <f t="shared" si="234"/>
        <v>ok</v>
      </c>
      <c r="AA2131" s="4" t="str">
        <f t="shared" si="235"/>
        <v>ok</v>
      </c>
      <c r="AB2131" s="4" t="str">
        <f t="shared" si="236"/>
        <v>ok</v>
      </c>
      <c r="AC2131" s="6">
        <f t="shared" si="237"/>
        <v>29.27012166660279</v>
      </c>
    </row>
    <row r="2132" spans="1:29" x14ac:dyDescent="0.3">
      <c r="A2132" t="s">
        <v>22</v>
      </c>
      <c r="B2132">
        <v>3712</v>
      </c>
      <c r="C2132" t="s">
        <v>33</v>
      </c>
      <c r="D2132" t="s">
        <v>24</v>
      </c>
      <c r="E2132" t="s">
        <v>25</v>
      </c>
      <c r="F2132" t="s">
        <v>36</v>
      </c>
      <c r="G2132" t="s">
        <v>37</v>
      </c>
      <c r="H2132" s="1">
        <v>45259.102951388886</v>
      </c>
      <c r="I2132" s="1">
        <v>45261.102951388886</v>
      </c>
      <c r="J2132" s="1">
        <v>45259.144618055558</v>
      </c>
      <c r="K2132" s="2">
        <v>45259.106954444447</v>
      </c>
      <c r="L2132" t="s">
        <v>28</v>
      </c>
      <c r="M2132" s="2">
        <v>45259.932932731484</v>
      </c>
      <c r="N2132" t="s">
        <v>28</v>
      </c>
      <c r="O2132" s="2">
        <v>45262.549718125003</v>
      </c>
      <c r="P2132">
        <v>2</v>
      </c>
      <c r="Q2132">
        <v>1</v>
      </c>
      <c r="R2132" t="s">
        <v>29</v>
      </c>
      <c r="S2132" t="s">
        <v>40</v>
      </c>
      <c r="T2132" t="s">
        <v>56</v>
      </c>
      <c r="U2132">
        <v>52.536273000000001</v>
      </c>
      <c r="V2132">
        <v>19.050639</v>
      </c>
      <c r="W2132" t="str">
        <f t="shared" si="232"/>
        <v>ok</v>
      </c>
      <c r="X2132" t="str">
        <f t="shared" si="238"/>
        <v>ok</v>
      </c>
      <c r="Y2132" t="str">
        <f t="shared" si="233"/>
        <v>ok</v>
      </c>
      <c r="Z2132" t="str">
        <f t="shared" si="234"/>
        <v>ok</v>
      </c>
      <c r="AA2132" s="4" t="str">
        <f t="shared" si="235"/>
        <v>ok</v>
      </c>
      <c r="AB2132" s="4" t="str">
        <f t="shared" si="236"/>
        <v>ok</v>
      </c>
      <c r="AC2132" s="6">
        <f t="shared" si="237"/>
        <v>19.919552222359926</v>
      </c>
    </row>
    <row r="2133" spans="1:29" x14ac:dyDescent="0.3">
      <c r="A2133" t="s">
        <v>32</v>
      </c>
      <c r="B2133">
        <v>3713</v>
      </c>
      <c r="C2133" t="s">
        <v>23</v>
      </c>
      <c r="D2133" t="s">
        <v>24</v>
      </c>
      <c r="E2133" t="s">
        <v>59</v>
      </c>
      <c r="F2133" t="s">
        <v>26</v>
      </c>
      <c r="G2133" t="s">
        <v>49</v>
      </c>
      <c r="H2133" s="1">
        <v>45259.636053240742</v>
      </c>
      <c r="I2133" s="1">
        <v>45261.636053240742</v>
      </c>
      <c r="J2133" s="1">
        <v>45259.677719907406</v>
      </c>
      <c r="K2133" s="2">
        <v>45259.648571701386</v>
      </c>
      <c r="L2133" t="s">
        <v>28</v>
      </c>
      <c r="N2133" t="s">
        <v>38</v>
      </c>
      <c r="P2133">
        <v>10</v>
      </c>
      <c r="R2133" t="s">
        <v>50</v>
      </c>
      <c r="S2133" t="s">
        <v>30</v>
      </c>
      <c r="T2133" t="s">
        <v>53</v>
      </c>
      <c r="U2133">
        <v>39.368279000000001</v>
      </c>
      <c r="V2133">
        <v>21.863140999999999</v>
      </c>
      <c r="W2133" t="str">
        <f t="shared" si="232"/>
        <v>ok</v>
      </c>
      <c r="X2133" t="str">
        <f t="shared" si="238"/>
        <v>ok</v>
      </c>
      <c r="Y2133" t="str">
        <f t="shared" si="233"/>
        <v>ok</v>
      </c>
      <c r="Z2133" t="str">
        <f t="shared" si="234"/>
        <v>ok</v>
      </c>
      <c r="AA2133" s="4" t="str">
        <f t="shared" si="235"/>
        <v>ok</v>
      </c>
      <c r="AB2133" s="4" t="str">
        <f t="shared" si="236"/>
        <v>no resolution</v>
      </c>
      <c r="AC2133" s="6" t="str">
        <f t="shared" si="237"/>
        <v/>
      </c>
    </row>
    <row r="2134" spans="1:29" x14ac:dyDescent="0.3">
      <c r="A2134" t="s">
        <v>22</v>
      </c>
      <c r="B2134">
        <v>3715</v>
      </c>
      <c r="C2134" t="s">
        <v>47</v>
      </c>
      <c r="D2134" t="s">
        <v>43</v>
      </c>
      <c r="E2134" t="s">
        <v>44</v>
      </c>
      <c r="F2134" t="s">
        <v>26</v>
      </c>
      <c r="G2134" t="s">
        <v>52</v>
      </c>
      <c r="H2134" s="1">
        <v>45259.199282407404</v>
      </c>
      <c r="I2134" s="1">
        <v>45260.199282407404</v>
      </c>
      <c r="J2134" s="1">
        <v>45259.200671296298</v>
      </c>
      <c r="K2134" s="2">
        <v>45259.200144722221</v>
      </c>
      <c r="L2134" t="s">
        <v>28</v>
      </c>
      <c r="M2134" s="2">
        <v>45259.860800636576</v>
      </c>
      <c r="N2134" t="s">
        <v>28</v>
      </c>
      <c r="O2134" s="2">
        <v>45261.812612905094</v>
      </c>
      <c r="P2134">
        <v>8</v>
      </c>
      <c r="Q2134">
        <v>2</v>
      </c>
      <c r="R2134" t="s">
        <v>39</v>
      </c>
      <c r="S2134" t="s">
        <v>30</v>
      </c>
      <c r="T2134" t="s">
        <v>56</v>
      </c>
      <c r="U2134">
        <v>52.536273000000001</v>
      </c>
      <c r="V2134">
        <v>19.050639</v>
      </c>
      <c r="W2134" t="str">
        <f t="shared" si="232"/>
        <v>ok</v>
      </c>
      <c r="X2134" t="str">
        <f t="shared" si="238"/>
        <v>ok</v>
      </c>
      <c r="Y2134" t="str">
        <f t="shared" si="233"/>
        <v>ok</v>
      </c>
      <c r="Z2134" t="str">
        <f t="shared" si="234"/>
        <v>ok</v>
      </c>
      <c r="AA2134" s="4" t="str">
        <f t="shared" si="235"/>
        <v>ok</v>
      </c>
      <c r="AB2134" s="4" t="str">
        <f t="shared" si="236"/>
        <v>ok</v>
      </c>
      <c r="AC2134" s="6">
        <f t="shared" si="237"/>
        <v>15.876437500119209</v>
      </c>
    </row>
    <row r="2135" spans="1:29" x14ac:dyDescent="0.3">
      <c r="A2135" t="s">
        <v>32</v>
      </c>
      <c r="B2135">
        <v>3716</v>
      </c>
      <c r="C2135" t="s">
        <v>23</v>
      </c>
      <c r="D2135" t="s">
        <v>43</v>
      </c>
      <c r="E2135" t="s">
        <v>35</v>
      </c>
      <c r="F2135" t="s">
        <v>26</v>
      </c>
      <c r="G2135" t="s">
        <v>60</v>
      </c>
      <c r="H2135" s="1">
        <v>45259.148993055554</v>
      </c>
      <c r="I2135" s="1">
        <v>45260.148993055554</v>
      </c>
      <c r="J2135" s="1">
        <v>45259.150381944448</v>
      </c>
      <c r="K2135" s="2">
        <v>45259.149056469905</v>
      </c>
      <c r="L2135" t="s">
        <v>28</v>
      </c>
      <c r="N2135" t="s">
        <v>38</v>
      </c>
      <c r="P2135">
        <v>5</v>
      </c>
      <c r="R2135" t="s">
        <v>55</v>
      </c>
      <c r="S2135" t="s">
        <v>30</v>
      </c>
      <c r="T2135" t="s">
        <v>66</v>
      </c>
      <c r="U2135">
        <v>48.864716000000001</v>
      </c>
      <c r="V2135">
        <v>2.3490139999999999</v>
      </c>
      <c r="W2135" t="str">
        <f t="shared" si="232"/>
        <v>ok</v>
      </c>
      <c r="X2135" t="str">
        <f t="shared" si="238"/>
        <v>ok</v>
      </c>
      <c r="Y2135" t="str">
        <f t="shared" si="233"/>
        <v>ok</v>
      </c>
      <c r="Z2135" t="str">
        <f t="shared" si="234"/>
        <v>ok</v>
      </c>
      <c r="AA2135" s="4" t="str">
        <f t="shared" si="235"/>
        <v>ok</v>
      </c>
      <c r="AB2135" s="4" t="str">
        <f t="shared" si="236"/>
        <v>no resolution</v>
      </c>
      <c r="AC2135" s="6" t="str">
        <f t="shared" si="237"/>
        <v/>
      </c>
    </row>
    <row r="2136" spans="1:29" x14ac:dyDescent="0.3">
      <c r="A2136" t="s">
        <v>42</v>
      </c>
      <c r="B2136">
        <v>3717</v>
      </c>
      <c r="C2136" t="s">
        <v>47</v>
      </c>
      <c r="D2136" t="s">
        <v>34</v>
      </c>
      <c r="E2136" t="s">
        <v>67</v>
      </c>
      <c r="F2136" t="s">
        <v>26</v>
      </c>
      <c r="G2136" t="s">
        <v>52</v>
      </c>
      <c r="H2136" s="1">
        <v>45259.557847222219</v>
      </c>
      <c r="I2136" s="1">
        <v>45261.557847222219</v>
      </c>
      <c r="J2136" s="1">
        <v>45259.559236111112</v>
      </c>
      <c r="K2136" s="2">
        <v>45259.559008946759</v>
      </c>
      <c r="L2136" t="s">
        <v>28</v>
      </c>
      <c r="M2136" s="2">
        <v>45260.636145833334</v>
      </c>
      <c r="N2136" t="s">
        <v>28</v>
      </c>
      <c r="P2136">
        <v>1</v>
      </c>
      <c r="R2136" t="s">
        <v>29</v>
      </c>
      <c r="S2136" t="s">
        <v>30</v>
      </c>
      <c r="T2136" t="s">
        <v>57</v>
      </c>
      <c r="U2136">
        <v>51.165691000000002</v>
      </c>
      <c r="V2136">
        <v>10.451525999999999</v>
      </c>
      <c r="W2136" t="str">
        <f t="shared" si="232"/>
        <v>ok</v>
      </c>
      <c r="X2136" t="str">
        <f t="shared" si="238"/>
        <v>ok</v>
      </c>
      <c r="Y2136" t="str">
        <f t="shared" si="233"/>
        <v>ok</v>
      </c>
      <c r="Z2136" t="str">
        <f t="shared" si="234"/>
        <v>ok</v>
      </c>
      <c r="AA2136" s="4" t="str">
        <f t="shared" si="235"/>
        <v>ok</v>
      </c>
      <c r="AB2136" s="4" t="str">
        <f t="shared" si="236"/>
        <v>ok</v>
      </c>
      <c r="AC2136" s="6">
        <f t="shared" si="237"/>
        <v>25.87916666676756</v>
      </c>
    </row>
    <row r="2137" spans="1:29" x14ac:dyDescent="0.3">
      <c r="A2137" t="s">
        <v>32</v>
      </c>
      <c r="B2137">
        <v>3718</v>
      </c>
      <c r="C2137" t="s">
        <v>47</v>
      </c>
      <c r="D2137" t="s">
        <v>43</v>
      </c>
      <c r="E2137" t="s">
        <v>25</v>
      </c>
      <c r="F2137" t="s">
        <v>26</v>
      </c>
      <c r="G2137" t="s">
        <v>45</v>
      </c>
      <c r="H2137" s="1">
        <v>45259.461458333331</v>
      </c>
      <c r="I2137" s="1">
        <v>45260.461458333331</v>
      </c>
      <c r="J2137" s="1">
        <v>45259.462847222225</v>
      </c>
      <c r="K2137" s="2">
        <v>45259.461606111108</v>
      </c>
      <c r="L2137" t="s">
        <v>28</v>
      </c>
      <c r="N2137" t="s">
        <v>38</v>
      </c>
      <c r="P2137">
        <v>60</v>
      </c>
      <c r="R2137" t="s">
        <v>29</v>
      </c>
      <c r="S2137" t="s">
        <v>30</v>
      </c>
      <c r="T2137" t="s">
        <v>41</v>
      </c>
      <c r="U2137">
        <v>43.036776000000003</v>
      </c>
      <c r="V2137">
        <v>12.678565000000001</v>
      </c>
      <c r="W2137" t="str">
        <f t="shared" si="232"/>
        <v>ok</v>
      </c>
      <c r="X2137" t="str">
        <f t="shared" si="238"/>
        <v>ok</v>
      </c>
      <c r="Y2137" t="str">
        <f t="shared" si="233"/>
        <v>ok</v>
      </c>
      <c r="Z2137" t="str">
        <f t="shared" si="234"/>
        <v>ok</v>
      </c>
      <c r="AA2137" s="4" t="str">
        <f t="shared" si="235"/>
        <v>ok</v>
      </c>
      <c r="AB2137" s="4" t="str">
        <f t="shared" si="236"/>
        <v>no resolution</v>
      </c>
      <c r="AC2137" s="6" t="str">
        <f t="shared" si="237"/>
        <v/>
      </c>
    </row>
    <row r="2138" spans="1:29" x14ac:dyDescent="0.3">
      <c r="A2138" t="s">
        <v>22</v>
      </c>
      <c r="B2138">
        <v>3719</v>
      </c>
      <c r="C2138" t="s">
        <v>47</v>
      </c>
      <c r="D2138" t="s">
        <v>43</v>
      </c>
      <c r="E2138" t="s">
        <v>48</v>
      </c>
      <c r="F2138" t="s">
        <v>26</v>
      </c>
      <c r="G2138" t="s">
        <v>45</v>
      </c>
      <c r="H2138" s="1">
        <v>45259.091932870368</v>
      </c>
      <c r="I2138" s="1">
        <v>45260.091932870368</v>
      </c>
      <c r="J2138" s="1">
        <v>45259.093321759261</v>
      </c>
      <c r="K2138" s="2">
        <v>45259.092376655091</v>
      </c>
      <c r="L2138" t="s">
        <v>28</v>
      </c>
      <c r="M2138" s="2">
        <v>45260.799149432867</v>
      </c>
      <c r="N2138" t="s">
        <v>38</v>
      </c>
      <c r="O2138" s="2">
        <v>45261.611851122689</v>
      </c>
      <c r="P2138">
        <v>8</v>
      </c>
      <c r="Q2138">
        <v>4</v>
      </c>
      <c r="R2138" t="s">
        <v>55</v>
      </c>
      <c r="S2138" t="s">
        <v>30</v>
      </c>
      <c r="T2138" t="s">
        <v>57</v>
      </c>
      <c r="U2138">
        <v>51.165691000000002</v>
      </c>
      <c r="V2138">
        <v>10.451525999999999</v>
      </c>
      <c r="W2138" t="str">
        <f t="shared" si="232"/>
        <v>ok</v>
      </c>
      <c r="X2138" t="str">
        <f t="shared" si="238"/>
        <v>ok</v>
      </c>
      <c r="Y2138" t="str">
        <f t="shared" si="233"/>
        <v>ok</v>
      </c>
      <c r="Z2138" t="str">
        <f t="shared" si="234"/>
        <v>ok</v>
      </c>
      <c r="AA2138" s="4" t="str">
        <f t="shared" si="235"/>
        <v>ok</v>
      </c>
      <c r="AB2138" s="4" t="str">
        <f t="shared" si="236"/>
        <v>ok</v>
      </c>
      <c r="AC2138" s="6">
        <f t="shared" si="237"/>
        <v>40.973197499988601</v>
      </c>
    </row>
    <row r="2139" spans="1:29" x14ac:dyDescent="0.3">
      <c r="A2139" t="s">
        <v>22</v>
      </c>
      <c r="B2139">
        <v>3720</v>
      </c>
      <c r="C2139" t="s">
        <v>47</v>
      </c>
      <c r="D2139" t="s">
        <v>34</v>
      </c>
      <c r="E2139" t="s">
        <v>25</v>
      </c>
      <c r="F2139" t="s">
        <v>26</v>
      </c>
      <c r="G2139" t="s">
        <v>49</v>
      </c>
      <c r="H2139" s="1">
        <v>45259.157326388886</v>
      </c>
      <c r="I2139" s="1">
        <v>45261.157326388886</v>
      </c>
      <c r="J2139" s="1">
        <v>45259.158715277779</v>
      </c>
      <c r="K2139" s="2">
        <v>45259.158099803244</v>
      </c>
      <c r="L2139" t="s">
        <v>28</v>
      </c>
      <c r="M2139" s="2">
        <v>45260.040208437502</v>
      </c>
      <c r="N2139" t="s">
        <v>28</v>
      </c>
      <c r="O2139" s="2">
        <v>45260.099722303239</v>
      </c>
      <c r="P2139">
        <v>6</v>
      </c>
      <c r="Q2139">
        <v>5</v>
      </c>
      <c r="R2139" t="s">
        <v>50</v>
      </c>
      <c r="S2139" t="s">
        <v>30</v>
      </c>
      <c r="T2139" t="s">
        <v>56</v>
      </c>
      <c r="U2139">
        <v>52.536273000000001</v>
      </c>
      <c r="V2139">
        <v>19.050639</v>
      </c>
      <c r="W2139" t="str">
        <f t="shared" si="232"/>
        <v>ok</v>
      </c>
      <c r="X2139" t="str">
        <f t="shared" si="238"/>
        <v>ok</v>
      </c>
      <c r="Y2139" t="str">
        <f t="shared" si="233"/>
        <v>ok</v>
      </c>
      <c r="Z2139" t="str">
        <f t="shared" si="234"/>
        <v>ok</v>
      </c>
      <c r="AA2139" s="4" t="str">
        <f t="shared" si="235"/>
        <v>ok</v>
      </c>
      <c r="AB2139" s="4" t="str">
        <f t="shared" si="236"/>
        <v>ok</v>
      </c>
      <c r="AC2139" s="6">
        <f t="shared" si="237"/>
        <v>21.189169166784268</v>
      </c>
    </row>
    <row r="2140" spans="1:29" x14ac:dyDescent="0.3">
      <c r="A2140" t="s">
        <v>22</v>
      </c>
      <c r="B2140">
        <v>3721</v>
      </c>
      <c r="C2140" t="s">
        <v>33</v>
      </c>
      <c r="D2140" t="s">
        <v>24</v>
      </c>
      <c r="E2140" t="s">
        <v>48</v>
      </c>
      <c r="F2140" t="s">
        <v>26</v>
      </c>
      <c r="G2140" t="s">
        <v>49</v>
      </c>
      <c r="H2140" s="1">
        <v>45259.021608796298</v>
      </c>
      <c r="I2140" s="1">
        <v>45261.021608796298</v>
      </c>
      <c r="J2140" s="1">
        <v>45259.063275462962</v>
      </c>
      <c r="K2140" s="2">
        <v>45259.041507824077</v>
      </c>
      <c r="L2140" t="s">
        <v>28</v>
      </c>
      <c r="M2140" s="2">
        <v>45260.250535624997</v>
      </c>
      <c r="N2140" t="s">
        <v>28</v>
      </c>
      <c r="O2140" s="2">
        <v>45262.571482210646</v>
      </c>
      <c r="P2140">
        <v>1</v>
      </c>
      <c r="Q2140">
        <v>5</v>
      </c>
      <c r="R2140" t="s">
        <v>50</v>
      </c>
      <c r="S2140" t="s">
        <v>30</v>
      </c>
      <c r="T2140" t="s">
        <v>61</v>
      </c>
      <c r="U2140">
        <v>42.724992499999999</v>
      </c>
      <c r="V2140">
        <v>25.483303899999999</v>
      </c>
      <c r="W2140" t="str">
        <f t="shared" si="232"/>
        <v>ok</v>
      </c>
      <c r="X2140" t="str">
        <f t="shared" si="238"/>
        <v>ok</v>
      </c>
      <c r="Y2140" t="str">
        <f t="shared" si="233"/>
        <v>ok</v>
      </c>
      <c r="Z2140" t="str">
        <f t="shared" si="234"/>
        <v>ok</v>
      </c>
      <c r="AA2140" s="4" t="str">
        <f t="shared" si="235"/>
        <v>ok</v>
      </c>
      <c r="AB2140" s="4" t="str">
        <f t="shared" si="236"/>
        <v>ok</v>
      </c>
      <c r="AC2140" s="6">
        <f t="shared" si="237"/>
        <v>29.494243888766505</v>
      </c>
    </row>
    <row r="2141" spans="1:29" x14ac:dyDescent="0.3">
      <c r="A2141" t="s">
        <v>22</v>
      </c>
      <c r="B2141">
        <v>3722</v>
      </c>
      <c r="C2141" t="s">
        <v>23</v>
      </c>
      <c r="D2141" t="s">
        <v>34</v>
      </c>
      <c r="E2141" t="s">
        <v>48</v>
      </c>
      <c r="F2141" t="s">
        <v>26</v>
      </c>
      <c r="G2141" t="s">
        <v>52</v>
      </c>
      <c r="H2141" s="1">
        <v>45259.532175925924</v>
      </c>
      <c r="I2141" s="1">
        <v>45261.532175925924</v>
      </c>
      <c r="J2141" s="1">
        <v>45259.533564814818</v>
      </c>
      <c r="K2141" s="2">
        <v>45259.532508240743</v>
      </c>
      <c r="L2141" t="s">
        <v>28</v>
      </c>
      <c r="M2141" s="2">
        <v>45261.396206562502</v>
      </c>
      <c r="N2141" t="s">
        <v>28</v>
      </c>
      <c r="O2141" s="2">
        <v>45264.35585954861</v>
      </c>
      <c r="P2141">
        <v>2</v>
      </c>
      <c r="Q2141">
        <v>3</v>
      </c>
      <c r="R2141" t="s">
        <v>39</v>
      </c>
      <c r="S2141" t="s">
        <v>30</v>
      </c>
      <c r="T2141" t="s">
        <v>58</v>
      </c>
      <c r="U2141">
        <v>49.8037633</v>
      </c>
      <c r="V2141">
        <v>15.4749126</v>
      </c>
      <c r="W2141" t="str">
        <f t="shared" si="232"/>
        <v>ok</v>
      </c>
      <c r="X2141" t="str">
        <f t="shared" si="238"/>
        <v>ok</v>
      </c>
      <c r="Y2141" t="str">
        <f t="shared" si="233"/>
        <v>ok</v>
      </c>
      <c r="Z2141" t="str">
        <f t="shared" si="234"/>
        <v>ok</v>
      </c>
      <c r="AA2141" s="4" t="str">
        <f t="shared" si="235"/>
        <v>ok</v>
      </c>
      <c r="AB2141" s="4" t="str">
        <f t="shared" si="236"/>
        <v>ok</v>
      </c>
      <c r="AC2141" s="6">
        <f t="shared" si="237"/>
        <v>44.73673527786741</v>
      </c>
    </row>
    <row r="2142" spans="1:29" x14ac:dyDescent="0.3">
      <c r="A2142" t="s">
        <v>22</v>
      </c>
      <c r="B2142">
        <v>3723</v>
      </c>
      <c r="C2142" t="s">
        <v>23</v>
      </c>
      <c r="D2142" t="s">
        <v>24</v>
      </c>
      <c r="E2142" t="s">
        <v>25</v>
      </c>
      <c r="F2142" t="s">
        <v>26</v>
      </c>
      <c r="G2142" t="s">
        <v>45</v>
      </c>
      <c r="H2142" s="1">
        <v>45259.838773148149</v>
      </c>
      <c r="I2142" s="1">
        <v>45261.838773148149</v>
      </c>
      <c r="J2142" s="1">
        <v>45259.880439814813</v>
      </c>
      <c r="K2142" s="2">
        <v>45259.848028553242</v>
      </c>
      <c r="L2142" t="s">
        <v>28</v>
      </c>
      <c r="M2142" s="2">
        <v>45259.906307708334</v>
      </c>
      <c r="N2142" t="s">
        <v>28</v>
      </c>
      <c r="O2142" s="2">
        <v>45263.419014618055</v>
      </c>
      <c r="P2142">
        <v>9</v>
      </c>
      <c r="Q2142">
        <v>3</v>
      </c>
      <c r="R2142" t="s">
        <v>29</v>
      </c>
      <c r="S2142" t="s">
        <v>30</v>
      </c>
      <c r="T2142" t="s">
        <v>63</v>
      </c>
      <c r="U2142">
        <v>55.378051999999997</v>
      </c>
      <c r="V2142">
        <v>-3.4359730000000002</v>
      </c>
      <c r="W2142" t="str">
        <f t="shared" si="232"/>
        <v>ok</v>
      </c>
      <c r="X2142" t="str">
        <f t="shared" si="238"/>
        <v>ok</v>
      </c>
      <c r="Y2142" t="str">
        <f t="shared" si="233"/>
        <v>ok</v>
      </c>
      <c r="Z2142" t="str">
        <f t="shared" si="234"/>
        <v>ok</v>
      </c>
      <c r="AA2142" s="4" t="str">
        <f t="shared" si="235"/>
        <v>ok</v>
      </c>
      <c r="AB2142" s="4" t="str">
        <f t="shared" si="236"/>
        <v>ok</v>
      </c>
      <c r="AC2142" s="6">
        <f t="shared" si="237"/>
        <v>1.6208294444368221</v>
      </c>
    </row>
    <row r="2143" spans="1:29" x14ac:dyDescent="0.3">
      <c r="A2143" t="s">
        <v>42</v>
      </c>
      <c r="B2143">
        <v>3724</v>
      </c>
      <c r="C2143" t="s">
        <v>33</v>
      </c>
      <c r="D2143" t="s">
        <v>24</v>
      </c>
      <c r="E2143" t="s">
        <v>44</v>
      </c>
      <c r="F2143" t="s">
        <v>26</v>
      </c>
      <c r="G2143" t="s">
        <v>27</v>
      </c>
      <c r="H2143" s="1">
        <v>45260.318796296298</v>
      </c>
      <c r="I2143" s="1">
        <v>45262.318796296298</v>
      </c>
      <c r="J2143" s="1">
        <v>45260.360462962963</v>
      </c>
      <c r="K2143" s="2">
        <v>45260.339088680557</v>
      </c>
      <c r="L2143" t="s">
        <v>28</v>
      </c>
      <c r="M2143" s="2">
        <v>45262.388796192128</v>
      </c>
      <c r="N2143" t="s">
        <v>38</v>
      </c>
      <c r="P2143">
        <v>2</v>
      </c>
      <c r="R2143" t="s">
        <v>29</v>
      </c>
      <c r="S2143" t="s">
        <v>30</v>
      </c>
      <c r="T2143" t="s">
        <v>53</v>
      </c>
      <c r="U2143">
        <v>39.368279000000001</v>
      </c>
      <c r="V2143">
        <v>21.863140999999999</v>
      </c>
      <c r="W2143" t="str">
        <f t="shared" si="232"/>
        <v>ok</v>
      </c>
      <c r="X2143" t="str">
        <f t="shared" si="238"/>
        <v>ok</v>
      </c>
      <c r="Y2143" t="str">
        <f t="shared" si="233"/>
        <v>ok</v>
      </c>
      <c r="Z2143" t="str">
        <f t="shared" si="234"/>
        <v>ok</v>
      </c>
      <c r="AA2143" s="4" t="str">
        <f t="shared" si="235"/>
        <v>ok</v>
      </c>
      <c r="AB2143" s="4" t="str">
        <f t="shared" si="236"/>
        <v>ok</v>
      </c>
      <c r="AC2143" s="6">
        <f t="shared" si="237"/>
        <v>49.679997499915771</v>
      </c>
    </row>
    <row r="2144" spans="1:29" x14ac:dyDescent="0.3">
      <c r="A2144" t="s">
        <v>22</v>
      </c>
      <c r="B2144">
        <v>3725</v>
      </c>
      <c r="C2144" t="s">
        <v>23</v>
      </c>
      <c r="D2144" t="s">
        <v>34</v>
      </c>
      <c r="E2144" t="s">
        <v>48</v>
      </c>
      <c r="F2144" t="s">
        <v>26</v>
      </c>
      <c r="G2144" t="s">
        <v>45</v>
      </c>
      <c r="H2144" s="1">
        <v>45260.528020833335</v>
      </c>
      <c r="I2144" s="1">
        <v>45262.528020833335</v>
      </c>
      <c r="J2144" s="1">
        <v>45260.529409722221</v>
      </c>
      <c r="K2144" s="2">
        <v>45260.528722141207</v>
      </c>
      <c r="L2144" t="s">
        <v>28</v>
      </c>
      <c r="M2144" s="2">
        <v>45264.768297442133</v>
      </c>
      <c r="N2144" t="s">
        <v>38</v>
      </c>
      <c r="O2144" s="2">
        <v>45265.249521400459</v>
      </c>
      <c r="P2144">
        <v>4</v>
      </c>
      <c r="Q2144">
        <v>5</v>
      </c>
      <c r="R2144" t="s">
        <v>50</v>
      </c>
      <c r="S2144" t="s">
        <v>30</v>
      </c>
      <c r="T2144" t="s">
        <v>57</v>
      </c>
      <c r="U2144">
        <v>51.165691000000002</v>
      </c>
      <c r="V2144">
        <v>10.451525999999999</v>
      </c>
      <c r="W2144" t="str">
        <f t="shared" si="232"/>
        <v>ok</v>
      </c>
      <c r="X2144" t="str">
        <f t="shared" si="238"/>
        <v>ok</v>
      </c>
      <c r="Y2144" t="str">
        <f t="shared" si="233"/>
        <v>ok</v>
      </c>
      <c r="Z2144" t="str">
        <f t="shared" si="234"/>
        <v>ok</v>
      </c>
      <c r="AA2144" s="4" t="str">
        <f t="shared" si="235"/>
        <v>ok</v>
      </c>
      <c r="AB2144" s="4" t="str">
        <f t="shared" si="236"/>
        <v>ok</v>
      </c>
      <c r="AC2144" s="6">
        <f t="shared" si="237"/>
        <v>101.7666386111523</v>
      </c>
    </row>
    <row r="2145" spans="1:29" x14ac:dyDescent="0.3">
      <c r="A2145" t="s">
        <v>22</v>
      </c>
      <c r="B2145">
        <v>3726</v>
      </c>
      <c r="C2145" t="s">
        <v>23</v>
      </c>
      <c r="D2145" t="s">
        <v>24</v>
      </c>
      <c r="E2145" t="s">
        <v>48</v>
      </c>
      <c r="F2145" t="s">
        <v>36</v>
      </c>
      <c r="G2145" t="s">
        <v>37</v>
      </c>
      <c r="H2145" s="1">
        <v>45260.361041666663</v>
      </c>
      <c r="I2145" s="1">
        <v>45262.361041666663</v>
      </c>
      <c r="J2145" s="1">
        <v>45260.402708333335</v>
      </c>
      <c r="K2145" s="2">
        <v>45260.385622199072</v>
      </c>
      <c r="L2145" t="s">
        <v>28</v>
      </c>
      <c r="M2145" s="2">
        <v>45261.467703310183</v>
      </c>
      <c r="N2145" t="s">
        <v>28</v>
      </c>
      <c r="O2145" s="2">
        <v>45262.445299548614</v>
      </c>
      <c r="P2145">
        <v>1</v>
      </c>
      <c r="Q2145">
        <v>3</v>
      </c>
      <c r="R2145" t="s">
        <v>50</v>
      </c>
      <c r="S2145" t="s">
        <v>40</v>
      </c>
      <c r="T2145" t="s">
        <v>56</v>
      </c>
      <c r="U2145">
        <v>52.536273000000001</v>
      </c>
      <c r="V2145">
        <v>19.050639</v>
      </c>
      <c r="W2145" t="str">
        <f t="shared" si="232"/>
        <v>ok</v>
      </c>
      <c r="X2145" t="str">
        <f t="shared" si="238"/>
        <v>ok</v>
      </c>
      <c r="Y2145" t="str">
        <f t="shared" si="233"/>
        <v>ok</v>
      </c>
      <c r="Z2145" t="str">
        <f t="shared" si="234"/>
        <v>ok</v>
      </c>
      <c r="AA2145" s="4" t="str">
        <f t="shared" si="235"/>
        <v>ok</v>
      </c>
      <c r="AB2145" s="4" t="str">
        <f t="shared" si="236"/>
        <v>ok</v>
      </c>
      <c r="AC2145" s="6">
        <f t="shared" si="237"/>
        <v>26.559879444481339</v>
      </c>
    </row>
    <row r="2146" spans="1:29" x14ac:dyDescent="0.3">
      <c r="A2146" t="s">
        <v>42</v>
      </c>
      <c r="B2146">
        <v>3727</v>
      </c>
      <c r="C2146" t="s">
        <v>33</v>
      </c>
      <c r="D2146" t="s">
        <v>43</v>
      </c>
      <c r="E2146" t="s">
        <v>25</v>
      </c>
      <c r="F2146" t="s">
        <v>26</v>
      </c>
      <c r="G2146" t="s">
        <v>52</v>
      </c>
      <c r="H2146" s="1">
        <v>45260.630474537036</v>
      </c>
      <c r="I2146" s="1">
        <v>45261.630474537036</v>
      </c>
      <c r="J2146" s="1">
        <v>45260.631863425922</v>
      </c>
      <c r="K2146" s="2">
        <v>45260.630790844909</v>
      </c>
      <c r="L2146" t="s">
        <v>28</v>
      </c>
      <c r="M2146" s="2">
        <v>45261.300045798613</v>
      </c>
      <c r="N2146" t="s">
        <v>28</v>
      </c>
      <c r="P2146">
        <v>5</v>
      </c>
      <c r="R2146" t="s">
        <v>50</v>
      </c>
      <c r="S2146" t="s">
        <v>30</v>
      </c>
      <c r="T2146" t="s">
        <v>53</v>
      </c>
      <c r="U2146">
        <v>39.368279000000001</v>
      </c>
      <c r="V2146">
        <v>21.863140999999999</v>
      </c>
      <c r="W2146" t="str">
        <f t="shared" si="232"/>
        <v>ok</v>
      </c>
      <c r="X2146" t="str">
        <f t="shared" si="238"/>
        <v>ok</v>
      </c>
      <c r="Y2146" t="str">
        <f t="shared" si="233"/>
        <v>ok</v>
      </c>
      <c r="Z2146" t="str">
        <f t="shared" si="234"/>
        <v>ok</v>
      </c>
      <c r="AA2146" s="4" t="str">
        <f t="shared" si="235"/>
        <v>ok</v>
      </c>
      <c r="AB2146" s="4" t="str">
        <f t="shared" si="236"/>
        <v>ok</v>
      </c>
      <c r="AC2146" s="6">
        <f t="shared" si="237"/>
        <v>16.069710277835838</v>
      </c>
    </row>
    <row r="2147" spans="1:29" x14ac:dyDescent="0.3">
      <c r="A2147" t="s">
        <v>42</v>
      </c>
      <c r="B2147">
        <v>3728</v>
      </c>
      <c r="C2147" t="s">
        <v>33</v>
      </c>
      <c r="D2147" t="s">
        <v>24</v>
      </c>
      <c r="E2147" t="s">
        <v>35</v>
      </c>
      <c r="F2147" t="s">
        <v>36</v>
      </c>
      <c r="G2147" t="s">
        <v>64</v>
      </c>
      <c r="H2147" s="1">
        <v>45260.629745370374</v>
      </c>
      <c r="I2147" s="1">
        <v>45262.629745370374</v>
      </c>
      <c r="J2147" s="1">
        <v>45260.671412037038</v>
      </c>
      <c r="K2147" s="2">
        <v>45260.667460474535</v>
      </c>
      <c r="L2147" t="s">
        <v>28</v>
      </c>
      <c r="M2147" s="2">
        <v>45262.147885243059</v>
      </c>
      <c r="N2147" t="s">
        <v>28</v>
      </c>
      <c r="P2147">
        <v>7</v>
      </c>
      <c r="R2147" t="s">
        <v>29</v>
      </c>
      <c r="S2147" t="s">
        <v>40</v>
      </c>
      <c r="T2147" t="s">
        <v>46</v>
      </c>
      <c r="U2147">
        <v>47.696471899999999</v>
      </c>
      <c r="V2147">
        <v>13.3457347</v>
      </c>
      <c r="W2147" t="str">
        <f t="shared" si="232"/>
        <v>ok</v>
      </c>
      <c r="X2147" t="str">
        <f t="shared" si="238"/>
        <v>ok</v>
      </c>
      <c r="Y2147" t="str">
        <f t="shared" si="233"/>
        <v>ok</v>
      </c>
      <c r="Z2147" t="str">
        <f t="shared" si="234"/>
        <v>ok</v>
      </c>
      <c r="AA2147" s="4" t="str">
        <f t="shared" si="235"/>
        <v>ok</v>
      </c>
      <c r="AB2147" s="4" t="str">
        <f t="shared" si="236"/>
        <v>ok</v>
      </c>
      <c r="AC2147" s="6">
        <f t="shared" si="237"/>
        <v>36.435356944450177</v>
      </c>
    </row>
    <row r="2148" spans="1:29" x14ac:dyDescent="0.3">
      <c r="A2148" t="s">
        <v>22</v>
      </c>
      <c r="B2148">
        <v>3729</v>
      </c>
      <c r="C2148" t="s">
        <v>47</v>
      </c>
      <c r="D2148" t="s">
        <v>24</v>
      </c>
      <c r="E2148" t="s">
        <v>59</v>
      </c>
      <c r="F2148" t="s">
        <v>26</v>
      </c>
      <c r="G2148" t="s">
        <v>52</v>
      </c>
      <c r="H2148" s="1">
        <v>45260.933391203704</v>
      </c>
      <c r="I2148" s="1">
        <v>45262.933391203704</v>
      </c>
      <c r="J2148" s="1">
        <v>45260.975057870368</v>
      </c>
      <c r="K2148" s="2">
        <v>45260.960845648151</v>
      </c>
      <c r="L2148" t="s">
        <v>28</v>
      </c>
      <c r="M2148" s="2">
        <v>45261.6629574537</v>
      </c>
      <c r="N2148" t="s">
        <v>28</v>
      </c>
      <c r="O2148" s="2">
        <v>45264.109558912038</v>
      </c>
      <c r="P2148">
        <v>1</v>
      </c>
      <c r="Q2148">
        <v>2</v>
      </c>
      <c r="R2148" t="s">
        <v>29</v>
      </c>
      <c r="S2148" t="s">
        <v>30</v>
      </c>
      <c r="T2148" t="s">
        <v>31</v>
      </c>
      <c r="U2148">
        <v>53.094023999999997</v>
      </c>
      <c r="V2148">
        <v>-8.0196749999999994</v>
      </c>
      <c r="W2148" t="str">
        <f t="shared" si="232"/>
        <v>ok</v>
      </c>
      <c r="X2148" t="str">
        <f t="shared" si="238"/>
        <v>ok</v>
      </c>
      <c r="Y2148" t="str">
        <f t="shared" si="233"/>
        <v>ok</v>
      </c>
      <c r="Z2148" t="str">
        <f t="shared" si="234"/>
        <v>ok</v>
      </c>
      <c r="AA2148" s="4" t="str">
        <f t="shared" si="235"/>
        <v>ok</v>
      </c>
      <c r="AB2148" s="4" t="str">
        <f t="shared" si="236"/>
        <v>ok</v>
      </c>
      <c r="AC2148" s="6">
        <f t="shared" si="237"/>
        <v>17.509589999914169</v>
      </c>
    </row>
    <row r="2149" spans="1:29" x14ac:dyDescent="0.3">
      <c r="A2149" t="s">
        <v>22</v>
      </c>
      <c r="B2149">
        <v>3730</v>
      </c>
      <c r="C2149" t="s">
        <v>23</v>
      </c>
      <c r="D2149" t="s">
        <v>43</v>
      </c>
      <c r="E2149" t="s">
        <v>35</v>
      </c>
      <c r="F2149" t="s">
        <v>36</v>
      </c>
      <c r="G2149" t="s">
        <v>37</v>
      </c>
      <c r="H2149" s="1">
        <v>45260.053148148145</v>
      </c>
      <c r="I2149" s="1">
        <v>45261.053148148145</v>
      </c>
      <c r="J2149" s="1">
        <v>45260.054537037038</v>
      </c>
      <c r="K2149" s="2">
        <v>45260.055931666669</v>
      </c>
      <c r="L2149" t="s">
        <v>38</v>
      </c>
      <c r="M2149" s="2">
        <v>45262.83161144676</v>
      </c>
      <c r="N2149" t="s">
        <v>38</v>
      </c>
      <c r="O2149" s="2">
        <v>45263.254566909724</v>
      </c>
      <c r="P2149">
        <v>6</v>
      </c>
      <c r="Q2149">
        <v>4</v>
      </c>
      <c r="R2149" t="s">
        <v>29</v>
      </c>
      <c r="S2149" t="s">
        <v>40</v>
      </c>
      <c r="T2149" t="s">
        <v>41</v>
      </c>
      <c r="U2149">
        <v>43.036776000000003</v>
      </c>
      <c r="V2149">
        <v>12.678565000000001</v>
      </c>
      <c r="W2149" t="str">
        <f t="shared" si="232"/>
        <v>ok</v>
      </c>
      <c r="X2149" t="str">
        <f t="shared" si="238"/>
        <v>ok</v>
      </c>
      <c r="Y2149" t="str">
        <f t="shared" si="233"/>
        <v>ok</v>
      </c>
      <c r="Z2149" t="str">
        <f t="shared" si="234"/>
        <v>ok</v>
      </c>
      <c r="AA2149" s="4" t="str">
        <f t="shared" si="235"/>
        <v>ok</v>
      </c>
      <c r="AB2149" s="4" t="str">
        <f t="shared" si="236"/>
        <v>ok</v>
      </c>
      <c r="AC2149" s="6">
        <f t="shared" si="237"/>
        <v>66.683119166758843</v>
      </c>
    </row>
    <row r="2150" spans="1:29" x14ac:dyDescent="0.3">
      <c r="A2150" t="s">
        <v>22</v>
      </c>
      <c r="B2150">
        <v>3731</v>
      </c>
      <c r="C2150" t="s">
        <v>23</v>
      </c>
      <c r="D2150" t="s">
        <v>34</v>
      </c>
      <c r="E2150" t="s">
        <v>25</v>
      </c>
      <c r="F2150" t="s">
        <v>26</v>
      </c>
      <c r="G2150" t="s">
        <v>49</v>
      </c>
      <c r="H2150" s="1">
        <v>45260.565057870372</v>
      </c>
      <c r="I2150" s="1">
        <v>45262.565057870372</v>
      </c>
      <c r="J2150" s="1">
        <v>45260.566446759258</v>
      </c>
      <c r="K2150" s="2">
        <v>45260.566374351853</v>
      </c>
      <c r="L2150" t="s">
        <v>28</v>
      </c>
      <c r="M2150" s="2">
        <v>45261.712739780094</v>
      </c>
      <c r="N2150" t="s">
        <v>28</v>
      </c>
      <c r="O2150" s="2">
        <v>45264.081804953705</v>
      </c>
      <c r="P2150">
        <v>2</v>
      </c>
      <c r="Q2150">
        <v>5</v>
      </c>
      <c r="R2150" t="s">
        <v>50</v>
      </c>
      <c r="S2150" t="s">
        <v>30</v>
      </c>
      <c r="T2150" t="s">
        <v>58</v>
      </c>
      <c r="U2150">
        <v>49.8037633</v>
      </c>
      <c r="V2150">
        <v>15.4749126</v>
      </c>
      <c r="W2150" t="str">
        <f t="shared" si="232"/>
        <v>ok</v>
      </c>
      <c r="X2150" t="str">
        <f t="shared" si="238"/>
        <v>ok</v>
      </c>
      <c r="Y2150" t="str">
        <f t="shared" si="233"/>
        <v>ok</v>
      </c>
      <c r="Z2150" t="str">
        <f t="shared" si="234"/>
        <v>ok</v>
      </c>
      <c r="AA2150" s="4" t="str">
        <f t="shared" si="235"/>
        <v>ok</v>
      </c>
      <c r="AB2150" s="4" t="str">
        <f t="shared" si="236"/>
        <v>ok</v>
      </c>
      <c r="AC2150" s="6">
        <f t="shared" si="237"/>
        <v>27.544365833338816</v>
      </c>
    </row>
    <row r="2151" spans="1:29" x14ac:dyDescent="0.3">
      <c r="A2151" t="s">
        <v>42</v>
      </c>
      <c r="B2151">
        <v>3732</v>
      </c>
      <c r="C2151" t="s">
        <v>23</v>
      </c>
      <c r="D2151" t="s">
        <v>24</v>
      </c>
      <c r="E2151" t="s">
        <v>48</v>
      </c>
      <c r="F2151" t="s">
        <v>26</v>
      </c>
      <c r="G2151" t="s">
        <v>49</v>
      </c>
      <c r="H2151" s="1">
        <v>45260.071840277778</v>
      </c>
      <c r="I2151" s="1">
        <v>45262.071840277778</v>
      </c>
      <c r="J2151" s="1">
        <v>45260.113506944443</v>
      </c>
      <c r="K2151" s="2">
        <v>45260.084183495368</v>
      </c>
      <c r="L2151" t="s">
        <v>28</v>
      </c>
      <c r="M2151" s="2">
        <v>45261.758372048615</v>
      </c>
      <c r="N2151" t="s">
        <v>28</v>
      </c>
      <c r="P2151">
        <v>2</v>
      </c>
      <c r="R2151" t="s">
        <v>50</v>
      </c>
      <c r="S2151" t="s">
        <v>30</v>
      </c>
      <c r="T2151" t="s">
        <v>57</v>
      </c>
      <c r="U2151">
        <v>51.165691000000002</v>
      </c>
      <c r="V2151">
        <v>10.451525999999999</v>
      </c>
      <c r="W2151" t="str">
        <f t="shared" si="232"/>
        <v>ok</v>
      </c>
      <c r="X2151" t="str">
        <f t="shared" si="238"/>
        <v>ok</v>
      </c>
      <c r="Y2151" t="str">
        <f t="shared" si="233"/>
        <v>ok</v>
      </c>
      <c r="Z2151" t="str">
        <f t="shared" si="234"/>
        <v>ok</v>
      </c>
      <c r="AA2151" s="4" t="str">
        <f t="shared" si="235"/>
        <v>ok</v>
      </c>
      <c r="AB2151" s="4" t="str">
        <f t="shared" si="236"/>
        <v>ok</v>
      </c>
      <c r="AC2151" s="6">
        <f t="shared" si="237"/>
        <v>40.476762500067707</v>
      </c>
    </row>
    <row r="2152" spans="1:29" x14ac:dyDescent="0.3">
      <c r="A2152" t="s">
        <v>22</v>
      </c>
      <c r="B2152">
        <v>3733</v>
      </c>
      <c r="C2152" t="s">
        <v>33</v>
      </c>
      <c r="D2152" t="s">
        <v>24</v>
      </c>
      <c r="E2152" t="s">
        <v>48</v>
      </c>
      <c r="F2152" t="s">
        <v>26</v>
      </c>
      <c r="G2152" t="s">
        <v>45</v>
      </c>
      <c r="H2152" s="1">
        <v>45260.4530787037</v>
      </c>
      <c r="I2152" s="1">
        <v>45262.4530787037</v>
      </c>
      <c r="J2152" s="1">
        <v>45260.494745370372</v>
      </c>
      <c r="K2152" s="2">
        <v>45260.464117523145</v>
      </c>
      <c r="L2152" t="s">
        <v>28</v>
      </c>
      <c r="M2152" s="2">
        <v>45261.770231435185</v>
      </c>
      <c r="N2152" t="s">
        <v>28</v>
      </c>
      <c r="O2152" s="2">
        <v>45263.658740057872</v>
      </c>
      <c r="P2152">
        <v>7</v>
      </c>
      <c r="Q2152">
        <v>4</v>
      </c>
      <c r="R2152" t="s">
        <v>50</v>
      </c>
      <c r="S2152" t="s">
        <v>30</v>
      </c>
      <c r="T2152" t="s">
        <v>51</v>
      </c>
      <c r="U2152">
        <v>39.673369999999998</v>
      </c>
      <c r="V2152">
        <v>-4.7677259999999997</v>
      </c>
      <c r="W2152" t="str">
        <f t="shared" si="232"/>
        <v>ok</v>
      </c>
      <c r="X2152" t="str">
        <f t="shared" si="238"/>
        <v>ok</v>
      </c>
      <c r="Y2152" t="str">
        <f t="shared" si="233"/>
        <v>ok</v>
      </c>
      <c r="Z2152" t="str">
        <f t="shared" si="234"/>
        <v>ok</v>
      </c>
      <c r="AA2152" s="4" t="str">
        <f t="shared" si="235"/>
        <v>ok</v>
      </c>
      <c r="AB2152" s="4" t="str">
        <f t="shared" si="236"/>
        <v>ok</v>
      </c>
      <c r="AC2152" s="6">
        <f t="shared" si="237"/>
        <v>31.611665555625223</v>
      </c>
    </row>
    <row r="2153" spans="1:29" x14ac:dyDescent="0.3">
      <c r="A2153" t="s">
        <v>22</v>
      </c>
      <c r="B2153">
        <v>3734</v>
      </c>
      <c r="C2153" t="s">
        <v>23</v>
      </c>
      <c r="D2153" t="s">
        <v>24</v>
      </c>
      <c r="E2153" t="s">
        <v>44</v>
      </c>
      <c r="F2153" t="s">
        <v>26</v>
      </c>
      <c r="G2153" t="s">
        <v>45</v>
      </c>
      <c r="H2153" s="1">
        <v>45260.468148148146</v>
      </c>
      <c r="I2153" s="1">
        <v>45262.468148148146</v>
      </c>
      <c r="J2153" s="1">
        <v>45260.509814814817</v>
      </c>
      <c r="K2153" s="2">
        <v>45260.477641979167</v>
      </c>
      <c r="L2153" t="s">
        <v>28</v>
      </c>
      <c r="M2153" s="2">
        <v>45262.449613564815</v>
      </c>
      <c r="N2153" t="s">
        <v>28</v>
      </c>
      <c r="O2153" s="2">
        <v>45266.944975682869</v>
      </c>
      <c r="P2153">
        <v>7</v>
      </c>
      <c r="Q2153">
        <v>4</v>
      </c>
      <c r="R2153" t="s">
        <v>55</v>
      </c>
      <c r="S2153" t="s">
        <v>30</v>
      </c>
      <c r="T2153" t="s">
        <v>56</v>
      </c>
      <c r="U2153">
        <v>52.536273000000001</v>
      </c>
      <c r="V2153">
        <v>19.050639</v>
      </c>
      <c r="W2153" t="str">
        <f t="shared" si="232"/>
        <v>ok</v>
      </c>
      <c r="X2153" t="str">
        <f t="shared" si="238"/>
        <v>ok</v>
      </c>
      <c r="Y2153" t="str">
        <f t="shared" si="233"/>
        <v>ok</v>
      </c>
      <c r="Z2153" t="str">
        <f t="shared" si="234"/>
        <v>ok</v>
      </c>
      <c r="AA2153" s="4" t="str">
        <f t="shared" si="235"/>
        <v>ok</v>
      </c>
      <c r="AB2153" s="4" t="str">
        <f t="shared" si="236"/>
        <v>ok</v>
      </c>
      <c r="AC2153" s="6">
        <f t="shared" si="237"/>
        <v>47.555170000065118</v>
      </c>
    </row>
    <row r="2154" spans="1:29" x14ac:dyDescent="0.3">
      <c r="A2154" t="s">
        <v>22</v>
      </c>
      <c r="B2154">
        <v>3735</v>
      </c>
      <c r="C2154" t="s">
        <v>23</v>
      </c>
      <c r="D2154" t="s">
        <v>43</v>
      </c>
      <c r="E2154" t="s">
        <v>59</v>
      </c>
      <c r="F2154" t="s">
        <v>26</v>
      </c>
      <c r="G2154" t="s">
        <v>60</v>
      </c>
      <c r="H2154" s="1">
        <v>45260.653946759259</v>
      </c>
      <c r="I2154" s="1">
        <v>45261.653946759259</v>
      </c>
      <c r="J2154" s="1">
        <v>45260.655335648145</v>
      </c>
      <c r="K2154" s="2">
        <v>45260.655085625003</v>
      </c>
      <c r="L2154" t="s">
        <v>28</v>
      </c>
      <c r="M2154" s="2">
        <v>45261.39046519676</v>
      </c>
      <c r="N2154" t="s">
        <v>28</v>
      </c>
      <c r="O2154" s="2">
        <v>45264.597392465279</v>
      </c>
      <c r="P2154">
        <v>2</v>
      </c>
      <c r="Q2154">
        <v>4</v>
      </c>
      <c r="R2154" t="s">
        <v>29</v>
      </c>
      <c r="S2154" t="s">
        <v>30</v>
      </c>
      <c r="T2154" t="s">
        <v>41</v>
      </c>
      <c r="U2154">
        <v>43.036776000000003</v>
      </c>
      <c r="V2154">
        <v>12.678565000000001</v>
      </c>
      <c r="W2154" t="str">
        <f t="shared" si="232"/>
        <v>ok</v>
      </c>
      <c r="X2154" t="str">
        <f t="shared" si="238"/>
        <v>ok</v>
      </c>
      <c r="Y2154" t="str">
        <f t="shared" si="233"/>
        <v>ok</v>
      </c>
      <c r="Z2154" t="str">
        <f t="shared" si="234"/>
        <v>ok</v>
      </c>
      <c r="AA2154" s="4" t="str">
        <f t="shared" si="235"/>
        <v>ok</v>
      </c>
      <c r="AB2154" s="4" t="str">
        <f t="shared" si="236"/>
        <v>ok</v>
      </c>
      <c r="AC2154" s="6">
        <f t="shared" si="237"/>
        <v>17.676442500029225</v>
      </c>
    </row>
    <row r="2155" spans="1:29" x14ac:dyDescent="0.3">
      <c r="A2155" t="s">
        <v>22</v>
      </c>
      <c r="B2155">
        <v>3736</v>
      </c>
      <c r="C2155" t="s">
        <v>23</v>
      </c>
      <c r="D2155" t="s">
        <v>43</v>
      </c>
      <c r="E2155" t="s">
        <v>35</v>
      </c>
      <c r="F2155" t="s">
        <v>26</v>
      </c>
      <c r="G2155" t="s">
        <v>60</v>
      </c>
      <c r="H2155" s="1">
        <v>45260.525324074071</v>
      </c>
      <c r="I2155" s="1">
        <v>45261.525324074071</v>
      </c>
      <c r="J2155" s="1">
        <v>45260.526712962965</v>
      </c>
      <c r="K2155" s="2">
        <v>45260.526296990742</v>
      </c>
      <c r="L2155" t="s">
        <v>28</v>
      </c>
      <c r="M2155" s="2">
        <v>45262.353507881948</v>
      </c>
      <c r="N2155" t="s">
        <v>38</v>
      </c>
      <c r="O2155" s="2">
        <v>45263.493612233797</v>
      </c>
      <c r="P2155">
        <v>2</v>
      </c>
      <c r="Q2155">
        <v>1</v>
      </c>
      <c r="R2155" t="s">
        <v>39</v>
      </c>
      <c r="S2155" t="s">
        <v>30</v>
      </c>
      <c r="T2155" t="s">
        <v>41</v>
      </c>
      <c r="U2155">
        <v>43.036776000000003</v>
      </c>
      <c r="V2155">
        <v>12.678565000000001</v>
      </c>
      <c r="W2155" t="str">
        <f t="shared" si="232"/>
        <v>ok</v>
      </c>
      <c r="X2155" t="str">
        <f t="shared" si="238"/>
        <v>ok</v>
      </c>
      <c r="Y2155" t="str">
        <f t="shared" si="233"/>
        <v>ok</v>
      </c>
      <c r="Z2155" t="str">
        <f t="shared" si="234"/>
        <v>ok</v>
      </c>
      <c r="AA2155" s="4" t="str">
        <f t="shared" si="235"/>
        <v>ok</v>
      </c>
      <c r="AB2155" s="4" t="str">
        <f t="shared" si="236"/>
        <v>ok</v>
      </c>
      <c r="AC2155" s="6">
        <f t="shared" si="237"/>
        <v>43.876411389035638</v>
      </c>
    </row>
    <row r="2156" spans="1:29" x14ac:dyDescent="0.3">
      <c r="A2156" t="s">
        <v>32</v>
      </c>
      <c r="B2156">
        <v>3737</v>
      </c>
      <c r="C2156" t="s">
        <v>23</v>
      </c>
      <c r="D2156" t="s">
        <v>24</v>
      </c>
      <c r="E2156" t="s">
        <v>48</v>
      </c>
      <c r="F2156" t="s">
        <v>26</v>
      </c>
      <c r="G2156" t="s">
        <v>45</v>
      </c>
      <c r="H2156" s="1">
        <v>45261.17527777778</v>
      </c>
      <c r="I2156" s="1">
        <v>45263.17527777778</v>
      </c>
      <c r="J2156" s="1">
        <v>45261.216944444444</v>
      </c>
      <c r="K2156" s="2">
        <v>45261.216269178243</v>
      </c>
      <c r="L2156" t="s">
        <v>28</v>
      </c>
      <c r="N2156" t="s">
        <v>38</v>
      </c>
      <c r="P2156">
        <v>10</v>
      </c>
      <c r="R2156" t="s">
        <v>29</v>
      </c>
      <c r="S2156" t="s">
        <v>30</v>
      </c>
      <c r="T2156" t="s">
        <v>63</v>
      </c>
      <c r="U2156">
        <v>55.378051999999997</v>
      </c>
      <c r="V2156">
        <v>-3.4359730000000002</v>
      </c>
      <c r="W2156" t="str">
        <f t="shared" si="232"/>
        <v>ok</v>
      </c>
      <c r="X2156" t="str">
        <f t="shared" si="238"/>
        <v>ok</v>
      </c>
      <c r="Y2156" t="str">
        <f t="shared" si="233"/>
        <v>ok</v>
      </c>
      <c r="Z2156" t="str">
        <f t="shared" si="234"/>
        <v>ok</v>
      </c>
      <c r="AA2156" s="4" t="str">
        <f t="shared" si="235"/>
        <v>ok</v>
      </c>
      <c r="AB2156" s="4" t="str">
        <f t="shared" si="236"/>
        <v>no resolution</v>
      </c>
      <c r="AC2156" s="6" t="str">
        <f t="shared" si="237"/>
        <v/>
      </c>
    </row>
    <row r="2157" spans="1:29" x14ac:dyDescent="0.3">
      <c r="A2157" t="s">
        <v>32</v>
      </c>
      <c r="B2157">
        <v>3738</v>
      </c>
      <c r="C2157" t="s">
        <v>23</v>
      </c>
      <c r="D2157" t="s">
        <v>24</v>
      </c>
      <c r="E2157" t="s">
        <v>39</v>
      </c>
      <c r="F2157" t="s">
        <v>26</v>
      </c>
      <c r="G2157" t="s">
        <v>60</v>
      </c>
      <c r="H2157" s="1">
        <v>45261.435694444444</v>
      </c>
      <c r="I2157" s="1">
        <v>45263.435694444444</v>
      </c>
      <c r="J2157" s="1">
        <v>45261.477361111109</v>
      </c>
      <c r="K2157" s="2">
        <v>45261.463095150466</v>
      </c>
      <c r="L2157" t="s">
        <v>28</v>
      </c>
      <c r="N2157" t="s">
        <v>38</v>
      </c>
      <c r="P2157">
        <v>5</v>
      </c>
      <c r="R2157" t="s">
        <v>29</v>
      </c>
      <c r="S2157" t="s">
        <v>30</v>
      </c>
      <c r="T2157" t="s">
        <v>53</v>
      </c>
      <c r="U2157">
        <v>39.368279000000001</v>
      </c>
      <c r="V2157">
        <v>21.863140999999999</v>
      </c>
      <c r="W2157" t="str">
        <f t="shared" si="232"/>
        <v>ok</v>
      </c>
      <c r="X2157" t="str">
        <f t="shared" si="238"/>
        <v>ok</v>
      </c>
      <c r="Y2157" t="str">
        <f t="shared" si="233"/>
        <v>ok</v>
      </c>
      <c r="Z2157" t="str">
        <f t="shared" si="234"/>
        <v>ok</v>
      </c>
      <c r="AA2157" s="4" t="str">
        <f t="shared" si="235"/>
        <v>ok</v>
      </c>
      <c r="AB2157" s="4" t="str">
        <f t="shared" si="236"/>
        <v>no resolution</v>
      </c>
      <c r="AC2157" s="6" t="str">
        <f t="shared" si="237"/>
        <v/>
      </c>
    </row>
    <row r="2158" spans="1:29" x14ac:dyDescent="0.3">
      <c r="A2158" t="s">
        <v>22</v>
      </c>
      <c r="B2158">
        <v>3739</v>
      </c>
      <c r="C2158" t="s">
        <v>47</v>
      </c>
      <c r="D2158" t="s">
        <v>24</v>
      </c>
      <c r="E2158" t="s">
        <v>44</v>
      </c>
      <c r="F2158" t="s">
        <v>36</v>
      </c>
      <c r="G2158" t="s">
        <v>64</v>
      </c>
      <c r="H2158" s="1">
        <v>45261.257418981484</v>
      </c>
      <c r="I2158" s="1">
        <v>45263.257418981484</v>
      </c>
      <c r="J2158" s="1">
        <v>45261.299085648148</v>
      </c>
      <c r="K2158" s="2">
        <v>45261.28478962963</v>
      </c>
      <c r="L2158" t="s">
        <v>28</v>
      </c>
      <c r="M2158" s="2">
        <v>45262.481469502316</v>
      </c>
      <c r="N2158" t="s">
        <v>28</v>
      </c>
      <c r="O2158" s="2">
        <v>45262.64181119213</v>
      </c>
      <c r="P2158">
        <v>5</v>
      </c>
      <c r="Q2158">
        <v>4</v>
      </c>
      <c r="R2158" t="s">
        <v>50</v>
      </c>
      <c r="S2158" t="s">
        <v>40</v>
      </c>
      <c r="T2158" t="s">
        <v>61</v>
      </c>
      <c r="U2158">
        <v>42.724992499999999</v>
      </c>
      <c r="V2158">
        <v>25.483303899999999</v>
      </c>
      <c r="W2158" t="str">
        <f t="shared" si="232"/>
        <v>ok</v>
      </c>
      <c r="X2158" t="str">
        <f t="shared" si="238"/>
        <v>ok</v>
      </c>
      <c r="Y2158" t="str">
        <f t="shared" si="233"/>
        <v>ok</v>
      </c>
      <c r="Z2158" t="str">
        <f t="shared" si="234"/>
        <v>ok</v>
      </c>
      <c r="AA2158" s="4" t="str">
        <f t="shared" si="235"/>
        <v>ok</v>
      </c>
      <c r="AB2158" s="4" t="str">
        <f t="shared" si="236"/>
        <v>ok</v>
      </c>
      <c r="AC2158" s="6">
        <f t="shared" si="237"/>
        <v>29.377212499966845</v>
      </c>
    </row>
    <row r="2159" spans="1:29" x14ac:dyDescent="0.3">
      <c r="A2159" t="s">
        <v>68</v>
      </c>
      <c r="B2159">
        <v>3740</v>
      </c>
      <c r="C2159" t="s">
        <v>33</v>
      </c>
      <c r="D2159" t="s">
        <v>43</v>
      </c>
      <c r="E2159" t="s">
        <v>35</v>
      </c>
      <c r="F2159" t="s">
        <v>36</v>
      </c>
      <c r="G2159" t="s">
        <v>37</v>
      </c>
      <c r="H2159" s="1">
        <v>45261.211168981485</v>
      </c>
      <c r="I2159" s="1">
        <v>45262.211168981485</v>
      </c>
      <c r="J2159" s="1">
        <v>45261.212557870371</v>
      </c>
      <c r="L2159" t="s">
        <v>38</v>
      </c>
      <c r="N2159" t="s">
        <v>38</v>
      </c>
      <c r="R2159" t="s">
        <v>55</v>
      </c>
      <c r="S2159" t="s">
        <v>40</v>
      </c>
      <c r="T2159" t="s">
        <v>46</v>
      </c>
      <c r="U2159">
        <v>47.696471899999999</v>
      </c>
      <c r="V2159">
        <v>13.3457347</v>
      </c>
      <c r="W2159" t="str">
        <f t="shared" si="232"/>
        <v>check</v>
      </c>
      <c r="X2159" t="str">
        <f t="shared" si="238"/>
        <v>ok</v>
      </c>
      <c r="Y2159" t="str">
        <f t="shared" si="233"/>
        <v>ok</v>
      </c>
      <c r="Z2159" t="str">
        <f t="shared" si="234"/>
        <v>ok</v>
      </c>
      <c r="AA2159" s="4" t="str">
        <f t="shared" si="235"/>
        <v>no response</v>
      </c>
      <c r="AB2159" s="4" t="str">
        <f t="shared" si="236"/>
        <v>no resolution</v>
      </c>
      <c r="AC2159" s="6" t="str">
        <f t="shared" si="237"/>
        <v/>
      </c>
    </row>
    <row r="2160" spans="1:29" x14ac:dyDescent="0.3">
      <c r="A2160" t="s">
        <v>68</v>
      </c>
      <c r="B2160">
        <v>3741</v>
      </c>
      <c r="C2160" t="s">
        <v>23</v>
      </c>
      <c r="D2160" t="s">
        <v>43</v>
      </c>
      <c r="E2160" t="s">
        <v>48</v>
      </c>
      <c r="F2160" t="s">
        <v>26</v>
      </c>
      <c r="G2160" t="s">
        <v>45</v>
      </c>
      <c r="H2160" s="1">
        <v>45261.922048611108</v>
      </c>
      <c r="I2160" s="1">
        <v>45262.922048611108</v>
      </c>
      <c r="J2160" s="1">
        <v>45261.923437500001</v>
      </c>
      <c r="L2160" t="s">
        <v>38</v>
      </c>
      <c r="N2160" t="s">
        <v>38</v>
      </c>
      <c r="R2160" t="s">
        <v>50</v>
      </c>
      <c r="S2160" t="s">
        <v>30</v>
      </c>
      <c r="T2160" t="s">
        <v>46</v>
      </c>
      <c r="U2160">
        <v>47.696471899999999</v>
      </c>
      <c r="V2160">
        <v>13.3457347</v>
      </c>
      <c r="W2160" t="str">
        <f t="shared" si="232"/>
        <v>check</v>
      </c>
      <c r="X2160" t="str">
        <f t="shared" si="238"/>
        <v>ok</v>
      </c>
      <c r="Y2160" t="str">
        <f t="shared" si="233"/>
        <v>ok</v>
      </c>
      <c r="Z2160" t="str">
        <f t="shared" si="234"/>
        <v>ok</v>
      </c>
      <c r="AA2160" s="4" t="str">
        <f t="shared" si="235"/>
        <v>no response</v>
      </c>
      <c r="AB2160" s="4" t="str">
        <f t="shared" si="236"/>
        <v>no resolution</v>
      </c>
      <c r="AC2160" s="6" t="str">
        <f t="shared" si="237"/>
        <v/>
      </c>
    </row>
    <row r="2161" spans="1:29" x14ac:dyDescent="0.3">
      <c r="A2161" t="s">
        <v>22</v>
      </c>
      <c r="B2161">
        <v>3742</v>
      </c>
      <c r="C2161" t="s">
        <v>47</v>
      </c>
      <c r="D2161" t="s">
        <v>24</v>
      </c>
      <c r="E2161" t="s">
        <v>35</v>
      </c>
      <c r="F2161" t="s">
        <v>26</v>
      </c>
      <c r="G2161" t="s">
        <v>27</v>
      </c>
      <c r="H2161" s="1">
        <v>45261.349328703705</v>
      </c>
      <c r="I2161" s="1">
        <v>45263.349328703705</v>
      </c>
      <c r="J2161" s="1">
        <v>45261.39099537037</v>
      </c>
      <c r="K2161" s="2">
        <v>45261.381839467591</v>
      </c>
      <c r="L2161" t="s">
        <v>28</v>
      </c>
      <c r="M2161" s="2">
        <v>45262.872748055554</v>
      </c>
      <c r="N2161" t="s">
        <v>28</v>
      </c>
      <c r="O2161" s="2">
        <v>45263.531466712964</v>
      </c>
      <c r="P2161">
        <v>1</v>
      </c>
      <c r="Q2161">
        <v>3</v>
      </c>
      <c r="R2161" t="s">
        <v>50</v>
      </c>
      <c r="S2161" t="s">
        <v>30</v>
      </c>
      <c r="T2161" t="s">
        <v>46</v>
      </c>
      <c r="U2161">
        <v>47.696471899999999</v>
      </c>
      <c r="V2161">
        <v>13.3457347</v>
      </c>
      <c r="W2161" t="str">
        <f t="shared" si="232"/>
        <v>ok</v>
      </c>
      <c r="X2161" t="str">
        <f t="shared" si="238"/>
        <v>ok</v>
      </c>
      <c r="Y2161" t="str">
        <f t="shared" si="233"/>
        <v>ok</v>
      </c>
      <c r="Z2161" t="str">
        <f t="shared" si="234"/>
        <v>ok</v>
      </c>
      <c r="AA2161" s="4" t="str">
        <f t="shared" si="235"/>
        <v>ok</v>
      </c>
      <c r="AB2161" s="4" t="str">
        <f t="shared" si="236"/>
        <v>ok</v>
      </c>
      <c r="AC2161" s="6">
        <f t="shared" si="237"/>
        <v>36.562064444355201</v>
      </c>
    </row>
    <row r="2162" spans="1:29" x14ac:dyDescent="0.3">
      <c r="A2162" t="s">
        <v>32</v>
      </c>
      <c r="B2162">
        <v>3743</v>
      </c>
      <c r="C2162" t="s">
        <v>47</v>
      </c>
      <c r="D2162" t="s">
        <v>43</v>
      </c>
      <c r="E2162" t="s">
        <v>35</v>
      </c>
      <c r="F2162" t="s">
        <v>36</v>
      </c>
      <c r="G2162" t="s">
        <v>54</v>
      </c>
      <c r="H2162" s="1">
        <v>45261.947141203702</v>
      </c>
      <c r="I2162" s="1">
        <v>45262.947141203702</v>
      </c>
      <c r="J2162" s="1">
        <v>45261.948530092595</v>
      </c>
      <c r="K2162" s="2">
        <v>45261.950480254629</v>
      </c>
      <c r="L2162" t="s">
        <v>38</v>
      </c>
      <c r="N2162" t="s">
        <v>38</v>
      </c>
      <c r="P2162">
        <v>6</v>
      </c>
      <c r="R2162" t="s">
        <v>50</v>
      </c>
      <c r="S2162" t="s">
        <v>40</v>
      </c>
      <c r="T2162" t="s">
        <v>56</v>
      </c>
      <c r="U2162">
        <v>52.536273000000001</v>
      </c>
      <c r="V2162">
        <v>19.050639</v>
      </c>
      <c r="W2162" t="str">
        <f t="shared" si="232"/>
        <v>ok</v>
      </c>
      <c r="X2162" t="str">
        <f t="shared" si="238"/>
        <v>ok</v>
      </c>
      <c r="Y2162" t="str">
        <f t="shared" si="233"/>
        <v>ok</v>
      </c>
      <c r="Z2162" t="str">
        <f t="shared" si="234"/>
        <v>ok</v>
      </c>
      <c r="AA2162" s="4" t="str">
        <f t="shared" si="235"/>
        <v>ok</v>
      </c>
      <c r="AB2162" s="4" t="str">
        <f t="shared" si="236"/>
        <v>no resolution</v>
      </c>
      <c r="AC2162" s="6" t="str">
        <f t="shared" si="237"/>
        <v/>
      </c>
    </row>
    <row r="2163" spans="1:29" x14ac:dyDescent="0.3">
      <c r="A2163" t="s">
        <v>22</v>
      </c>
      <c r="B2163">
        <v>3744</v>
      </c>
      <c r="C2163" t="s">
        <v>33</v>
      </c>
      <c r="D2163" t="s">
        <v>43</v>
      </c>
      <c r="E2163" t="s">
        <v>25</v>
      </c>
      <c r="F2163" t="s">
        <v>36</v>
      </c>
      <c r="G2163" t="s">
        <v>37</v>
      </c>
      <c r="H2163" s="1">
        <v>45262.134131944447</v>
      </c>
      <c r="I2163" s="1">
        <v>45263.134131944447</v>
      </c>
      <c r="J2163" s="1">
        <v>45262.135520833333</v>
      </c>
      <c r="K2163" s="2">
        <v>45262.134840682869</v>
      </c>
      <c r="L2163" t="s">
        <v>28</v>
      </c>
      <c r="M2163" s="2">
        <v>45262.901569687499</v>
      </c>
      <c r="N2163" t="s">
        <v>28</v>
      </c>
      <c r="O2163" s="2">
        <v>45263.565292349536</v>
      </c>
      <c r="P2163">
        <v>7</v>
      </c>
      <c r="Q2163">
        <v>5</v>
      </c>
      <c r="R2163" t="s">
        <v>50</v>
      </c>
      <c r="S2163" t="s">
        <v>40</v>
      </c>
      <c r="T2163" t="s">
        <v>46</v>
      </c>
      <c r="U2163">
        <v>47.696471899999999</v>
      </c>
      <c r="V2163">
        <v>13.3457347</v>
      </c>
      <c r="W2163" t="str">
        <f t="shared" si="232"/>
        <v>ok</v>
      </c>
      <c r="X2163" t="str">
        <f t="shared" si="238"/>
        <v>ok</v>
      </c>
      <c r="Y2163" t="str">
        <f t="shared" si="233"/>
        <v>ok</v>
      </c>
      <c r="Z2163" t="str">
        <f t="shared" si="234"/>
        <v>ok</v>
      </c>
      <c r="AA2163" s="4" t="str">
        <f t="shared" si="235"/>
        <v>ok</v>
      </c>
      <c r="AB2163" s="4" t="str">
        <f t="shared" si="236"/>
        <v>ok</v>
      </c>
      <c r="AC2163" s="6">
        <f t="shared" si="237"/>
        <v>18.418505833251402</v>
      </c>
    </row>
    <row r="2164" spans="1:29" x14ac:dyDescent="0.3">
      <c r="A2164" t="s">
        <v>22</v>
      </c>
      <c r="B2164">
        <v>3745</v>
      </c>
      <c r="C2164" t="s">
        <v>23</v>
      </c>
      <c r="D2164" t="s">
        <v>24</v>
      </c>
      <c r="E2164" t="s">
        <v>25</v>
      </c>
      <c r="F2164" t="s">
        <v>26</v>
      </c>
      <c r="G2164" t="s">
        <v>60</v>
      </c>
      <c r="H2164" s="1">
        <v>45262.157916666663</v>
      </c>
      <c r="I2164" s="1">
        <v>45264.157916666663</v>
      </c>
      <c r="J2164" s="1">
        <v>45262.199583333335</v>
      </c>
      <c r="K2164" s="2">
        <v>45262.164437384257</v>
      </c>
      <c r="L2164" t="s">
        <v>28</v>
      </c>
      <c r="M2164" s="2">
        <v>45268.041736793981</v>
      </c>
      <c r="N2164" t="s">
        <v>38</v>
      </c>
      <c r="O2164" s="2">
        <v>45268.135744004627</v>
      </c>
      <c r="P2164">
        <v>3</v>
      </c>
      <c r="Q2164">
        <v>4</v>
      </c>
      <c r="R2164" t="s">
        <v>50</v>
      </c>
      <c r="S2164" t="s">
        <v>30</v>
      </c>
      <c r="T2164" t="s">
        <v>51</v>
      </c>
      <c r="U2164">
        <v>39.673369999999998</v>
      </c>
      <c r="V2164">
        <v>-4.7677259999999997</v>
      </c>
      <c r="W2164" t="str">
        <f t="shared" si="232"/>
        <v>ok</v>
      </c>
      <c r="X2164" t="str">
        <f t="shared" si="238"/>
        <v>ok</v>
      </c>
      <c r="Y2164" t="str">
        <f t="shared" si="233"/>
        <v>ok</v>
      </c>
      <c r="Z2164" t="str">
        <f t="shared" si="234"/>
        <v>ok</v>
      </c>
      <c r="AA2164" s="4" t="str">
        <f t="shared" si="235"/>
        <v>ok</v>
      </c>
      <c r="AB2164" s="4" t="str">
        <f t="shared" si="236"/>
        <v>ok</v>
      </c>
      <c r="AC2164" s="6">
        <f t="shared" si="237"/>
        <v>141.21168305561878</v>
      </c>
    </row>
    <row r="2165" spans="1:29" x14ac:dyDescent="0.3">
      <c r="A2165" t="s">
        <v>22</v>
      </c>
      <c r="B2165">
        <v>3746</v>
      </c>
      <c r="C2165" t="s">
        <v>33</v>
      </c>
      <c r="D2165" t="s">
        <v>24</v>
      </c>
      <c r="E2165" t="s">
        <v>59</v>
      </c>
      <c r="F2165" t="s">
        <v>26</v>
      </c>
      <c r="G2165" t="s">
        <v>60</v>
      </c>
      <c r="H2165" s="1">
        <v>45262.736180555556</v>
      </c>
      <c r="I2165" s="1">
        <v>45264.736180555556</v>
      </c>
      <c r="J2165" s="1">
        <v>45262.77784722222</v>
      </c>
      <c r="K2165" s="2">
        <v>45262.773709745372</v>
      </c>
      <c r="L2165" t="s">
        <v>28</v>
      </c>
      <c r="M2165" s="2">
        <v>45263.737525474535</v>
      </c>
      <c r="N2165" t="s">
        <v>28</v>
      </c>
      <c r="O2165" s="2">
        <v>45264.747862523145</v>
      </c>
      <c r="P2165">
        <v>1</v>
      </c>
      <c r="Q2165">
        <v>2</v>
      </c>
      <c r="R2165" t="s">
        <v>29</v>
      </c>
      <c r="S2165" t="s">
        <v>30</v>
      </c>
      <c r="T2165" t="s">
        <v>31</v>
      </c>
      <c r="U2165">
        <v>53.094023999999997</v>
      </c>
      <c r="V2165">
        <v>-8.0196749999999994</v>
      </c>
      <c r="W2165" t="str">
        <f t="shared" si="232"/>
        <v>ok</v>
      </c>
      <c r="X2165" t="str">
        <f t="shared" si="238"/>
        <v>ok</v>
      </c>
      <c r="Y2165" t="str">
        <f t="shared" si="233"/>
        <v>ok</v>
      </c>
      <c r="Z2165" t="str">
        <f t="shared" si="234"/>
        <v>ok</v>
      </c>
      <c r="AA2165" s="4" t="str">
        <f t="shared" si="235"/>
        <v>ok</v>
      </c>
      <c r="AB2165" s="4" t="str">
        <f t="shared" si="236"/>
        <v>ok</v>
      </c>
      <c r="AC2165" s="6">
        <f t="shared" si="237"/>
        <v>24.032278055499773</v>
      </c>
    </row>
    <row r="2166" spans="1:29" x14ac:dyDescent="0.3">
      <c r="A2166" t="s">
        <v>22</v>
      </c>
      <c r="B2166">
        <v>3752</v>
      </c>
      <c r="C2166" t="s">
        <v>23</v>
      </c>
      <c r="D2166" t="s">
        <v>24</v>
      </c>
      <c r="E2166" t="s">
        <v>44</v>
      </c>
      <c r="F2166" t="s">
        <v>26</v>
      </c>
      <c r="G2166" t="s">
        <v>60</v>
      </c>
      <c r="H2166" s="1">
        <v>45262.657916666663</v>
      </c>
      <c r="I2166" s="1">
        <v>45264.657916666663</v>
      </c>
      <c r="J2166" s="1">
        <v>45262.699583333335</v>
      </c>
      <c r="K2166" s="2">
        <v>45262.787414895836</v>
      </c>
      <c r="L2166" t="s">
        <v>38</v>
      </c>
      <c r="M2166" s="2">
        <v>45262.855016331021</v>
      </c>
      <c r="N2166" t="s">
        <v>28</v>
      </c>
      <c r="O2166" s="2">
        <v>45265.108581747685</v>
      </c>
      <c r="P2166">
        <v>5</v>
      </c>
      <c r="Q2166">
        <v>4</v>
      </c>
      <c r="R2166" t="s">
        <v>50</v>
      </c>
      <c r="S2166" t="s">
        <v>30</v>
      </c>
      <c r="T2166" t="s">
        <v>53</v>
      </c>
      <c r="U2166">
        <v>39.368279000000001</v>
      </c>
      <c r="V2166">
        <v>21.863140999999999</v>
      </c>
      <c r="W2166" t="str">
        <f t="shared" si="232"/>
        <v>ok</v>
      </c>
      <c r="X2166" t="str">
        <f t="shared" si="238"/>
        <v>ok</v>
      </c>
      <c r="Y2166" t="str">
        <f t="shared" si="233"/>
        <v>ok</v>
      </c>
      <c r="Z2166" t="str">
        <f t="shared" si="234"/>
        <v>ok</v>
      </c>
      <c r="AA2166" s="4" t="str">
        <f t="shared" si="235"/>
        <v>ok</v>
      </c>
      <c r="AB2166" s="4" t="str">
        <f t="shared" si="236"/>
        <v>ok</v>
      </c>
      <c r="AC2166" s="6">
        <f t="shared" si="237"/>
        <v>4.7303919445839711</v>
      </c>
    </row>
    <row r="2167" spans="1:29" x14ac:dyDescent="0.3">
      <c r="A2167" t="s">
        <v>42</v>
      </c>
      <c r="B2167">
        <v>3753</v>
      </c>
      <c r="C2167" t="s">
        <v>23</v>
      </c>
      <c r="D2167" t="s">
        <v>43</v>
      </c>
      <c r="E2167" t="s">
        <v>48</v>
      </c>
      <c r="F2167" t="s">
        <v>36</v>
      </c>
      <c r="G2167" t="s">
        <v>54</v>
      </c>
      <c r="H2167" s="1">
        <v>45262.064976851849</v>
      </c>
      <c r="I2167" s="1">
        <v>45263.064976851849</v>
      </c>
      <c r="J2167" s="1">
        <v>45262.066365740742</v>
      </c>
      <c r="K2167" s="2">
        <v>45262.065281354167</v>
      </c>
      <c r="L2167" t="s">
        <v>28</v>
      </c>
      <c r="M2167" s="2">
        <v>45263.358365300926</v>
      </c>
      <c r="N2167" t="s">
        <v>38</v>
      </c>
      <c r="P2167">
        <v>2</v>
      </c>
      <c r="R2167" t="s">
        <v>50</v>
      </c>
      <c r="S2167" t="s">
        <v>40</v>
      </c>
      <c r="T2167" t="s">
        <v>61</v>
      </c>
      <c r="U2167">
        <v>42.724992499999999</v>
      </c>
      <c r="V2167">
        <v>25.483303899999999</v>
      </c>
      <c r="W2167" t="str">
        <f t="shared" si="232"/>
        <v>ok</v>
      </c>
      <c r="X2167" t="str">
        <f t="shared" si="238"/>
        <v>ok</v>
      </c>
      <c r="Y2167" t="str">
        <f t="shared" si="233"/>
        <v>ok</v>
      </c>
      <c r="Z2167" t="str">
        <f t="shared" si="234"/>
        <v>ok</v>
      </c>
      <c r="AA2167" s="4" t="str">
        <f t="shared" si="235"/>
        <v>ok</v>
      </c>
      <c r="AB2167" s="4" t="str">
        <f t="shared" si="236"/>
        <v>ok</v>
      </c>
      <c r="AC2167" s="6">
        <f t="shared" si="237"/>
        <v>31.041322777862661</v>
      </c>
    </row>
    <row r="2168" spans="1:29" x14ac:dyDescent="0.3">
      <c r="A2168" t="s">
        <v>32</v>
      </c>
      <c r="B2168">
        <v>3755</v>
      </c>
      <c r="C2168" t="s">
        <v>47</v>
      </c>
      <c r="D2168" t="s">
        <v>43</v>
      </c>
      <c r="E2168" t="s">
        <v>35</v>
      </c>
      <c r="F2168" t="s">
        <v>26</v>
      </c>
      <c r="G2168" t="s">
        <v>52</v>
      </c>
      <c r="H2168" s="1">
        <v>45263.320821759262</v>
      </c>
      <c r="I2168" s="1">
        <v>45264.320821759262</v>
      </c>
      <c r="J2168" s="1">
        <v>45263.322210648148</v>
      </c>
      <c r="K2168" s="2">
        <v>45263.321569907406</v>
      </c>
      <c r="L2168" t="s">
        <v>28</v>
      </c>
      <c r="N2168" t="s">
        <v>38</v>
      </c>
      <c r="P2168">
        <v>2</v>
      </c>
      <c r="R2168" t="s">
        <v>29</v>
      </c>
      <c r="S2168" t="s">
        <v>30</v>
      </c>
      <c r="T2168" t="s">
        <v>41</v>
      </c>
      <c r="U2168">
        <v>43.036776000000003</v>
      </c>
      <c r="V2168">
        <v>12.678565000000001</v>
      </c>
      <c r="W2168" t="str">
        <f t="shared" si="232"/>
        <v>ok</v>
      </c>
      <c r="X2168" t="str">
        <f t="shared" si="238"/>
        <v>ok</v>
      </c>
      <c r="Y2168" t="str">
        <f t="shared" si="233"/>
        <v>ok</v>
      </c>
      <c r="Z2168" t="str">
        <f t="shared" si="234"/>
        <v>ok</v>
      </c>
      <c r="AA2168" s="4" t="str">
        <f t="shared" si="235"/>
        <v>ok</v>
      </c>
      <c r="AB2168" s="4" t="str">
        <f t="shared" si="236"/>
        <v>no resolution</v>
      </c>
      <c r="AC2168" s="6" t="str">
        <f t="shared" si="237"/>
        <v/>
      </c>
    </row>
    <row r="2169" spans="1:29" x14ac:dyDescent="0.3">
      <c r="A2169" t="s">
        <v>22</v>
      </c>
      <c r="B2169">
        <v>3756</v>
      </c>
      <c r="C2169" t="s">
        <v>23</v>
      </c>
      <c r="D2169" t="s">
        <v>24</v>
      </c>
      <c r="E2169" t="s">
        <v>48</v>
      </c>
      <c r="F2169" t="s">
        <v>26</v>
      </c>
      <c r="G2169" t="s">
        <v>52</v>
      </c>
      <c r="H2169" s="1">
        <v>45263.95989583333</v>
      </c>
      <c r="I2169" s="1">
        <v>45265.95989583333</v>
      </c>
      <c r="J2169" s="1">
        <v>45264.001562500001</v>
      </c>
      <c r="K2169" s="2">
        <v>45263.987513321757</v>
      </c>
      <c r="L2169" t="s">
        <v>28</v>
      </c>
      <c r="M2169" s="2">
        <v>45264.578079039355</v>
      </c>
      <c r="N2169" t="s">
        <v>28</v>
      </c>
      <c r="O2169" s="2">
        <v>45265.446831400463</v>
      </c>
      <c r="P2169">
        <v>1</v>
      </c>
      <c r="Q2169">
        <v>4</v>
      </c>
      <c r="R2169" t="s">
        <v>55</v>
      </c>
      <c r="S2169" t="s">
        <v>30</v>
      </c>
      <c r="T2169" t="s">
        <v>57</v>
      </c>
      <c r="U2169">
        <v>51.165691000000002</v>
      </c>
      <c r="V2169">
        <v>10.451525999999999</v>
      </c>
      <c r="W2169" t="str">
        <f t="shared" si="232"/>
        <v>ok</v>
      </c>
      <c r="X2169" t="str">
        <f t="shared" si="238"/>
        <v>ok</v>
      </c>
      <c r="Y2169" t="str">
        <f t="shared" si="233"/>
        <v>ok</v>
      </c>
      <c r="Z2169" t="str">
        <f t="shared" si="234"/>
        <v>ok</v>
      </c>
      <c r="AA2169" s="4" t="str">
        <f t="shared" si="235"/>
        <v>ok</v>
      </c>
      <c r="AB2169" s="4" t="str">
        <f t="shared" si="236"/>
        <v>ok</v>
      </c>
      <c r="AC2169" s="6">
        <f t="shared" si="237"/>
        <v>14.836396944592707</v>
      </c>
    </row>
    <row r="2170" spans="1:29" x14ac:dyDescent="0.3">
      <c r="A2170" t="s">
        <v>22</v>
      </c>
      <c r="B2170">
        <v>3757</v>
      </c>
      <c r="C2170" t="s">
        <v>33</v>
      </c>
      <c r="D2170" t="s">
        <v>43</v>
      </c>
      <c r="E2170" t="s">
        <v>48</v>
      </c>
      <c r="F2170" t="s">
        <v>26</v>
      </c>
      <c r="G2170" t="s">
        <v>52</v>
      </c>
      <c r="H2170" s="1">
        <v>45263.40042824074</v>
      </c>
      <c r="I2170" s="1">
        <v>45264.40042824074</v>
      </c>
      <c r="J2170" s="1">
        <v>45263.401817129627</v>
      </c>
      <c r="K2170" s="2">
        <v>45263.401215127313</v>
      </c>
      <c r="L2170" t="s">
        <v>28</v>
      </c>
      <c r="M2170" s="2">
        <v>45264.363362129632</v>
      </c>
      <c r="N2170" t="s">
        <v>28</v>
      </c>
      <c r="O2170" s="2">
        <v>45264.129658275466</v>
      </c>
      <c r="P2170">
        <v>6</v>
      </c>
      <c r="Q2170">
        <v>4</v>
      </c>
      <c r="R2170" t="s">
        <v>50</v>
      </c>
      <c r="S2170" t="s">
        <v>30</v>
      </c>
      <c r="T2170" t="s">
        <v>66</v>
      </c>
      <c r="U2170">
        <v>48.864716000000001</v>
      </c>
      <c r="V2170">
        <v>2.3490139999999999</v>
      </c>
      <c r="W2170" t="str">
        <f t="shared" si="232"/>
        <v>ok</v>
      </c>
      <c r="X2170" t="str">
        <f t="shared" si="238"/>
        <v>ok</v>
      </c>
      <c r="Y2170" t="str">
        <f t="shared" si="233"/>
        <v>check</v>
      </c>
      <c r="Z2170" t="str">
        <f t="shared" si="234"/>
        <v>ok</v>
      </c>
      <c r="AA2170" s="4" t="str">
        <f t="shared" si="235"/>
        <v>ok</v>
      </c>
      <c r="AB2170" s="4" t="str">
        <f t="shared" si="236"/>
        <v>ok</v>
      </c>
      <c r="AC2170" s="6">
        <f t="shared" si="237"/>
        <v>23.110413333401084</v>
      </c>
    </row>
    <row r="2171" spans="1:29" x14ac:dyDescent="0.3">
      <c r="A2171" t="s">
        <v>22</v>
      </c>
      <c r="B2171">
        <v>3758</v>
      </c>
      <c r="C2171" t="s">
        <v>23</v>
      </c>
      <c r="D2171" t="s">
        <v>43</v>
      </c>
      <c r="E2171" t="s">
        <v>62</v>
      </c>
      <c r="F2171" t="s">
        <v>26</v>
      </c>
      <c r="G2171" t="s">
        <v>60</v>
      </c>
      <c r="H2171" s="1">
        <v>45263.509259259263</v>
      </c>
      <c r="I2171" s="1">
        <v>45264.509259259263</v>
      </c>
      <c r="J2171" s="1">
        <v>45263.510648148149</v>
      </c>
      <c r="K2171" s="2">
        <v>45263.509316851851</v>
      </c>
      <c r="L2171" t="s">
        <v>28</v>
      </c>
      <c r="M2171" s="2">
        <v>45264.458765208336</v>
      </c>
      <c r="N2171" t="s">
        <v>28</v>
      </c>
      <c r="O2171" s="2">
        <v>45264.142989849533</v>
      </c>
      <c r="P2171">
        <v>7</v>
      </c>
      <c r="Q2171">
        <v>1</v>
      </c>
      <c r="R2171" t="s">
        <v>55</v>
      </c>
      <c r="S2171" t="s">
        <v>30</v>
      </c>
      <c r="T2171" t="s">
        <v>58</v>
      </c>
      <c r="U2171">
        <v>49.8037633</v>
      </c>
      <c r="V2171">
        <v>15.4749126</v>
      </c>
      <c r="W2171" t="str">
        <f t="shared" si="232"/>
        <v>ok</v>
      </c>
      <c r="X2171" t="str">
        <f t="shared" si="238"/>
        <v>ok</v>
      </c>
      <c r="Y2171" t="str">
        <f t="shared" si="233"/>
        <v>check</v>
      </c>
      <c r="Z2171" t="str">
        <f t="shared" si="234"/>
        <v>ok</v>
      </c>
      <c r="AA2171" s="4" t="str">
        <f t="shared" si="235"/>
        <v>ok</v>
      </c>
      <c r="AB2171" s="4" t="str">
        <f t="shared" si="236"/>
        <v>ok</v>
      </c>
      <c r="AC2171" s="6">
        <f t="shared" si="237"/>
        <v>22.788142777746543</v>
      </c>
    </row>
    <row r="2172" spans="1:29" x14ac:dyDescent="0.3">
      <c r="A2172" t="s">
        <v>42</v>
      </c>
      <c r="B2172">
        <v>3759</v>
      </c>
      <c r="C2172" t="s">
        <v>23</v>
      </c>
      <c r="D2172" t="s">
        <v>43</v>
      </c>
      <c r="E2172" t="s">
        <v>25</v>
      </c>
      <c r="F2172" t="s">
        <v>26</v>
      </c>
      <c r="G2172" t="s">
        <v>60</v>
      </c>
      <c r="H2172" s="1">
        <v>45263.694722222222</v>
      </c>
      <c r="I2172" s="1">
        <v>45264.694722222222</v>
      </c>
      <c r="J2172" s="1">
        <v>45263.696111111109</v>
      </c>
      <c r="K2172" s="2">
        <v>45263.695330312497</v>
      </c>
      <c r="L2172" t="s">
        <v>28</v>
      </c>
      <c r="M2172" s="2">
        <v>45265.794952430559</v>
      </c>
      <c r="N2172" t="s">
        <v>38</v>
      </c>
      <c r="P2172">
        <v>6</v>
      </c>
      <c r="R2172" t="s">
        <v>50</v>
      </c>
      <c r="S2172" t="s">
        <v>30</v>
      </c>
      <c r="T2172" t="s">
        <v>41</v>
      </c>
      <c r="U2172">
        <v>43.036776000000003</v>
      </c>
      <c r="V2172">
        <v>12.678565000000001</v>
      </c>
      <c r="W2172" t="str">
        <f t="shared" si="232"/>
        <v>ok</v>
      </c>
      <c r="X2172" t="str">
        <f t="shared" si="238"/>
        <v>ok</v>
      </c>
      <c r="Y2172" t="str">
        <f t="shared" si="233"/>
        <v>ok</v>
      </c>
      <c r="Z2172" t="str">
        <f t="shared" si="234"/>
        <v>ok</v>
      </c>
      <c r="AA2172" s="4" t="str">
        <f t="shared" si="235"/>
        <v>ok</v>
      </c>
      <c r="AB2172" s="4" t="str">
        <f t="shared" si="236"/>
        <v>ok</v>
      </c>
      <c r="AC2172" s="6">
        <f t="shared" si="237"/>
        <v>50.405525000067428</v>
      </c>
    </row>
    <row r="2173" spans="1:29" x14ac:dyDescent="0.3">
      <c r="A2173" t="s">
        <v>22</v>
      </c>
      <c r="B2173">
        <v>3760</v>
      </c>
      <c r="C2173" t="s">
        <v>47</v>
      </c>
      <c r="D2173" t="s">
        <v>24</v>
      </c>
      <c r="E2173" t="s">
        <v>48</v>
      </c>
      <c r="F2173" t="s">
        <v>26</v>
      </c>
      <c r="G2173" t="s">
        <v>60</v>
      </c>
      <c r="H2173" s="1">
        <v>45263.362384259257</v>
      </c>
      <c r="I2173" s="1">
        <v>45265.362384259257</v>
      </c>
      <c r="J2173" s="1">
        <v>45263.404050925928</v>
      </c>
      <c r="K2173" s="2">
        <v>45263.369371319444</v>
      </c>
      <c r="L2173" t="s">
        <v>28</v>
      </c>
      <c r="M2173" s="2">
        <v>45265.940306365737</v>
      </c>
      <c r="N2173" t="s">
        <v>38</v>
      </c>
      <c r="O2173" s="2">
        <v>45267.674050995367</v>
      </c>
      <c r="P2173">
        <v>6</v>
      </c>
      <c r="Q2173">
        <v>4</v>
      </c>
      <c r="R2173" t="s">
        <v>29</v>
      </c>
      <c r="S2173" t="s">
        <v>30</v>
      </c>
      <c r="T2173" t="s">
        <v>41</v>
      </c>
      <c r="U2173">
        <v>43.036776000000003</v>
      </c>
      <c r="V2173">
        <v>12.678565000000001</v>
      </c>
      <c r="W2173" t="str">
        <f t="shared" si="232"/>
        <v>ok</v>
      </c>
      <c r="X2173" t="str">
        <f t="shared" si="238"/>
        <v>ok</v>
      </c>
      <c r="Y2173" t="str">
        <f t="shared" si="233"/>
        <v>ok</v>
      </c>
      <c r="Z2173" t="str">
        <f t="shared" si="234"/>
        <v>ok</v>
      </c>
      <c r="AA2173" s="4" t="str">
        <f t="shared" si="235"/>
        <v>ok</v>
      </c>
      <c r="AB2173" s="4" t="str">
        <f t="shared" si="236"/>
        <v>ok</v>
      </c>
      <c r="AC2173" s="6">
        <f t="shared" si="237"/>
        <v>61.870130555529613</v>
      </c>
    </row>
    <row r="2174" spans="1:29" x14ac:dyDescent="0.3">
      <c r="A2174" t="s">
        <v>22</v>
      </c>
      <c r="B2174">
        <v>3762</v>
      </c>
      <c r="C2174" t="s">
        <v>23</v>
      </c>
      <c r="D2174" t="s">
        <v>43</v>
      </c>
      <c r="E2174" t="s">
        <v>35</v>
      </c>
      <c r="F2174" t="s">
        <v>26</v>
      </c>
      <c r="G2174" t="s">
        <v>49</v>
      </c>
      <c r="H2174" s="1">
        <v>45264.126608796294</v>
      </c>
      <c r="I2174" s="1">
        <v>45265.126608796294</v>
      </c>
      <c r="J2174" s="1">
        <v>45264.127997685187</v>
      </c>
      <c r="K2174" s="2">
        <v>45264.127362719904</v>
      </c>
      <c r="L2174" t="s">
        <v>28</v>
      </c>
      <c r="M2174" s="2">
        <v>45264.963773391202</v>
      </c>
      <c r="N2174" t="s">
        <v>28</v>
      </c>
      <c r="O2174" s="2">
        <v>45264.321141377317</v>
      </c>
      <c r="P2174">
        <v>8</v>
      </c>
      <c r="Q2174">
        <v>5</v>
      </c>
      <c r="R2174" t="s">
        <v>29</v>
      </c>
      <c r="S2174" t="s">
        <v>30</v>
      </c>
      <c r="T2174" t="s">
        <v>56</v>
      </c>
      <c r="U2174">
        <v>52.536273000000001</v>
      </c>
      <c r="V2174">
        <v>19.050639</v>
      </c>
      <c r="W2174" t="str">
        <f t="shared" si="232"/>
        <v>ok</v>
      </c>
      <c r="X2174" t="str">
        <f t="shared" si="238"/>
        <v>ok</v>
      </c>
      <c r="Y2174" t="str">
        <f t="shared" si="233"/>
        <v>check</v>
      </c>
      <c r="Z2174" t="str">
        <f t="shared" si="234"/>
        <v>ok</v>
      </c>
      <c r="AA2174" s="4" t="str">
        <f t="shared" si="235"/>
        <v>ok</v>
      </c>
      <c r="AB2174" s="4" t="str">
        <f t="shared" si="236"/>
        <v>ok</v>
      </c>
      <c r="AC2174" s="6">
        <f t="shared" si="237"/>
        <v>20.091950277797878</v>
      </c>
    </row>
    <row r="2175" spans="1:29" x14ac:dyDescent="0.3">
      <c r="A2175" t="s">
        <v>42</v>
      </c>
      <c r="B2175">
        <v>3763</v>
      </c>
      <c r="C2175" t="s">
        <v>33</v>
      </c>
      <c r="D2175" t="s">
        <v>24</v>
      </c>
      <c r="E2175" t="s">
        <v>35</v>
      </c>
      <c r="F2175" t="s">
        <v>26</v>
      </c>
      <c r="G2175" t="s">
        <v>60</v>
      </c>
      <c r="H2175" s="1">
        <v>45264.620729166665</v>
      </c>
      <c r="I2175" s="1">
        <v>45266.620729166665</v>
      </c>
      <c r="J2175" s="1">
        <v>45264.662395833337</v>
      </c>
      <c r="K2175" s="2">
        <v>45264.632694143518</v>
      </c>
      <c r="L2175" t="s">
        <v>28</v>
      </c>
      <c r="M2175" s="2">
        <v>45266.259975451387</v>
      </c>
      <c r="N2175" t="s">
        <v>28</v>
      </c>
      <c r="P2175">
        <v>8</v>
      </c>
      <c r="R2175" t="s">
        <v>50</v>
      </c>
      <c r="S2175" t="s">
        <v>30</v>
      </c>
      <c r="T2175" t="s">
        <v>57</v>
      </c>
      <c r="U2175">
        <v>51.165691000000002</v>
      </c>
      <c r="V2175">
        <v>10.451525999999999</v>
      </c>
      <c r="W2175" t="str">
        <f t="shared" si="232"/>
        <v>ok</v>
      </c>
      <c r="X2175" t="str">
        <f t="shared" si="238"/>
        <v>ok</v>
      </c>
      <c r="Y2175" t="str">
        <f t="shared" si="233"/>
        <v>ok</v>
      </c>
      <c r="Z2175" t="str">
        <f t="shared" si="234"/>
        <v>ok</v>
      </c>
      <c r="AA2175" s="4" t="str">
        <f t="shared" si="235"/>
        <v>ok</v>
      </c>
      <c r="AB2175" s="4" t="str">
        <f t="shared" si="236"/>
        <v>ok</v>
      </c>
      <c r="AC2175" s="6">
        <f t="shared" si="237"/>
        <v>39.341910833318252</v>
      </c>
    </row>
    <row r="2176" spans="1:29" x14ac:dyDescent="0.3">
      <c r="A2176" t="s">
        <v>22</v>
      </c>
      <c r="B2176">
        <v>3765</v>
      </c>
      <c r="C2176" t="s">
        <v>23</v>
      </c>
      <c r="D2176" t="s">
        <v>24</v>
      </c>
      <c r="E2176" t="s">
        <v>25</v>
      </c>
      <c r="F2176" t="s">
        <v>26</v>
      </c>
      <c r="G2176" t="s">
        <v>49</v>
      </c>
      <c r="H2176" s="1">
        <v>45264.197245370371</v>
      </c>
      <c r="I2176" s="1">
        <v>45266.197245370371</v>
      </c>
      <c r="J2176" s="1">
        <v>45264.238912037035</v>
      </c>
      <c r="K2176" s="2">
        <v>45264.207426435183</v>
      </c>
      <c r="L2176" t="s">
        <v>28</v>
      </c>
      <c r="M2176" s="2">
        <v>45265.278432766201</v>
      </c>
      <c r="N2176" t="s">
        <v>28</v>
      </c>
      <c r="O2176" s="2">
        <v>45265.831152280094</v>
      </c>
      <c r="P2176">
        <v>1</v>
      </c>
      <c r="Q2176">
        <v>3</v>
      </c>
      <c r="R2176" t="s">
        <v>50</v>
      </c>
      <c r="S2176" t="s">
        <v>30</v>
      </c>
      <c r="T2176" t="s">
        <v>56</v>
      </c>
      <c r="U2176">
        <v>52.536273000000001</v>
      </c>
      <c r="V2176">
        <v>19.050639</v>
      </c>
      <c r="W2176" t="str">
        <f t="shared" si="232"/>
        <v>ok</v>
      </c>
      <c r="X2176" t="str">
        <f t="shared" si="238"/>
        <v>ok</v>
      </c>
      <c r="Y2176" t="str">
        <f t="shared" si="233"/>
        <v>ok</v>
      </c>
      <c r="Z2176" t="str">
        <f t="shared" si="234"/>
        <v>ok</v>
      </c>
      <c r="AA2176" s="4" t="str">
        <f t="shared" si="235"/>
        <v>ok</v>
      </c>
      <c r="AB2176" s="4" t="str">
        <f t="shared" si="236"/>
        <v>ok</v>
      </c>
      <c r="AC2176" s="6">
        <f t="shared" si="237"/>
        <v>25.948497499921359</v>
      </c>
    </row>
    <row r="2177" spans="1:29" x14ac:dyDescent="0.3">
      <c r="A2177" t="s">
        <v>22</v>
      </c>
      <c r="B2177">
        <v>3766</v>
      </c>
      <c r="C2177" t="s">
        <v>23</v>
      </c>
      <c r="D2177" t="s">
        <v>24</v>
      </c>
      <c r="E2177" t="s">
        <v>48</v>
      </c>
      <c r="F2177" t="s">
        <v>26</v>
      </c>
      <c r="G2177" t="s">
        <v>45</v>
      </c>
      <c r="H2177" s="1">
        <v>45264.723136574074</v>
      </c>
      <c r="I2177" s="1">
        <v>45266.723136574074</v>
      </c>
      <c r="J2177" s="1">
        <v>45264.764803240738</v>
      </c>
      <c r="K2177" s="2">
        <v>45264.754111377311</v>
      </c>
      <c r="L2177" t="s">
        <v>28</v>
      </c>
      <c r="M2177" s="2">
        <v>45266.082381377317</v>
      </c>
      <c r="N2177" t="s">
        <v>28</v>
      </c>
      <c r="O2177" s="2">
        <v>45267.748322256943</v>
      </c>
      <c r="P2177">
        <v>2</v>
      </c>
      <c r="Q2177">
        <v>5</v>
      </c>
      <c r="R2177" t="s">
        <v>29</v>
      </c>
      <c r="S2177" t="s">
        <v>30</v>
      </c>
      <c r="T2177" t="s">
        <v>31</v>
      </c>
      <c r="U2177">
        <v>53.094023999999997</v>
      </c>
      <c r="V2177">
        <v>-8.0196749999999994</v>
      </c>
      <c r="W2177" t="str">
        <f t="shared" si="232"/>
        <v>ok</v>
      </c>
      <c r="X2177" t="str">
        <f t="shared" si="238"/>
        <v>ok</v>
      </c>
      <c r="Y2177" t="str">
        <f t="shared" si="233"/>
        <v>ok</v>
      </c>
      <c r="Z2177" t="str">
        <f t="shared" si="234"/>
        <v>ok</v>
      </c>
      <c r="AA2177" s="4" t="str">
        <f t="shared" si="235"/>
        <v>ok</v>
      </c>
      <c r="AB2177" s="4" t="str">
        <f t="shared" si="236"/>
        <v>ok</v>
      </c>
      <c r="AC2177" s="6">
        <f t="shared" si="237"/>
        <v>32.621875277836807</v>
      </c>
    </row>
    <row r="2178" spans="1:29" x14ac:dyDescent="0.3">
      <c r="A2178" t="s">
        <v>22</v>
      </c>
      <c r="B2178">
        <v>3767</v>
      </c>
      <c r="C2178" t="s">
        <v>33</v>
      </c>
      <c r="D2178" t="s">
        <v>43</v>
      </c>
      <c r="E2178" t="s">
        <v>48</v>
      </c>
      <c r="F2178" t="s">
        <v>26</v>
      </c>
      <c r="G2178" t="s">
        <v>60</v>
      </c>
      <c r="H2178" s="1">
        <v>45264.851331018515</v>
      </c>
      <c r="I2178" s="1">
        <v>45265.851331018515</v>
      </c>
      <c r="J2178" s="1">
        <v>45264.852719907409</v>
      </c>
      <c r="K2178" s="2">
        <v>45264.854490231482</v>
      </c>
      <c r="L2178" t="s">
        <v>38</v>
      </c>
      <c r="M2178" s="2">
        <v>45264.866421423612</v>
      </c>
      <c r="N2178" t="s">
        <v>28</v>
      </c>
      <c r="O2178" s="2">
        <v>45265.364293460647</v>
      </c>
      <c r="P2178">
        <v>5</v>
      </c>
      <c r="Q2178">
        <v>1</v>
      </c>
      <c r="R2178" t="s">
        <v>55</v>
      </c>
      <c r="S2178" t="s">
        <v>30</v>
      </c>
      <c r="T2178" t="s">
        <v>46</v>
      </c>
      <c r="U2178">
        <v>47.696471899999999</v>
      </c>
      <c r="V2178">
        <v>13.3457347</v>
      </c>
      <c r="W2178" t="str">
        <f t="shared" ref="W2178:W2241" si="239">IF(K2178&lt;H2178,"check","ok")</f>
        <v>ok</v>
      </c>
      <c r="X2178" t="str">
        <f t="shared" si="238"/>
        <v>ok</v>
      </c>
      <c r="Y2178" t="str">
        <f t="shared" ref="Y2178:Y2241" si="240">IF(AND(M2178&lt;&gt;"",O2178&lt;&gt;"",O2178&lt;M2178),"check","ok")</f>
        <v>ok</v>
      </c>
      <c r="Z2178" t="str">
        <f t="shared" ref="Z2178:Z2241" si="241">IF(AND(OR(CA2178="Closed",A2178="Resolved"),M2178=""),"check","ok")</f>
        <v>ok</v>
      </c>
      <c r="AA2178" s="4" t="str">
        <f t="shared" ref="AA2178:AA2241" si="242">IF(K2178="","no response",IF(OR(AND(K2178&lt;=J2178,L2178="Within SLA"),AND(K2178&gt;J2178,L2178="SLA Violated")),"ok","check"))</f>
        <v>ok</v>
      </c>
      <c r="AB2178" s="4" t="str">
        <f t="shared" ref="AB2178:AB2241" si="243">IF(M2178="","no resolution",IF(OR(AND(M2178&lt;=I2178,N2178="Within SLA"),AND(M2178&gt;I2178,N2178="SLA Violated")),"ok","check"))</f>
        <v>ok</v>
      </c>
      <c r="AC2178" s="6">
        <f t="shared" ref="AC2178:AC2241" si="244">IF(M2178="","",(M2178-H2178)*24)</f>
        <v>0.36216972232796252</v>
      </c>
    </row>
    <row r="2179" spans="1:29" x14ac:dyDescent="0.3">
      <c r="A2179" t="s">
        <v>22</v>
      </c>
      <c r="B2179">
        <v>3770</v>
      </c>
      <c r="C2179" t="s">
        <v>47</v>
      </c>
      <c r="D2179" t="s">
        <v>24</v>
      </c>
      <c r="E2179" t="s">
        <v>44</v>
      </c>
      <c r="F2179" t="s">
        <v>26</v>
      </c>
      <c r="G2179" t="s">
        <v>27</v>
      </c>
      <c r="H2179" s="1">
        <v>45264.782824074071</v>
      </c>
      <c r="I2179" s="1">
        <v>45266.782824074071</v>
      </c>
      <c r="J2179" s="1">
        <v>45264.824490740742</v>
      </c>
      <c r="K2179" s="2">
        <v>45264.823581956021</v>
      </c>
      <c r="L2179" t="s">
        <v>28</v>
      </c>
      <c r="M2179" s="2">
        <v>45267.907460277776</v>
      </c>
      <c r="N2179" t="s">
        <v>38</v>
      </c>
      <c r="O2179" s="2">
        <v>45268.077720439818</v>
      </c>
      <c r="P2179">
        <v>3</v>
      </c>
      <c r="Q2179">
        <v>4</v>
      </c>
      <c r="R2179" t="s">
        <v>39</v>
      </c>
      <c r="S2179" t="s">
        <v>30</v>
      </c>
      <c r="T2179" t="s">
        <v>66</v>
      </c>
      <c r="U2179">
        <v>48.864716000000001</v>
      </c>
      <c r="V2179">
        <v>2.3490139999999999</v>
      </c>
      <c r="W2179" t="str">
        <f t="shared" si="239"/>
        <v>ok</v>
      </c>
      <c r="X2179" t="str">
        <f t="shared" ref="X2179:X2242" si="245">IF(AND(M2179&lt;&gt;"",M2179&lt;H2179),"check","ok")</f>
        <v>ok</v>
      </c>
      <c r="Y2179" t="str">
        <f t="shared" si="240"/>
        <v>ok</v>
      </c>
      <c r="Z2179" t="str">
        <f t="shared" si="241"/>
        <v>ok</v>
      </c>
      <c r="AA2179" s="4" t="str">
        <f t="shared" si="242"/>
        <v>ok</v>
      </c>
      <c r="AB2179" s="4" t="str">
        <f t="shared" si="243"/>
        <v>ok</v>
      </c>
      <c r="AC2179" s="6">
        <f t="shared" si="244"/>
        <v>74.99126888893079</v>
      </c>
    </row>
    <row r="2180" spans="1:29" x14ac:dyDescent="0.3">
      <c r="A2180" t="s">
        <v>32</v>
      </c>
      <c r="B2180">
        <v>3771</v>
      </c>
      <c r="C2180" t="s">
        <v>23</v>
      </c>
      <c r="D2180" t="s">
        <v>43</v>
      </c>
      <c r="E2180" t="s">
        <v>39</v>
      </c>
      <c r="F2180" t="s">
        <v>26</v>
      </c>
      <c r="G2180" t="s">
        <v>27</v>
      </c>
      <c r="H2180" s="1">
        <v>45264.180196759262</v>
      </c>
      <c r="I2180" s="1">
        <v>45265.180196759262</v>
      </c>
      <c r="J2180" s="1">
        <v>45264.181585648148</v>
      </c>
      <c r="K2180" s="2">
        <v>45264.1803319213</v>
      </c>
      <c r="L2180" t="s">
        <v>28</v>
      </c>
      <c r="N2180" t="s">
        <v>38</v>
      </c>
      <c r="P2180">
        <v>5</v>
      </c>
      <c r="R2180" t="s">
        <v>50</v>
      </c>
      <c r="S2180" t="s">
        <v>30</v>
      </c>
      <c r="T2180" t="s">
        <v>66</v>
      </c>
      <c r="U2180">
        <v>48.864716000000001</v>
      </c>
      <c r="V2180">
        <v>2.3490139999999999</v>
      </c>
      <c r="W2180" t="str">
        <f t="shared" si="239"/>
        <v>ok</v>
      </c>
      <c r="X2180" t="str">
        <f t="shared" si="245"/>
        <v>ok</v>
      </c>
      <c r="Y2180" t="str">
        <f t="shared" si="240"/>
        <v>ok</v>
      </c>
      <c r="Z2180" t="str">
        <f t="shared" si="241"/>
        <v>ok</v>
      </c>
      <c r="AA2180" s="4" t="str">
        <f t="shared" si="242"/>
        <v>ok</v>
      </c>
      <c r="AB2180" s="4" t="str">
        <f t="shared" si="243"/>
        <v>no resolution</v>
      </c>
      <c r="AC2180" s="6" t="str">
        <f t="shared" si="244"/>
        <v/>
      </c>
    </row>
    <row r="2181" spans="1:29" x14ac:dyDescent="0.3">
      <c r="A2181" t="s">
        <v>22</v>
      </c>
      <c r="B2181">
        <v>3772</v>
      </c>
      <c r="C2181" t="s">
        <v>23</v>
      </c>
      <c r="D2181" t="s">
        <v>24</v>
      </c>
      <c r="E2181" t="s">
        <v>48</v>
      </c>
      <c r="F2181" t="s">
        <v>26</v>
      </c>
      <c r="G2181" t="s">
        <v>49</v>
      </c>
      <c r="H2181" s="1">
        <v>45264.325057870374</v>
      </c>
      <c r="I2181" s="1">
        <v>45266.325057870374</v>
      </c>
      <c r="J2181" s="1">
        <v>45264.366724537038</v>
      </c>
      <c r="K2181" s="2">
        <v>45264.343265439813</v>
      </c>
      <c r="L2181" t="s">
        <v>28</v>
      </c>
      <c r="M2181" s="2">
        <v>45264.895899120369</v>
      </c>
      <c r="N2181" t="s">
        <v>28</v>
      </c>
      <c r="O2181" s="2">
        <v>45266.824878495368</v>
      </c>
      <c r="P2181">
        <v>1</v>
      </c>
      <c r="Q2181">
        <v>5</v>
      </c>
      <c r="R2181" t="s">
        <v>29</v>
      </c>
      <c r="S2181" t="s">
        <v>30</v>
      </c>
      <c r="T2181" t="s">
        <v>63</v>
      </c>
      <c r="U2181">
        <v>55.378051999999997</v>
      </c>
      <c r="V2181">
        <v>-3.4359730000000002</v>
      </c>
      <c r="W2181" t="str">
        <f t="shared" si="239"/>
        <v>ok</v>
      </c>
      <c r="X2181" t="str">
        <f t="shared" si="245"/>
        <v>ok</v>
      </c>
      <c r="Y2181" t="str">
        <f t="shared" si="240"/>
        <v>ok</v>
      </c>
      <c r="Z2181" t="str">
        <f t="shared" si="241"/>
        <v>ok</v>
      </c>
      <c r="AA2181" s="4" t="str">
        <f t="shared" si="242"/>
        <v>ok</v>
      </c>
      <c r="AB2181" s="4" t="str">
        <f t="shared" si="243"/>
        <v>ok</v>
      </c>
      <c r="AC2181" s="6">
        <f t="shared" si="244"/>
        <v>13.700189999886788</v>
      </c>
    </row>
    <row r="2182" spans="1:29" x14ac:dyDescent="0.3">
      <c r="A2182" t="s">
        <v>22</v>
      </c>
      <c r="B2182">
        <v>3773</v>
      </c>
      <c r="C2182" t="s">
        <v>23</v>
      </c>
      <c r="D2182" t="s">
        <v>24</v>
      </c>
      <c r="E2182" t="s">
        <v>59</v>
      </c>
      <c r="F2182" t="s">
        <v>26</v>
      </c>
      <c r="G2182" t="s">
        <v>60</v>
      </c>
      <c r="H2182" s="1">
        <v>45265.395451388889</v>
      </c>
      <c r="I2182" s="1">
        <v>45267.395451388889</v>
      </c>
      <c r="J2182" s="1">
        <v>45265.437118055554</v>
      </c>
      <c r="K2182" s="2">
        <v>45265.399394699074</v>
      </c>
      <c r="L2182" t="s">
        <v>28</v>
      </c>
      <c r="M2182" s="2">
        <v>45266.277739548612</v>
      </c>
      <c r="N2182" t="s">
        <v>28</v>
      </c>
      <c r="O2182" s="2">
        <v>45268.150752245368</v>
      </c>
      <c r="P2182">
        <v>4</v>
      </c>
      <c r="Q2182">
        <v>1</v>
      </c>
      <c r="R2182" t="s">
        <v>50</v>
      </c>
      <c r="S2182" t="s">
        <v>30</v>
      </c>
      <c r="T2182" t="s">
        <v>53</v>
      </c>
      <c r="U2182">
        <v>39.368279000000001</v>
      </c>
      <c r="V2182">
        <v>21.863140999999999</v>
      </c>
      <c r="W2182" t="str">
        <f t="shared" si="239"/>
        <v>ok</v>
      </c>
      <c r="X2182" t="str">
        <f t="shared" si="245"/>
        <v>ok</v>
      </c>
      <c r="Y2182" t="str">
        <f t="shared" si="240"/>
        <v>ok</v>
      </c>
      <c r="Z2182" t="str">
        <f t="shared" si="241"/>
        <v>ok</v>
      </c>
      <c r="AA2182" s="4" t="str">
        <f t="shared" si="242"/>
        <v>ok</v>
      </c>
      <c r="AB2182" s="4" t="str">
        <f t="shared" si="243"/>
        <v>ok</v>
      </c>
      <c r="AC2182" s="6">
        <f t="shared" si="244"/>
        <v>21.174915833340492</v>
      </c>
    </row>
    <row r="2183" spans="1:29" x14ac:dyDescent="0.3">
      <c r="A2183" t="s">
        <v>22</v>
      </c>
      <c r="B2183">
        <v>3774</v>
      </c>
      <c r="C2183" t="s">
        <v>33</v>
      </c>
      <c r="D2183" t="s">
        <v>43</v>
      </c>
      <c r="E2183" t="s">
        <v>35</v>
      </c>
      <c r="F2183" t="s">
        <v>26</v>
      </c>
      <c r="G2183" t="s">
        <v>49</v>
      </c>
      <c r="H2183" s="1">
        <v>45265.857766203706</v>
      </c>
      <c r="I2183" s="1">
        <v>45266.857766203706</v>
      </c>
      <c r="J2183" s="1">
        <v>45265.859155092592</v>
      </c>
      <c r="K2183" s="2">
        <v>45265.86132596065</v>
      </c>
      <c r="L2183" t="s">
        <v>38</v>
      </c>
      <c r="M2183" s="2">
        <v>45266.589105243052</v>
      </c>
      <c r="N2183" t="s">
        <v>28</v>
      </c>
      <c r="O2183" s="2">
        <v>45270.536517361114</v>
      </c>
      <c r="P2183">
        <v>8</v>
      </c>
      <c r="Q2183">
        <v>5</v>
      </c>
      <c r="R2183" t="s">
        <v>29</v>
      </c>
      <c r="S2183" t="s">
        <v>30</v>
      </c>
      <c r="T2183" t="s">
        <v>61</v>
      </c>
      <c r="U2183">
        <v>42.724992499999999</v>
      </c>
      <c r="V2183">
        <v>25.483303899999999</v>
      </c>
      <c r="W2183" t="str">
        <f t="shared" si="239"/>
        <v>ok</v>
      </c>
      <c r="X2183" t="str">
        <f t="shared" si="245"/>
        <v>ok</v>
      </c>
      <c r="Y2183" t="str">
        <f t="shared" si="240"/>
        <v>ok</v>
      </c>
      <c r="Z2183" t="str">
        <f t="shared" si="241"/>
        <v>ok</v>
      </c>
      <c r="AA2183" s="4" t="str">
        <f t="shared" si="242"/>
        <v>ok</v>
      </c>
      <c r="AB2183" s="4" t="str">
        <f t="shared" si="243"/>
        <v>ok</v>
      </c>
      <c r="AC2183" s="6">
        <f t="shared" si="244"/>
        <v>17.552136944315862</v>
      </c>
    </row>
    <row r="2184" spans="1:29" x14ac:dyDescent="0.3">
      <c r="A2184" t="s">
        <v>22</v>
      </c>
      <c r="B2184">
        <v>3775</v>
      </c>
      <c r="C2184" t="s">
        <v>47</v>
      </c>
      <c r="D2184" t="s">
        <v>43</v>
      </c>
      <c r="E2184" t="s">
        <v>35</v>
      </c>
      <c r="F2184" t="s">
        <v>36</v>
      </c>
      <c r="G2184" t="s">
        <v>37</v>
      </c>
      <c r="H2184" s="1">
        <v>45265.731956018521</v>
      </c>
      <c r="I2184" s="1">
        <v>45266.731956018521</v>
      </c>
      <c r="J2184" s="1">
        <v>45265.733344907407</v>
      </c>
      <c r="K2184" s="2">
        <v>45265.732616909721</v>
      </c>
      <c r="L2184" t="s">
        <v>28</v>
      </c>
      <c r="M2184" s="2">
        <v>45266.662217430552</v>
      </c>
      <c r="N2184" t="s">
        <v>28</v>
      </c>
      <c r="O2184" s="2">
        <v>45266.981665601852</v>
      </c>
      <c r="P2184">
        <v>6</v>
      </c>
      <c r="Q2184">
        <v>5</v>
      </c>
      <c r="R2184" t="s">
        <v>50</v>
      </c>
      <c r="S2184" t="s">
        <v>40</v>
      </c>
      <c r="T2184" t="s">
        <v>41</v>
      </c>
      <c r="U2184">
        <v>43.036776000000003</v>
      </c>
      <c r="V2184">
        <v>12.678565000000001</v>
      </c>
      <c r="W2184" t="str">
        <f t="shared" si="239"/>
        <v>ok</v>
      </c>
      <c r="X2184" t="str">
        <f t="shared" si="245"/>
        <v>ok</v>
      </c>
      <c r="Y2184" t="str">
        <f t="shared" si="240"/>
        <v>ok</v>
      </c>
      <c r="Z2184" t="str">
        <f t="shared" si="241"/>
        <v>ok</v>
      </c>
      <c r="AA2184" s="4" t="str">
        <f t="shared" si="242"/>
        <v>ok</v>
      </c>
      <c r="AB2184" s="4" t="str">
        <f t="shared" si="243"/>
        <v>ok</v>
      </c>
      <c r="AC2184" s="6">
        <f t="shared" si="244"/>
        <v>22.326273888756987</v>
      </c>
    </row>
    <row r="2185" spans="1:29" x14ac:dyDescent="0.3">
      <c r="A2185" t="s">
        <v>42</v>
      </c>
      <c r="B2185">
        <v>3776</v>
      </c>
      <c r="C2185" t="s">
        <v>23</v>
      </c>
      <c r="D2185" t="s">
        <v>43</v>
      </c>
      <c r="E2185" t="s">
        <v>35</v>
      </c>
      <c r="F2185" t="s">
        <v>26</v>
      </c>
      <c r="G2185" t="s">
        <v>60</v>
      </c>
      <c r="H2185" s="1">
        <v>45265.088356481479</v>
      </c>
      <c r="I2185" s="1">
        <v>45266.088356481479</v>
      </c>
      <c r="J2185" s="1">
        <v>45265.089745370373</v>
      </c>
      <c r="K2185" s="2">
        <v>45265.089368310182</v>
      </c>
      <c r="L2185" t="s">
        <v>28</v>
      </c>
      <c r="M2185" s="2">
        <v>45270.221981817129</v>
      </c>
      <c r="N2185" t="s">
        <v>38</v>
      </c>
      <c r="P2185">
        <v>7</v>
      </c>
      <c r="R2185" t="s">
        <v>29</v>
      </c>
      <c r="S2185" t="s">
        <v>30</v>
      </c>
      <c r="T2185" t="s">
        <v>63</v>
      </c>
      <c r="U2185">
        <v>55.378051999999997</v>
      </c>
      <c r="V2185">
        <v>-3.4359730000000002</v>
      </c>
      <c r="W2185" t="str">
        <f t="shared" si="239"/>
        <v>ok</v>
      </c>
      <c r="X2185" t="str">
        <f t="shared" si="245"/>
        <v>ok</v>
      </c>
      <c r="Y2185" t="str">
        <f t="shared" si="240"/>
        <v>ok</v>
      </c>
      <c r="Z2185" t="str">
        <f t="shared" si="241"/>
        <v>ok</v>
      </c>
      <c r="AA2185" s="4" t="str">
        <f t="shared" si="242"/>
        <v>ok</v>
      </c>
      <c r="AB2185" s="4" t="str">
        <f t="shared" si="243"/>
        <v>ok</v>
      </c>
      <c r="AC2185" s="6">
        <f t="shared" si="244"/>
        <v>123.2070080555859</v>
      </c>
    </row>
    <row r="2186" spans="1:29" x14ac:dyDescent="0.3">
      <c r="A2186" t="s">
        <v>22</v>
      </c>
      <c r="B2186">
        <v>3777</v>
      </c>
      <c r="C2186" t="s">
        <v>47</v>
      </c>
      <c r="D2186" t="s">
        <v>24</v>
      </c>
      <c r="E2186" t="s">
        <v>59</v>
      </c>
      <c r="F2186" t="s">
        <v>26</v>
      </c>
      <c r="G2186" t="s">
        <v>49</v>
      </c>
      <c r="H2186" s="1">
        <v>45265.673993055556</v>
      </c>
      <c r="I2186" s="1">
        <v>45267.673993055556</v>
      </c>
      <c r="J2186" s="1">
        <v>45265.71565972222</v>
      </c>
      <c r="K2186" s="2">
        <v>45265.686678229169</v>
      </c>
      <c r="L2186" t="s">
        <v>28</v>
      </c>
      <c r="M2186" s="2">
        <v>45265.986796967591</v>
      </c>
      <c r="N2186" t="s">
        <v>28</v>
      </c>
      <c r="O2186" s="2">
        <v>45269.151990370374</v>
      </c>
      <c r="P2186">
        <v>1</v>
      </c>
      <c r="Q2186">
        <v>5</v>
      </c>
      <c r="R2186" t="s">
        <v>50</v>
      </c>
      <c r="S2186" t="s">
        <v>30</v>
      </c>
      <c r="T2186" t="s">
        <v>56</v>
      </c>
      <c r="U2186">
        <v>52.536273000000001</v>
      </c>
      <c r="V2186">
        <v>19.050639</v>
      </c>
      <c r="W2186" t="str">
        <f t="shared" si="239"/>
        <v>ok</v>
      </c>
      <c r="X2186" t="str">
        <f t="shared" si="245"/>
        <v>ok</v>
      </c>
      <c r="Y2186" t="str">
        <f t="shared" si="240"/>
        <v>ok</v>
      </c>
      <c r="Z2186" t="str">
        <f t="shared" si="241"/>
        <v>ok</v>
      </c>
      <c r="AA2186" s="4" t="str">
        <f t="shared" si="242"/>
        <v>ok</v>
      </c>
      <c r="AB2186" s="4" t="str">
        <f t="shared" si="243"/>
        <v>ok</v>
      </c>
      <c r="AC2186" s="6">
        <f t="shared" si="244"/>
        <v>7.5072938888333738</v>
      </c>
    </row>
    <row r="2187" spans="1:29" x14ac:dyDescent="0.3">
      <c r="A2187" t="s">
        <v>22</v>
      </c>
      <c r="B2187">
        <v>3778</v>
      </c>
      <c r="C2187" t="s">
        <v>23</v>
      </c>
      <c r="D2187" t="s">
        <v>43</v>
      </c>
      <c r="E2187" t="s">
        <v>59</v>
      </c>
      <c r="F2187" t="s">
        <v>26</v>
      </c>
      <c r="G2187" t="s">
        <v>60</v>
      </c>
      <c r="H2187" s="1">
        <v>45265.721932870372</v>
      </c>
      <c r="I2187" s="1">
        <v>45266.721932870372</v>
      </c>
      <c r="J2187" s="1">
        <v>45265.723321759258</v>
      </c>
      <c r="K2187" s="2">
        <v>45265.722078101855</v>
      </c>
      <c r="L2187" t="s">
        <v>28</v>
      </c>
      <c r="M2187" s="2">
        <v>45266.333314027775</v>
      </c>
      <c r="N2187" t="s">
        <v>28</v>
      </c>
      <c r="O2187" s="2">
        <v>45269.950709571756</v>
      </c>
      <c r="P2187">
        <v>2</v>
      </c>
      <c r="Q2187">
        <v>5</v>
      </c>
      <c r="R2187" t="s">
        <v>55</v>
      </c>
      <c r="S2187" t="s">
        <v>30</v>
      </c>
      <c r="T2187" t="s">
        <v>65</v>
      </c>
      <c r="U2187">
        <v>46.149166399999999</v>
      </c>
      <c r="V2187">
        <v>14.9860106</v>
      </c>
      <c r="W2187" t="str">
        <f t="shared" si="239"/>
        <v>ok</v>
      </c>
      <c r="X2187" t="str">
        <f t="shared" si="245"/>
        <v>ok</v>
      </c>
      <c r="Y2187" t="str">
        <f t="shared" si="240"/>
        <v>ok</v>
      </c>
      <c r="Z2187" t="str">
        <f t="shared" si="241"/>
        <v>ok</v>
      </c>
      <c r="AA2187" s="4" t="str">
        <f t="shared" si="242"/>
        <v>ok</v>
      </c>
      <c r="AB2187" s="4" t="str">
        <f t="shared" si="243"/>
        <v>ok</v>
      </c>
      <c r="AC2187" s="6">
        <f t="shared" si="244"/>
        <v>14.673147777677514</v>
      </c>
    </row>
    <row r="2188" spans="1:29" x14ac:dyDescent="0.3">
      <c r="A2188" t="s">
        <v>22</v>
      </c>
      <c r="B2188">
        <v>3779</v>
      </c>
      <c r="C2188" t="s">
        <v>47</v>
      </c>
      <c r="D2188" t="s">
        <v>24</v>
      </c>
      <c r="E2188" t="s">
        <v>35</v>
      </c>
      <c r="F2188" t="s">
        <v>26</v>
      </c>
      <c r="G2188" t="s">
        <v>49</v>
      </c>
      <c r="H2188" s="1">
        <v>45265.142569444448</v>
      </c>
      <c r="I2188" s="1">
        <v>45267.142569444448</v>
      </c>
      <c r="J2188" s="1">
        <v>45265.184236111112</v>
      </c>
      <c r="K2188" s="2">
        <v>45265.151668402781</v>
      </c>
      <c r="L2188" t="s">
        <v>28</v>
      </c>
      <c r="M2188" s="2">
        <v>45265.767713356479</v>
      </c>
      <c r="N2188" t="s">
        <v>28</v>
      </c>
      <c r="O2188" s="2">
        <v>45266.946287523147</v>
      </c>
      <c r="P2188">
        <v>6</v>
      </c>
      <c r="Q2188">
        <v>5</v>
      </c>
      <c r="R2188" t="s">
        <v>39</v>
      </c>
      <c r="S2188" t="s">
        <v>30</v>
      </c>
      <c r="T2188" t="s">
        <v>41</v>
      </c>
      <c r="U2188">
        <v>43.036776000000003</v>
      </c>
      <c r="V2188">
        <v>12.678565000000001</v>
      </c>
      <c r="W2188" t="str">
        <f t="shared" si="239"/>
        <v>ok</v>
      </c>
      <c r="X2188" t="str">
        <f t="shared" si="245"/>
        <v>ok</v>
      </c>
      <c r="Y2188" t="str">
        <f t="shared" si="240"/>
        <v>ok</v>
      </c>
      <c r="Z2188" t="str">
        <f t="shared" si="241"/>
        <v>ok</v>
      </c>
      <c r="AA2188" s="4" t="str">
        <f t="shared" si="242"/>
        <v>ok</v>
      </c>
      <c r="AB2188" s="4" t="str">
        <f t="shared" si="243"/>
        <v>ok</v>
      </c>
      <c r="AC2188" s="6">
        <f t="shared" si="244"/>
        <v>15.003453888755757</v>
      </c>
    </row>
    <row r="2189" spans="1:29" x14ac:dyDescent="0.3">
      <c r="A2189" t="s">
        <v>22</v>
      </c>
      <c r="B2189">
        <v>3780</v>
      </c>
      <c r="C2189" t="s">
        <v>23</v>
      </c>
      <c r="D2189" t="s">
        <v>43</v>
      </c>
      <c r="E2189" t="s">
        <v>25</v>
      </c>
      <c r="F2189" t="s">
        <v>26</v>
      </c>
      <c r="G2189" t="s">
        <v>45</v>
      </c>
      <c r="H2189" s="1">
        <v>45265.703194444446</v>
      </c>
      <c r="I2189" s="1">
        <v>45266.703194444446</v>
      </c>
      <c r="J2189" s="1">
        <v>45265.704583333332</v>
      </c>
      <c r="K2189" s="2">
        <v>45265.705679756946</v>
      </c>
      <c r="L2189" t="s">
        <v>38</v>
      </c>
      <c r="M2189" s="2">
        <v>45269.045320219906</v>
      </c>
      <c r="N2189" t="s">
        <v>38</v>
      </c>
      <c r="O2189" s="2">
        <v>45270.523560497684</v>
      </c>
      <c r="P2189">
        <v>6</v>
      </c>
      <c r="Q2189">
        <v>4</v>
      </c>
      <c r="R2189" t="s">
        <v>50</v>
      </c>
      <c r="S2189" t="s">
        <v>30</v>
      </c>
      <c r="T2189" t="s">
        <v>57</v>
      </c>
      <c r="U2189">
        <v>51.165691000000002</v>
      </c>
      <c r="V2189">
        <v>10.451525999999999</v>
      </c>
      <c r="W2189" t="str">
        <f t="shared" si="239"/>
        <v>ok</v>
      </c>
      <c r="X2189" t="str">
        <f t="shared" si="245"/>
        <v>ok</v>
      </c>
      <c r="Y2189" t="str">
        <f t="shared" si="240"/>
        <v>ok</v>
      </c>
      <c r="Z2189" t="str">
        <f t="shared" si="241"/>
        <v>ok</v>
      </c>
      <c r="AA2189" s="4" t="str">
        <f t="shared" si="242"/>
        <v>ok</v>
      </c>
      <c r="AB2189" s="4" t="str">
        <f t="shared" si="243"/>
        <v>ok</v>
      </c>
      <c r="AC2189" s="6">
        <f t="shared" si="244"/>
        <v>80.211018611036707</v>
      </c>
    </row>
    <row r="2190" spans="1:29" x14ac:dyDescent="0.3">
      <c r="A2190" t="s">
        <v>32</v>
      </c>
      <c r="B2190">
        <v>3781</v>
      </c>
      <c r="C2190" t="s">
        <v>23</v>
      </c>
      <c r="D2190" t="s">
        <v>24</v>
      </c>
      <c r="E2190" t="s">
        <v>35</v>
      </c>
      <c r="F2190" t="s">
        <v>26</v>
      </c>
      <c r="G2190" t="s">
        <v>27</v>
      </c>
      <c r="H2190" s="1">
        <v>45265.409224537034</v>
      </c>
      <c r="I2190" s="1">
        <v>45267.409224537034</v>
      </c>
      <c r="J2190" s="1">
        <v>45265.450891203705</v>
      </c>
      <c r="K2190" s="2">
        <v>45265.431713634258</v>
      </c>
      <c r="L2190" t="s">
        <v>28</v>
      </c>
      <c r="N2190" t="s">
        <v>38</v>
      </c>
      <c r="P2190">
        <v>1</v>
      </c>
      <c r="R2190" t="s">
        <v>39</v>
      </c>
      <c r="S2190" t="s">
        <v>30</v>
      </c>
      <c r="T2190" t="s">
        <v>41</v>
      </c>
      <c r="U2190">
        <v>43.036776000000003</v>
      </c>
      <c r="V2190">
        <v>12.678565000000001</v>
      </c>
      <c r="W2190" t="str">
        <f t="shared" si="239"/>
        <v>ok</v>
      </c>
      <c r="X2190" t="str">
        <f t="shared" si="245"/>
        <v>ok</v>
      </c>
      <c r="Y2190" t="str">
        <f t="shared" si="240"/>
        <v>ok</v>
      </c>
      <c r="Z2190" t="str">
        <f t="shared" si="241"/>
        <v>ok</v>
      </c>
      <c r="AA2190" s="4" t="str">
        <f t="shared" si="242"/>
        <v>ok</v>
      </c>
      <c r="AB2190" s="4" t="str">
        <f t="shared" si="243"/>
        <v>no resolution</v>
      </c>
      <c r="AC2190" s="6" t="str">
        <f t="shared" si="244"/>
        <v/>
      </c>
    </row>
    <row r="2191" spans="1:29" x14ac:dyDescent="0.3">
      <c r="A2191" t="s">
        <v>22</v>
      </c>
      <c r="B2191">
        <v>3782</v>
      </c>
      <c r="C2191" t="s">
        <v>47</v>
      </c>
      <c r="D2191" t="s">
        <v>24</v>
      </c>
      <c r="E2191" t="s">
        <v>48</v>
      </c>
      <c r="F2191" t="s">
        <v>36</v>
      </c>
      <c r="G2191" t="s">
        <v>54</v>
      </c>
      <c r="H2191" s="1">
        <v>45266.303182870368</v>
      </c>
      <c r="I2191" s="1">
        <v>45268.303182870368</v>
      </c>
      <c r="J2191" s="1">
        <v>45266.344849537039</v>
      </c>
      <c r="K2191" s="2">
        <v>45266.342487094909</v>
      </c>
      <c r="L2191" t="s">
        <v>28</v>
      </c>
      <c r="M2191" s="2">
        <v>45266.395643402779</v>
      </c>
      <c r="N2191" t="s">
        <v>28</v>
      </c>
      <c r="O2191" s="2">
        <v>45268.526884016203</v>
      </c>
      <c r="P2191">
        <v>2</v>
      </c>
      <c r="Q2191">
        <v>2</v>
      </c>
      <c r="R2191" t="s">
        <v>29</v>
      </c>
      <c r="S2191" t="s">
        <v>40</v>
      </c>
      <c r="T2191" t="s">
        <v>58</v>
      </c>
      <c r="U2191">
        <v>49.8037633</v>
      </c>
      <c r="V2191">
        <v>15.4749126</v>
      </c>
      <c r="W2191" t="str">
        <f t="shared" si="239"/>
        <v>ok</v>
      </c>
      <c r="X2191" t="str">
        <f t="shared" si="245"/>
        <v>ok</v>
      </c>
      <c r="Y2191" t="str">
        <f t="shared" si="240"/>
        <v>ok</v>
      </c>
      <c r="Z2191" t="str">
        <f t="shared" si="241"/>
        <v>ok</v>
      </c>
      <c r="AA2191" s="4" t="str">
        <f t="shared" si="242"/>
        <v>ok</v>
      </c>
      <c r="AB2191" s="4" t="str">
        <f t="shared" si="243"/>
        <v>ok</v>
      </c>
      <c r="AC2191" s="6">
        <f t="shared" si="244"/>
        <v>2.219052777858451</v>
      </c>
    </row>
    <row r="2192" spans="1:29" x14ac:dyDescent="0.3">
      <c r="A2192" t="s">
        <v>22</v>
      </c>
      <c r="B2192">
        <v>3783</v>
      </c>
      <c r="C2192" t="s">
        <v>23</v>
      </c>
      <c r="D2192" t="s">
        <v>43</v>
      </c>
      <c r="E2192" t="s">
        <v>44</v>
      </c>
      <c r="F2192" t="s">
        <v>26</v>
      </c>
      <c r="G2192" t="s">
        <v>27</v>
      </c>
      <c r="H2192" s="1">
        <v>45266.019652777781</v>
      </c>
      <c r="I2192" s="1">
        <v>45267.019652777781</v>
      </c>
      <c r="J2192" s="1">
        <v>45266.021041666667</v>
      </c>
      <c r="K2192" s="2">
        <v>45266.020315416667</v>
      </c>
      <c r="L2192" t="s">
        <v>28</v>
      </c>
      <c r="M2192" s="2">
        <v>45266.579909189815</v>
      </c>
      <c r="N2192" t="s">
        <v>28</v>
      </c>
      <c r="O2192" s="2">
        <v>45271.684492060187</v>
      </c>
      <c r="P2192">
        <v>6</v>
      </c>
      <c r="Q2192">
        <v>5</v>
      </c>
      <c r="R2192" t="s">
        <v>29</v>
      </c>
      <c r="S2192" t="s">
        <v>30</v>
      </c>
      <c r="T2192" t="s">
        <v>41</v>
      </c>
      <c r="U2192">
        <v>43.036776000000003</v>
      </c>
      <c r="V2192">
        <v>12.678565000000001</v>
      </c>
      <c r="W2192" t="str">
        <f t="shared" si="239"/>
        <v>ok</v>
      </c>
      <c r="X2192" t="str">
        <f t="shared" si="245"/>
        <v>ok</v>
      </c>
      <c r="Y2192" t="str">
        <f t="shared" si="240"/>
        <v>ok</v>
      </c>
      <c r="Z2192" t="str">
        <f t="shared" si="241"/>
        <v>ok</v>
      </c>
      <c r="AA2192" s="4" t="str">
        <f t="shared" si="242"/>
        <v>ok</v>
      </c>
      <c r="AB2192" s="4" t="str">
        <f t="shared" si="243"/>
        <v>ok</v>
      </c>
      <c r="AC2192" s="6">
        <f t="shared" si="244"/>
        <v>13.446153888828121</v>
      </c>
    </row>
    <row r="2193" spans="1:29" x14ac:dyDescent="0.3">
      <c r="A2193" t="s">
        <v>22</v>
      </c>
      <c r="B2193">
        <v>3784</v>
      </c>
      <c r="C2193" t="s">
        <v>23</v>
      </c>
      <c r="D2193" t="s">
        <v>43</v>
      </c>
      <c r="E2193" t="s">
        <v>48</v>
      </c>
      <c r="F2193" t="s">
        <v>26</v>
      </c>
      <c r="G2193" t="s">
        <v>52</v>
      </c>
      <c r="H2193" s="1">
        <v>45266.895254629628</v>
      </c>
      <c r="I2193" s="1">
        <v>45267.895254629628</v>
      </c>
      <c r="J2193" s="1">
        <v>45266.896643518521</v>
      </c>
      <c r="K2193" s="2">
        <v>45266.89553415509</v>
      </c>
      <c r="L2193" t="s">
        <v>28</v>
      </c>
      <c r="M2193" s="2">
        <v>45272.794961284722</v>
      </c>
      <c r="N2193" t="s">
        <v>38</v>
      </c>
      <c r="O2193" s="2">
        <v>45274.257357430557</v>
      </c>
      <c r="P2193">
        <v>6</v>
      </c>
      <c r="Q2193">
        <v>4</v>
      </c>
      <c r="R2193" t="s">
        <v>55</v>
      </c>
      <c r="S2193" t="s">
        <v>30</v>
      </c>
      <c r="T2193" t="s">
        <v>57</v>
      </c>
      <c r="U2193">
        <v>51.165691000000002</v>
      </c>
      <c r="V2193">
        <v>10.451525999999999</v>
      </c>
      <c r="W2193" t="str">
        <f t="shared" si="239"/>
        <v>ok</v>
      </c>
      <c r="X2193" t="str">
        <f t="shared" si="245"/>
        <v>ok</v>
      </c>
      <c r="Y2193" t="str">
        <f t="shared" si="240"/>
        <v>ok</v>
      </c>
      <c r="Z2193" t="str">
        <f t="shared" si="241"/>
        <v>ok</v>
      </c>
      <c r="AA2193" s="4" t="str">
        <f t="shared" si="242"/>
        <v>ok</v>
      </c>
      <c r="AB2193" s="4" t="str">
        <f t="shared" si="243"/>
        <v>ok</v>
      </c>
      <c r="AC2193" s="6">
        <f t="shared" si="244"/>
        <v>141.59295972227119</v>
      </c>
    </row>
    <row r="2194" spans="1:29" x14ac:dyDescent="0.3">
      <c r="A2194" t="s">
        <v>22</v>
      </c>
      <c r="B2194">
        <v>3785</v>
      </c>
      <c r="C2194" t="s">
        <v>23</v>
      </c>
      <c r="D2194" t="s">
        <v>24</v>
      </c>
      <c r="E2194" t="s">
        <v>35</v>
      </c>
      <c r="F2194" t="s">
        <v>26</v>
      </c>
      <c r="G2194" t="s">
        <v>52</v>
      </c>
      <c r="H2194" s="1">
        <v>45266.582048611112</v>
      </c>
      <c r="I2194" s="1">
        <v>45268.582048611112</v>
      </c>
      <c r="J2194" s="1">
        <v>45266.623715277776</v>
      </c>
      <c r="K2194" s="2">
        <v>45266.600002326391</v>
      </c>
      <c r="L2194" t="s">
        <v>28</v>
      </c>
      <c r="M2194" s="2">
        <v>45272.018505914355</v>
      </c>
      <c r="N2194" t="s">
        <v>38</v>
      </c>
      <c r="O2194" s="2">
        <v>45272.237041446759</v>
      </c>
      <c r="P2194">
        <v>1</v>
      </c>
      <c r="Q2194">
        <v>3</v>
      </c>
      <c r="R2194" t="s">
        <v>50</v>
      </c>
      <c r="S2194" t="s">
        <v>30</v>
      </c>
      <c r="T2194" t="s">
        <v>57</v>
      </c>
      <c r="U2194">
        <v>51.165691000000002</v>
      </c>
      <c r="V2194">
        <v>10.451525999999999</v>
      </c>
      <c r="W2194" t="str">
        <f t="shared" si="239"/>
        <v>ok</v>
      </c>
      <c r="X2194" t="str">
        <f t="shared" si="245"/>
        <v>ok</v>
      </c>
      <c r="Y2194" t="str">
        <f t="shared" si="240"/>
        <v>ok</v>
      </c>
      <c r="Z2194" t="str">
        <f t="shared" si="241"/>
        <v>ok</v>
      </c>
      <c r="AA2194" s="4" t="str">
        <f t="shared" si="242"/>
        <v>ok</v>
      </c>
      <c r="AB2194" s="4" t="str">
        <f t="shared" si="243"/>
        <v>ok</v>
      </c>
      <c r="AC2194" s="6">
        <f t="shared" si="244"/>
        <v>130.47497527784435</v>
      </c>
    </row>
    <row r="2195" spans="1:29" x14ac:dyDescent="0.3">
      <c r="A2195" t="s">
        <v>42</v>
      </c>
      <c r="B2195">
        <v>3786</v>
      </c>
      <c r="C2195" t="s">
        <v>47</v>
      </c>
      <c r="D2195" t="s">
        <v>24</v>
      </c>
      <c r="E2195" t="s">
        <v>59</v>
      </c>
      <c r="F2195" t="s">
        <v>26</v>
      </c>
      <c r="G2195" t="s">
        <v>52</v>
      </c>
      <c r="H2195" s="1">
        <v>45266.41265046296</v>
      </c>
      <c r="I2195" s="1">
        <v>45268.41265046296</v>
      </c>
      <c r="J2195" s="1">
        <v>45266.454317129632</v>
      </c>
      <c r="K2195" s="2">
        <v>45266.452350347223</v>
      </c>
      <c r="L2195" t="s">
        <v>28</v>
      </c>
      <c r="M2195" s="2">
        <v>45267.923741145831</v>
      </c>
      <c r="N2195" t="s">
        <v>28</v>
      </c>
      <c r="P2195">
        <v>8</v>
      </c>
      <c r="R2195" t="s">
        <v>50</v>
      </c>
      <c r="S2195" t="s">
        <v>30</v>
      </c>
      <c r="T2195" t="s">
        <v>56</v>
      </c>
      <c r="U2195">
        <v>52.536273000000001</v>
      </c>
      <c r="V2195">
        <v>19.050639</v>
      </c>
      <c r="W2195" t="str">
        <f t="shared" si="239"/>
        <v>ok</v>
      </c>
      <c r="X2195" t="str">
        <f t="shared" si="245"/>
        <v>ok</v>
      </c>
      <c r="Y2195" t="str">
        <f t="shared" si="240"/>
        <v>ok</v>
      </c>
      <c r="Z2195" t="str">
        <f t="shared" si="241"/>
        <v>ok</v>
      </c>
      <c r="AA2195" s="4" t="str">
        <f t="shared" si="242"/>
        <v>ok</v>
      </c>
      <c r="AB2195" s="4" t="str">
        <f t="shared" si="243"/>
        <v>ok</v>
      </c>
      <c r="AC2195" s="6">
        <f t="shared" si="244"/>
        <v>36.266176388890017</v>
      </c>
    </row>
    <row r="2196" spans="1:29" x14ac:dyDescent="0.3">
      <c r="A2196" t="s">
        <v>68</v>
      </c>
      <c r="B2196">
        <v>3787</v>
      </c>
      <c r="C2196" t="s">
        <v>47</v>
      </c>
      <c r="D2196" t="s">
        <v>24</v>
      </c>
      <c r="E2196" t="s">
        <v>44</v>
      </c>
      <c r="F2196" t="s">
        <v>26</v>
      </c>
      <c r="G2196" t="s">
        <v>60</v>
      </c>
      <c r="H2196" s="1">
        <v>45266.161550925928</v>
      </c>
      <c r="I2196" s="1">
        <v>45268.161550925928</v>
      </c>
      <c r="J2196" s="1">
        <v>45266.203217592592</v>
      </c>
      <c r="L2196" t="s">
        <v>38</v>
      </c>
      <c r="N2196" t="s">
        <v>38</v>
      </c>
      <c r="R2196" t="s">
        <v>29</v>
      </c>
      <c r="S2196" t="s">
        <v>30</v>
      </c>
      <c r="T2196" t="s">
        <v>56</v>
      </c>
      <c r="U2196">
        <v>52.536273000000001</v>
      </c>
      <c r="V2196">
        <v>19.050639</v>
      </c>
      <c r="W2196" t="str">
        <f t="shared" si="239"/>
        <v>check</v>
      </c>
      <c r="X2196" t="str">
        <f t="shared" si="245"/>
        <v>ok</v>
      </c>
      <c r="Y2196" t="str">
        <f t="shared" si="240"/>
        <v>ok</v>
      </c>
      <c r="Z2196" t="str">
        <f t="shared" si="241"/>
        <v>ok</v>
      </c>
      <c r="AA2196" s="4" t="str">
        <f t="shared" si="242"/>
        <v>no response</v>
      </c>
      <c r="AB2196" s="4" t="str">
        <f t="shared" si="243"/>
        <v>no resolution</v>
      </c>
      <c r="AC2196" s="6" t="str">
        <f t="shared" si="244"/>
        <v/>
      </c>
    </row>
    <row r="2197" spans="1:29" x14ac:dyDescent="0.3">
      <c r="A2197" t="s">
        <v>22</v>
      </c>
      <c r="B2197">
        <v>3788</v>
      </c>
      <c r="C2197" t="s">
        <v>47</v>
      </c>
      <c r="D2197" t="s">
        <v>24</v>
      </c>
      <c r="E2197" t="s">
        <v>35</v>
      </c>
      <c r="F2197" t="s">
        <v>26</v>
      </c>
      <c r="G2197" t="s">
        <v>52</v>
      </c>
      <c r="H2197" s="1">
        <v>45266.747384259259</v>
      </c>
      <c r="I2197" s="1">
        <v>45268.747384259259</v>
      </c>
      <c r="J2197" s="1">
        <v>45266.789050925923</v>
      </c>
      <c r="K2197" s="2">
        <v>45266.772907928244</v>
      </c>
      <c r="L2197" t="s">
        <v>28</v>
      </c>
      <c r="M2197" s="2">
        <v>45267.933889074076</v>
      </c>
      <c r="N2197" t="s">
        <v>28</v>
      </c>
      <c r="O2197" s="2">
        <v>45270.7748750463</v>
      </c>
      <c r="P2197">
        <v>1</v>
      </c>
      <c r="Q2197">
        <v>4</v>
      </c>
      <c r="R2197" t="s">
        <v>29</v>
      </c>
      <c r="S2197" t="s">
        <v>30</v>
      </c>
      <c r="T2197" t="s">
        <v>56</v>
      </c>
      <c r="U2197">
        <v>52.536273000000001</v>
      </c>
      <c r="V2197">
        <v>19.050639</v>
      </c>
      <c r="W2197" t="str">
        <f t="shared" si="239"/>
        <v>ok</v>
      </c>
      <c r="X2197" t="str">
        <f t="shared" si="245"/>
        <v>ok</v>
      </c>
      <c r="Y2197" t="str">
        <f t="shared" si="240"/>
        <v>ok</v>
      </c>
      <c r="Z2197" t="str">
        <f t="shared" si="241"/>
        <v>ok</v>
      </c>
      <c r="AA2197" s="4" t="str">
        <f t="shared" si="242"/>
        <v>ok</v>
      </c>
      <c r="AB2197" s="4" t="str">
        <f t="shared" si="243"/>
        <v>ok</v>
      </c>
      <c r="AC2197" s="6">
        <f t="shared" si="244"/>
        <v>28.47611555561889</v>
      </c>
    </row>
    <row r="2198" spans="1:29" x14ac:dyDescent="0.3">
      <c r="A2198" t="s">
        <v>42</v>
      </c>
      <c r="B2198">
        <v>3789</v>
      </c>
      <c r="C2198" t="s">
        <v>23</v>
      </c>
      <c r="D2198" t="s">
        <v>43</v>
      </c>
      <c r="E2198" t="s">
        <v>25</v>
      </c>
      <c r="F2198" t="s">
        <v>26</v>
      </c>
      <c r="G2198" t="s">
        <v>49</v>
      </c>
      <c r="H2198" s="1">
        <v>45267.784201388888</v>
      </c>
      <c r="I2198" s="1">
        <v>45268.784201388888</v>
      </c>
      <c r="J2198" s="1">
        <v>45267.785590277781</v>
      </c>
      <c r="K2198" s="2">
        <v>45267.785375150466</v>
      </c>
      <c r="L2198" t="s">
        <v>28</v>
      </c>
      <c r="M2198" s="2">
        <v>45268.182461759257</v>
      </c>
      <c r="N2198" t="s">
        <v>28</v>
      </c>
      <c r="P2198">
        <v>2</v>
      </c>
      <c r="R2198" t="s">
        <v>50</v>
      </c>
      <c r="S2198" t="s">
        <v>30</v>
      </c>
      <c r="T2198" t="s">
        <v>63</v>
      </c>
      <c r="U2198">
        <v>55.378051999999997</v>
      </c>
      <c r="V2198">
        <v>-3.4359730000000002</v>
      </c>
      <c r="W2198" t="str">
        <f t="shared" si="239"/>
        <v>ok</v>
      </c>
      <c r="X2198" t="str">
        <f t="shared" si="245"/>
        <v>ok</v>
      </c>
      <c r="Y2198" t="str">
        <f t="shared" si="240"/>
        <v>ok</v>
      </c>
      <c r="Z2198" t="str">
        <f t="shared" si="241"/>
        <v>ok</v>
      </c>
      <c r="AA2198" s="4" t="str">
        <f t="shared" si="242"/>
        <v>ok</v>
      </c>
      <c r="AB2198" s="4" t="str">
        <f t="shared" si="243"/>
        <v>ok</v>
      </c>
      <c r="AC2198" s="6">
        <f t="shared" si="244"/>
        <v>9.5582488888758235</v>
      </c>
    </row>
    <row r="2199" spans="1:29" x14ac:dyDescent="0.3">
      <c r="A2199" t="s">
        <v>22</v>
      </c>
      <c r="B2199">
        <v>3790</v>
      </c>
      <c r="C2199" t="s">
        <v>47</v>
      </c>
      <c r="D2199" t="s">
        <v>43</v>
      </c>
      <c r="E2199" t="s">
        <v>25</v>
      </c>
      <c r="F2199" t="s">
        <v>26</v>
      </c>
      <c r="G2199" t="s">
        <v>49</v>
      </c>
      <c r="H2199" s="1">
        <v>45267.917222222219</v>
      </c>
      <c r="I2199" s="1">
        <v>45268.917222222219</v>
      </c>
      <c r="J2199" s="1">
        <v>45267.918611111112</v>
      </c>
      <c r="K2199" s="2">
        <v>45267.918090520834</v>
      </c>
      <c r="L2199" t="s">
        <v>28</v>
      </c>
      <c r="M2199" s="2">
        <v>45269.638653680558</v>
      </c>
      <c r="N2199" t="s">
        <v>38</v>
      </c>
      <c r="O2199" s="2">
        <v>45270.97042247685</v>
      </c>
      <c r="P2199">
        <v>6</v>
      </c>
      <c r="Q2199">
        <v>3</v>
      </c>
      <c r="R2199" t="s">
        <v>39</v>
      </c>
      <c r="S2199" t="s">
        <v>30</v>
      </c>
      <c r="T2199" t="s">
        <v>61</v>
      </c>
      <c r="U2199">
        <v>42.724992499999999</v>
      </c>
      <c r="V2199">
        <v>25.483303899999999</v>
      </c>
      <c r="W2199" t="str">
        <f t="shared" si="239"/>
        <v>ok</v>
      </c>
      <c r="X2199" t="str">
        <f t="shared" si="245"/>
        <v>ok</v>
      </c>
      <c r="Y2199" t="str">
        <f t="shared" si="240"/>
        <v>ok</v>
      </c>
      <c r="Z2199" t="str">
        <f t="shared" si="241"/>
        <v>ok</v>
      </c>
      <c r="AA2199" s="4" t="str">
        <f t="shared" si="242"/>
        <v>ok</v>
      </c>
      <c r="AB2199" s="4" t="str">
        <f t="shared" si="243"/>
        <v>ok</v>
      </c>
      <c r="AC2199" s="6">
        <f t="shared" si="244"/>
        <v>41.314355000155047</v>
      </c>
    </row>
    <row r="2200" spans="1:29" x14ac:dyDescent="0.3">
      <c r="A2200" t="s">
        <v>32</v>
      </c>
      <c r="B2200">
        <v>3791</v>
      </c>
      <c r="C2200" t="s">
        <v>33</v>
      </c>
      <c r="D2200" t="s">
        <v>24</v>
      </c>
      <c r="E2200" t="s">
        <v>48</v>
      </c>
      <c r="F2200" t="s">
        <v>26</v>
      </c>
      <c r="G2200" t="s">
        <v>52</v>
      </c>
      <c r="H2200" s="1">
        <v>45267.122731481482</v>
      </c>
      <c r="I2200" s="1">
        <v>45269.122731481482</v>
      </c>
      <c r="J2200" s="1">
        <v>45267.164398148147</v>
      </c>
      <c r="K2200" s="2">
        <v>45267.155319965277</v>
      </c>
      <c r="L2200" t="s">
        <v>28</v>
      </c>
      <c r="N2200" t="s">
        <v>38</v>
      </c>
      <c r="P2200">
        <v>1</v>
      </c>
      <c r="R2200" t="s">
        <v>50</v>
      </c>
      <c r="S2200" t="s">
        <v>30</v>
      </c>
      <c r="T2200" t="s">
        <v>46</v>
      </c>
      <c r="U2200">
        <v>47.696471899999999</v>
      </c>
      <c r="V2200">
        <v>13.3457347</v>
      </c>
      <c r="W2200" t="str">
        <f t="shared" si="239"/>
        <v>ok</v>
      </c>
      <c r="X2200" t="str">
        <f t="shared" si="245"/>
        <v>ok</v>
      </c>
      <c r="Y2200" t="str">
        <f t="shared" si="240"/>
        <v>ok</v>
      </c>
      <c r="Z2200" t="str">
        <f t="shared" si="241"/>
        <v>ok</v>
      </c>
      <c r="AA2200" s="4" t="str">
        <f t="shared" si="242"/>
        <v>ok</v>
      </c>
      <c r="AB2200" s="4" t="str">
        <f t="shared" si="243"/>
        <v>no resolution</v>
      </c>
      <c r="AC2200" s="6" t="str">
        <f t="shared" si="244"/>
        <v/>
      </c>
    </row>
    <row r="2201" spans="1:29" x14ac:dyDescent="0.3">
      <c r="A2201" t="s">
        <v>22</v>
      </c>
      <c r="B2201">
        <v>3792</v>
      </c>
      <c r="C2201" t="s">
        <v>47</v>
      </c>
      <c r="D2201" t="s">
        <v>24</v>
      </c>
      <c r="E2201" t="s">
        <v>59</v>
      </c>
      <c r="F2201" t="s">
        <v>26</v>
      </c>
      <c r="G2201" t="s">
        <v>45</v>
      </c>
      <c r="H2201" s="1">
        <v>45267.143796296295</v>
      </c>
      <c r="I2201" s="1">
        <v>45269.143796296295</v>
      </c>
      <c r="J2201" s="1">
        <v>45267.18546296296</v>
      </c>
      <c r="K2201" s="2">
        <v>45267.174507291667</v>
      </c>
      <c r="L2201" t="s">
        <v>28</v>
      </c>
      <c r="M2201" s="2">
        <v>45267.28996642361</v>
      </c>
      <c r="N2201" t="s">
        <v>28</v>
      </c>
      <c r="O2201" s="2">
        <v>45269.727866226851</v>
      </c>
      <c r="P2201">
        <v>2</v>
      </c>
      <c r="Q2201">
        <v>4</v>
      </c>
      <c r="R2201" t="s">
        <v>55</v>
      </c>
      <c r="S2201" t="s">
        <v>30</v>
      </c>
      <c r="T2201" t="s">
        <v>63</v>
      </c>
      <c r="U2201">
        <v>55.378051999999997</v>
      </c>
      <c r="V2201">
        <v>-3.4359730000000002</v>
      </c>
      <c r="W2201" t="str">
        <f t="shared" si="239"/>
        <v>ok</v>
      </c>
      <c r="X2201" t="str">
        <f t="shared" si="245"/>
        <v>ok</v>
      </c>
      <c r="Y2201" t="str">
        <f t="shared" si="240"/>
        <v>ok</v>
      </c>
      <c r="Z2201" t="str">
        <f t="shared" si="241"/>
        <v>ok</v>
      </c>
      <c r="AA2201" s="4" t="str">
        <f t="shared" si="242"/>
        <v>ok</v>
      </c>
      <c r="AB2201" s="4" t="str">
        <f t="shared" si="243"/>
        <v>ok</v>
      </c>
      <c r="AC2201" s="6">
        <f t="shared" si="244"/>
        <v>3.5080830555525608</v>
      </c>
    </row>
    <row r="2202" spans="1:29" x14ac:dyDescent="0.3">
      <c r="A2202" t="s">
        <v>68</v>
      </c>
      <c r="B2202">
        <v>3793</v>
      </c>
      <c r="C2202" t="s">
        <v>23</v>
      </c>
      <c r="D2202" t="s">
        <v>43</v>
      </c>
      <c r="E2202" t="s">
        <v>35</v>
      </c>
      <c r="F2202" t="s">
        <v>26</v>
      </c>
      <c r="G2202" t="s">
        <v>52</v>
      </c>
      <c r="H2202" s="1">
        <v>45267.864849537036</v>
      </c>
      <c r="I2202" s="1">
        <v>45268.864849537036</v>
      </c>
      <c r="J2202" s="1">
        <v>45267.866238425922</v>
      </c>
      <c r="L2202" t="s">
        <v>38</v>
      </c>
      <c r="N2202" t="s">
        <v>38</v>
      </c>
      <c r="R2202" t="s">
        <v>39</v>
      </c>
      <c r="S2202" t="s">
        <v>30</v>
      </c>
      <c r="T2202" t="s">
        <v>61</v>
      </c>
      <c r="U2202">
        <v>42.724992499999999</v>
      </c>
      <c r="V2202">
        <v>25.483303899999999</v>
      </c>
      <c r="W2202" t="str">
        <f t="shared" si="239"/>
        <v>check</v>
      </c>
      <c r="X2202" t="str">
        <f t="shared" si="245"/>
        <v>ok</v>
      </c>
      <c r="Y2202" t="str">
        <f t="shared" si="240"/>
        <v>ok</v>
      </c>
      <c r="Z2202" t="str">
        <f t="shared" si="241"/>
        <v>ok</v>
      </c>
      <c r="AA2202" s="4" t="str">
        <f t="shared" si="242"/>
        <v>no response</v>
      </c>
      <c r="AB2202" s="4" t="str">
        <f t="shared" si="243"/>
        <v>no resolution</v>
      </c>
      <c r="AC2202" s="6" t="str">
        <f t="shared" si="244"/>
        <v/>
      </c>
    </row>
    <row r="2203" spans="1:29" x14ac:dyDescent="0.3">
      <c r="A2203" t="s">
        <v>42</v>
      </c>
      <c r="B2203">
        <v>3794</v>
      </c>
      <c r="C2203" t="s">
        <v>23</v>
      </c>
      <c r="D2203" t="s">
        <v>24</v>
      </c>
      <c r="E2203" t="s">
        <v>48</v>
      </c>
      <c r="F2203" t="s">
        <v>26</v>
      </c>
      <c r="G2203" t="s">
        <v>60</v>
      </c>
      <c r="H2203" s="1">
        <v>45267.074687499997</v>
      </c>
      <c r="I2203" s="1">
        <v>45269.074687499997</v>
      </c>
      <c r="J2203" s="1">
        <v>45267.116354166668</v>
      </c>
      <c r="K2203" s="2">
        <v>45267.162198333332</v>
      </c>
      <c r="L2203" t="s">
        <v>38</v>
      </c>
      <c r="M2203" s="2">
        <v>45270.503333611108</v>
      </c>
      <c r="N2203" t="s">
        <v>38</v>
      </c>
      <c r="P2203">
        <v>2</v>
      </c>
      <c r="R2203" t="s">
        <v>55</v>
      </c>
      <c r="S2203" t="s">
        <v>30</v>
      </c>
      <c r="T2203" t="s">
        <v>53</v>
      </c>
      <c r="U2203">
        <v>39.368279000000001</v>
      </c>
      <c r="V2203">
        <v>21.863140999999999</v>
      </c>
      <c r="W2203" t="str">
        <f t="shared" si="239"/>
        <v>ok</v>
      </c>
      <c r="X2203" t="str">
        <f t="shared" si="245"/>
        <v>ok</v>
      </c>
      <c r="Y2203" t="str">
        <f t="shared" si="240"/>
        <v>ok</v>
      </c>
      <c r="Z2203" t="str">
        <f t="shared" si="241"/>
        <v>ok</v>
      </c>
      <c r="AA2203" s="4" t="str">
        <f t="shared" si="242"/>
        <v>ok</v>
      </c>
      <c r="AB2203" s="4" t="str">
        <f t="shared" si="243"/>
        <v>ok</v>
      </c>
      <c r="AC2203" s="6">
        <f t="shared" si="244"/>
        <v>82.287506666674744</v>
      </c>
    </row>
    <row r="2204" spans="1:29" x14ac:dyDescent="0.3">
      <c r="A2204" t="s">
        <v>22</v>
      </c>
      <c r="B2204">
        <v>3795</v>
      </c>
      <c r="C2204" t="s">
        <v>47</v>
      </c>
      <c r="D2204" t="s">
        <v>43</v>
      </c>
      <c r="E2204" t="s">
        <v>48</v>
      </c>
      <c r="F2204" t="s">
        <v>26</v>
      </c>
      <c r="G2204" t="s">
        <v>45</v>
      </c>
      <c r="H2204" s="1">
        <v>45267.941504629627</v>
      </c>
      <c r="I2204" s="1">
        <v>45268.941504629627</v>
      </c>
      <c r="J2204" s="1">
        <v>45267.942893518521</v>
      </c>
      <c r="K2204" s="2">
        <v>45267.942115069447</v>
      </c>
      <c r="L2204" t="s">
        <v>28</v>
      </c>
      <c r="M2204" s="2">
        <v>45268.836732453703</v>
      </c>
      <c r="N2204" t="s">
        <v>28</v>
      </c>
      <c r="O2204" s="2">
        <v>45273.065512627312</v>
      </c>
      <c r="P2204">
        <v>2</v>
      </c>
      <c r="Q2204">
        <v>2</v>
      </c>
      <c r="R2204" t="s">
        <v>39</v>
      </c>
      <c r="S2204" t="s">
        <v>30</v>
      </c>
      <c r="T2204" t="s">
        <v>66</v>
      </c>
      <c r="U2204">
        <v>48.864716000000001</v>
      </c>
      <c r="V2204">
        <v>2.3490139999999999</v>
      </c>
      <c r="W2204" t="str">
        <f t="shared" si="239"/>
        <v>ok</v>
      </c>
      <c r="X2204" t="str">
        <f t="shared" si="245"/>
        <v>ok</v>
      </c>
      <c r="Y2204" t="str">
        <f t="shared" si="240"/>
        <v>ok</v>
      </c>
      <c r="Z2204" t="str">
        <f t="shared" si="241"/>
        <v>ok</v>
      </c>
      <c r="AA2204" s="4" t="str">
        <f t="shared" si="242"/>
        <v>ok</v>
      </c>
      <c r="AB2204" s="4" t="str">
        <f t="shared" si="243"/>
        <v>ok</v>
      </c>
      <c r="AC2204" s="6">
        <f t="shared" si="244"/>
        <v>21.485467777820304</v>
      </c>
    </row>
    <row r="2205" spans="1:29" x14ac:dyDescent="0.3">
      <c r="A2205" t="s">
        <v>22</v>
      </c>
      <c r="B2205">
        <v>3797</v>
      </c>
      <c r="C2205" t="s">
        <v>23</v>
      </c>
      <c r="D2205" t="s">
        <v>24</v>
      </c>
      <c r="E2205" t="s">
        <v>48</v>
      </c>
      <c r="F2205" t="s">
        <v>26</v>
      </c>
      <c r="G2205" t="s">
        <v>49</v>
      </c>
      <c r="H2205" s="1">
        <v>45267.04351851852</v>
      </c>
      <c r="I2205" s="1">
        <v>45269.04351851852</v>
      </c>
      <c r="J2205" s="1">
        <v>45267.085185185184</v>
      </c>
      <c r="K2205" s="2">
        <v>45267.068571296295</v>
      </c>
      <c r="L2205" t="s">
        <v>28</v>
      </c>
      <c r="M2205" s="2">
        <v>45267.752125925923</v>
      </c>
      <c r="N2205" t="s">
        <v>28</v>
      </c>
      <c r="O2205" s="2">
        <v>45269.028904710649</v>
      </c>
      <c r="P2205">
        <v>6</v>
      </c>
      <c r="Q2205">
        <v>5</v>
      </c>
      <c r="R2205" t="s">
        <v>39</v>
      </c>
      <c r="S2205" t="s">
        <v>30</v>
      </c>
      <c r="T2205" t="s">
        <v>56</v>
      </c>
      <c r="U2205">
        <v>52.536273000000001</v>
      </c>
      <c r="V2205">
        <v>19.050639</v>
      </c>
      <c r="W2205" t="str">
        <f t="shared" si="239"/>
        <v>ok</v>
      </c>
      <c r="X2205" t="str">
        <f t="shared" si="245"/>
        <v>ok</v>
      </c>
      <c r="Y2205" t="str">
        <f t="shared" si="240"/>
        <v>ok</v>
      </c>
      <c r="Z2205" t="str">
        <f t="shared" si="241"/>
        <v>ok</v>
      </c>
      <c r="AA2205" s="4" t="str">
        <f t="shared" si="242"/>
        <v>ok</v>
      </c>
      <c r="AB2205" s="4" t="str">
        <f t="shared" si="243"/>
        <v>ok</v>
      </c>
      <c r="AC2205" s="6">
        <f t="shared" si="244"/>
        <v>17.006577777676284</v>
      </c>
    </row>
    <row r="2206" spans="1:29" x14ac:dyDescent="0.3">
      <c r="A2206" t="s">
        <v>22</v>
      </c>
      <c r="B2206">
        <v>3798</v>
      </c>
      <c r="C2206" t="s">
        <v>23</v>
      </c>
      <c r="D2206" t="s">
        <v>24</v>
      </c>
      <c r="E2206" t="s">
        <v>44</v>
      </c>
      <c r="F2206" t="s">
        <v>26</v>
      </c>
      <c r="G2206" t="s">
        <v>60</v>
      </c>
      <c r="H2206" s="1">
        <v>45268.812175925923</v>
      </c>
      <c r="I2206" s="1">
        <v>45270.812175925923</v>
      </c>
      <c r="J2206" s="1">
        <v>45268.853842592594</v>
      </c>
      <c r="K2206" s="2">
        <v>45268.850244652778</v>
      </c>
      <c r="L2206" t="s">
        <v>28</v>
      </c>
      <c r="M2206" s="2">
        <v>45268.874203738429</v>
      </c>
      <c r="N2206" t="s">
        <v>28</v>
      </c>
      <c r="O2206" s="2">
        <v>45271.488872048612</v>
      </c>
      <c r="P2206">
        <v>3</v>
      </c>
      <c r="Q2206">
        <v>4</v>
      </c>
      <c r="R2206" t="s">
        <v>39</v>
      </c>
      <c r="S2206" t="s">
        <v>30</v>
      </c>
      <c r="T2206" t="s">
        <v>41</v>
      </c>
      <c r="U2206">
        <v>43.036776000000003</v>
      </c>
      <c r="V2206">
        <v>12.678565000000001</v>
      </c>
      <c r="W2206" t="str">
        <f t="shared" si="239"/>
        <v>ok</v>
      </c>
      <c r="X2206" t="str">
        <f t="shared" si="245"/>
        <v>ok</v>
      </c>
      <c r="Y2206" t="str">
        <f t="shared" si="240"/>
        <v>ok</v>
      </c>
      <c r="Z2206" t="str">
        <f t="shared" si="241"/>
        <v>ok</v>
      </c>
      <c r="AA2206" s="4" t="str">
        <f t="shared" si="242"/>
        <v>ok</v>
      </c>
      <c r="AB2206" s="4" t="str">
        <f t="shared" si="243"/>
        <v>ok</v>
      </c>
      <c r="AC2206" s="6">
        <f t="shared" si="244"/>
        <v>1.4886675001471303</v>
      </c>
    </row>
    <row r="2207" spans="1:29" x14ac:dyDescent="0.3">
      <c r="A2207" t="s">
        <v>42</v>
      </c>
      <c r="B2207">
        <v>3799</v>
      </c>
      <c r="C2207" t="s">
        <v>47</v>
      </c>
      <c r="D2207" t="s">
        <v>43</v>
      </c>
      <c r="E2207" t="s">
        <v>44</v>
      </c>
      <c r="F2207" t="s">
        <v>26</v>
      </c>
      <c r="G2207" t="s">
        <v>45</v>
      </c>
      <c r="H2207" s="1">
        <v>45268.937384259261</v>
      </c>
      <c r="I2207" s="1">
        <v>45269.937384259261</v>
      </c>
      <c r="J2207" s="1">
        <v>45268.938773148147</v>
      </c>
      <c r="K2207" s="2">
        <v>45268.937464479168</v>
      </c>
      <c r="L2207" t="s">
        <v>28</v>
      </c>
      <c r="M2207" s="2">
        <v>45273.78303702546</v>
      </c>
      <c r="N2207" t="s">
        <v>38</v>
      </c>
      <c r="P2207">
        <v>5</v>
      </c>
      <c r="R2207" t="s">
        <v>50</v>
      </c>
      <c r="S2207" t="s">
        <v>30</v>
      </c>
      <c r="T2207" t="s">
        <v>41</v>
      </c>
      <c r="U2207">
        <v>43.036776000000003</v>
      </c>
      <c r="V2207">
        <v>12.678565000000001</v>
      </c>
      <c r="W2207" t="str">
        <f t="shared" si="239"/>
        <v>ok</v>
      </c>
      <c r="X2207" t="str">
        <f t="shared" si="245"/>
        <v>ok</v>
      </c>
      <c r="Y2207" t="str">
        <f t="shared" si="240"/>
        <v>ok</v>
      </c>
      <c r="Z2207" t="str">
        <f t="shared" si="241"/>
        <v>ok</v>
      </c>
      <c r="AA2207" s="4" t="str">
        <f t="shared" si="242"/>
        <v>ok</v>
      </c>
      <c r="AB2207" s="4" t="str">
        <f t="shared" si="243"/>
        <v>ok</v>
      </c>
      <c r="AC2207" s="6">
        <f t="shared" si="244"/>
        <v>116.29566638875986</v>
      </c>
    </row>
    <row r="2208" spans="1:29" x14ac:dyDescent="0.3">
      <c r="A2208" t="s">
        <v>22</v>
      </c>
      <c r="B2208">
        <v>3801</v>
      </c>
      <c r="C2208" t="s">
        <v>47</v>
      </c>
      <c r="D2208" t="s">
        <v>24</v>
      </c>
      <c r="E2208" t="s">
        <v>48</v>
      </c>
      <c r="F2208" t="s">
        <v>36</v>
      </c>
      <c r="G2208" t="s">
        <v>37</v>
      </c>
      <c r="H2208" s="1">
        <v>45268.87909722222</v>
      </c>
      <c r="I2208" s="1">
        <v>45270.87909722222</v>
      </c>
      <c r="J2208" s="1">
        <v>45268.920763888891</v>
      </c>
      <c r="K2208" s="2">
        <v>45268.910999293985</v>
      </c>
      <c r="L2208" t="s">
        <v>28</v>
      </c>
      <c r="M2208" s="2">
        <v>45269.675771099537</v>
      </c>
      <c r="N2208" t="s">
        <v>28</v>
      </c>
      <c r="O2208" s="2">
        <v>45270.527055324077</v>
      </c>
      <c r="P2208">
        <v>1</v>
      </c>
      <c r="Q2208">
        <v>5</v>
      </c>
      <c r="R2208" t="s">
        <v>50</v>
      </c>
      <c r="S2208" t="s">
        <v>40</v>
      </c>
      <c r="T2208" t="s">
        <v>51</v>
      </c>
      <c r="U2208">
        <v>39.673369999999998</v>
      </c>
      <c r="V2208">
        <v>-4.7677259999999997</v>
      </c>
      <c r="W2208" t="str">
        <f t="shared" si="239"/>
        <v>ok</v>
      </c>
      <c r="X2208" t="str">
        <f t="shared" si="245"/>
        <v>ok</v>
      </c>
      <c r="Y2208" t="str">
        <f t="shared" si="240"/>
        <v>ok</v>
      </c>
      <c r="Z2208" t="str">
        <f t="shared" si="241"/>
        <v>ok</v>
      </c>
      <c r="AA2208" s="4" t="str">
        <f t="shared" si="242"/>
        <v>ok</v>
      </c>
      <c r="AB2208" s="4" t="str">
        <f t="shared" si="243"/>
        <v>ok</v>
      </c>
      <c r="AC2208" s="6">
        <f t="shared" si="244"/>
        <v>19.120173055620398</v>
      </c>
    </row>
    <row r="2209" spans="1:29" x14ac:dyDescent="0.3">
      <c r="A2209" t="s">
        <v>22</v>
      </c>
      <c r="B2209">
        <v>3802</v>
      </c>
      <c r="C2209" t="s">
        <v>23</v>
      </c>
      <c r="D2209" t="s">
        <v>43</v>
      </c>
      <c r="E2209" t="s">
        <v>35</v>
      </c>
      <c r="F2209" t="s">
        <v>26</v>
      </c>
      <c r="G2209" t="s">
        <v>27</v>
      </c>
      <c r="H2209" s="1">
        <v>45268.640231481484</v>
      </c>
      <c r="I2209" s="1">
        <v>45269.640231481484</v>
      </c>
      <c r="J2209" s="1">
        <v>45268.64162037037</v>
      </c>
      <c r="K2209" s="2">
        <v>45268.640985335645</v>
      </c>
      <c r="L2209" t="s">
        <v>28</v>
      </c>
      <c r="M2209" s="2">
        <v>45269.205908564814</v>
      </c>
      <c r="N2209" t="s">
        <v>28</v>
      </c>
      <c r="O2209" s="2">
        <v>45274.009127291669</v>
      </c>
      <c r="P2209">
        <v>2</v>
      </c>
      <c r="Q2209">
        <v>1</v>
      </c>
      <c r="R2209" t="s">
        <v>29</v>
      </c>
      <c r="S2209" t="s">
        <v>30</v>
      </c>
      <c r="T2209" t="s">
        <v>63</v>
      </c>
      <c r="U2209">
        <v>55.378051999999997</v>
      </c>
      <c r="V2209">
        <v>-3.4359730000000002</v>
      </c>
      <c r="W2209" t="str">
        <f t="shared" si="239"/>
        <v>ok</v>
      </c>
      <c r="X2209" t="str">
        <f t="shared" si="245"/>
        <v>ok</v>
      </c>
      <c r="Y2209" t="str">
        <f t="shared" si="240"/>
        <v>ok</v>
      </c>
      <c r="Z2209" t="str">
        <f t="shared" si="241"/>
        <v>ok</v>
      </c>
      <c r="AA2209" s="4" t="str">
        <f t="shared" si="242"/>
        <v>ok</v>
      </c>
      <c r="AB2209" s="4" t="str">
        <f t="shared" si="243"/>
        <v>ok</v>
      </c>
      <c r="AC2209" s="6">
        <f t="shared" si="244"/>
        <v>13.576249999925494</v>
      </c>
    </row>
    <row r="2210" spans="1:29" x14ac:dyDescent="0.3">
      <c r="A2210" t="s">
        <v>22</v>
      </c>
      <c r="B2210">
        <v>3803</v>
      </c>
      <c r="C2210" t="s">
        <v>23</v>
      </c>
      <c r="D2210" t="s">
        <v>24</v>
      </c>
      <c r="E2210" t="s">
        <v>48</v>
      </c>
      <c r="F2210" t="s">
        <v>36</v>
      </c>
      <c r="G2210" t="s">
        <v>54</v>
      </c>
      <c r="H2210" s="1">
        <v>45268.478449074071</v>
      </c>
      <c r="I2210" s="1">
        <v>45270.478449074071</v>
      </c>
      <c r="J2210" s="1">
        <v>45268.520115740743</v>
      </c>
      <c r="K2210" s="2">
        <v>45268.51332366898</v>
      </c>
      <c r="L2210" t="s">
        <v>28</v>
      </c>
      <c r="M2210" s="2">
        <v>45269.305115381947</v>
      </c>
      <c r="N2210" t="s">
        <v>28</v>
      </c>
      <c r="O2210" s="2">
        <v>45271.307975972224</v>
      </c>
      <c r="P2210">
        <v>3</v>
      </c>
      <c r="Q2210">
        <v>4</v>
      </c>
      <c r="R2210" t="s">
        <v>50</v>
      </c>
      <c r="S2210" t="s">
        <v>40</v>
      </c>
      <c r="T2210" t="s">
        <v>58</v>
      </c>
      <c r="U2210">
        <v>49.8037633</v>
      </c>
      <c r="V2210">
        <v>15.4749126</v>
      </c>
      <c r="W2210" t="str">
        <f t="shared" si="239"/>
        <v>ok</v>
      </c>
      <c r="X2210" t="str">
        <f t="shared" si="245"/>
        <v>ok</v>
      </c>
      <c r="Y2210" t="str">
        <f t="shared" si="240"/>
        <v>ok</v>
      </c>
      <c r="Z2210" t="str">
        <f t="shared" si="241"/>
        <v>ok</v>
      </c>
      <c r="AA2210" s="4" t="str">
        <f t="shared" si="242"/>
        <v>ok</v>
      </c>
      <c r="AB2210" s="4" t="str">
        <f t="shared" si="243"/>
        <v>ok</v>
      </c>
      <c r="AC2210" s="6">
        <f t="shared" si="244"/>
        <v>19.839991389017086</v>
      </c>
    </row>
    <row r="2211" spans="1:29" x14ac:dyDescent="0.3">
      <c r="A2211" t="s">
        <v>22</v>
      </c>
      <c r="B2211">
        <v>3804</v>
      </c>
      <c r="C2211" t="s">
        <v>23</v>
      </c>
      <c r="D2211" t="s">
        <v>24</v>
      </c>
      <c r="E2211" t="s">
        <v>48</v>
      </c>
      <c r="F2211" t="s">
        <v>26</v>
      </c>
      <c r="G2211" t="s">
        <v>45</v>
      </c>
      <c r="H2211" s="1">
        <v>45268.672233796293</v>
      </c>
      <c r="I2211" s="1">
        <v>45270.672233796293</v>
      </c>
      <c r="J2211" s="1">
        <v>45268.713900462964</v>
      </c>
      <c r="K2211" s="2">
        <v>45268.678072337963</v>
      </c>
      <c r="L2211" t="s">
        <v>28</v>
      </c>
      <c r="M2211" s="2">
        <v>45270.636933182868</v>
      </c>
      <c r="N2211" t="s">
        <v>28</v>
      </c>
      <c r="O2211" s="2">
        <v>45271.458159305555</v>
      </c>
      <c r="P2211">
        <v>1</v>
      </c>
      <c r="Q2211">
        <v>2</v>
      </c>
      <c r="R2211" t="s">
        <v>29</v>
      </c>
      <c r="S2211" t="s">
        <v>30</v>
      </c>
      <c r="T2211" t="s">
        <v>31</v>
      </c>
      <c r="U2211">
        <v>53.094023999999997</v>
      </c>
      <c r="V2211">
        <v>-8.0196749999999994</v>
      </c>
      <c r="W2211" t="str">
        <f t="shared" si="239"/>
        <v>ok</v>
      </c>
      <c r="X2211" t="str">
        <f t="shared" si="245"/>
        <v>ok</v>
      </c>
      <c r="Y2211" t="str">
        <f t="shared" si="240"/>
        <v>ok</v>
      </c>
      <c r="Z2211" t="str">
        <f t="shared" si="241"/>
        <v>ok</v>
      </c>
      <c r="AA2211" s="4" t="str">
        <f t="shared" si="242"/>
        <v>ok</v>
      </c>
      <c r="AB2211" s="4" t="str">
        <f t="shared" si="243"/>
        <v>ok</v>
      </c>
      <c r="AC2211" s="6">
        <f t="shared" si="244"/>
        <v>47.152785277809016</v>
      </c>
    </row>
    <row r="2212" spans="1:29" x14ac:dyDescent="0.3">
      <c r="A2212" t="s">
        <v>22</v>
      </c>
      <c r="B2212">
        <v>3805</v>
      </c>
      <c r="C2212" t="s">
        <v>23</v>
      </c>
      <c r="D2212" t="s">
        <v>24</v>
      </c>
      <c r="E2212" t="s">
        <v>35</v>
      </c>
      <c r="F2212" t="s">
        <v>36</v>
      </c>
      <c r="G2212" t="s">
        <v>54</v>
      </c>
      <c r="H2212" s="1">
        <v>45268.446250000001</v>
      </c>
      <c r="I2212" s="1">
        <v>45270.446250000001</v>
      </c>
      <c r="J2212" s="1">
        <v>45268.487916666665</v>
      </c>
      <c r="K2212" s="2">
        <v>45268.456446307871</v>
      </c>
      <c r="L2212" t="s">
        <v>28</v>
      </c>
      <c r="M2212" s="2">
        <v>45268.559376180558</v>
      </c>
      <c r="N2212" t="s">
        <v>28</v>
      </c>
      <c r="O2212" s="2">
        <v>45276.187395428242</v>
      </c>
      <c r="P2212">
        <v>2</v>
      </c>
      <c r="Q2212">
        <v>4</v>
      </c>
      <c r="R2212" t="s">
        <v>50</v>
      </c>
      <c r="S2212" t="s">
        <v>40</v>
      </c>
      <c r="T2212" t="s">
        <v>56</v>
      </c>
      <c r="U2212">
        <v>52.536273000000001</v>
      </c>
      <c r="V2212">
        <v>19.050639</v>
      </c>
      <c r="W2212" t="str">
        <f t="shared" si="239"/>
        <v>ok</v>
      </c>
      <c r="X2212" t="str">
        <f t="shared" si="245"/>
        <v>ok</v>
      </c>
      <c r="Y2212" t="str">
        <f t="shared" si="240"/>
        <v>ok</v>
      </c>
      <c r="Z2212" t="str">
        <f t="shared" si="241"/>
        <v>ok</v>
      </c>
      <c r="AA2212" s="4" t="str">
        <f t="shared" si="242"/>
        <v>ok</v>
      </c>
      <c r="AB2212" s="4" t="str">
        <f t="shared" si="243"/>
        <v>ok</v>
      </c>
      <c r="AC2212" s="6">
        <f t="shared" si="244"/>
        <v>2.7150283333612606</v>
      </c>
    </row>
    <row r="2213" spans="1:29" x14ac:dyDescent="0.3">
      <c r="A2213" t="s">
        <v>22</v>
      </c>
      <c r="B2213">
        <v>3806</v>
      </c>
      <c r="C2213" t="s">
        <v>23</v>
      </c>
      <c r="D2213" t="s">
        <v>34</v>
      </c>
      <c r="E2213" t="s">
        <v>35</v>
      </c>
      <c r="F2213" t="s">
        <v>36</v>
      </c>
      <c r="G2213" t="s">
        <v>37</v>
      </c>
      <c r="H2213" s="1">
        <v>45268.571134259262</v>
      </c>
      <c r="I2213" s="1">
        <v>45270.571134259262</v>
      </c>
      <c r="J2213" s="1">
        <v>45268.572523148148</v>
      </c>
      <c r="K2213" s="2">
        <v>45268.571817928241</v>
      </c>
      <c r="L2213" t="s">
        <v>28</v>
      </c>
      <c r="M2213" s="2">
        <v>45269.240032789348</v>
      </c>
      <c r="N2213" t="s">
        <v>28</v>
      </c>
      <c r="O2213" s="2">
        <v>45273.654935462961</v>
      </c>
      <c r="P2213">
        <v>4</v>
      </c>
      <c r="Q2213">
        <v>4</v>
      </c>
      <c r="R2213" t="s">
        <v>50</v>
      </c>
      <c r="S2213" t="s">
        <v>40</v>
      </c>
      <c r="T2213" t="s">
        <v>63</v>
      </c>
      <c r="U2213">
        <v>55.378051999999997</v>
      </c>
      <c r="V2213">
        <v>-3.4359730000000002</v>
      </c>
      <c r="W2213" t="str">
        <f t="shared" si="239"/>
        <v>ok</v>
      </c>
      <c r="X2213" t="str">
        <f t="shared" si="245"/>
        <v>ok</v>
      </c>
      <c r="Y2213" t="str">
        <f t="shared" si="240"/>
        <v>ok</v>
      </c>
      <c r="Z2213" t="str">
        <f t="shared" si="241"/>
        <v>ok</v>
      </c>
      <c r="AA2213" s="4" t="str">
        <f t="shared" si="242"/>
        <v>ok</v>
      </c>
      <c r="AB2213" s="4" t="str">
        <f t="shared" si="243"/>
        <v>ok</v>
      </c>
      <c r="AC2213" s="6">
        <f t="shared" si="244"/>
        <v>16.053564722067676</v>
      </c>
    </row>
    <row r="2214" spans="1:29" x14ac:dyDescent="0.3">
      <c r="A2214" t="s">
        <v>22</v>
      </c>
      <c r="B2214">
        <v>3812</v>
      </c>
      <c r="C2214" t="s">
        <v>47</v>
      </c>
      <c r="D2214" t="s">
        <v>43</v>
      </c>
      <c r="E2214" t="s">
        <v>48</v>
      </c>
      <c r="F2214" t="s">
        <v>26</v>
      </c>
      <c r="G2214" t="s">
        <v>45</v>
      </c>
      <c r="H2214" s="1">
        <v>45269.758680555555</v>
      </c>
      <c r="I2214" s="1">
        <v>45270.758680555555</v>
      </c>
      <c r="J2214" s="1">
        <v>45269.760069444441</v>
      </c>
      <c r="K2214" s="2">
        <v>45269.759401215277</v>
      </c>
      <c r="L2214" t="s">
        <v>28</v>
      </c>
      <c r="M2214" s="2">
        <v>45270.580838912036</v>
      </c>
      <c r="N2214" t="s">
        <v>28</v>
      </c>
      <c r="O2214" s="2">
        <v>45273.367651145832</v>
      </c>
      <c r="P2214">
        <v>8</v>
      </c>
      <c r="Q2214">
        <v>4</v>
      </c>
      <c r="R2214" t="s">
        <v>50</v>
      </c>
      <c r="S2214" t="s">
        <v>30</v>
      </c>
      <c r="T2214" t="s">
        <v>53</v>
      </c>
      <c r="U2214">
        <v>39.368279000000001</v>
      </c>
      <c r="V2214">
        <v>21.863140999999999</v>
      </c>
      <c r="W2214" t="str">
        <f t="shared" si="239"/>
        <v>ok</v>
      </c>
      <c r="X2214" t="str">
        <f t="shared" si="245"/>
        <v>ok</v>
      </c>
      <c r="Y2214" t="str">
        <f t="shared" si="240"/>
        <v>ok</v>
      </c>
      <c r="Z2214" t="str">
        <f t="shared" si="241"/>
        <v>ok</v>
      </c>
      <c r="AA2214" s="4" t="str">
        <f t="shared" si="242"/>
        <v>ok</v>
      </c>
      <c r="AB2214" s="4" t="str">
        <f t="shared" si="243"/>
        <v>ok</v>
      </c>
      <c r="AC2214" s="6">
        <f t="shared" si="244"/>
        <v>19.731800555542577</v>
      </c>
    </row>
    <row r="2215" spans="1:29" x14ac:dyDescent="0.3">
      <c r="A2215" t="s">
        <v>22</v>
      </c>
      <c r="B2215">
        <v>3813</v>
      </c>
      <c r="C2215" t="s">
        <v>47</v>
      </c>
      <c r="D2215" t="s">
        <v>24</v>
      </c>
      <c r="E2215" t="s">
        <v>44</v>
      </c>
      <c r="F2215" t="s">
        <v>26</v>
      </c>
      <c r="G2215" t="s">
        <v>45</v>
      </c>
      <c r="H2215" s="1">
        <v>45269.112002314818</v>
      </c>
      <c r="I2215" s="1">
        <v>45271.112002314818</v>
      </c>
      <c r="J2215" s="1">
        <v>45269.153668981482</v>
      </c>
      <c r="K2215" s="2">
        <v>45269.132644143516</v>
      </c>
      <c r="L2215" t="s">
        <v>28</v>
      </c>
      <c r="M2215" s="2">
        <v>45272.739312048609</v>
      </c>
      <c r="N2215" t="s">
        <v>38</v>
      </c>
      <c r="O2215" s="2">
        <v>45274.053752245367</v>
      </c>
      <c r="P2215">
        <v>1</v>
      </c>
      <c r="Q2215">
        <v>3</v>
      </c>
      <c r="R2215" t="s">
        <v>55</v>
      </c>
      <c r="S2215" t="s">
        <v>30</v>
      </c>
      <c r="T2215" t="s">
        <v>57</v>
      </c>
      <c r="U2215">
        <v>51.165691000000002</v>
      </c>
      <c r="V2215">
        <v>10.451525999999999</v>
      </c>
      <c r="W2215" t="str">
        <f t="shared" si="239"/>
        <v>ok</v>
      </c>
      <c r="X2215" t="str">
        <f t="shared" si="245"/>
        <v>ok</v>
      </c>
      <c r="Y2215" t="str">
        <f t="shared" si="240"/>
        <v>ok</v>
      </c>
      <c r="Z2215" t="str">
        <f t="shared" si="241"/>
        <v>ok</v>
      </c>
      <c r="AA2215" s="4" t="str">
        <f t="shared" si="242"/>
        <v>ok</v>
      </c>
      <c r="AB2215" s="4" t="str">
        <f t="shared" si="243"/>
        <v>ok</v>
      </c>
      <c r="AC2215" s="6">
        <f t="shared" si="244"/>
        <v>87.055433610978071</v>
      </c>
    </row>
    <row r="2216" spans="1:29" x14ac:dyDescent="0.3">
      <c r="A2216" t="s">
        <v>22</v>
      </c>
      <c r="B2216">
        <v>3814</v>
      </c>
      <c r="C2216" t="s">
        <v>47</v>
      </c>
      <c r="D2216" t="s">
        <v>24</v>
      </c>
      <c r="E2216" t="s">
        <v>62</v>
      </c>
      <c r="F2216" t="s">
        <v>26</v>
      </c>
      <c r="G2216" t="s">
        <v>60</v>
      </c>
      <c r="H2216" s="1">
        <v>45269.40766203704</v>
      </c>
      <c r="I2216" s="1">
        <v>45271.40766203704</v>
      </c>
      <c r="J2216" s="1">
        <v>45269.449328703704</v>
      </c>
      <c r="K2216" s="2">
        <v>45269.42281556713</v>
      </c>
      <c r="L2216" t="s">
        <v>28</v>
      </c>
      <c r="M2216" s="2">
        <v>45270.638002638887</v>
      </c>
      <c r="N2216" t="s">
        <v>28</v>
      </c>
      <c r="O2216" s="2">
        <v>45271.660378715278</v>
      </c>
      <c r="P2216">
        <v>3</v>
      </c>
      <c r="Q2216">
        <v>3</v>
      </c>
      <c r="R2216" t="s">
        <v>55</v>
      </c>
      <c r="S2216" t="s">
        <v>30</v>
      </c>
      <c r="T2216" t="s">
        <v>57</v>
      </c>
      <c r="U2216">
        <v>51.165691000000002</v>
      </c>
      <c r="V2216">
        <v>10.451525999999999</v>
      </c>
      <c r="W2216" t="str">
        <f t="shared" si="239"/>
        <v>ok</v>
      </c>
      <c r="X2216" t="str">
        <f t="shared" si="245"/>
        <v>ok</v>
      </c>
      <c r="Y2216" t="str">
        <f t="shared" si="240"/>
        <v>ok</v>
      </c>
      <c r="Z2216" t="str">
        <f t="shared" si="241"/>
        <v>ok</v>
      </c>
      <c r="AA2216" s="4" t="str">
        <f t="shared" si="242"/>
        <v>ok</v>
      </c>
      <c r="AB2216" s="4" t="str">
        <f t="shared" si="243"/>
        <v>ok</v>
      </c>
      <c r="AC2216" s="6">
        <f t="shared" si="244"/>
        <v>29.528174444334581</v>
      </c>
    </row>
    <row r="2217" spans="1:29" x14ac:dyDescent="0.3">
      <c r="A2217" t="s">
        <v>22</v>
      </c>
      <c r="B2217">
        <v>3815</v>
      </c>
      <c r="C2217" t="s">
        <v>23</v>
      </c>
      <c r="D2217" t="s">
        <v>43</v>
      </c>
      <c r="E2217" t="s">
        <v>39</v>
      </c>
      <c r="F2217" t="s">
        <v>36</v>
      </c>
      <c r="G2217" t="s">
        <v>37</v>
      </c>
      <c r="H2217" s="1">
        <v>45269.39607638889</v>
      </c>
      <c r="I2217" s="1">
        <v>45270.39607638889</v>
      </c>
      <c r="J2217" s="1">
        <v>45269.397465277776</v>
      </c>
      <c r="K2217" s="2">
        <v>45269.396128275461</v>
      </c>
      <c r="L2217" t="s">
        <v>28</v>
      </c>
      <c r="M2217" s="2">
        <v>45270.376463981484</v>
      </c>
      <c r="N2217" t="s">
        <v>28</v>
      </c>
      <c r="O2217" s="2">
        <v>45274.737288009259</v>
      </c>
      <c r="P2217">
        <v>2</v>
      </c>
      <c r="Q2217">
        <v>5</v>
      </c>
      <c r="R2217" t="s">
        <v>55</v>
      </c>
      <c r="S2217" t="s">
        <v>40</v>
      </c>
      <c r="T2217" t="s">
        <v>56</v>
      </c>
      <c r="U2217">
        <v>52.536273000000001</v>
      </c>
      <c r="V2217">
        <v>19.050639</v>
      </c>
      <c r="W2217" t="str">
        <f t="shared" si="239"/>
        <v>ok</v>
      </c>
      <c r="X2217" t="str">
        <f t="shared" si="245"/>
        <v>ok</v>
      </c>
      <c r="Y2217" t="str">
        <f t="shared" si="240"/>
        <v>ok</v>
      </c>
      <c r="Z2217" t="str">
        <f t="shared" si="241"/>
        <v>ok</v>
      </c>
      <c r="AA2217" s="4" t="str">
        <f t="shared" si="242"/>
        <v>ok</v>
      </c>
      <c r="AB2217" s="4" t="str">
        <f t="shared" si="243"/>
        <v>ok</v>
      </c>
      <c r="AC2217" s="6">
        <f t="shared" si="244"/>
        <v>23.52930222224677</v>
      </c>
    </row>
    <row r="2218" spans="1:29" x14ac:dyDescent="0.3">
      <c r="A2218" t="s">
        <v>42</v>
      </c>
      <c r="B2218">
        <v>3816</v>
      </c>
      <c r="C2218" t="s">
        <v>33</v>
      </c>
      <c r="D2218" t="s">
        <v>34</v>
      </c>
      <c r="E2218" t="s">
        <v>39</v>
      </c>
      <c r="F2218" t="s">
        <v>26</v>
      </c>
      <c r="G2218" t="s">
        <v>49</v>
      </c>
      <c r="H2218" s="1">
        <v>45269.870763888888</v>
      </c>
      <c r="I2218" s="1">
        <v>45271.870763888888</v>
      </c>
      <c r="J2218" s="1">
        <v>45269.872152777774</v>
      </c>
      <c r="K2218" s="2">
        <v>45269.871011099538</v>
      </c>
      <c r="L2218" t="s">
        <v>28</v>
      </c>
      <c r="M2218" s="2">
        <v>45271.55961773148</v>
      </c>
      <c r="N2218" t="s">
        <v>28</v>
      </c>
      <c r="P2218">
        <v>1</v>
      </c>
      <c r="R2218" t="s">
        <v>50</v>
      </c>
      <c r="S2218" t="s">
        <v>30</v>
      </c>
      <c r="T2218" t="s">
        <v>65</v>
      </c>
      <c r="U2218">
        <v>46.149166399999999</v>
      </c>
      <c r="V2218">
        <v>14.9860106</v>
      </c>
      <c r="W2218" t="str">
        <f t="shared" si="239"/>
        <v>ok</v>
      </c>
      <c r="X2218" t="str">
        <f t="shared" si="245"/>
        <v>ok</v>
      </c>
      <c r="Y2218" t="str">
        <f t="shared" si="240"/>
        <v>ok</v>
      </c>
      <c r="Z2218" t="str">
        <f t="shared" si="241"/>
        <v>ok</v>
      </c>
      <c r="AA2218" s="4" t="str">
        <f t="shared" si="242"/>
        <v>ok</v>
      </c>
      <c r="AB2218" s="4" t="str">
        <f t="shared" si="243"/>
        <v>ok</v>
      </c>
      <c r="AC2218" s="6">
        <f t="shared" si="244"/>
        <v>40.532492222206201</v>
      </c>
    </row>
    <row r="2219" spans="1:29" x14ac:dyDescent="0.3">
      <c r="A2219" t="s">
        <v>22</v>
      </c>
      <c r="B2219">
        <v>3817</v>
      </c>
      <c r="C2219" t="s">
        <v>23</v>
      </c>
      <c r="D2219" t="s">
        <v>43</v>
      </c>
      <c r="E2219" t="s">
        <v>25</v>
      </c>
      <c r="F2219" t="s">
        <v>26</v>
      </c>
      <c r="G2219" t="s">
        <v>52</v>
      </c>
      <c r="H2219" s="1">
        <v>45270.005868055552</v>
      </c>
      <c r="I2219" s="1">
        <v>45271.005868055552</v>
      </c>
      <c r="J2219" s="1">
        <v>45270.007256944446</v>
      </c>
      <c r="K2219" s="2">
        <v>45270.005943761571</v>
      </c>
      <c r="L2219" t="s">
        <v>28</v>
      </c>
      <c r="M2219" s="2">
        <v>45270.195376099538</v>
      </c>
      <c r="N2219" t="s">
        <v>28</v>
      </c>
      <c r="O2219" s="2">
        <v>45276.90269328704</v>
      </c>
      <c r="P2219">
        <v>2</v>
      </c>
      <c r="Q2219">
        <v>4</v>
      </c>
      <c r="R2219" t="s">
        <v>29</v>
      </c>
      <c r="S2219" t="s">
        <v>30</v>
      </c>
      <c r="T2219" t="s">
        <v>63</v>
      </c>
      <c r="U2219">
        <v>55.378051999999997</v>
      </c>
      <c r="V2219">
        <v>-3.4359730000000002</v>
      </c>
      <c r="W2219" t="str">
        <f t="shared" si="239"/>
        <v>ok</v>
      </c>
      <c r="X2219" t="str">
        <f t="shared" si="245"/>
        <v>ok</v>
      </c>
      <c r="Y2219" t="str">
        <f t="shared" si="240"/>
        <v>ok</v>
      </c>
      <c r="Z2219" t="str">
        <f t="shared" si="241"/>
        <v>ok</v>
      </c>
      <c r="AA2219" s="4" t="str">
        <f t="shared" si="242"/>
        <v>ok</v>
      </c>
      <c r="AB2219" s="4" t="str">
        <f t="shared" si="243"/>
        <v>ok</v>
      </c>
      <c r="AC2219" s="6">
        <f t="shared" si="244"/>
        <v>4.5481930556707084</v>
      </c>
    </row>
    <row r="2220" spans="1:29" x14ac:dyDescent="0.3">
      <c r="A2220" t="s">
        <v>68</v>
      </c>
      <c r="B2220">
        <v>3818</v>
      </c>
      <c r="C2220" t="s">
        <v>23</v>
      </c>
      <c r="D2220" t="s">
        <v>43</v>
      </c>
      <c r="E2220" t="s">
        <v>48</v>
      </c>
      <c r="F2220" t="s">
        <v>26</v>
      </c>
      <c r="G2220" t="s">
        <v>52</v>
      </c>
      <c r="H2220" s="1">
        <v>45270.944918981484</v>
      </c>
      <c r="I2220" s="1">
        <v>45271.944918981484</v>
      </c>
      <c r="J2220" s="1">
        <v>45270.94630787037</v>
      </c>
      <c r="L2220" t="s">
        <v>38</v>
      </c>
      <c r="N2220" t="s">
        <v>38</v>
      </c>
      <c r="R2220" t="s">
        <v>29</v>
      </c>
      <c r="S2220" t="s">
        <v>30</v>
      </c>
      <c r="T2220" t="s">
        <v>41</v>
      </c>
      <c r="U2220">
        <v>43.036776000000003</v>
      </c>
      <c r="V2220">
        <v>12.678565000000001</v>
      </c>
      <c r="W2220" t="str">
        <f t="shared" si="239"/>
        <v>check</v>
      </c>
      <c r="X2220" t="str">
        <f t="shared" si="245"/>
        <v>ok</v>
      </c>
      <c r="Y2220" t="str">
        <f t="shared" si="240"/>
        <v>ok</v>
      </c>
      <c r="Z2220" t="str">
        <f t="shared" si="241"/>
        <v>ok</v>
      </c>
      <c r="AA2220" s="4" t="str">
        <f t="shared" si="242"/>
        <v>no response</v>
      </c>
      <c r="AB2220" s="4" t="str">
        <f t="shared" si="243"/>
        <v>no resolution</v>
      </c>
      <c r="AC2220" s="6" t="str">
        <f t="shared" si="244"/>
        <v/>
      </c>
    </row>
    <row r="2221" spans="1:29" x14ac:dyDescent="0.3">
      <c r="A2221" t="s">
        <v>22</v>
      </c>
      <c r="B2221">
        <v>3819</v>
      </c>
      <c r="C2221" t="s">
        <v>23</v>
      </c>
      <c r="D2221" t="s">
        <v>24</v>
      </c>
      <c r="E2221" t="s">
        <v>62</v>
      </c>
      <c r="F2221" t="s">
        <v>36</v>
      </c>
      <c r="G2221" t="s">
        <v>64</v>
      </c>
      <c r="H2221" s="1">
        <v>45270.728981481479</v>
      </c>
      <c r="I2221" s="1">
        <v>45272.728981481479</v>
      </c>
      <c r="J2221" s="1">
        <v>45270.770648148151</v>
      </c>
      <c r="K2221" s="2">
        <v>45270.736129560188</v>
      </c>
      <c r="L2221" t="s">
        <v>28</v>
      </c>
      <c r="M2221" s="2">
        <v>45273.308133402781</v>
      </c>
      <c r="N2221" t="s">
        <v>38</v>
      </c>
      <c r="O2221" s="2">
        <v>45274.54586539352</v>
      </c>
      <c r="P2221">
        <v>6</v>
      </c>
      <c r="Q2221">
        <v>5</v>
      </c>
      <c r="R2221" t="s">
        <v>55</v>
      </c>
      <c r="S2221" t="s">
        <v>40</v>
      </c>
      <c r="T2221" t="s">
        <v>41</v>
      </c>
      <c r="U2221">
        <v>43.036776000000003</v>
      </c>
      <c r="V2221">
        <v>12.678565000000001</v>
      </c>
      <c r="W2221" t="str">
        <f t="shared" si="239"/>
        <v>ok</v>
      </c>
      <c r="X2221" t="str">
        <f t="shared" si="245"/>
        <v>ok</v>
      </c>
      <c r="Y2221" t="str">
        <f t="shared" si="240"/>
        <v>ok</v>
      </c>
      <c r="Z2221" t="str">
        <f t="shared" si="241"/>
        <v>ok</v>
      </c>
      <c r="AA2221" s="4" t="str">
        <f t="shared" si="242"/>
        <v>ok</v>
      </c>
      <c r="AB2221" s="4" t="str">
        <f t="shared" si="243"/>
        <v>ok</v>
      </c>
      <c r="AC2221" s="6">
        <f t="shared" si="244"/>
        <v>61.899646111240145</v>
      </c>
    </row>
    <row r="2222" spans="1:29" x14ac:dyDescent="0.3">
      <c r="A2222" t="s">
        <v>22</v>
      </c>
      <c r="B2222">
        <v>3820</v>
      </c>
      <c r="C2222" t="s">
        <v>47</v>
      </c>
      <c r="D2222" t="s">
        <v>24</v>
      </c>
      <c r="E2222" t="s">
        <v>39</v>
      </c>
      <c r="F2222" t="s">
        <v>36</v>
      </c>
      <c r="G2222" t="s">
        <v>37</v>
      </c>
      <c r="H2222" s="1">
        <v>45270.842326388891</v>
      </c>
      <c r="I2222" s="1">
        <v>45272.842326388891</v>
      </c>
      <c r="J2222" s="1">
        <v>45270.883993055555</v>
      </c>
      <c r="K2222" s="2">
        <v>45271.017824363429</v>
      </c>
      <c r="L2222" t="s">
        <v>38</v>
      </c>
      <c r="M2222" s="2">
        <v>45275.058236469908</v>
      </c>
      <c r="N2222" t="s">
        <v>38</v>
      </c>
      <c r="O2222" s="2">
        <v>45276.542173506947</v>
      </c>
      <c r="P2222">
        <v>3</v>
      </c>
      <c r="Q2222">
        <v>5</v>
      </c>
      <c r="R2222" t="s">
        <v>55</v>
      </c>
      <c r="S2222" t="s">
        <v>40</v>
      </c>
      <c r="T2222" t="s">
        <v>58</v>
      </c>
      <c r="U2222">
        <v>49.8037633</v>
      </c>
      <c r="V2222">
        <v>15.4749126</v>
      </c>
      <c r="W2222" t="str">
        <f t="shared" si="239"/>
        <v>ok</v>
      </c>
      <c r="X2222" t="str">
        <f t="shared" si="245"/>
        <v>ok</v>
      </c>
      <c r="Y2222" t="str">
        <f t="shared" si="240"/>
        <v>ok</v>
      </c>
      <c r="Z2222" t="str">
        <f t="shared" si="241"/>
        <v>ok</v>
      </c>
      <c r="AA2222" s="4" t="str">
        <f t="shared" si="242"/>
        <v>ok</v>
      </c>
      <c r="AB2222" s="4" t="str">
        <f t="shared" si="243"/>
        <v>ok</v>
      </c>
      <c r="AC2222" s="6">
        <f t="shared" si="244"/>
        <v>101.18184194440255</v>
      </c>
    </row>
    <row r="2223" spans="1:29" x14ac:dyDescent="0.3">
      <c r="A2223" t="s">
        <v>22</v>
      </c>
      <c r="B2223">
        <v>3821</v>
      </c>
      <c r="C2223" t="s">
        <v>23</v>
      </c>
      <c r="D2223" t="s">
        <v>43</v>
      </c>
      <c r="E2223" t="s">
        <v>25</v>
      </c>
      <c r="F2223" t="s">
        <v>36</v>
      </c>
      <c r="G2223" t="s">
        <v>64</v>
      </c>
      <c r="H2223" s="1">
        <v>45270.800671296296</v>
      </c>
      <c r="I2223" s="1">
        <v>45271.800671296296</v>
      </c>
      <c r="J2223" s="1">
        <v>45270.802060185182</v>
      </c>
      <c r="K2223" s="2">
        <v>45270.801073356481</v>
      </c>
      <c r="L2223" t="s">
        <v>28</v>
      </c>
      <c r="M2223" s="2">
        <v>45272.400435208336</v>
      </c>
      <c r="N2223" t="s">
        <v>38</v>
      </c>
      <c r="O2223" s="2">
        <v>45272.993093819445</v>
      </c>
      <c r="P2223">
        <v>6</v>
      </c>
      <c r="Q2223">
        <v>2</v>
      </c>
      <c r="R2223" t="s">
        <v>29</v>
      </c>
      <c r="S2223" t="s">
        <v>40</v>
      </c>
      <c r="T2223" t="s">
        <v>53</v>
      </c>
      <c r="U2223">
        <v>39.368279000000001</v>
      </c>
      <c r="V2223">
        <v>21.863140999999999</v>
      </c>
      <c r="W2223" t="str">
        <f t="shared" si="239"/>
        <v>ok</v>
      </c>
      <c r="X2223" t="str">
        <f t="shared" si="245"/>
        <v>ok</v>
      </c>
      <c r="Y2223" t="str">
        <f t="shared" si="240"/>
        <v>ok</v>
      </c>
      <c r="Z2223" t="str">
        <f t="shared" si="241"/>
        <v>ok</v>
      </c>
      <c r="AA2223" s="4" t="str">
        <f t="shared" si="242"/>
        <v>ok</v>
      </c>
      <c r="AB2223" s="4" t="str">
        <f t="shared" si="243"/>
        <v>ok</v>
      </c>
      <c r="AC2223" s="6">
        <f t="shared" si="244"/>
        <v>38.394333888951223</v>
      </c>
    </row>
    <row r="2224" spans="1:29" x14ac:dyDescent="0.3">
      <c r="A2224" t="s">
        <v>32</v>
      </c>
      <c r="B2224">
        <v>3822</v>
      </c>
      <c r="C2224" t="s">
        <v>23</v>
      </c>
      <c r="D2224" t="s">
        <v>24</v>
      </c>
      <c r="E2224" t="s">
        <v>35</v>
      </c>
      <c r="F2224" t="s">
        <v>26</v>
      </c>
      <c r="G2224" t="s">
        <v>45</v>
      </c>
      <c r="H2224" s="1">
        <v>45270.658310185187</v>
      </c>
      <c r="I2224" s="1">
        <v>45272.658310185187</v>
      </c>
      <c r="J2224" s="1">
        <v>45270.699976851851</v>
      </c>
      <c r="K2224" s="2">
        <v>45270.685946018515</v>
      </c>
      <c r="L2224" t="s">
        <v>28</v>
      </c>
      <c r="N2224" t="s">
        <v>38</v>
      </c>
      <c r="P2224">
        <v>3</v>
      </c>
      <c r="R2224" t="s">
        <v>50</v>
      </c>
      <c r="S2224" t="s">
        <v>30</v>
      </c>
      <c r="T2224" t="s">
        <v>56</v>
      </c>
      <c r="U2224">
        <v>52.536273000000001</v>
      </c>
      <c r="V2224">
        <v>19.050639</v>
      </c>
      <c r="W2224" t="str">
        <f t="shared" si="239"/>
        <v>ok</v>
      </c>
      <c r="X2224" t="str">
        <f t="shared" si="245"/>
        <v>ok</v>
      </c>
      <c r="Y2224" t="str">
        <f t="shared" si="240"/>
        <v>ok</v>
      </c>
      <c r="Z2224" t="str">
        <f t="shared" si="241"/>
        <v>ok</v>
      </c>
      <c r="AA2224" s="4" t="str">
        <f t="shared" si="242"/>
        <v>ok</v>
      </c>
      <c r="AB2224" s="4" t="str">
        <f t="shared" si="243"/>
        <v>no resolution</v>
      </c>
      <c r="AC2224" s="6" t="str">
        <f t="shared" si="244"/>
        <v/>
      </c>
    </row>
    <row r="2225" spans="1:29" x14ac:dyDescent="0.3">
      <c r="A2225" t="s">
        <v>22</v>
      </c>
      <c r="B2225">
        <v>3828</v>
      </c>
      <c r="C2225" t="s">
        <v>23</v>
      </c>
      <c r="D2225" t="s">
        <v>24</v>
      </c>
      <c r="E2225" t="s">
        <v>35</v>
      </c>
      <c r="F2225" t="s">
        <v>36</v>
      </c>
      <c r="G2225" t="s">
        <v>37</v>
      </c>
      <c r="H2225" s="1">
        <v>45271.257256944446</v>
      </c>
      <c r="I2225" s="1">
        <v>45273.257256944446</v>
      </c>
      <c r="J2225" s="1">
        <v>45271.29892361111</v>
      </c>
      <c r="K2225" s="2">
        <v>45271.298918263892</v>
      </c>
      <c r="L2225" t="s">
        <v>28</v>
      </c>
      <c r="M2225" s="2">
        <v>45275.800187858797</v>
      </c>
      <c r="N2225" t="s">
        <v>38</v>
      </c>
      <c r="O2225" s="2">
        <v>45276.696057800924</v>
      </c>
      <c r="P2225">
        <v>2</v>
      </c>
      <c r="Q2225">
        <v>5</v>
      </c>
      <c r="R2225" t="s">
        <v>50</v>
      </c>
      <c r="S2225" t="s">
        <v>40</v>
      </c>
      <c r="T2225" t="s">
        <v>58</v>
      </c>
      <c r="U2225">
        <v>49.8037633</v>
      </c>
      <c r="V2225">
        <v>15.4749126</v>
      </c>
      <c r="W2225" t="str">
        <f t="shared" si="239"/>
        <v>ok</v>
      </c>
      <c r="X2225" t="str">
        <f t="shared" si="245"/>
        <v>ok</v>
      </c>
      <c r="Y2225" t="str">
        <f t="shared" si="240"/>
        <v>ok</v>
      </c>
      <c r="Z2225" t="str">
        <f t="shared" si="241"/>
        <v>ok</v>
      </c>
      <c r="AA2225" s="4" t="str">
        <f t="shared" si="242"/>
        <v>ok</v>
      </c>
      <c r="AB2225" s="4" t="str">
        <f t="shared" si="243"/>
        <v>ok</v>
      </c>
      <c r="AC2225" s="6">
        <f t="shared" si="244"/>
        <v>109.03034194442444</v>
      </c>
    </row>
    <row r="2226" spans="1:29" x14ac:dyDescent="0.3">
      <c r="A2226" t="s">
        <v>32</v>
      </c>
      <c r="B2226">
        <v>3829</v>
      </c>
      <c r="C2226" t="s">
        <v>23</v>
      </c>
      <c r="D2226" t="s">
        <v>24</v>
      </c>
      <c r="E2226" t="s">
        <v>35</v>
      </c>
      <c r="F2226" t="s">
        <v>26</v>
      </c>
      <c r="G2226" t="s">
        <v>49</v>
      </c>
      <c r="H2226" s="1">
        <v>45271.921435185184</v>
      </c>
      <c r="I2226" s="1">
        <v>45273.921435185184</v>
      </c>
      <c r="J2226" s="1">
        <v>45271.963101851848</v>
      </c>
      <c r="K2226" s="2">
        <v>45271.922521655091</v>
      </c>
      <c r="L2226" t="s">
        <v>28</v>
      </c>
      <c r="N2226" t="s">
        <v>38</v>
      </c>
      <c r="P2226">
        <v>8</v>
      </c>
      <c r="R2226" t="s">
        <v>39</v>
      </c>
      <c r="S2226" t="s">
        <v>30</v>
      </c>
      <c r="T2226" t="s">
        <v>63</v>
      </c>
      <c r="U2226">
        <v>55.378051999999997</v>
      </c>
      <c r="V2226">
        <v>-3.4359730000000002</v>
      </c>
      <c r="W2226" t="str">
        <f t="shared" si="239"/>
        <v>ok</v>
      </c>
      <c r="X2226" t="str">
        <f t="shared" si="245"/>
        <v>ok</v>
      </c>
      <c r="Y2226" t="str">
        <f t="shared" si="240"/>
        <v>ok</v>
      </c>
      <c r="Z2226" t="str">
        <f t="shared" si="241"/>
        <v>ok</v>
      </c>
      <c r="AA2226" s="4" t="str">
        <f t="shared" si="242"/>
        <v>ok</v>
      </c>
      <c r="AB2226" s="4" t="str">
        <f t="shared" si="243"/>
        <v>no resolution</v>
      </c>
      <c r="AC2226" s="6" t="str">
        <f t="shared" si="244"/>
        <v/>
      </c>
    </row>
    <row r="2227" spans="1:29" x14ac:dyDescent="0.3">
      <c r="A2227" t="s">
        <v>68</v>
      </c>
      <c r="B2227">
        <v>3830</v>
      </c>
      <c r="C2227" t="s">
        <v>23</v>
      </c>
      <c r="D2227" t="s">
        <v>24</v>
      </c>
      <c r="E2227" t="s">
        <v>25</v>
      </c>
      <c r="F2227" t="s">
        <v>26</v>
      </c>
      <c r="G2227" t="s">
        <v>27</v>
      </c>
      <c r="H2227" s="1">
        <v>45271.04173611111</v>
      </c>
      <c r="I2227" s="1">
        <v>45273.04173611111</v>
      </c>
      <c r="J2227" s="1">
        <v>45271.083402777775</v>
      </c>
      <c r="L2227" t="s">
        <v>38</v>
      </c>
      <c r="N2227" t="s">
        <v>38</v>
      </c>
      <c r="R2227" t="s">
        <v>29</v>
      </c>
      <c r="S2227" t="s">
        <v>30</v>
      </c>
      <c r="T2227" t="s">
        <v>31</v>
      </c>
      <c r="U2227">
        <v>53.094023999999997</v>
      </c>
      <c r="V2227">
        <v>-8.0196749999999994</v>
      </c>
      <c r="W2227" t="str">
        <f t="shared" si="239"/>
        <v>check</v>
      </c>
      <c r="X2227" t="str">
        <f t="shared" si="245"/>
        <v>ok</v>
      </c>
      <c r="Y2227" t="str">
        <f t="shared" si="240"/>
        <v>ok</v>
      </c>
      <c r="Z2227" t="str">
        <f t="shared" si="241"/>
        <v>ok</v>
      </c>
      <c r="AA2227" s="4" t="str">
        <f t="shared" si="242"/>
        <v>no response</v>
      </c>
      <c r="AB2227" s="4" t="str">
        <f t="shared" si="243"/>
        <v>no resolution</v>
      </c>
      <c r="AC2227" s="6" t="str">
        <f t="shared" si="244"/>
        <v/>
      </c>
    </row>
    <row r="2228" spans="1:29" x14ac:dyDescent="0.3">
      <c r="A2228" t="s">
        <v>42</v>
      </c>
      <c r="B2228">
        <v>3831</v>
      </c>
      <c r="C2228" t="s">
        <v>23</v>
      </c>
      <c r="D2228" t="s">
        <v>43</v>
      </c>
      <c r="E2228" t="s">
        <v>44</v>
      </c>
      <c r="F2228" t="s">
        <v>26</v>
      </c>
      <c r="G2228" t="s">
        <v>49</v>
      </c>
      <c r="H2228" s="1">
        <v>45271.328240740739</v>
      </c>
      <c r="I2228" s="1">
        <v>45272.328240740739</v>
      </c>
      <c r="J2228" s="1">
        <v>45271.329629629632</v>
      </c>
      <c r="K2228" s="2">
        <v>45271.329089004626</v>
      </c>
      <c r="L2228" t="s">
        <v>28</v>
      </c>
      <c r="M2228" s="2">
        <v>45271.698989340279</v>
      </c>
      <c r="N2228" t="s">
        <v>28</v>
      </c>
      <c r="P2228">
        <v>6</v>
      </c>
      <c r="R2228" t="s">
        <v>29</v>
      </c>
      <c r="S2228" t="s">
        <v>30</v>
      </c>
      <c r="T2228" t="s">
        <v>51</v>
      </c>
      <c r="U2228">
        <v>39.673369999999998</v>
      </c>
      <c r="V2228">
        <v>-4.7677259999999997</v>
      </c>
      <c r="W2228" t="str">
        <f t="shared" si="239"/>
        <v>ok</v>
      </c>
      <c r="X2228" t="str">
        <f t="shared" si="245"/>
        <v>ok</v>
      </c>
      <c r="Y2228" t="str">
        <f t="shared" si="240"/>
        <v>ok</v>
      </c>
      <c r="Z2228" t="str">
        <f t="shared" si="241"/>
        <v>ok</v>
      </c>
      <c r="AA2228" s="4" t="str">
        <f t="shared" si="242"/>
        <v>ok</v>
      </c>
      <c r="AB2228" s="4" t="str">
        <f t="shared" si="243"/>
        <v>ok</v>
      </c>
      <c r="AC2228" s="6">
        <f t="shared" si="244"/>
        <v>8.8979663889622316</v>
      </c>
    </row>
    <row r="2229" spans="1:29" x14ac:dyDescent="0.3">
      <c r="A2229" t="s">
        <v>22</v>
      </c>
      <c r="B2229">
        <v>3832</v>
      </c>
      <c r="C2229" t="s">
        <v>47</v>
      </c>
      <c r="D2229" t="s">
        <v>34</v>
      </c>
      <c r="E2229" t="s">
        <v>35</v>
      </c>
      <c r="F2229" t="s">
        <v>26</v>
      </c>
      <c r="G2229" t="s">
        <v>52</v>
      </c>
      <c r="H2229" s="1">
        <v>45271.053287037037</v>
      </c>
      <c r="I2229" s="1">
        <v>45273.053287037037</v>
      </c>
      <c r="J2229" s="1">
        <v>45271.054675925923</v>
      </c>
      <c r="K2229" s="2">
        <v>45271.053628483794</v>
      </c>
      <c r="L2229" t="s">
        <v>28</v>
      </c>
      <c r="M2229" s="2">
        <v>45271.851552708336</v>
      </c>
      <c r="N2229" t="s">
        <v>28</v>
      </c>
      <c r="O2229" s="2">
        <v>45274.57696791667</v>
      </c>
      <c r="P2229">
        <v>4</v>
      </c>
      <c r="Q2229">
        <v>2</v>
      </c>
      <c r="R2229" t="s">
        <v>29</v>
      </c>
      <c r="S2229" t="s">
        <v>30</v>
      </c>
      <c r="T2229" t="s">
        <v>57</v>
      </c>
      <c r="U2229">
        <v>51.165691000000002</v>
      </c>
      <c r="V2229">
        <v>10.451525999999999</v>
      </c>
      <c r="W2229" t="str">
        <f t="shared" si="239"/>
        <v>ok</v>
      </c>
      <c r="X2229" t="str">
        <f t="shared" si="245"/>
        <v>ok</v>
      </c>
      <c r="Y2229" t="str">
        <f t="shared" si="240"/>
        <v>ok</v>
      </c>
      <c r="Z2229" t="str">
        <f t="shared" si="241"/>
        <v>ok</v>
      </c>
      <c r="AA2229" s="4" t="str">
        <f t="shared" si="242"/>
        <v>ok</v>
      </c>
      <c r="AB2229" s="4" t="str">
        <f t="shared" si="243"/>
        <v>ok</v>
      </c>
      <c r="AC2229" s="6">
        <f t="shared" si="244"/>
        <v>19.158376111183316</v>
      </c>
    </row>
    <row r="2230" spans="1:29" x14ac:dyDescent="0.3">
      <c r="A2230" t="s">
        <v>22</v>
      </c>
      <c r="B2230">
        <v>3833</v>
      </c>
      <c r="C2230" t="s">
        <v>33</v>
      </c>
      <c r="D2230" t="s">
        <v>24</v>
      </c>
      <c r="E2230" t="s">
        <v>25</v>
      </c>
      <c r="F2230" t="s">
        <v>36</v>
      </c>
      <c r="G2230" t="s">
        <v>37</v>
      </c>
      <c r="H2230" s="1">
        <v>45271.827013888891</v>
      </c>
      <c r="I2230" s="1">
        <v>45273.827013888891</v>
      </c>
      <c r="J2230" s="1">
        <v>45271.868680555555</v>
      </c>
      <c r="K2230" s="2">
        <v>45271.863781585649</v>
      </c>
      <c r="L2230" t="s">
        <v>28</v>
      </c>
      <c r="M2230" s="2">
        <v>45272.735455891205</v>
      </c>
      <c r="N2230" t="s">
        <v>28</v>
      </c>
      <c r="O2230" s="2">
        <v>45275.358803738425</v>
      </c>
      <c r="P2230">
        <v>5</v>
      </c>
      <c r="Q2230">
        <v>4</v>
      </c>
      <c r="R2230" t="s">
        <v>29</v>
      </c>
      <c r="S2230" t="s">
        <v>40</v>
      </c>
      <c r="T2230" t="s">
        <v>65</v>
      </c>
      <c r="U2230">
        <v>46.149166399999999</v>
      </c>
      <c r="V2230">
        <v>14.9860106</v>
      </c>
      <c r="W2230" t="str">
        <f t="shared" si="239"/>
        <v>ok</v>
      </c>
      <c r="X2230" t="str">
        <f t="shared" si="245"/>
        <v>ok</v>
      </c>
      <c r="Y2230" t="str">
        <f t="shared" si="240"/>
        <v>ok</v>
      </c>
      <c r="Z2230" t="str">
        <f t="shared" si="241"/>
        <v>ok</v>
      </c>
      <c r="AA2230" s="4" t="str">
        <f t="shared" si="242"/>
        <v>ok</v>
      </c>
      <c r="AB2230" s="4" t="str">
        <f t="shared" si="243"/>
        <v>ok</v>
      </c>
      <c r="AC2230" s="6">
        <f t="shared" si="244"/>
        <v>21.802608055528253</v>
      </c>
    </row>
    <row r="2231" spans="1:29" x14ac:dyDescent="0.3">
      <c r="A2231" t="s">
        <v>22</v>
      </c>
      <c r="B2231">
        <v>3834</v>
      </c>
      <c r="C2231" t="s">
        <v>47</v>
      </c>
      <c r="D2231" t="s">
        <v>24</v>
      </c>
      <c r="E2231" t="s">
        <v>25</v>
      </c>
      <c r="F2231" t="s">
        <v>26</v>
      </c>
      <c r="G2231" t="s">
        <v>45</v>
      </c>
      <c r="H2231" s="1">
        <v>45271.189456018517</v>
      </c>
      <c r="I2231" s="1">
        <v>45273.189456018517</v>
      </c>
      <c r="J2231" s="1">
        <v>45271.231122685182</v>
      </c>
      <c r="K2231" s="2">
        <v>45271.225797534724</v>
      </c>
      <c r="L2231" t="s">
        <v>28</v>
      </c>
      <c r="M2231" s="2">
        <v>45271.600436180554</v>
      </c>
      <c r="N2231" t="s">
        <v>28</v>
      </c>
      <c r="O2231" s="2">
        <v>45278.173344178242</v>
      </c>
      <c r="P2231">
        <v>5</v>
      </c>
      <c r="Q2231">
        <v>2</v>
      </c>
      <c r="R2231" t="s">
        <v>50</v>
      </c>
      <c r="S2231" t="s">
        <v>30</v>
      </c>
      <c r="T2231" t="s">
        <v>63</v>
      </c>
      <c r="U2231">
        <v>55.378051999999997</v>
      </c>
      <c r="V2231">
        <v>-3.4359730000000002</v>
      </c>
      <c r="W2231" t="str">
        <f t="shared" si="239"/>
        <v>ok</v>
      </c>
      <c r="X2231" t="str">
        <f t="shared" si="245"/>
        <v>ok</v>
      </c>
      <c r="Y2231" t="str">
        <f t="shared" si="240"/>
        <v>ok</v>
      </c>
      <c r="Z2231" t="str">
        <f t="shared" si="241"/>
        <v>ok</v>
      </c>
      <c r="AA2231" s="4" t="str">
        <f t="shared" si="242"/>
        <v>ok</v>
      </c>
      <c r="AB2231" s="4" t="str">
        <f t="shared" si="243"/>
        <v>ok</v>
      </c>
      <c r="AC2231" s="6">
        <f t="shared" si="244"/>
        <v>9.8635238888673484</v>
      </c>
    </row>
    <row r="2232" spans="1:29" x14ac:dyDescent="0.3">
      <c r="A2232" t="s">
        <v>32</v>
      </c>
      <c r="B2232">
        <v>3835</v>
      </c>
      <c r="C2232" t="s">
        <v>23</v>
      </c>
      <c r="D2232" t="s">
        <v>43</v>
      </c>
      <c r="E2232" t="s">
        <v>39</v>
      </c>
      <c r="F2232" t="s">
        <v>26</v>
      </c>
      <c r="G2232" t="s">
        <v>49</v>
      </c>
      <c r="H2232" s="1">
        <v>45271.623865740738</v>
      </c>
      <c r="I2232" s="1">
        <v>45272.623865740738</v>
      </c>
      <c r="J2232" s="1">
        <v>45271.625254629631</v>
      </c>
      <c r="K2232" s="2">
        <v>45271.624220011574</v>
      </c>
      <c r="L2232" t="s">
        <v>28</v>
      </c>
      <c r="N2232" t="s">
        <v>38</v>
      </c>
      <c r="P2232">
        <v>4</v>
      </c>
      <c r="R2232" t="s">
        <v>39</v>
      </c>
      <c r="S2232" t="s">
        <v>30</v>
      </c>
      <c r="T2232" t="s">
        <v>57</v>
      </c>
      <c r="U2232">
        <v>51.165691000000002</v>
      </c>
      <c r="V2232">
        <v>10.451525999999999</v>
      </c>
      <c r="W2232" t="str">
        <f t="shared" si="239"/>
        <v>ok</v>
      </c>
      <c r="X2232" t="str">
        <f t="shared" si="245"/>
        <v>ok</v>
      </c>
      <c r="Y2232" t="str">
        <f t="shared" si="240"/>
        <v>ok</v>
      </c>
      <c r="Z2232" t="str">
        <f t="shared" si="241"/>
        <v>ok</v>
      </c>
      <c r="AA2232" s="4" t="str">
        <f t="shared" si="242"/>
        <v>ok</v>
      </c>
      <c r="AB2232" s="4" t="str">
        <f t="shared" si="243"/>
        <v>no resolution</v>
      </c>
      <c r="AC2232" s="6" t="str">
        <f t="shared" si="244"/>
        <v/>
      </c>
    </row>
    <row r="2233" spans="1:29" x14ac:dyDescent="0.3">
      <c r="A2233" t="s">
        <v>22</v>
      </c>
      <c r="B2233">
        <v>3837</v>
      </c>
      <c r="C2233" t="s">
        <v>23</v>
      </c>
      <c r="D2233" t="s">
        <v>24</v>
      </c>
      <c r="E2233" t="s">
        <v>48</v>
      </c>
      <c r="F2233" t="s">
        <v>26</v>
      </c>
      <c r="G2233" t="s">
        <v>45</v>
      </c>
      <c r="H2233" s="1">
        <v>45272.266782407409</v>
      </c>
      <c r="I2233" s="1">
        <v>45274.266782407409</v>
      </c>
      <c r="J2233" s="1">
        <v>45272.308449074073</v>
      </c>
      <c r="K2233" s="2">
        <v>45272.298425393521</v>
      </c>
      <c r="L2233" t="s">
        <v>28</v>
      </c>
      <c r="M2233" s="2">
        <v>45273.902263912038</v>
      </c>
      <c r="N2233" t="s">
        <v>28</v>
      </c>
      <c r="O2233" s="2">
        <v>45274.109201354164</v>
      </c>
      <c r="P2233">
        <v>3</v>
      </c>
      <c r="Q2233">
        <v>3</v>
      </c>
      <c r="R2233" t="s">
        <v>55</v>
      </c>
      <c r="S2233" t="s">
        <v>30</v>
      </c>
      <c r="T2233" t="s">
        <v>66</v>
      </c>
      <c r="U2233">
        <v>48.864716000000001</v>
      </c>
      <c r="V2233">
        <v>2.3490139999999999</v>
      </c>
      <c r="W2233" t="str">
        <f t="shared" si="239"/>
        <v>ok</v>
      </c>
      <c r="X2233" t="str">
        <f t="shared" si="245"/>
        <v>ok</v>
      </c>
      <c r="Y2233" t="str">
        <f t="shared" si="240"/>
        <v>ok</v>
      </c>
      <c r="Z2233" t="str">
        <f t="shared" si="241"/>
        <v>ok</v>
      </c>
      <c r="AA2233" s="4" t="str">
        <f t="shared" si="242"/>
        <v>ok</v>
      </c>
      <c r="AB2233" s="4" t="str">
        <f t="shared" si="243"/>
        <v>ok</v>
      </c>
      <c r="AC2233" s="6">
        <f t="shared" si="244"/>
        <v>39.251556111092214</v>
      </c>
    </row>
    <row r="2234" spans="1:29" x14ac:dyDescent="0.3">
      <c r="A2234" t="s">
        <v>42</v>
      </c>
      <c r="B2234">
        <v>3838</v>
      </c>
      <c r="C2234" t="s">
        <v>47</v>
      </c>
      <c r="D2234" t="s">
        <v>43</v>
      </c>
      <c r="E2234" t="s">
        <v>25</v>
      </c>
      <c r="F2234" t="s">
        <v>36</v>
      </c>
      <c r="G2234" t="s">
        <v>54</v>
      </c>
      <c r="H2234" s="1">
        <v>45272.651516203703</v>
      </c>
      <c r="I2234" s="1">
        <v>45273.651516203703</v>
      </c>
      <c r="J2234" s="1">
        <v>45272.652905092589</v>
      </c>
      <c r="K2234" s="2">
        <v>45272.652374618054</v>
      </c>
      <c r="L2234" t="s">
        <v>28</v>
      </c>
      <c r="M2234" s="2">
        <v>45274.924168599537</v>
      </c>
      <c r="N2234" t="s">
        <v>38</v>
      </c>
      <c r="P2234">
        <v>7</v>
      </c>
      <c r="R2234" t="s">
        <v>50</v>
      </c>
      <c r="S2234" t="s">
        <v>40</v>
      </c>
      <c r="T2234" t="s">
        <v>53</v>
      </c>
      <c r="U2234">
        <v>39.368279000000001</v>
      </c>
      <c r="V2234">
        <v>21.863140999999999</v>
      </c>
      <c r="W2234" t="str">
        <f t="shared" si="239"/>
        <v>ok</v>
      </c>
      <c r="X2234" t="str">
        <f t="shared" si="245"/>
        <v>ok</v>
      </c>
      <c r="Y2234" t="str">
        <f t="shared" si="240"/>
        <v>ok</v>
      </c>
      <c r="Z2234" t="str">
        <f t="shared" si="241"/>
        <v>ok</v>
      </c>
      <c r="AA2234" s="4" t="str">
        <f t="shared" si="242"/>
        <v>ok</v>
      </c>
      <c r="AB2234" s="4" t="str">
        <f t="shared" si="243"/>
        <v>ok</v>
      </c>
      <c r="AC2234" s="6">
        <f t="shared" si="244"/>
        <v>54.543657500005793</v>
      </c>
    </row>
    <row r="2235" spans="1:29" x14ac:dyDescent="0.3">
      <c r="A2235" t="s">
        <v>42</v>
      </c>
      <c r="B2235">
        <v>3839</v>
      </c>
      <c r="C2235" t="s">
        <v>23</v>
      </c>
      <c r="D2235" t="s">
        <v>24</v>
      </c>
      <c r="E2235" t="s">
        <v>59</v>
      </c>
      <c r="F2235" t="s">
        <v>26</v>
      </c>
      <c r="G2235" t="s">
        <v>52</v>
      </c>
      <c r="H2235" s="1">
        <v>45272.361296296294</v>
      </c>
      <c r="I2235" s="1">
        <v>45274.361296296294</v>
      </c>
      <c r="J2235" s="1">
        <v>45272.402962962966</v>
      </c>
      <c r="K2235" s="2">
        <v>45272.363054351852</v>
      </c>
      <c r="L2235" t="s">
        <v>28</v>
      </c>
      <c r="M2235" s="2">
        <v>45273.236287384258</v>
      </c>
      <c r="N2235" t="s">
        <v>28</v>
      </c>
      <c r="P2235">
        <v>10</v>
      </c>
      <c r="R2235" t="s">
        <v>50</v>
      </c>
      <c r="S2235" t="s">
        <v>30</v>
      </c>
      <c r="T2235" t="s">
        <v>65</v>
      </c>
      <c r="U2235">
        <v>46.149166399999999</v>
      </c>
      <c r="V2235">
        <v>14.9860106</v>
      </c>
      <c r="W2235" t="str">
        <f t="shared" si="239"/>
        <v>ok</v>
      </c>
      <c r="X2235" t="str">
        <f t="shared" si="245"/>
        <v>ok</v>
      </c>
      <c r="Y2235" t="str">
        <f t="shared" si="240"/>
        <v>ok</v>
      </c>
      <c r="Z2235" t="str">
        <f t="shared" si="241"/>
        <v>ok</v>
      </c>
      <c r="AA2235" s="4" t="str">
        <f t="shared" si="242"/>
        <v>ok</v>
      </c>
      <c r="AB2235" s="4" t="str">
        <f t="shared" si="243"/>
        <v>ok</v>
      </c>
      <c r="AC2235" s="6">
        <f t="shared" si="244"/>
        <v>20.999786111118738</v>
      </c>
    </row>
    <row r="2236" spans="1:29" x14ac:dyDescent="0.3">
      <c r="A2236" t="s">
        <v>22</v>
      </c>
      <c r="B2236">
        <v>3840</v>
      </c>
      <c r="C2236" t="s">
        <v>47</v>
      </c>
      <c r="D2236" t="s">
        <v>43</v>
      </c>
      <c r="E2236" t="s">
        <v>35</v>
      </c>
      <c r="F2236" t="s">
        <v>26</v>
      </c>
      <c r="G2236" t="s">
        <v>45</v>
      </c>
      <c r="H2236" s="1">
        <v>45272.772002314814</v>
      </c>
      <c r="I2236" s="1">
        <v>45273.772002314814</v>
      </c>
      <c r="J2236" s="1">
        <v>45272.7733912037</v>
      </c>
      <c r="K2236" s="2">
        <v>45272.77268347222</v>
      </c>
      <c r="L2236" t="s">
        <v>28</v>
      </c>
      <c r="M2236" s="2">
        <v>45273.330363900466</v>
      </c>
      <c r="N2236" t="s">
        <v>28</v>
      </c>
      <c r="O2236" s="2">
        <v>45279.095896134262</v>
      </c>
      <c r="P2236">
        <v>4</v>
      </c>
      <c r="Q2236">
        <v>5</v>
      </c>
      <c r="R2236" t="s">
        <v>50</v>
      </c>
      <c r="S2236" t="s">
        <v>30</v>
      </c>
      <c r="T2236" t="s">
        <v>66</v>
      </c>
      <c r="U2236">
        <v>48.864716000000001</v>
      </c>
      <c r="V2236">
        <v>2.3490139999999999</v>
      </c>
      <c r="W2236" t="str">
        <f t="shared" si="239"/>
        <v>ok</v>
      </c>
      <c r="X2236" t="str">
        <f t="shared" si="245"/>
        <v>ok</v>
      </c>
      <c r="Y2236" t="str">
        <f t="shared" si="240"/>
        <v>ok</v>
      </c>
      <c r="Z2236" t="str">
        <f t="shared" si="241"/>
        <v>ok</v>
      </c>
      <c r="AA2236" s="4" t="str">
        <f t="shared" si="242"/>
        <v>ok</v>
      </c>
      <c r="AB2236" s="4" t="str">
        <f t="shared" si="243"/>
        <v>ok</v>
      </c>
      <c r="AC2236" s="6">
        <f t="shared" si="244"/>
        <v>13.400678055651952</v>
      </c>
    </row>
    <row r="2237" spans="1:29" x14ac:dyDescent="0.3">
      <c r="A2237" t="s">
        <v>22</v>
      </c>
      <c r="B2237">
        <v>3841</v>
      </c>
      <c r="C2237" t="s">
        <v>23</v>
      </c>
      <c r="D2237" t="s">
        <v>24</v>
      </c>
      <c r="E2237" t="s">
        <v>35</v>
      </c>
      <c r="F2237" t="s">
        <v>26</v>
      </c>
      <c r="G2237" t="s">
        <v>27</v>
      </c>
      <c r="H2237" s="1">
        <v>45272.259386574071</v>
      </c>
      <c r="I2237" s="1">
        <v>45274.259386574071</v>
      </c>
      <c r="J2237" s="1">
        <v>45272.301053240742</v>
      </c>
      <c r="K2237" s="2">
        <v>45272.269390856483</v>
      </c>
      <c r="L2237" t="s">
        <v>28</v>
      </c>
      <c r="M2237" s="2">
        <v>45274.203855752312</v>
      </c>
      <c r="N2237" t="s">
        <v>28</v>
      </c>
      <c r="O2237" s="2">
        <v>45273.333406770835</v>
      </c>
      <c r="P2237">
        <v>8</v>
      </c>
      <c r="Q2237">
        <v>4</v>
      </c>
      <c r="R2237" t="s">
        <v>50</v>
      </c>
      <c r="S2237" t="s">
        <v>30</v>
      </c>
      <c r="T2237" t="s">
        <v>46</v>
      </c>
      <c r="U2237">
        <v>47.696471899999999</v>
      </c>
      <c r="V2237">
        <v>13.3457347</v>
      </c>
      <c r="W2237" t="str">
        <f t="shared" si="239"/>
        <v>ok</v>
      </c>
      <c r="X2237" t="str">
        <f t="shared" si="245"/>
        <v>ok</v>
      </c>
      <c r="Y2237" t="str">
        <f t="shared" si="240"/>
        <v>check</v>
      </c>
      <c r="Z2237" t="str">
        <f t="shared" si="241"/>
        <v>ok</v>
      </c>
      <c r="AA2237" s="4" t="str">
        <f t="shared" si="242"/>
        <v>ok</v>
      </c>
      <c r="AB2237" s="4" t="str">
        <f t="shared" si="243"/>
        <v>ok</v>
      </c>
      <c r="AC2237" s="6">
        <f t="shared" si="244"/>
        <v>46.667260277783498</v>
      </c>
    </row>
    <row r="2238" spans="1:29" x14ac:dyDescent="0.3">
      <c r="A2238" t="s">
        <v>42</v>
      </c>
      <c r="B2238">
        <v>3842</v>
      </c>
      <c r="C2238" t="s">
        <v>23</v>
      </c>
      <c r="D2238" t="s">
        <v>43</v>
      </c>
      <c r="E2238" t="s">
        <v>35</v>
      </c>
      <c r="F2238" t="s">
        <v>26</v>
      </c>
      <c r="G2238" t="s">
        <v>45</v>
      </c>
      <c r="H2238" s="1">
        <v>45272.007303240738</v>
      </c>
      <c r="I2238" s="1">
        <v>45273.007303240738</v>
      </c>
      <c r="J2238" s="1">
        <v>45272.008692129632</v>
      </c>
      <c r="K2238" s="2">
        <v>45272.007363969904</v>
      </c>
      <c r="L2238" t="s">
        <v>28</v>
      </c>
      <c r="M2238" s="2">
        <v>45272.432938680555</v>
      </c>
      <c r="N2238" t="s">
        <v>28</v>
      </c>
      <c r="P2238">
        <v>9</v>
      </c>
      <c r="R2238" t="s">
        <v>29</v>
      </c>
      <c r="S2238" t="s">
        <v>30</v>
      </c>
      <c r="T2238" t="s">
        <v>31</v>
      </c>
      <c r="U2238">
        <v>53.094023999999997</v>
      </c>
      <c r="V2238">
        <v>-8.0196749999999994</v>
      </c>
      <c r="W2238" t="str">
        <f t="shared" si="239"/>
        <v>ok</v>
      </c>
      <c r="X2238" t="str">
        <f t="shared" si="245"/>
        <v>ok</v>
      </c>
      <c r="Y2238" t="str">
        <f t="shared" si="240"/>
        <v>ok</v>
      </c>
      <c r="Z2238" t="str">
        <f t="shared" si="241"/>
        <v>ok</v>
      </c>
      <c r="AA2238" s="4" t="str">
        <f t="shared" si="242"/>
        <v>ok</v>
      </c>
      <c r="AB2238" s="4" t="str">
        <f t="shared" si="243"/>
        <v>ok</v>
      </c>
      <c r="AC2238" s="6">
        <f t="shared" si="244"/>
        <v>10.215250555600505</v>
      </c>
    </row>
    <row r="2239" spans="1:29" x14ac:dyDescent="0.3">
      <c r="A2239" t="s">
        <v>22</v>
      </c>
      <c r="B2239">
        <v>3843</v>
      </c>
      <c r="C2239" t="s">
        <v>47</v>
      </c>
      <c r="D2239" t="s">
        <v>24</v>
      </c>
      <c r="E2239" t="s">
        <v>44</v>
      </c>
      <c r="F2239" t="s">
        <v>36</v>
      </c>
      <c r="G2239" t="s">
        <v>37</v>
      </c>
      <c r="H2239" s="1">
        <v>45273.367696759262</v>
      </c>
      <c r="I2239" s="1">
        <v>45275.367696759262</v>
      </c>
      <c r="J2239" s="1">
        <v>45273.409363425926</v>
      </c>
      <c r="K2239" s="2">
        <v>45273.378068483798</v>
      </c>
      <c r="L2239" t="s">
        <v>28</v>
      </c>
      <c r="M2239" s="2">
        <v>45276.4558415625</v>
      </c>
      <c r="N2239" t="s">
        <v>38</v>
      </c>
      <c r="O2239" s="2">
        <v>45277.977829594907</v>
      </c>
      <c r="P2239">
        <v>2</v>
      </c>
      <c r="Q2239">
        <v>4</v>
      </c>
      <c r="R2239" t="s">
        <v>29</v>
      </c>
      <c r="S2239" t="s">
        <v>40</v>
      </c>
      <c r="T2239" t="s">
        <v>57</v>
      </c>
      <c r="U2239">
        <v>51.165691000000002</v>
      </c>
      <c r="V2239">
        <v>10.451525999999999</v>
      </c>
      <c r="W2239" t="str">
        <f t="shared" si="239"/>
        <v>ok</v>
      </c>
      <c r="X2239" t="str">
        <f t="shared" si="245"/>
        <v>ok</v>
      </c>
      <c r="Y2239" t="str">
        <f t="shared" si="240"/>
        <v>ok</v>
      </c>
      <c r="Z2239" t="str">
        <f t="shared" si="241"/>
        <v>ok</v>
      </c>
      <c r="AA2239" s="4" t="str">
        <f t="shared" si="242"/>
        <v>ok</v>
      </c>
      <c r="AB2239" s="4" t="str">
        <f t="shared" si="243"/>
        <v>ok</v>
      </c>
      <c r="AC2239" s="6">
        <f t="shared" si="244"/>
        <v>74.115475277707446</v>
      </c>
    </row>
    <row r="2240" spans="1:29" x14ac:dyDescent="0.3">
      <c r="A2240" t="s">
        <v>22</v>
      </c>
      <c r="B2240">
        <v>3844</v>
      </c>
      <c r="C2240" t="s">
        <v>33</v>
      </c>
      <c r="D2240" t="s">
        <v>24</v>
      </c>
      <c r="E2240" t="s">
        <v>35</v>
      </c>
      <c r="F2240" t="s">
        <v>26</v>
      </c>
      <c r="G2240" t="s">
        <v>27</v>
      </c>
      <c r="H2240" s="1">
        <v>45273.796099537038</v>
      </c>
      <c r="I2240" s="1">
        <v>45275.796099537038</v>
      </c>
      <c r="J2240" s="1">
        <v>45273.837766203702</v>
      </c>
      <c r="K2240" s="2">
        <v>45273.828951828706</v>
      </c>
      <c r="L2240" t="s">
        <v>28</v>
      </c>
      <c r="M2240" s="2">
        <v>45275.095771932873</v>
      </c>
      <c r="N2240" t="s">
        <v>28</v>
      </c>
      <c r="O2240" s="2">
        <v>45276.792767858795</v>
      </c>
      <c r="P2240">
        <v>6</v>
      </c>
      <c r="Q2240">
        <v>2</v>
      </c>
      <c r="R2240" t="s">
        <v>50</v>
      </c>
      <c r="S2240" t="s">
        <v>30</v>
      </c>
      <c r="T2240" t="s">
        <v>57</v>
      </c>
      <c r="U2240">
        <v>51.165691000000002</v>
      </c>
      <c r="V2240">
        <v>10.451525999999999</v>
      </c>
      <c r="W2240" t="str">
        <f t="shared" si="239"/>
        <v>ok</v>
      </c>
      <c r="X2240" t="str">
        <f t="shared" si="245"/>
        <v>ok</v>
      </c>
      <c r="Y2240" t="str">
        <f t="shared" si="240"/>
        <v>ok</v>
      </c>
      <c r="Z2240" t="str">
        <f t="shared" si="241"/>
        <v>ok</v>
      </c>
      <c r="AA2240" s="4" t="str">
        <f t="shared" si="242"/>
        <v>ok</v>
      </c>
      <c r="AB2240" s="4" t="str">
        <f t="shared" si="243"/>
        <v>ok</v>
      </c>
      <c r="AC2240" s="6">
        <f t="shared" si="244"/>
        <v>31.19213750003837</v>
      </c>
    </row>
    <row r="2241" spans="1:29" x14ac:dyDescent="0.3">
      <c r="A2241" t="s">
        <v>22</v>
      </c>
      <c r="B2241">
        <v>3845</v>
      </c>
      <c r="C2241" t="s">
        <v>47</v>
      </c>
      <c r="D2241" t="s">
        <v>24</v>
      </c>
      <c r="E2241" t="s">
        <v>25</v>
      </c>
      <c r="F2241" t="s">
        <v>26</v>
      </c>
      <c r="G2241" t="s">
        <v>52</v>
      </c>
      <c r="H2241" s="1">
        <v>45273.750648148147</v>
      </c>
      <c r="I2241" s="1">
        <v>45275.750648148147</v>
      </c>
      <c r="J2241" s="1">
        <v>45273.792314814818</v>
      </c>
      <c r="K2241" s="2">
        <v>45273.766636122687</v>
      </c>
      <c r="L2241" t="s">
        <v>28</v>
      </c>
      <c r="M2241" s="2">
        <v>45274.382240092593</v>
      </c>
      <c r="N2241" t="s">
        <v>28</v>
      </c>
      <c r="O2241" s="2">
        <v>45275.036168680555</v>
      </c>
      <c r="P2241">
        <v>1</v>
      </c>
      <c r="Q2241">
        <v>5</v>
      </c>
      <c r="R2241" t="s">
        <v>50</v>
      </c>
      <c r="S2241" t="s">
        <v>30</v>
      </c>
      <c r="T2241" t="s">
        <v>41</v>
      </c>
      <c r="U2241">
        <v>43.036776000000003</v>
      </c>
      <c r="V2241">
        <v>12.678565000000001</v>
      </c>
      <c r="W2241" t="str">
        <f t="shared" si="239"/>
        <v>ok</v>
      </c>
      <c r="X2241" t="str">
        <f t="shared" si="245"/>
        <v>ok</v>
      </c>
      <c r="Y2241" t="str">
        <f t="shared" si="240"/>
        <v>ok</v>
      </c>
      <c r="Z2241" t="str">
        <f t="shared" si="241"/>
        <v>ok</v>
      </c>
      <c r="AA2241" s="4" t="str">
        <f t="shared" si="242"/>
        <v>ok</v>
      </c>
      <c r="AB2241" s="4" t="str">
        <f t="shared" si="243"/>
        <v>ok</v>
      </c>
      <c r="AC2241" s="6">
        <f t="shared" si="244"/>
        <v>15.158206666703336</v>
      </c>
    </row>
    <row r="2242" spans="1:29" x14ac:dyDescent="0.3">
      <c r="A2242" t="s">
        <v>32</v>
      </c>
      <c r="B2242">
        <v>3846</v>
      </c>
      <c r="C2242" t="s">
        <v>33</v>
      </c>
      <c r="D2242" t="s">
        <v>24</v>
      </c>
      <c r="E2242" t="s">
        <v>44</v>
      </c>
      <c r="F2242" t="s">
        <v>26</v>
      </c>
      <c r="G2242" t="s">
        <v>49</v>
      </c>
      <c r="H2242" s="1">
        <v>45273.225405092591</v>
      </c>
      <c r="I2242" s="1">
        <v>45275.225405092591</v>
      </c>
      <c r="J2242" s="1">
        <v>45273.267071759263</v>
      </c>
      <c r="K2242" s="2">
        <v>45273.235265636577</v>
      </c>
      <c r="L2242" t="s">
        <v>28</v>
      </c>
      <c r="N2242" t="s">
        <v>38</v>
      </c>
      <c r="P2242">
        <v>1</v>
      </c>
      <c r="R2242" t="s">
        <v>29</v>
      </c>
      <c r="S2242" t="s">
        <v>30</v>
      </c>
      <c r="T2242" t="s">
        <v>41</v>
      </c>
      <c r="U2242">
        <v>43.036776000000003</v>
      </c>
      <c r="V2242">
        <v>12.678565000000001</v>
      </c>
      <c r="W2242" t="str">
        <f t="shared" ref="W2242:W2305" si="246">IF(K2242&lt;H2242,"check","ok")</f>
        <v>ok</v>
      </c>
      <c r="X2242" t="str">
        <f t="shared" si="245"/>
        <v>ok</v>
      </c>
      <c r="Y2242" t="str">
        <f t="shared" ref="Y2242:Y2305" si="247">IF(AND(M2242&lt;&gt;"",O2242&lt;&gt;"",O2242&lt;M2242),"check","ok")</f>
        <v>ok</v>
      </c>
      <c r="Z2242" t="str">
        <f t="shared" ref="Z2242:Z2305" si="248">IF(AND(OR(CA2242="Closed",A2242="Resolved"),M2242=""),"check","ok")</f>
        <v>ok</v>
      </c>
      <c r="AA2242" s="4" t="str">
        <f t="shared" ref="AA2242:AA2305" si="249">IF(K2242="","no response",IF(OR(AND(K2242&lt;=J2242,L2242="Within SLA"),AND(K2242&gt;J2242,L2242="SLA Violated")),"ok","check"))</f>
        <v>ok</v>
      </c>
      <c r="AB2242" s="4" t="str">
        <f t="shared" ref="AB2242:AB2305" si="250">IF(M2242="","no resolution",IF(OR(AND(M2242&lt;=I2242,N2242="Within SLA"),AND(M2242&gt;I2242,N2242="SLA Violated")),"ok","check"))</f>
        <v>no resolution</v>
      </c>
      <c r="AC2242" s="6" t="str">
        <f t="shared" ref="AC2242:AC2305" si="251">IF(M2242="","",(M2242-H2242)*24)</f>
        <v/>
      </c>
    </row>
    <row r="2243" spans="1:29" x14ac:dyDescent="0.3">
      <c r="A2243" t="s">
        <v>42</v>
      </c>
      <c r="B2243">
        <v>3847</v>
      </c>
      <c r="C2243" t="s">
        <v>47</v>
      </c>
      <c r="D2243" t="s">
        <v>24</v>
      </c>
      <c r="E2243" t="s">
        <v>48</v>
      </c>
      <c r="F2243" t="s">
        <v>36</v>
      </c>
      <c r="G2243" t="s">
        <v>54</v>
      </c>
      <c r="H2243" s="1">
        <v>45273.453715277778</v>
      </c>
      <c r="I2243" s="1">
        <v>45275.453715277778</v>
      </c>
      <c r="J2243" s="1">
        <v>45273.495381944442</v>
      </c>
      <c r="K2243" s="2">
        <v>45273.471154479164</v>
      </c>
      <c r="L2243" t="s">
        <v>28</v>
      </c>
      <c r="M2243" s="2">
        <v>45274.097529189814</v>
      </c>
      <c r="N2243" t="s">
        <v>28</v>
      </c>
      <c r="P2243">
        <v>1</v>
      </c>
      <c r="R2243" t="s">
        <v>55</v>
      </c>
      <c r="S2243" t="s">
        <v>40</v>
      </c>
      <c r="T2243" t="s">
        <v>65</v>
      </c>
      <c r="U2243">
        <v>46.149166399999999</v>
      </c>
      <c r="V2243">
        <v>14.9860106</v>
      </c>
      <c r="W2243" t="str">
        <f t="shared" si="246"/>
        <v>ok</v>
      </c>
      <c r="X2243" t="str">
        <f t="shared" ref="X2243:X2306" si="252">IF(AND(M2243&lt;&gt;"",M2243&lt;H2243),"check","ok")</f>
        <v>ok</v>
      </c>
      <c r="Y2243" t="str">
        <f t="shared" si="247"/>
        <v>ok</v>
      </c>
      <c r="Z2243" t="str">
        <f t="shared" si="248"/>
        <v>ok</v>
      </c>
      <c r="AA2243" s="4" t="str">
        <f t="shared" si="249"/>
        <v>ok</v>
      </c>
      <c r="AB2243" s="4" t="str">
        <f t="shared" si="250"/>
        <v>ok</v>
      </c>
      <c r="AC2243" s="6">
        <f t="shared" si="251"/>
        <v>15.45153388887411</v>
      </c>
    </row>
    <row r="2244" spans="1:29" x14ac:dyDescent="0.3">
      <c r="A2244" t="s">
        <v>22</v>
      </c>
      <c r="B2244">
        <v>3849</v>
      </c>
      <c r="C2244" t="s">
        <v>47</v>
      </c>
      <c r="D2244" t="s">
        <v>24</v>
      </c>
      <c r="E2244" t="s">
        <v>25</v>
      </c>
      <c r="F2244" t="s">
        <v>36</v>
      </c>
      <c r="G2244" t="s">
        <v>54</v>
      </c>
      <c r="H2244" s="1">
        <v>45273.877835648149</v>
      </c>
      <c r="I2244" s="1">
        <v>45275.877835648149</v>
      </c>
      <c r="J2244" s="1">
        <v>45273.919502314813</v>
      </c>
      <c r="K2244" s="2">
        <v>45273.915761192133</v>
      </c>
      <c r="L2244" t="s">
        <v>28</v>
      </c>
      <c r="M2244" s="2">
        <v>45274.113376018518</v>
      </c>
      <c r="N2244" t="s">
        <v>28</v>
      </c>
      <c r="O2244" s="2">
        <v>45277.084904189818</v>
      </c>
      <c r="P2244">
        <v>3</v>
      </c>
      <c r="Q2244">
        <v>3</v>
      </c>
      <c r="R2244" t="s">
        <v>29</v>
      </c>
      <c r="S2244" t="s">
        <v>40</v>
      </c>
      <c r="T2244" t="s">
        <v>57</v>
      </c>
      <c r="U2244">
        <v>51.165691000000002</v>
      </c>
      <c r="V2244">
        <v>10.451525999999999</v>
      </c>
      <c r="W2244" t="str">
        <f t="shared" si="246"/>
        <v>ok</v>
      </c>
      <c r="X2244" t="str">
        <f t="shared" si="252"/>
        <v>ok</v>
      </c>
      <c r="Y2244" t="str">
        <f t="shared" si="247"/>
        <v>ok</v>
      </c>
      <c r="Z2244" t="str">
        <f t="shared" si="248"/>
        <v>ok</v>
      </c>
      <c r="AA2244" s="4" t="str">
        <f t="shared" si="249"/>
        <v>ok</v>
      </c>
      <c r="AB2244" s="4" t="str">
        <f t="shared" si="250"/>
        <v>ok</v>
      </c>
      <c r="AC2244" s="6">
        <f t="shared" si="251"/>
        <v>5.6529688888695091</v>
      </c>
    </row>
    <row r="2245" spans="1:29" x14ac:dyDescent="0.3">
      <c r="A2245" t="s">
        <v>22</v>
      </c>
      <c r="B2245">
        <v>3850</v>
      </c>
      <c r="C2245" t="s">
        <v>23</v>
      </c>
      <c r="D2245" t="s">
        <v>43</v>
      </c>
      <c r="E2245" t="s">
        <v>48</v>
      </c>
      <c r="F2245" t="s">
        <v>26</v>
      </c>
      <c r="G2245" t="s">
        <v>52</v>
      </c>
      <c r="H2245" s="1">
        <v>45273.246053240742</v>
      </c>
      <c r="I2245" s="1">
        <v>45274.246053240742</v>
      </c>
      <c r="J2245" s="1">
        <v>45273.247442129628</v>
      </c>
      <c r="K2245" s="2">
        <v>45273.246202175927</v>
      </c>
      <c r="L2245" t="s">
        <v>28</v>
      </c>
      <c r="M2245" s="2">
        <v>45273.378730706019</v>
      </c>
      <c r="N2245" t="s">
        <v>28</v>
      </c>
      <c r="O2245" s="2">
        <v>45278.559704305553</v>
      </c>
      <c r="P2245">
        <v>60</v>
      </c>
      <c r="Q2245">
        <v>4</v>
      </c>
      <c r="R2245" t="s">
        <v>50</v>
      </c>
      <c r="S2245" t="s">
        <v>30</v>
      </c>
      <c r="T2245" t="s">
        <v>56</v>
      </c>
      <c r="U2245">
        <v>52.536273000000001</v>
      </c>
      <c r="V2245">
        <v>19.050639</v>
      </c>
      <c r="W2245" t="str">
        <f t="shared" si="246"/>
        <v>ok</v>
      </c>
      <c r="X2245" t="str">
        <f t="shared" si="252"/>
        <v>ok</v>
      </c>
      <c r="Y2245" t="str">
        <f t="shared" si="247"/>
        <v>ok</v>
      </c>
      <c r="Z2245" t="str">
        <f t="shared" si="248"/>
        <v>ok</v>
      </c>
      <c r="AA2245" s="4" t="str">
        <f t="shared" si="249"/>
        <v>ok</v>
      </c>
      <c r="AB2245" s="4" t="str">
        <f t="shared" si="250"/>
        <v>ok</v>
      </c>
      <c r="AC2245" s="6">
        <f t="shared" si="251"/>
        <v>3.1842591666500084</v>
      </c>
    </row>
    <row r="2246" spans="1:29" x14ac:dyDescent="0.3">
      <c r="A2246" t="s">
        <v>42</v>
      </c>
      <c r="B2246">
        <v>3851</v>
      </c>
      <c r="C2246" t="s">
        <v>47</v>
      </c>
      <c r="D2246" t="s">
        <v>24</v>
      </c>
      <c r="E2246" t="s">
        <v>39</v>
      </c>
      <c r="F2246" t="s">
        <v>26</v>
      </c>
      <c r="G2246" t="s">
        <v>52</v>
      </c>
      <c r="H2246" s="1">
        <v>45273.386053240742</v>
      </c>
      <c r="I2246" s="1">
        <v>45275.386053240742</v>
      </c>
      <c r="J2246" s="1">
        <v>45273.427719907406</v>
      </c>
      <c r="K2246" s="2">
        <v>45273.402671736112</v>
      </c>
      <c r="L2246" t="s">
        <v>28</v>
      </c>
      <c r="M2246" s="2">
        <v>45273.943366053238</v>
      </c>
      <c r="N2246" t="s">
        <v>28</v>
      </c>
      <c r="P2246">
        <v>5</v>
      </c>
      <c r="R2246" t="s">
        <v>29</v>
      </c>
      <c r="S2246" t="s">
        <v>30</v>
      </c>
      <c r="T2246" t="s">
        <v>58</v>
      </c>
      <c r="U2246">
        <v>49.8037633</v>
      </c>
      <c r="V2246">
        <v>15.4749126</v>
      </c>
      <c r="W2246" t="str">
        <f t="shared" si="246"/>
        <v>ok</v>
      </c>
      <c r="X2246" t="str">
        <f t="shared" si="252"/>
        <v>ok</v>
      </c>
      <c r="Y2246" t="str">
        <f t="shared" si="247"/>
        <v>ok</v>
      </c>
      <c r="Z2246" t="str">
        <f t="shared" si="248"/>
        <v>ok</v>
      </c>
      <c r="AA2246" s="4" t="str">
        <f t="shared" si="249"/>
        <v>ok</v>
      </c>
      <c r="AB2246" s="4" t="str">
        <f t="shared" si="250"/>
        <v>ok</v>
      </c>
      <c r="AC2246" s="6">
        <f t="shared" si="251"/>
        <v>13.375507499906234</v>
      </c>
    </row>
    <row r="2247" spans="1:29" x14ac:dyDescent="0.3">
      <c r="A2247" t="s">
        <v>42</v>
      </c>
      <c r="B2247">
        <v>3852</v>
      </c>
      <c r="C2247" t="s">
        <v>47</v>
      </c>
      <c r="D2247" t="s">
        <v>24</v>
      </c>
      <c r="E2247" t="s">
        <v>35</v>
      </c>
      <c r="F2247" t="s">
        <v>26</v>
      </c>
      <c r="G2247" t="s">
        <v>45</v>
      </c>
      <c r="H2247" s="1">
        <v>45274.742824074077</v>
      </c>
      <c r="I2247" s="1">
        <v>45276.742824074077</v>
      </c>
      <c r="J2247" s="1">
        <v>45274.784490740742</v>
      </c>
      <c r="K2247" s="2">
        <v>45274.768580324075</v>
      </c>
      <c r="L2247" t="s">
        <v>28</v>
      </c>
      <c r="M2247" s="2">
        <v>45275.082214201386</v>
      </c>
      <c r="N2247" t="s">
        <v>28</v>
      </c>
      <c r="P2247">
        <v>8</v>
      </c>
      <c r="R2247" t="s">
        <v>55</v>
      </c>
      <c r="S2247" t="s">
        <v>30</v>
      </c>
      <c r="T2247" t="s">
        <v>63</v>
      </c>
      <c r="U2247">
        <v>55.378051999999997</v>
      </c>
      <c r="V2247">
        <v>-3.4359730000000002</v>
      </c>
      <c r="W2247" t="str">
        <f t="shared" si="246"/>
        <v>ok</v>
      </c>
      <c r="X2247" t="str">
        <f t="shared" si="252"/>
        <v>ok</v>
      </c>
      <c r="Y2247" t="str">
        <f t="shared" si="247"/>
        <v>ok</v>
      </c>
      <c r="Z2247" t="str">
        <f t="shared" si="248"/>
        <v>ok</v>
      </c>
      <c r="AA2247" s="4" t="str">
        <f t="shared" si="249"/>
        <v>ok</v>
      </c>
      <c r="AB2247" s="4" t="str">
        <f t="shared" si="250"/>
        <v>ok</v>
      </c>
      <c r="AC2247" s="6">
        <f t="shared" si="251"/>
        <v>8.145363055402413</v>
      </c>
    </row>
    <row r="2248" spans="1:29" x14ac:dyDescent="0.3">
      <c r="A2248" t="s">
        <v>22</v>
      </c>
      <c r="B2248">
        <v>3854</v>
      </c>
      <c r="C2248" t="s">
        <v>23</v>
      </c>
      <c r="D2248" t="s">
        <v>24</v>
      </c>
      <c r="E2248" t="s">
        <v>35</v>
      </c>
      <c r="F2248" t="s">
        <v>26</v>
      </c>
      <c r="G2248" t="s">
        <v>60</v>
      </c>
      <c r="H2248" s="1">
        <v>45274.171365740738</v>
      </c>
      <c r="I2248" s="1">
        <v>45276.171365740738</v>
      </c>
      <c r="J2248" s="1">
        <v>45274.21303240741</v>
      </c>
      <c r="K2248" s="2">
        <v>45274.208732129628</v>
      </c>
      <c r="L2248" t="s">
        <v>28</v>
      </c>
      <c r="M2248" s="2">
        <v>45276.614227800928</v>
      </c>
      <c r="N2248" t="s">
        <v>38</v>
      </c>
      <c r="O2248" s="2">
        <v>45278.444091168982</v>
      </c>
      <c r="P2248">
        <v>3</v>
      </c>
      <c r="Q2248">
        <v>1</v>
      </c>
      <c r="R2248" t="s">
        <v>39</v>
      </c>
      <c r="S2248" t="s">
        <v>30</v>
      </c>
      <c r="T2248" t="s">
        <v>51</v>
      </c>
      <c r="U2248">
        <v>39.673369999999998</v>
      </c>
      <c r="V2248">
        <v>-4.7677259999999997</v>
      </c>
      <c r="W2248" t="str">
        <f t="shared" si="246"/>
        <v>ok</v>
      </c>
      <c r="X2248" t="str">
        <f t="shared" si="252"/>
        <v>ok</v>
      </c>
      <c r="Y2248" t="str">
        <f t="shared" si="247"/>
        <v>ok</v>
      </c>
      <c r="Z2248" t="str">
        <f t="shared" si="248"/>
        <v>ok</v>
      </c>
      <c r="AA2248" s="4" t="str">
        <f t="shared" si="249"/>
        <v>ok</v>
      </c>
      <c r="AB2248" s="4" t="str">
        <f t="shared" si="250"/>
        <v>ok</v>
      </c>
      <c r="AC2248" s="6">
        <f t="shared" si="251"/>
        <v>58.62868944456568</v>
      </c>
    </row>
    <row r="2249" spans="1:29" x14ac:dyDescent="0.3">
      <c r="A2249" t="s">
        <v>22</v>
      </c>
      <c r="B2249">
        <v>3855</v>
      </c>
      <c r="C2249" t="s">
        <v>23</v>
      </c>
      <c r="D2249" t="s">
        <v>43</v>
      </c>
      <c r="E2249" t="s">
        <v>25</v>
      </c>
      <c r="F2249" t="s">
        <v>26</v>
      </c>
      <c r="G2249" t="s">
        <v>49</v>
      </c>
      <c r="H2249" s="1">
        <v>45274.714861111112</v>
      </c>
      <c r="I2249" s="1">
        <v>45275.714861111112</v>
      </c>
      <c r="J2249" s="1">
        <v>45274.716249999998</v>
      </c>
      <c r="K2249" s="2">
        <v>45274.71511128472</v>
      </c>
      <c r="L2249" t="s">
        <v>28</v>
      </c>
      <c r="M2249" s="2">
        <v>45276.474637175925</v>
      </c>
      <c r="N2249" t="s">
        <v>38</v>
      </c>
      <c r="O2249" s="2">
        <v>45276.748264629627</v>
      </c>
      <c r="P2249">
        <v>8</v>
      </c>
      <c r="Q2249">
        <v>3</v>
      </c>
      <c r="R2249" t="s">
        <v>50</v>
      </c>
      <c r="S2249" t="s">
        <v>30</v>
      </c>
      <c r="T2249" t="s">
        <v>51</v>
      </c>
      <c r="U2249">
        <v>39.673369999999998</v>
      </c>
      <c r="V2249">
        <v>-4.7677259999999997</v>
      </c>
      <c r="W2249" t="str">
        <f t="shared" si="246"/>
        <v>ok</v>
      </c>
      <c r="X2249" t="str">
        <f t="shared" si="252"/>
        <v>ok</v>
      </c>
      <c r="Y2249" t="str">
        <f t="shared" si="247"/>
        <v>ok</v>
      </c>
      <c r="Z2249" t="str">
        <f t="shared" si="248"/>
        <v>ok</v>
      </c>
      <c r="AA2249" s="4" t="str">
        <f t="shared" si="249"/>
        <v>ok</v>
      </c>
      <c r="AB2249" s="4" t="str">
        <f t="shared" si="250"/>
        <v>ok</v>
      </c>
      <c r="AC2249" s="6">
        <f t="shared" si="251"/>
        <v>42.234625555516686</v>
      </c>
    </row>
    <row r="2250" spans="1:29" x14ac:dyDescent="0.3">
      <c r="A2250" t="s">
        <v>22</v>
      </c>
      <c r="B2250">
        <v>3856</v>
      </c>
      <c r="C2250" t="s">
        <v>47</v>
      </c>
      <c r="D2250" t="s">
        <v>24</v>
      </c>
      <c r="E2250" t="s">
        <v>35</v>
      </c>
      <c r="F2250" t="s">
        <v>36</v>
      </c>
      <c r="G2250" t="s">
        <v>64</v>
      </c>
      <c r="H2250" s="1">
        <v>45274.656539351854</v>
      </c>
      <c r="I2250" s="1">
        <v>45276.656539351854</v>
      </c>
      <c r="J2250" s="1">
        <v>45274.698206018518</v>
      </c>
      <c r="K2250" s="2">
        <v>45274.663483645832</v>
      </c>
      <c r="L2250" t="s">
        <v>28</v>
      </c>
      <c r="M2250" s="2">
        <v>45275.45121861111</v>
      </c>
      <c r="N2250" t="s">
        <v>28</v>
      </c>
      <c r="O2250" s="2">
        <v>45276.481115821756</v>
      </c>
      <c r="P2250">
        <v>2</v>
      </c>
      <c r="Q2250">
        <v>4</v>
      </c>
      <c r="R2250" t="s">
        <v>50</v>
      </c>
      <c r="S2250" t="s">
        <v>40</v>
      </c>
      <c r="T2250" t="s">
        <v>66</v>
      </c>
      <c r="U2250">
        <v>48.864716000000001</v>
      </c>
      <c r="V2250">
        <v>2.3490139999999999</v>
      </c>
      <c r="W2250" t="str">
        <f t="shared" si="246"/>
        <v>ok</v>
      </c>
      <c r="X2250" t="str">
        <f t="shared" si="252"/>
        <v>ok</v>
      </c>
      <c r="Y2250" t="str">
        <f t="shared" si="247"/>
        <v>ok</v>
      </c>
      <c r="Z2250" t="str">
        <f t="shared" si="248"/>
        <v>ok</v>
      </c>
      <c r="AA2250" s="4" t="str">
        <f t="shared" si="249"/>
        <v>ok</v>
      </c>
      <c r="AB2250" s="4" t="str">
        <f t="shared" si="250"/>
        <v>ok</v>
      </c>
      <c r="AC2250" s="6">
        <f t="shared" si="251"/>
        <v>19.072302222135477</v>
      </c>
    </row>
    <row r="2251" spans="1:29" x14ac:dyDescent="0.3">
      <c r="A2251" t="s">
        <v>42</v>
      </c>
      <c r="B2251">
        <v>3857</v>
      </c>
      <c r="C2251" t="s">
        <v>47</v>
      </c>
      <c r="D2251" t="s">
        <v>43</v>
      </c>
      <c r="E2251" t="s">
        <v>59</v>
      </c>
      <c r="F2251" t="s">
        <v>36</v>
      </c>
      <c r="G2251" t="s">
        <v>37</v>
      </c>
      <c r="H2251" s="1">
        <v>45274.630416666667</v>
      </c>
      <c r="I2251" s="1">
        <v>45275.630416666667</v>
      </c>
      <c r="J2251" s="1">
        <v>45274.631805555553</v>
      </c>
      <c r="K2251" s="2">
        <v>45274.631028692129</v>
      </c>
      <c r="L2251" t="s">
        <v>28</v>
      </c>
      <c r="M2251" s="2">
        <v>45275.002556944448</v>
      </c>
      <c r="N2251" t="s">
        <v>28</v>
      </c>
      <c r="P2251">
        <v>6</v>
      </c>
      <c r="R2251" t="s">
        <v>39</v>
      </c>
      <c r="S2251" t="s">
        <v>40</v>
      </c>
      <c r="T2251" t="s">
        <v>65</v>
      </c>
      <c r="U2251">
        <v>46.149166399999999</v>
      </c>
      <c r="V2251">
        <v>14.9860106</v>
      </c>
      <c r="W2251" t="str">
        <f t="shared" si="246"/>
        <v>ok</v>
      </c>
      <c r="X2251" t="str">
        <f t="shared" si="252"/>
        <v>ok</v>
      </c>
      <c r="Y2251" t="str">
        <f t="shared" si="247"/>
        <v>ok</v>
      </c>
      <c r="Z2251" t="str">
        <f t="shared" si="248"/>
        <v>ok</v>
      </c>
      <c r="AA2251" s="4" t="str">
        <f t="shared" si="249"/>
        <v>ok</v>
      </c>
      <c r="AB2251" s="4" t="str">
        <f t="shared" si="250"/>
        <v>ok</v>
      </c>
      <c r="AC2251" s="6">
        <f t="shared" si="251"/>
        <v>8.9313666667439975</v>
      </c>
    </row>
    <row r="2252" spans="1:29" x14ac:dyDescent="0.3">
      <c r="A2252" t="s">
        <v>22</v>
      </c>
      <c r="B2252">
        <v>3858</v>
      </c>
      <c r="C2252" t="s">
        <v>47</v>
      </c>
      <c r="D2252" t="s">
        <v>43</v>
      </c>
      <c r="E2252" t="s">
        <v>39</v>
      </c>
      <c r="F2252" t="s">
        <v>26</v>
      </c>
      <c r="G2252" t="s">
        <v>49</v>
      </c>
      <c r="H2252" s="1">
        <v>45274.724918981483</v>
      </c>
      <c r="I2252" s="1">
        <v>45275.724918981483</v>
      </c>
      <c r="J2252" s="1">
        <v>45274.726307870369</v>
      </c>
      <c r="K2252" s="2">
        <v>45274.727027650464</v>
      </c>
      <c r="L2252" t="s">
        <v>38</v>
      </c>
      <c r="M2252" s="2">
        <v>45278.159567673611</v>
      </c>
      <c r="N2252" t="s">
        <v>38</v>
      </c>
      <c r="O2252" s="2">
        <v>45278.22576778935</v>
      </c>
      <c r="P2252">
        <v>8</v>
      </c>
      <c r="Q2252">
        <v>5</v>
      </c>
      <c r="R2252" t="s">
        <v>50</v>
      </c>
      <c r="S2252" t="s">
        <v>30</v>
      </c>
      <c r="T2252" t="s">
        <v>46</v>
      </c>
      <c r="U2252">
        <v>47.696471899999999</v>
      </c>
      <c r="V2252">
        <v>13.3457347</v>
      </c>
      <c r="W2252" t="str">
        <f t="shared" si="246"/>
        <v>ok</v>
      </c>
      <c r="X2252" t="str">
        <f t="shared" si="252"/>
        <v>ok</v>
      </c>
      <c r="Y2252" t="str">
        <f t="shared" si="247"/>
        <v>ok</v>
      </c>
      <c r="Z2252" t="str">
        <f t="shared" si="248"/>
        <v>ok</v>
      </c>
      <c r="AA2252" s="4" t="str">
        <f t="shared" si="249"/>
        <v>ok</v>
      </c>
      <c r="AB2252" s="4" t="str">
        <f t="shared" si="250"/>
        <v>ok</v>
      </c>
      <c r="AC2252" s="6">
        <f t="shared" si="251"/>
        <v>82.431568611063994</v>
      </c>
    </row>
    <row r="2253" spans="1:29" x14ac:dyDescent="0.3">
      <c r="A2253" t="s">
        <v>22</v>
      </c>
      <c r="B2253">
        <v>3860</v>
      </c>
      <c r="C2253" t="s">
        <v>23</v>
      </c>
      <c r="D2253" t="s">
        <v>24</v>
      </c>
      <c r="E2253" t="s">
        <v>48</v>
      </c>
      <c r="F2253" t="s">
        <v>26</v>
      </c>
      <c r="G2253" t="s">
        <v>45</v>
      </c>
      <c r="H2253" s="1">
        <v>45275.854409722226</v>
      </c>
      <c r="I2253" s="1">
        <v>45277.854409722226</v>
      </c>
      <c r="J2253" s="1">
        <v>45275.89607638889</v>
      </c>
      <c r="K2253" s="2">
        <v>45275.87997065972</v>
      </c>
      <c r="L2253" t="s">
        <v>28</v>
      </c>
      <c r="M2253" s="2">
        <v>45275.94300388889</v>
      </c>
      <c r="N2253" t="s">
        <v>28</v>
      </c>
      <c r="O2253" s="2">
        <v>45278.114541863426</v>
      </c>
      <c r="P2253">
        <v>3</v>
      </c>
      <c r="Q2253">
        <v>5</v>
      </c>
      <c r="R2253" t="s">
        <v>39</v>
      </c>
      <c r="S2253" t="s">
        <v>30</v>
      </c>
      <c r="T2253" t="s">
        <v>66</v>
      </c>
      <c r="U2253">
        <v>48.864716000000001</v>
      </c>
      <c r="V2253">
        <v>2.3490139999999999</v>
      </c>
      <c r="W2253" t="str">
        <f t="shared" si="246"/>
        <v>ok</v>
      </c>
      <c r="X2253" t="str">
        <f t="shared" si="252"/>
        <v>ok</v>
      </c>
      <c r="Y2253" t="str">
        <f t="shared" si="247"/>
        <v>ok</v>
      </c>
      <c r="Z2253" t="str">
        <f t="shared" si="248"/>
        <v>ok</v>
      </c>
      <c r="AA2253" s="4" t="str">
        <f t="shared" si="249"/>
        <v>ok</v>
      </c>
      <c r="AB2253" s="4" t="str">
        <f t="shared" si="250"/>
        <v>ok</v>
      </c>
      <c r="AC2253" s="6">
        <f t="shared" si="251"/>
        <v>2.1262599999317899</v>
      </c>
    </row>
    <row r="2254" spans="1:29" x14ac:dyDescent="0.3">
      <c r="A2254" t="s">
        <v>68</v>
      </c>
      <c r="B2254">
        <v>3862</v>
      </c>
      <c r="C2254" t="s">
        <v>23</v>
      </c>
      <c r="D2254" t="s">
        <v>24</v>
      </c>
      <c r="E2254" t="s">
        <v>35</v>
      </c>
      <c r="F2254" t="s">
        <v>36</v>
      </c>
      <c r="G2254" t="s">
        <v>37</v>
      </c>
      <c r="H2254" s="1">
        <v>45275.420937499999</v>
      </c>
      <c r="I2254" s="1">
        <v>45277.420937499999</v>
      </c>
      <c r="J2254" s="1">
        <v>45275.462604166663</v>
      </c>
      <c r="L2254" t="s">
        <v>38</v>
      </c>
      <c r="N2254" t="s">
        <v>38</v>
      </c>
      <c r="R2254" t="s">
        <v>50</v>
      </c>
      <c r="S2254" t="s">
        <v>40</v>
      </c>
      <c r="T2254" t="s">
        <v>65</v>
      </c>
      <c r="U2254">
        <v>46.149166399999999</v>
      </c>
      <c r="V2254">
        <v>14.9860106</v>
      </c>
      <c r="W2254" t="str">
        <f t="shared" si="246"/>
        <v>check</v>
      </c>
      <c r="X2254" t="str">
        <f t="shared" si="252"/>
        <v>ok</v>
      </c>
      <c r="Y2254" t="str">
        <f t="shared" si="247"/>
        <v>ok</v>
      </c>
      <c r="Z2254" t="str">
        <f t="shared" si="248"/>
        <v>ok</v>
      </c>
      <c r="AA2254" s="4" t="str">
        <f t="shared" si="249"/>
        <v>no response</v>
      </c>
      <c r="AB2254" s="4" t="str">
        <f t="shared" si="250"/>
        <v>no resolution</v>
      </c>
      <c r="AC2254" s="6" t="str">
        <f t="shared" si="251"/>
        <v/>
      </c>
    </row>
    <row r="2255" spans="1:29" x14ac:dyDescent="0.3">
      <c r="A2255" t="s">
        <v>32</v>
      </c>
      <c r="B2255">
        <v>3863</v>
      </c>
      <c r="C2255" t="s">
        <v>23</v>
      </c>
      <c r="D2255" t="s">
        <v>24</v>
      </c>
      <c r="E2255" t="s">
        <v>35</v>
      </c>
      <c r="F2255" t="s">
        <v>26</v>
      </c>
      <c r="G2255" t="s">
        <v>45</v>
      </c>
      <c r="H2255" s="1">
        <v>45275.555324074077</v>
      </c>
      <c r="I2255" s="1">
        <v>45277.555324074077</v>
      </c>
      <c r="J2255" s="1">
        <v>45275.596990740742</v>
      </c>
      <c r="K2255" s="2">
        <v>45275.573955717591</v>
      </c>
      <c r="L2255" t="s">
        <v>28</v>
      </c>
      <c r="N2255" t="s">
        <v>38</v>
      </c>
      <c r="P2255">
        <v>4</v>
      </c>
      <c r="R2255" t="s">
        <v>50</v>
      </c>
      <c r="S2255" t="s">
        <v>30</v>
      </c>
      <c r="T2255" t="s">
        <v>31</v>
      </c>
      <c r="U2255">
        <v>53.094023999999997</v>
      </c>
      <c r="V2255">
        <v>-8.0196749999999994</v>
      </c>
      <c r="W2255" t="str">
        <f t="shared" si="246"/>
        <v>ok</v>
      </c>
      <c r="X2255" t="str">
        <f t="shared" si="252"/>
        <v>ok</v>
      </c>
      <c r="Y2255" t="str">
        <f t="shared" si="247"/>
        <v>ok</v>
      </c>
      <c r="Z2255" t="str">
        <f t="shared" si="248"/>
        <v>ok</v>
      </c>
      <c r="AA2255" s="4" t="str">
        <f t="shared" si="249"/>
        <v>ok</v>
      </c>
      <c r="AB2255" s="4" t="str">
        <f t="shared" si="250"/>
        <v>no resolution</v>
      </c>
      <c r="AC2255" s="6" t="str">
        <f t="shared" si="251"/>
        <v/>
      </c>
    </row>
    <row r="2256" spans="1:29" x14ac:dyDescent="0.3">
      <c r="A2256" t="s">
        <v>68</v>
      </c>
      <c r="B2256">
        <v>3870</v>
      </c>
      <c r="C2256" t="s">
        <v>23</v>
      </c>
      <c r="D2256" t="s">
        <v>24</v>
      </c>
      <c r="E2256" t="s">
        <v>25</v>
      </c>
      <c r="F2256" t="s">
        <v>36</v>
      </c>
      <c r="G2256" t="s">
        <v>37</v>
      </c>
      <c r="H2256" s="1">
        <v>45276.259212962963</v>
      </c>
      <c r="I2256" s="1">
        <v>45278.259212962963</v>
      </c>
      <c r="J2256" s="1">
        <v>45276.300879629627</v>
      </c>
      <c r="L2256" t="s">
        <v>38</v>
      </c>
      <c r="N2256" t="s">
        <v>38</v>
      </c>
      <c r="R2256" t="s">
        <v>29</v>
      </c>
      <c r="S2256" t="s">
        <v>40</v>
      </c>
      <c r="T2256" t="s">
        <v>46</v>
      </c>
      <c r="U2256">
        <v>47.696471899999999</v>
      </c>
      <c r="V2256">
        <v>13.3457347</v>
      </c>
      <c r="W2256" t="str">
        <f t="shared" si="246"/>
        <v>check</v>
      </c>
      <c r="X2256" t="str">
        <f t="shared" si="252"/>
        <v>ok</v>
      </c>
      <c r="Y2256" t="str">
        <f t="shared" si="247"/>
        <v>ok</v>
      </c>
      <c r="Z2256" t="str">
        <f t="shared" si="248"/>
        <v>ok</v>
      </c>
      <c r="AA2256" s="4" t="str">
        <f t="shared" si="249"/>
        <v>no response</v>
      </c>
      <c r="AB2256" s="4" t="str">
        <f t="shared" si="250"/>
        <v>no resolution</v>
      </c>
      <c r="AC2256" s="6" t="str">
        <f t="shared" si="251"/>
        <v/>
      </c>
    </row>
    <row r="2257" spans="1:29" x14ac:dyDescent="0.3">
      <c r="A2257" t="s">
        <v>22</v>
      </c>
      <c r="B2257">
        <v>3871</v>
      </c>
      <c r="C2257" t="s">
        <v>23</v>
      </c>
      <c r="D2257" t="s">
        <v>43</v>
      </c>
      <c r="E2257" t="s">
        <v>35</v>
      </c>
      <c r="F2257" t="s">
        <v>26</v>
      </c>
      <c r="G2257" t="s">
        <v>27</v>
      </c>
      <c r="H2257" s="1">
        <v>45276.838912037034</v>
      </c>
      <c r="I2257" s="1">
        <v>45277.838912037034</v>
      </c>
      <c r="J2257" s="1">
        <v>45276.840300925927</v>
      </c>
      <c r="K2257" s="2">
        <v>45276.841748472223</v>
      </c>
      <c r="L2257" t="s">
        <v>38</v>
      </c>
      <c r="M2257" s="2">
        <v>45276.983457592592</v>
      </c>
      <c r="N2257" t="s">
        <v>28</v>
      </c>
      <c r="O2257" s="2">
        <v>45282.405871377312</v>
      </c>
      <c r="P2257">
        <v>60</v>
      </c>
      <c r="Q2257">
        <v>3</v>
      </c>
      <c r="R2257" t="s">
        <v>29</v>
      </c>
      <c r="S2257" t="s">
        <v>30</v>
      </c>
      <c r="T2257" t="s">
        <v>57</v>
      </c>
      <c r="U2257">
        <v>51.165691000000002</v>
      </c>
      <c r="V2257">
        <v>10.451525999999999</v>
      </c>
      <c r="W2257" t="str">
        <f t="shared" si="246"/>
        <v>ok</v>
      </c>
      <c r="X2257" t="str">
        <f t="shared" si="252"/>
        <v>ok</v>
      </c>
      <c r="Y2257" t="str">
        <f t="shared" si="247"/>
        <v>ok</v>
      </c>
      <c r="Z2257" t="str">
        <f t="shared" si="248"/>
        <v>ok</v>
      </c>
      <c r="AA2257" s="4" t="str">
        <f t="shared" si="249"/>
        <v>ok</v>
      </c>
      <c r="AB2257" s="4" t="str">
        <f t="shared" si="250"/>
        <v>ok</v>
      </c>
      <c r="AC2257" s="6">
        <f t="shared" si="251"/>
        <v>3.4690933334059082</v>
      </c>
    </row>
    <row r="2258" spans="1:29" x14ac:dyDescent="0.3">
      <c r="A2258" t="s">
        <v>22</v>
      </c>
      <c r="B2258">
        <v>3872</v>
      </c>
      <c r="C2258" t="s">
        <v>33</v>
      </c>
      <c r="D2258" t="s">
        <v>43</v>
      </c>
      <c r="E2258" t="s">
        <v>39</v>
      </c>
      <c r="F2258" t="s">
        <v>26</v>
      </c>
      <c r="G2258" t="s">
        <v>45</v>
      </c>
      <c r="H2258" s="1">
        <v>45277.875844907408</v>
      </c>
      <c r="I2258" s="1">
        <v>45278.875844907408</v>
      </c>
      <c r="J2258" s="1">
        <v>45277.877233796295</v>
      </c>
      <c r="K2258" s="2">
        <v>45277.876959398149</v>
      </c>
      <c r="L2258" t="s">
        <v>28</v>
      </c>
      <c r="M2258" s="2">
        <v>45278.394838668981</v>
      </c>
      <c r="N2258" t="s">
        <v>28</v>
      </c>
      <c r="O2258" s="2">
        <v>45284.439027731481</v>
      </c>
      <c r="P2258">
        <v>6</v>
      </c>
      <c r="Q2258">
        <v>1</v>
      </c>
      <c r="R2258" t="s">
        <v>29</v>
      </c>
      <c r="S2258" t="s">
        <v>30</v>
      </c>
      <c r="T2258" t="s">
        <v>63</v>
      </c>
      <c r="U2258">
        <v>55.378051999999997</v>
      </c>
      <c r="V2258">
        <v>-3.4359730000000002</v>
      </c>
      <c r="W2258" t="str">
        <f t="shared" si="246"/>
        <v>ok</v>
      </c>
      <c r="X2258" t="str">
        <f t="shared" si="252"/>
        <v>ok</v>
      </c>
      <c r="Y2258" t="str">
        <f t="shared" si="247"/>
        <v>ok</v>
      </c>
      <c r="Z2258" t="str">
        <f t="shared" si="248"/>
        <v>ok</v>
      </c>
      <c r="AA2258" s="4" t="str">
        <f t="shared" si="249"/>
        <v>ok</v>
      </c>
      <c r="AB2258" s="4" t="str">
        <f t="shared" si="250"/>
        <v>ok</v>
      </c>
      <c r="AC2258" s="6">
        <f t="shared" si="251"/>
        <v>12.455850277736317</v>
      </c>
    </row>
    <row r="2259" spans="1:29" x14ac:dyDescent="0.3">
      <c r="A2259" t="s">
        <v>22</v>
      </c>
      <c r="B2259">
        <v>3873</v>
      </c>
      <c r="C2259" t="s">
        <v>23</v>
      </c>
      <c r="D2259" t="s">
        <v>24</v>
      </c>
      <c r="E2259" t="s">
        <v>44</v>
      </c>
      <c r="F2259" t="s">
        <v>36</v>
      </c>
      <c r="G2259" t="s">
        <v>54</v>
      </c>
      <c r="H2259" s="1">
        <v>45277.350208333337</v>
      </c>
      <c r="I2259" s="1">
        <v>45279.350208333337</v>
      </c>
      <c r="J2259" s="1">
        <v>45277.391875000001</v>
      </c>
      <c r="K2259" s="2">
        <v>45277.37377943287</v>
      </c>
      <c r="L2259" t="s">
        <v>28</v>
      </c>
      <c r="M2259" s="2">
        <v>45278.469963333337</v>
      </c>
      <c r="N2259" t="s">
        <v>28</v>
      </c>
      <c r="O2259" s="2">
        <v>45279.928998518517</v>
      </c>
      <c r="P2259">
        <v>6</v>
      </c>
      <c r="Q2259">
        <v>4</v>
      </c>
      <c r="R2259" t="s">
        <v>55</v>
      </c>
      <c r="S2259" t="s">
        <v>40</v>
      </c>
      <c r="T2259" t="s">
        <v>65</v>
      </c>
      <c r="U2259">
        <v>46.149166399999999</v>
      </c>
      <c r="V2259">
        <v>14.9860106</v>
      </c>
      <c r="W2259" t="str">
        <f t="shared" si="246"/>
        <v>ok</v>
      </c>
      <c r="X2259" t="str">
        <f t="shared" si="252"/>
        <v>ok</v>
      </c>
      <c r="Y2259" t="str">
        <f t="shared" si="247"/>
        <v>ok</v>
      </c>
      <c r="Z2259" t="str">
        <f t="shared" si="248"/>
        <v>ok</v>
      </c>
      <c r="AA2259" s="4" t="str">
        <f t="shared" si="249"/>
        <v>ok</v>
      </c>
      <c r="AB2259" s="4" t="str">
        <f t="shared" si="250"/>
        <v>ok</v>
      </c>
      <c r="AC2259" s="6">
        <f t="shared" si="251"/>
        <v>26.874119999993127</v>
      </c>
    </row>
    <row r="2260" spans="1:29" x14ac:dyDescent="0.3">
      <c r="A2260" t="s">
        <v>32</v>
      </c>
      <c r="B2260">
        <v>3874</v>
      </c>
      <c r="C2260" t="s">
        <v>23</v>
      </c>
      <c r="D2260" t="s">
        <v>43</v>
      </c>
      <c r="E2260" t="s">
        <v>48</v>
      </c>
      <c r="F2260" t="s">
        <v>26</v>
      </c>
      <c r="G2260" t="s">
        <v>27</v>
      </c>
      <c r="H2260" s="1">
        <v>45277.152824074074</v>
      </c>
      <c r="I2260" s="1">
        <v>45278.152824074074</v>
      </c>
      <c r="J2260" s="1">
        <v>45277.15421296296</v>
      </c>
      <c r="K2260" s="2">
        <v>45277.153505150462</v>
      </c>
      <c r="L2260" t="s">
        <v>28</v>
      </c>
      <c r="N2260" t="s">
        <v>38</v>
      </c>
      <c r="P2260">
        <v>5</v>
      </c>
      <c r="R2260" t="s">
        <v>39</v>
      </c>
      <c r="S2260" t="s">
        <v>30</v>
      </c>
      <c r="T2260" t="s">
        <v>58</v>
      </c>
      <c r="U2260">
        <v>49.8037633</v>
      </c>
      <c r="V2260">
        <v>15.4749126</v>
      </c>
      <c r="W2260" t="str">
        <f t="shared" si="246"/>
        <v>ok</v>
      </c>
      <c r="X2260" t="str">
        <f t="shared" si="252"/>
        <v>ok</v>
      </c>
      <c r="Y2260" t="str">
        <f t="shared" si="247"/>
        <v>ok</v>
      </c>
      <c r="Z2260" t="str">
        <f t="shared" si="248"/>
        <v>ok</v>
      </c>
      <c r="AA2260" s="4" t="str">
        <f t="shared" si="249"/>
        <v>ok</v>
      </c>
      <c r="AB2260" s="4" t="str">
        <f t="shared" si="250"/>
        <v>no resolution</v>
      </c>
      <c r="AC2260" s="6" t="str">
        <f t="shared" si="251"/>
        <v/>
      </c>
    </row>
    <row r="2261" spans="1:29" x14ac:dyDescent="0.3">
      <c r="A2261" t="s">
        <v>22</v>
      </c>
      <c r="B2261">
        <v>3880</v>
      </c>
      <c r="C2261" t="s">
        <v>23</v>
      </c>
      <c r="D2261" t="s">
        <v>43</v>
      </c>
      <c r="E2261" t="s">
        <v>39</v>
      </c>
      <c r="F2261" t="s">
        <v>26</v>
      </c>
      <c r="G2261" t="s">
        <v>49</v>
      </c>
      <c r="H2261" s="1">
        <v>45277.42528935185</v>
      </c>
      <c r="I2261" s="1">
        <v>45278.42528935185</v>
      </c>
      <c r="J2261" s="1">
        <v>45277.426678240743</v>
      </c>
      <c r="K2261" s="2">
        <v>45277.425450497685</v>
      </c>
      <c r="L2261" t="s">
        <v>28</v>
      </c>
      <c r="M2261" s="2">
        <v>45282.073337800924</v>
      </c>
      <c r="N2261" t="s">
        <v>38</v>
      </c>
      <c r="O2261" s="2">
        <v>45283.492791736113</v>
      </c>
      <c r="P2261">
        <v>8</v>
      </c>
      <c r="Q2261">
        <v>3</v>
      </c>
      <c r="R2261" t="s">
        <v>50</v>
      </c>
      <c r="S2261" t="s">
        <v>30</v>
      </c>
      <c r="T2261" t="s">
        <v>31</v>
      </c>
      <c r="U2261">
        <v>53.094023999999997</v>
      </c>
      <c r="V2261">
        <v>-8.0196749999999994</v>
      </c>
      <c r="W2261" t="str">
        <f t="shared" si="246"/>
        <v>ok</v>
      </c>
      <c r="X2261" t="str">
        <f t="shared" si="252"/>
        <v>ok</v>
      </c>
      <c r="Y2261" t="str">
        <f t="shared" si="247"/>
        <v>ok</v>
      </c>
      <c r="Z2261" t="str">
        <f t="shared" si="248"/>
        <v>ok</v>
      </c>
      <c r="AA2261" s="4" t="str">
        <f t="shared" si="249"/>
        <v>ok</v>
      </c>
      <c r="AB2261" s="4" t="str">
        <f t="shared" si="250"/>
        <v>ok</v>
      </c>
      <c r="AC2261" s="6">
        <f t="shared" si="251"/>
        <v>111.55316277779639</v>
      </c>
    </row>
    <row r="2262" spans="1:29" x14ac:dyDescent="0.3">
      <c r="A2262" t="s">
        <v>22</v>
      </c>
      <c r="B2262">
        <v>3881</v>
      </c>
      <c r="C2262" t="s">
        <v>33</v>
      </c>
      <c r="D2262" t="s">
        <v>43</v>
      </c>
      <c r="E2262" t="s">
        <v>25</v>
      </c>
      <c r="F2262" t="s">
        <v>26</v>
      </c>
      <c r="G2262" t="s">
        <v>45</v>
      </c>
      <c r="H2262" s="1">
        <v>45277.12604166667</v>
      </c>
      <c r="I2262" s="1">
        <v>45278.12604166667</v>
      </c>
      <c r="J2262" s="1">
        <v>45277.127430555556</v>
      </c>
      <c r="K2262" s="2">
        <v>45277.127282754627</v>
      </c>
      <c r="L2262" t="s">
        <v>28</v>
      </c>
      <c r="M2262" s="2">
        <v>45277.33313363426</v>
      </c>
      <c r="N2262" t="s">
        <v>28</v>
      </c>
      <c r="O2262" s="2">
        <v>45279.216573622682</v>
      </c>
      <c r="P2262">
        <v>60</v>
      </c>
      <c r="Q2262">
        <v>5</v>
      </c>
      <c r="R2262" t="s">
        <v>29</v>
      </c>
      <c r="S2262" t="s">
        <v>30</v>
      </c>
      <c r="T2262" t="s">
        <v>57</v>
      </c>
      <c r="U2262">
        <v>51.165691000000002</v>
      </c>
      <c r="V2262">
        <v>10.451525999999999</v>
      </c>
      <c r="W2262" t="str">
        <f t="shared" si="246"/>
        <v>ok</v>
      </c>
      <c r="X2262" t="str">
        <f t="shared" si="252"/>
        <v>ok</v>
      </c>
      <c r="Y2262" t="str">
        <f t="shared" si="247"/>
        <v>ok</v>
      </c>
      <c r="Z2262" t="str">
        <f t="shared" si="248"/>
        <v>ok</v>
      </c>
      <c r="AA2262" s="4" t="str">
        <f t="shared" si="249"/>
        <v>ok</v>
      </c>
      <c r="AB2262" s="4" t="str">
        <f t="shared" si="250"/>
        <v>ok</v>
      </c>
      <c r="AC2262" s="6">
        <f t="shared" si="251"/>
        <v>4.9702072221552953</v>
      </c>
    </row>
    <row r="2263" spans="1:29" x14ac:dyDescent="0.3">
      <c r="A2263" t="s">
        <v>32</v>
      </c>
      <c r="B2263">
        <v>3882</v>
      </c>
      <c r="C2263" t="s">
        <v>23</v>
      </c>
      <c r="D2263" t="s">
        <v>34</v>
      </c>
      <c r="E2263" t="s">
        <v>25</v>
      </c>
      <c r="F2263" t="s">
        <v>26</v>
      </c>
      <c r="G2263" t="s">
        <v>49</v>
      </c>
      <c r="H2263" s="1">
        <v>45277.073310185187</v>
      </c>
      <c r="I2263" s="1">
        <v>45279.073310185187</v>
      </c>
      <c r="J2263" s="1">
        <v>45277.074699074074</v>
      </c>
      <c r="K2263" s="2">
        <v>45277.07500203704</v>
      </c>
      <c r="L2263" t="s">
        <v>38</v>
      </c>
      <c r="N2263" t="s">
        <v>38</v>
      </c>
      <c r="P2263">
        <v>4</v>
      </c>
      <c r="R2263" t="s">
        <v>29</v>
      </c>
      <c r="S2263" t="s">
        <v>30</v>
      </c>
      <c r="T2263" t="s">
        <v>46</v>
      </c>
      <c r="U2263">
        <v>47.696471899999999</v>
      </c>
      <c r="V2263">
        <v>13.3457347</v>
      </c>
      <c r="W2263" t="str">
        <f t="shared" si="246"/>
        <v>ok</v>
      </c>
      <c r="X2263" t="str">
        <f t="shared" si="252"/>
        <v>ok</v>
      </c>
      <c r="Y2263" t="str">
        <f t="shared" si="247"/>
        <v>ok</v>
      </c>
      <c r="Z2263" t="str">
        <f t="shared" si="248"/>
        <v>ok</v>
      </c>
      <c r="AA2263" s="4" t="str">
        <f t="shared" si="249"/>
        <v>ok</v>
      </c>
      <c r="AB2263" s="4" t="str">
        <f t="shared" si="250"/>
        <v>no resolution</v>
      </c>
      <c r="AC2263" s="6" t="str">
        <f t="shared" si="251"/>
        <v/>
      </c>
    </row>
    <row r="2264" spans="1:29" x14ac:dyDescent="0.3">
      <c r="A2264" t="s">
        <v>42</v>
      </c>
      <c r="B2264">
        <v>3883</v>
      </c>
      <c r="C2264" t="s">
        <v>47</v>
      </c>
      <c r="D2264" t="s">
        <v>24</v>
      </c>
      <c r="E2264" t="s">
        <v>35</v>
      </c>
      <c r="F2264" t="s">
        <v>26</v>
      </c>
      <c r="G2264" t="s">
        <v>27</v>
      </c>
      <c r="H2264" s="1">
        <v>45277.947326388887</v>
      </c>
      <c r="I2264" s="1">
        <v>45279.947326388887</v>
      </c>
      <c r="J2264" s="1">
        <v>45277.988993055558</v>
      </c>
      <c r="K2264" s="2">
        <v>45277.960539467589</v>
      </c>
      <c r="L2264" t="s">
        <v>28</v>
      </c>
      <c r="M2264" s="2">
        <v>45282.831375266207</v>
      </c>
      <c r="N2264" t="s">
        <v>38</v>
      </c>
      <c r="P2264">
        <v>3</v>
      </c>
      <c r="R2264" t="s">
        <v>50</v>
      </c>
      <c r="S2264" t="s">
        <v>30</v>
      </c>
      <c r="T2264" t="s">
        <v>66</v>
      </c>
      <c r="U2264">
        <v>48.864716000000001</v>
      </c>
      <c r="V2264">
        <v>2.3490139999999999</v>
      </c>
      <c r="W2264" t="str">
        <f t="shared" si="246"/>
        <v>ok</v>
      </c>
      <c r="X2264" t="str">
        <f t="shared" si="252"/>
        <v>ok</v>
      </c>
      <c r="Y2264" t="str">
        <f t="shared" si="247"/>
        <v>ok</v>
      </c>
      <c r="Z2264" t="str">
        <f t="shared" si="248"/>
        <v>ok</v>
      </c>
      <c r="AA2264" s="4" t="str">
        <f t="shared" si="249"/>
        <v>ok</v>
      </c>
      <c r="AB2264" s="4" t="str">
        <f t="shared" si="250"/>
        <v>ok</v>
      </c>
      <c r="AC2264" s="6">
        <f t="shared" si="251"/>
        <v>117.21717305568745</v>
      </c>
    </row>
    <row r="2265" spans="1:29" x14ac:dyDescent="0.3">
      <c r="A2265" t="s">
        <v>22</v>
      </c>
      <c r="B2265">
        <v>3884</v>
      </c>
      <c r="C2265" t="s">
        <v>23</v>
      </c>
      <c r="D2265" t="s">
        <v>34</v>
      </c>
      <c r="E2265" t="s">
        <v>44</v>
      </c>
      <c r="F2265" t="s">
        <v>26</v>
      </c>
      <c r="G2265" t="s">
        <v>60</v>
      </c>
      <c r="H2265" s="1">
        <v>45278.987118055556</v>
      </c>
      <c r="I2265" s="1">
        <v>45280.987118055556</v>
      </c>
      <c r="J2265" s="1">
        <v>45278.988506944443</v>
      </c>
      <c r="K2265" s="2">
        <v>45278.987914652775</v>
      </c>
      <c r="L2265" t="s">
        <v>28</v>
      </c>
      <c r="M2265" s="2">
        <v>45279.234628171296</v>
      </c>
      <c r="N2265" t="s">
        <v>28</v>
      </c>
      <c r="O2265" s="2">
        <v>45282.201471643515</v>
      </c>
      <c r="P2265">
        <v>1</v>
      </c>
      <c r="Q2265">
        <v>4</v>
      </c>
      <c r="R2265" t="s">
        <v>50</v>
      </c>
      <c r="S2265" t="s">
        <v>30</v>
      </c>
      <c r="T2265" t="s">
        <v>58</v>
      </c>
      <c r="U2265">
        <v>49.8037633</v>
      </c>
      <c r="V2265">
        <v>15.4749126</v>
      </c>
      <c r="W2265" t="str">
        <f t="shared" si="246"/>
        <v>ok</v>
      </c>
      <c r="X2265" t="str">
        <f t="shared" si="252"/>
        <v>ok</v>
      </c>
      <c r="Y2265" t="str">
        <f t="shared" si="247"/>
        <v>ok</v>
      </c>
      <c r="Z2265" t="str">
        <f t="shared" si="248"/>
        <v>ok</v>
      </c>
      <c r="AA2265" s="4" t="str">
        <f t="shared" si="249"/>
        <v>ok</v>
      </c>
      <c r="AB2265" s="4" t="str">
        <f t="shared" si="250"/>
        <v>ok</v>
      </c>
      <c r="AC2265" s="6">
        <f t="shared" si="251"/>
        <v>5.9402427777531557</v>
      </c>
    </row>
    <row r="2266" spans="1:29" x14ac:dyDescent="0.3">
      <c r="A2266" t="s">
        <v>32</v>
      </c>
      <c r="B2266">
        <v>3885</v>
      </c>
      <c r="C2266" t="s">
        <v>47</v>
      </c>
      <c r="D2266" t="s">
        <v>24</v>
      </c>
      <c r="E2266" t="s">
        <v>35</v>
      </c>
      <c r="F2266" t="s">
        <v>26</v>
      </c>
      <c r="G2266" t="s">
        <v>52</v>
      </c>
      <c r="H2266" s="1">
        <v>45278.365023148152</v>
      </c>
      <c r="I2266" s="1">
        <v>45280.365023148152</v>
      </c>
      <c r="J2266" s="1">
        <v>45278.406689814816</v>
      </c>
      <c r="K2266" s="2">
        <v>45278.376848287036</v>
      </c>
      <c r="L2266" t="s">
        <v>28</v>
      </c>
      <c r="N2266" t="s">
        <v>38</v>
      </c>
      <c r="P2266">
        <v>2</v>
      </c>
      <c r="R2266" t="s">
        <v>55</v>
      </c>
      <c r="S2266" t="s">
        <v>30</v>
      </c>
      <c r="T2266" t="s">
        <v>57</v>
      </c>
      <c r="U2266">
        <v>51.165691000000002</v>
      </c>
      <c r="V2266">
        <v>10.451525999999999</v>
      </c>
      <c r="W2266" t="str">
        <f t="shared" si="246"/>
        <v>ok</v>
      </c>
      <c r="X2266" t="str">
        <f t="shared" si="252"/>
        <v>ok</v>
      </c>
      <c r="Y2266" t="str">
        <f t="shared" si="247"/>
        <v>ok</v>
      </c>
      <c r="Z2266" t="str">
        <f t="shared" si="248"/>
        <v>ok</v>
      </c>
      <c r="AA2266" s="4" t="str">
        <f t="shared" si="249"/>
        <v>ok</v>
      </c>
      <c r="AB2266" s="4" t="str">
        <f t="shared" si="250"/>
        <v>no resolution</v>
      </c>
      <c r="AC2266" s="6" t="str">
        <f t="shared" si="251"/>
        <v/>
      </c>
    </row>
    <row r="2267" spans="1:29" x14ac:dyDescent="0.3">
      <c r="A2267" t="s">
        <v>32</v>
      </c>
      <c r="B2267">
        <v>3886</v>
      </c>
      <c r="C2267" t="s">
        <v>23</v>
      </c>
      <c r="D2267" t="s">
        <v>34</v>
      </c>
      <c r="E2267" t="s">
        <v>48</v>
      </c>
      <c r="F2267" t="s">
        <v>26</v>
      </c>
      <c r="G2267" t="s">
        <v>49</v>
      </c>
      <c r="H2267" s="1">
        <v>45278.250289351854</v>
      </c>
      <c r="I2267" s="1">
        <v>45280.250289351854</v>
      </c>
      <c r="J2267" s="1">
        <v>45278.25167824074</v>
      </c>
      <c r="K2267" s="2">
        <v>45278.25114601852</v>
      </c>
      <c r="L2267" t="s">
        <v>28</v>
      </c>
      <c r="N2267" t="s">
        <v>38</v>
      </c>
      <c r="P2267">
        <v>6</v>
      </c>
      <c r="R2267" t="s">
        <v>29</v>
      </c>
      <c r="S2267" t="s">
        <v>30</v>
      </c>
      <c r="T2267" t="s">
        <v>31</v>
      </c>
      <c r="U2267">
        <v>53.094023999999997</v>
      </c>
      <c r="V2267">
        <v>-8.0196749999999994</v>
      </c>
      <c r="W2267" t="str">
        <f t="shared" si="246"/>
        <v>ok</v>
      </c>
      <c r="X2267" t="str">
        <f t="shared" si="252"/>
        <v>ok</v>
      </c>
      <c r="Y2267" t="str">
        <f t="shared" si="247"/>
        <v>ok</v>
      </c>
      <c r="Z2267" t="str">
        <f t="shared" si="248"/>
        <v>ok</v>
      </c>
      <c r="AA2267" s="4" t="str">
        <f t="shared" si="249"/>
        <v>ok</v>
      </c>
      <c r="AB2267" s="4" t="str">
        <f t="shared" si="250"/>
        <v>no resolution</v>
      </c>
      <c r="AC2267" s="6" t="str">
        <f t="shared" si="251"/>
        <v/>
      </c>
    </row>
    <row r="2268" spans="1:29" x14ac:dyDescent="0.3">
      <c r="A2268" t="s">
        <v>22</v>
      </c>
      <c r="B2268">
        <v>3887</v>
      </c>
      <c r="C2268" t="s">
        <v>47</v>
      </c>
      <c r="D2268" t="s">
        <v>24</v>
      </c>
      <c r="E2268" t="s">
        <v>59</v>
      </c>
      <c r="F2268" t="s">
        <v>26</v>
      </c>
      <c r="G2268" t="s">
        <v>27</v>
      </c>
      <c r="H2268" s="1">
        <v>45278.975694444445</v>
      </c>
      <c r="I2268" s="1">
        <v>45280.975694444445</v>
      </c>
      <c r="J2268" s="1">
        <v>45279.017361111109</v>
      </c>
      <c r="K2268" s="2">
        <v>45279.014375543979</v>
      </c>
      <c r="L2268" t="s">
        <v>28</v>
      </c>
      <c r="M2268" s="2">
        <v>45279.154329560188</v>
      </c>
      <c r="N2268" t="s">
        <v>28</v>
      </c>
      <c r="O2268" s="2">
        <v>45282.52295309028</v>
      </c>
      <c r="P2268">
        <v>1</v>
      </c>
      <c r="Q2268">
        <v>4</v>
      </c>
      <c r="R2268" t="s">
        <v>29</v>
      </c>
      <c r="S2268" t="s">
        <v>30</v>
      </c>
      <c r="T2268" t="s">
        <v>57</v>
      </c>
      <c r="U2268">
        <v>51.165691000000002</v>
      </c>
      <c r="V2268">
        <v>10.451525999999999</v>
      </c>
      <c r="W2268" t="str">
        <f t="shared" si="246"/>
        <v>ok</v>
      </c>
      <c r="X2268" t="str">
        <f t="shared" si="252"/>
        <v>ok</v>
      </c>
      <c r="Y2268" t="str">
        <f t="shared" si="247"/>
        <v>ok</v>
      </c>
      <c r="Z2268" t="str">
        <f t="shared" si="248"/>
        <v>ok</v>
      </c>
      <c r="AA2268" s="4" t="str">
        <f t="shared" si="249"/>
        <v>ok</v>
      </c>
      <c r="AB2268" s="4" t="str">
        <f t="shared" si="250"/>
        <v>ok</v>
      </c>
      <c r="AC2268" s="6">
        <f t="shared" si="251"/>
        <v>4.2872427778202109</v>
      </c>
    </row>
    <row r="2269" spans="1:29" x14ac:dyDescent="0.3">
      <c r="A2269" t="s">
        <v>42</v>
      </c>
      <c r="B2269">
        <v>3888</v>
      </c>
      <c r="C2269" t="s">
        <v>47</v>
      </c>
      <c r="D2269" t="s">
        <v>34</v>
      </c>
      <c r="E2269" t="s">
        <v>48</v>
      </c>
      <c r="F2269" t="s">
        <v>26</v>
      </c>
      <c r="G2269" t="s">
        <v>27</v>
      </c>
      <c r="H2269" s="1">
        <v>45278.709965277776</v>
      </c>
      <c r="I2269" s="1">
        <v>45280.709965277776</v>
      </c>
      <c r="J2269" s="1">
        <v>45278.711354166669</v>
      </c>
      <c r="K2269" s="2">
        <v>45278.710504930554</v>
      </c>
      <c r="L2269" t="s">
        <v>28</v>
      </c>
      <c r="M2269" s="2">
        <v>45280.295871030095</v>
      </c>
      <c r="N2269" t="s">
        <v>28</v>
      </c>
      <c r="P2269">
        <v>4</v>
      </c>
      <c r="R2269" t="s">
        <v>55</v>
      </c>
      <c r="S2269" t="s">
        <v>30</v>
      </c>
      <c r="T2269" t="s">
        <v>56</v>
      </c>
      <c r="U2269">
        <v>52.536273000000001</v>
      </c>
      <c r="V2269">
        <v>19.050639</v>
      </c>
      <c r="W2269" t="str">
        <f t="shared" si="246"/>
        <v>ok</v>
      </c>
      <c r="X2269" t="str">
        <f t="shared" si="252"/>
        <v>ok</v>
      </c>
      <c r="Y2269" t="str">
        <f t="shared" si="247"/>
        <v>ok</v>
      </c>
      <c r="Z2269" t="str">
        <f t="shared" si="248"/>
        <v>ok</v>
      </c>
      <c r="AA2269" s="4" t="str">
        <f t="shared" si="249"/>
        <v>ok</v>
      </c>
      <c r="AB2269" s="4" t="str">
        <f t="shared" si="250"/>
        <v>ok</v>
      </c>
      <c r="AC2269" s="6">
        <f t="shared" si="251"/>
        <v>38.061738055665046</v>
      </c>
    </row>
    <row r="2270" spans="1:29" x14ac:dyDescent="0.3">
      <c r="A2270" t="s">
        <v>22</v>
      </c>
      <c r="B2270">
        <v>3889</v>
      </c>
      <c r="C2270" t="s">
        <v>47</v>
      </c>
      <c r="D2270" t="s">
        <v>43</v>
      </c>
      <c r="E2270" t="s">
        <v>35</v>
      </c>
      <c r="F2270" t="s">
        <v>26</v>
      </c>
      <c r="G2270" t="s">
        <v>52</v>
      </c>
      <c r="H2270" s="1">
        <v>45278.726284722223</v>
      </c>
      <c r="I2270" s="1">
        <v>45279.726284722223</v>
      </c>
      <c r="J2270" s="1">
        <v>45278.727673611109</v>
      </c>
      <c r="K2270" s="2">
        <v>45278.727592118055</v>
      </c>
      <c r="L2270" t="s">
        <v>28</v>
      </c>
      <c r="M2270" s="2">
        <v>45279.71158920139</v>
      </c>
      <c r="N2270" t="s">
        <v>28</v>
      </c>
      <c r="O2270" s="2">
        <v>45280.380890115739</v>
      </c>
      <c r="P2270">
        <v>5</v>
      </c>
      <c r="Q2270">
        <v>4</v>
      </c>
      <c r="R2270" t="s">
        <v>55</v>
      </c>
      <c r="S2270" t="s">
        <v>30</v>
      </c>
      <c r="T2270" t="s">
        <v>63</v>
      </c>
      <c r="U2270">
        <v>55.378051999999997</v>
      </c>
      <c r="V2270">
        <v>-3.4359730000000002</v>
      </c>
      <c r="W2270" t="str">
        <f t="shared" si="246"/>
        <v>ok</v>
      </c>
      <c r="X2270" t="str">
        <f t="shared" si="252"/>
        <v>ok</v>
      </c>
      <c r="Y2270" t="str">
        <f t="shared" si="247"/>
        <v>ok</v>
      </c>
      <c r="Z2270" t="str">
        <f t="shared" si="248"/>
        <v>ok</v>
      </c>
      <c r="AA2270" s="4" t="str">
        <f t="shared" si="249"/>
        <v>ok</v>
      </c>
      <c r="AB2270" s="4" t="str">
        <f t="shared" si="250"/>
        <v>ok</v>
      </c>
      <c r="AC2270" s="6">
        <f t="shared" si="251"/>
        <v>23.647307500010356</v>
      </c>
    </row>
    <row r="2271" spans="1:29" x14ac:dyDescent="0.3">
      <c r="A2271" t="s">
        <v>22</v>
      </c>
      <c r="B2271">
        <v>3890</v>
      </c>
      <c r="C2271" t="s">
        <v>23</v>
      </c>
      <c r="D2271" t="s">
        <v>43</v>
      </c>
      <c r="E2271" t="s">
        <v>35</v>
      </c>
      <c r="F2271" t="s">
        <v>36</v>
      </c>
      <c r="G2271" t="s">
        <v>54</v>
      </c>
      <c r="H2271" s="1">
        <v>45278.350821759261</v>
      </c>
      <c r="I2271" s="1">
        <v>45279.350821759261</v>
      </c>
      <c r="J2271" s="1">
        <v>45278.352210648147</v>
      </c>
      <c r="K2271" s="2">
        <v>45278.351596053239</v>
      </c>
      <c r="L2271" t="s">
        <v>28</v>
      </c>
      <c r="M2271" s="2">
        <v>45278.596851851849</v>
      </c>
      <c r="N2271" t="s">
        <v>28</v>
      </c>
      <c r="O2271" s="2">
        <v>45279.721707928242</v>
      </c>
      <c r="P2271">
        <v>6</v>
      </c>
      <c r="Q2271">
        <v>3</v>
      </c>
      <c r="R2271" t="s">
        <v>55</v>
      </c>
      <c r="S2271" t="s">
        <v>40</v>
      </c>
      <c r="T2271" t="s">
        <v>65</v>
      </c>
      <c r="U2271">
        <v>46.149166399999999</v>
      </c>
      <c r="V2271">
        <v>14.9860106</v>
      </c>
      <c r="W2271" t="str">
        <f t="shared" si="246"/>
        <v>ok</v>
      </c>
      <c r="X2271" t="str">
        <f t="shared" si="252"/>
        <v>ok</v>
      </c>
      <c r="Y2271" t="str">
        <f t="shared" si="247"/>
        <v>ok</v>
      </c>
      <c r="Z2271" t="str">
        <f t="shared" si="248"/>
        <v>ok</v>
      </c>
      <c r="AA2271" s="4" t="str">
        <f t="shared" si="249"/>
        <v>ok</v>
      </c>
      <c r="AB2271" s="4" t="str">
        <f t="shared" si="250"/>
        <v>ok</v>
      </c>
      <c r="AC2271" s="6">
        <f t="shared" si="251"/>
        <v>5.9047222221270204</v>
      </c>
    </row>
    <row r="2272" spans="1:29" x14ac:dyDescent="0.3">
      <c r="A2272" t="s">
        <v>42</v>
      </c>
      <c r="B2272">
        <v>3891</v>
      </c>
      <c r="C2272" t="s">
        <v>23</v>
      </c>
      <c r="D2272" t="s">
        <v>24</v>
      </c>
      <c r="E2272" t="s">
        <v>59</v>
      </c>
      <c r="F2272" t="s">
        <v>26</v>
      </c>
      <c r="G2272" t="s">
        <v>27</v>
      </c>
      <c r="H2272" s="1">
        <v>45278.43074074074</v>
      </c>
      <c r="I2272" s="1">
        <v>45280.43074074074</v>
      </c>
      <c r="J2272" s="1">
        <v>45278.472407407404</v>
      </c>
      <c r="K2272" s="2">
        <v>45278.432028564814</v>
      </c>
      <c r="L2272" t="s">
        <v>28</v>
      </c>
      <c r="M2272" s="2">
        <v>45282.939250150463</v>
      </c>
      <c r="N2272" t="s">
        <v>38</v>
      </c>
      <c r="P2272">
        <v>2</v>
      </c>
      <c r="R2272" t="s">
        <v>29</v>
      </c>
      <c r="S2272" t="s">
        <v>30</v>
      </c>
      <c r="T2272" t="s">
        <v>41</v>
      </c>
      <c r="U2272">
        <v>43.036776000000003</v>
      </c>
      <c r="V2272">
        <v>12.678565000000001</v>
      </c>
      <c r="W2272" t="str">
        <f t="shared" si="246"/>
        <v>ok</v>
      </c>
      <c r="X2272" t="str">
        <f t="shared" si="252"/>
        <v>ok</v>
      </c>
      <c r="Y2272" t="str">
        <f t="shared" si="247"/>
        <v>ok</v>
      </c>
      <c r="Z2272" t="str">
        <f t="shared" si="248"/>
        <v>ok</v>
      </c>
      <c r="AA2272" s="4" t="str">
        <f t="shared" si="249"/>
        <v>ok</v>
      </c>
      <c r="AB2272" s="4" t="str">
        <f t="shared" si="250"/>
        <v>ok</v>
      </c>
      <c r="AC2272" s="6">
        <f t="shared" si="251"/>
        <v>108.20422583335312</v>
      </c>
    </row>
    <row r="2273" spans="1:29" x14ac:dyDescent="0.3">
      <c r="A2273" t="s">
        <v>32</v>
      </c>
      <c r="B2273">
        <v>3892</v>
      </c>
      <c r="C2273" t="s">
        <v>47</v>
      </c>
      <c r="D2273" t="s">
        <v>24</v>
      </c>
      <c r="E2273" t="s">
        <v>35</v>
      </c>
      <c r="F2273" t="s">
        <v>36</v>
      </c>
      <c r="G2273" t="s">
        <v>37</v>
      </c>
      <c r="H2273" s="1">
        <v>45278.562141203707</v>
      </c>
      <c r="I2273" s="1">
        <v>45280.562141203707</v>
      </c>
      <c r="J2273" s="1">
        <v>45278.603807870371</v>
      </c>
      <c r="K2273" s="2">
        <v>45278.578241134259</v>
      </c>
      <c r="L2273" t="s">
        <v>28</v>
      </c>
      <c r="N2273" t="s">
        <v>38</v>
      </c>
      <c r="P2273">
        <v>3</v>
      </c>
      <c r="R2273" t="s">
        <v>50</v>
      </c>
      <c r="S2273" t="s">
        <v>40</v>
      </c>
      <c r="T2273" t="s">
        <v>56</v>
      </c>
      <c r="U2273">
        <v>52.536273000000001</v>
      </c>
      <c r="V2273">
        <v>19.050639</v>
      </c>
      <c r="W2273" t="str">
        <f t="shared" si="246"/>
        <v>ok</v>
      </c>
      <c r="X2273" t="str">
        <f t="shared" si="252"/>
        <v>ok</v>
      </c>
      <c r="Y2273" t="str">
        <f t="shared" si="247"/>
        <v>ok</v>
      </c>
      <c r="Z2273" t="str">
        <f t="shared" si="248"/>
        <v>ok</v>
      </c>
      <c r="AA2273" s="4" t="str">
        <f t="shared" si="249"/>
        <v>ok</v>
      </c>
      <c r="AB2273" s="4" t="str">
        <f t="shared" si="250"/>
        <v>no resolution</v>
      </c>
      <c r="AC2273" s="6" t="str">
        <f t="shared" si="251"/>
        <v/>
      </c>
    </row>
    <row r="2274" spans="1:29" x14ac:dyDescent="0.3">
      <c r="A2274" t="s">
        <v>22</v>
      </c>
      <c r="B2274">
        <v>3893</v>
      </c>
      <c r="C2274" t="s">
        <v>47</v>
      </c>
      <c r="D2274" t="s">
        <v>43</v>
      </c>
      <c r="E2274" t="s">
        <v>35</v>
      </c>
      <c r="F2274" t="s">
        <v>26</v>
      </c>
      <c r="G2274" t="s">
        <v>27</v>
      </c>
      <c r="H2274" s="1">
        <v>45279.482418981483</v>
      </c>
      <c r="I2274" s="1">
        <v>45280.482418981483</v>
      </c>
      <c r="J2274" s="1">
        <v>45279.483807870369</v>
      </c>
      <c r="K2274" s="2">
        <v>45279.482787106484</v>
      </c>
      <c r="L2274" t="s">
        <v>28</v>
      </c>
      <c r="M2274" s="2">
        <v>45282.325297523152</v>
      </c>
      <c r="N2274" t="s">
        <v>38</v>
      </c>
      <c r="O2274" s="2">
        <v>45284.194101261572</v>
      </c>
      <c r="P2274">
        <v>5</v>
      </c>
      <c r="Q2274">
        <v>4</v>
      </c>
      <c r="R2274" t="s">
        <v>50</v>
      </c>
      <c r="S2274" t="s">
        <v>30</v>
      </c>
      <c r="T2274" t="s">
        <v>65</v>
      </c>
      <c r="U2274">
        <v>46.149166399999999</v>
      </c>
      <c r="V2274">
        <v>14.9860106</v>
      </c>
      <c r="W2274" t="str">
        <f t="shared" si="246"/>
        <v>ok</v>
      </c>
      <c r="X2274" t="str">
        <f t="shared" si="252"/>
        <v>ok</v>
      </c>
      <c r="Y2274" t="str">
        <f t="shared" si="247"/>
        <v>ok</v>
      </c>
      <c r="Z2274" t="str">
        <f t="shared" si="248"/>
        <v>ok</v>
      </c>
      <c r="AA2274" s="4" t="str">
        <f t="shared" si="249"/>
        <v>ok</v>
      </c>
      <c r="AB2274" s="4" t="str">
        <f t="shared" si="250"/>
        <v>ok</v>
      </c>
      <c r="AC2274" s="6">
        <f t="shared" si="251"/>
        <v>68.229085000057239</v>
      </c>
    </row>
    <row r="2275" spans="1:29" x14ac:dyDescent="0.3">
      <c r="A2275" t="s">
        <v>42</v>
      </c>
      <c r="B2275">
        <v>3895</v>
      </c>
      <c r="C2275" t="s">
        <v>47</v>
      </c>
      <c r="D2275" t="s">
        <v>43</v>
      </c>
      <c r="E2275" t="s">
        <v>35</v>
      </c>
      <c r="F2275" t="s">
        <v>36</v>
      </c>
      <c r="G2275" t="s">
        <v>64</v>
      </c>
      <c r="H2275" s="1">
        <v>45279.246770833335</v>
      </c>
      <c r="I2275" s="1">
        <v>45280.246770833335</v>
      </c>
      <c r="J2275" s="1">
        <v>45279.248159722221</v>
      </c>
      <c r="K2275" s="2">
        <v>45279.246826122682</v>
      </c>
      <c r="L2275" t="s">
        <v>28</v>
      </c>
      <c r="M2275" s="2">
        <v>45279.520633761575</v>
      </c>
      <c r="N2275" t="s">
        <v>28</v>
      </c>
      <c r="P2275">
        <v>6</v>
      </c>
      <c r="R2275" t="s">
        <v>29</v>
      </c>
      <c r="S2275" t="s">
        <v>40</v>
      </c>
      <c r="T2275" t="s">
        <v>66</v>
      </c>
      <c r="U2275">
        <v>48.864716000000001</v>
      </c>
      <c r="V2275">
        <v>2.3490139999999999</v>
      </c>
      <c r="W2275" t="str">
        <f t="shared" si="246"/>
        <v>ok</v>
      </c>
      <c r="X2275" t="str">
        <f t="shared" si="252"/>
        <v>ok</v>
      </c>
      <c r="Y2275" t="str">
        <f t="shared" si="247"/>
        <v>ok</v>
      </c>
      <c r="Z2275" t="str">
        <f t="shared" si="248"/>
        <v>ok</v>
      </c>
      <c r="AA2275" s="4" t="str">
        <f t="shared" si="249"/>
        <v>ok</v>
      </c>
      <c r="AB2275" s="4" t="str">
        <f t="shared" si="250"/>
        <v>ok</v>
      </c>
      <c r="AC2275" s="6">
        <f t="shared" si="251"/>
        <v>6.5727102777455002</v>
      </c>
    </row>
    <row r="2276" spans="1:29" x14ac:dyDescent="0.3">
      <c r="A2276" t="s">
        <v>42</v>
      </c>
      <c r="B2276">
        <v>3898</v>
      </c>
      <c r="C2276" t="s">
        <v>23</v>
      </c>
      <c r="D2276" t="s">
        <v>43</v>
      </c>
      <c r="E2276" t="s">
        <v>48</v>
      </c>
      <c r="F2276" t="s">
        <v>36</v>
      </c>
      <c r="G2276" t="s">
        <v>37</v>
      </c>
      <c r="H2276" s="1">
        <v>45279.217951388891</v>
      </c>
      <c r="I2276" s="1">
        <v>45280.217951388891</v>
      </c>
      <c r="J2276" s="1">
        <v>45279.219340277778</v>
      </c>
      <c r="K2276" s="2">
        <v>45279.218236527777</v>
      </c>
      <c r="L2276" t="s">
        <v>28</v>
      </c>
      <c r="M2276" s="2">
        <v>45282.737294340281</v>
      </c>
      <c r="N2276" t="s">
        <v>38</v>
      </c>
      <c r="P2276">
        <v>5</v>
      </c>
      <c r="R2276" t="s">
        <v>55</v>
      </c>
      <c r="S2276" t="s">
        <v>40</v>
      </c>
      <c r="T2276" t="s">
        <v>41</v>
      </c>
      <c r="U2276">
        <v>43.036776000000003</v>
      </c>
      <c r="V2276">
        <v>12.678565000000001</v>
      </c>
      <c r="W2276" t="str">
        <f t="shared" si="246"/>
        <v>ok</v>
      </c>
      <c r="X2276" t="str">
        <f t="shared" si="252"/>
        <v>ok</v>
      </c>
      <c r="Y2276" t="str">
        <f t="shared" si="247"/>
        <v>ok</v>
      </c>
      <c r="Z2276" t="str">
        <f t="shared" si="248"/>
        <v>ok</v>
      </c>
      <c r="AA2276" s="4" t="str">
        <f t="shared" si="249"/>
        <v>ok</v>
      </c>
      <c r="AB2276" s="4" t="str">
        <f t="shared" si="250"/>
        <v>ok</v>
      </c>
      <c r="AC2276" s="6">
        <f t="shared" si="251"/>
        <v>84.464230833342299</v>
      </c>
    </row>
    <row r="2277" spans="1:29" x14ac:dyDescent="0.3">
      <c r="A2277" t="s">
        <v>22</v>
      </c>
      <c r="B2277">
        <v>3900</v>
      </c>
      <c r="C2277" t="s">
        <v>23</v>
      </c>
      <c r="D2277" t="s">
        <v>43</v>
      </c>
      <c r="E2277" t="s">
        <v>35</v>
      </c>
      <c r="F2277" t="s">
        <v>26</v>
      </c>
      <c r="G2277" t="s">
        <v>49</v>
      </c>
      <c r="H2277" s="1">
        <v>45279.032962962963</v>
      </c>
      <c r="I2277" s="1">
        <v>45280.032962962963</v>
      </c>
      <c r="J2277" s="1">
        <v>45279.034351851849</v>
      </c>
      <c r="K2277" s="2">
        <v>45279.03392415509</v>
      </c>
      <c r="L2277" t="s">
        <v>28</v>
      </c>
      <c r="M2277" s="2">
        <v>45279.460149282408</v>
      </c>
      <c r="N2277" t="s">
        <v>28</v>
      </c>
      <c r="O2277" s="2">
        <v>45283.885261122683</v>
      </c>
      <c r="P2277">
        <v>5</v>
      </c>
      <c r="Q2277">
        <v>3</v>
      </c>
      <c r="R2277" t="s">
        <v>29</v>
      </c>
      <c r="S2277" t="s">
        <v>30</v>
      </c>
      <c r="T2277" t="s">
        <v>66</v>
      </c>
      <c r="U2277">
        <v>48.864716000000001</v>
      </c>
      <c r="V2277">
        <v>2.3490139999999999</v>
      </c>
      <c r="W2277" t="str">
        <f t="shared" si="246"/>
        <v>ok</v>
      </c>
      <c r="X2277" t="str">
        <f t="shared" si="252"/>
        <v>ok</v>
      </c>
      <c r="Y2277" t="str">
        <f t="shared" si="247"/>
        <v>ok</v>
      </c>
      <c r="Z2277" t="str">
        <f t="shared" si="248"/>
        <v>ok</v>
      </c>
      <c r="AA2277" s="4" t="str">
        <f t="shared" si="249"/>
        <v>ok</v>
      </c>
      <c r="AB2277" s="4" t="str">
        <f t="shared" si="250"/>
        <v>ok</v>
      </c>
      <c r="AC2277" s="6">
        <f t="shared" si="251"/>
        <v>10.252471666666679</v>
      </c>
    </row>
    <row r="2278" spans="1:29" x14ac:dyDescent="0.3">
      <c r="A2278" t="s">
        <v>42</v>
      </c>
      <c r="B2278">
        <v>3901</v>
      </c>
      <c r="C2278" t="s">
        <v>23</v>
      </c>
      <c r="D2278" t="s">
        <v>24</v>
      </c>
      <c r="E2278" t="s">
        <v>44</v>
      </c>
      <c r="F2278" t="s">
        <v>26</v>
      </c>
      <c r="G2278" t="s">
        <v>27</v>
      </c>
      <c r="H2278" s="1">
        <v>45279.831678240742</v>
      </c>
      <c r="I2278" s="1">
        <v>45281.831678240742</v>
      </c>
      <c r="J2278" s="1">
        <v>45279.873344907406</v>
      </c>
      <c r="K2278" s="2">
        <v>45279.857368310186</v>
      </c>
      <c r="L2278" t="s">
        <v>28</v>
      </c>
      <c r="M2278" s="2">
        <v>45280.432337013888</v>
      </c>
      <c r="N2278" t="s">
        <v>28</v>
      </c>
      <c r="P2278">
        <v>2</v>
      </c>
      <c r="R2278" t="s">
        <v>50</v>
      </c>
      <c r="S2278" t="s">
        <v>30</v>
      </c>
      <c r="T2278" t="s">
        <v>31</v>
      </c>
      <c r="U2278">
        <v>53.094023999999997</v>
      </c>
      <c r="V2278">
        <v>-8.0196749999999994</v>
      </c>
      <c r="W2278" t="str">
        <f t="shared" si="246"/>
        <v>ok</v>
      </c>
      <c r="X2278" t="str">
        <f t="shared" si="252"/>
        <v>ok</v>
      </c>
      <c r="Y2278" t="str">
        <f t="shared" si="247"/>
        <v>ok</v>
      </c>
      <c r="Z2278" t="str">
        <f t="shared" si="248"/>
        <v>ok</v>
      </c>
      <c r="AA2278" s="4" t="str">
        <f t="shared" si="249"/>
        <v>ok</v>
      </c>
      <c r="AB2278" s="4" t="str">
        <f t="shared" si="250"/>
        <v>ok</v>
      </c>
      <c r="AC2278" s="6">
        <f t="shared" si="251"/>
        <v>14.415810555510689</v>
      </c>
    </row>
    <row r="2279" spans="1:29" x14ac:dyDescent="0.3">
      <c r="A2279" t="s">
        <v>22</v>
      </c>
      <c r="B2279">
        <v>3902</v>
      </c>
      <c r="C2279" t="s">
        <v>47</v>
      </c>
      <c r="D2279" t="s">
        <v>24</v>
      </c>
      <c r="E2279" t="s">
        <v>35</v>
      </c>
      <c r="F2279" t="s">
        <v>36</v>
      </c>
      <c r="G2279" t="s">
        <v>54</v>
      </c>
      <c r="H2279" s="1">
        <v>45279.962037037039</v>
      </c>
      <c r="I2279" s="1">
        <v>45281.962037037039</v>
      </c>
      <c r="J2279" s="1">
        <v>45280.003703703704</v>
      </c>
      <c r="K2279" s="2">
        <v>45279.982729918978</v>
      </c>
      <c r="L2279" t="s">
        <v>28</v>
      </c>
      <c r="M2279" s="2">
        <v>45281.86250145833</v>
      </c>
      <c r="N2279" t="s">
        <v>28</v>
      </c>
      <c r="O2279" s="2">
        <v>45284.452553171293</v>
      </c>
      <c r="P2279">
        <v>9</v>
      </c>
      <c r="Q2279">
        <v>4</v>
      </c>
      <c r="R2279" t="s">
        <v>29</v>
      </c>
      <c r="S2279" t="s">
        <v>40</v>
      </c>
      <c r="T2279" t="s">
        <v>41</v>
      </c>
      <c r="U2279">
        <v>43.036776000000003</v>
      </c>
      <c r="V2279">
        <v>12.678565000000001</v>
      </c>
      <c r="W2279" t="str">
        <f t="shared" si="246"/>
        <v>ok</v>
      </c>
      <c r="X2279" t="str">
        <f t="shared" si="252"/>
        <v>ok</v>
      </c>
      <c r="Y2279" t="str">
        <f t="shared" si="247"/>
        <v>ok</v>
      </c>
      <c r="Z2279" t="str">
        <f t="shared" si="248"/>
        <v>ok</v>
      </c>
      <c r="AA2279" s="4" t="str">
        <f t="shared" si="249"/>
        <v>ok</v>
      </c>
      <c r="AB2279" s="4" t="str">
        <f t="shared" si="250"/>
        <v>ok</v>
      </c>
      <c r="AC2279" s="6">
        <f t="shared" si="251"/>
        <v>45.6111461109831</v>
      </c>
    </row>
    <row r="2280" spans="1:29" x14ac:dyDescent="0.3">
      <c r="A2280" t="s">
        <v>68</v>
      </c>
      <c r="B2280">
        <v>3903</v>
      </c>
      <c r="C2280" t="s">
        <v>33</v>
      </c>
      <c r="D2280" t="s">
        <v>24</v>
      </c>
      <c r="E2280" t="s">
        <v>39</v>
      </c>
      <c r="F2280" t="s">
        <v>26</v>
      </c>
      <c r="G2280" t="s">
        <v>49</v>
      </c>
      <c r="H2280" s="1">
        <v>45279.366157407407</v>
      </c>
      <c r="I2280" s="1">
        <v>45281.366157407407</v>
      </c>
      <c r="J2280" s="1">
        <v>45279.407824074071</v>
      </c>
      <c r="L2280" t="s">
        <v>38</v>
      </c>
      <c r="N2280" t="s">
        <v>38</v>
      </c>
      <c r="R2280" t="s">
        <v>50</v>
      </c>
      <c r="S2280" t="s">
        <v>30</v>
      </c>
      <c r="T2280" t="s">
        <v>63</v>
      </c>
      <c r="U2280">
        <v>55.378051999999997</v>
      </c>
      <c r="V2280">
        <v>-3.4359730000000002</v>
      </c>
      <c r="W2280" t="str">
        <f t="shared" si="246"/>
        <v>check</v>
      </c>
      <c r="X2280" t="str">
        <f t="shared" si="252"/>
        <v>ok</v>
      </c>
      <c r="Y2280" t="str">
        <f t="shared" si="247"/>
        <v>ok</v>
      </c>
      <c r="Z2280" t="str">
        <f t="shared" si="248"/>
        <v>ok</v>
      </c>
      <c r="AA2280" s="4" t="str">
        <f t="shared" si="249"/>
        <v>no response</v>
      </c>
      <c r="AB2280" s="4" t="str">
        <f t="shared" si="250"/>
        <v>no resolution</v>
      </c>
      <c r="AC2280" s="6" t="str">
        <f t="shared" si="251"/>
        <v/>
      </c>
    </row>
    <row r="2281" spans="1:29" x14ac:dyDescent="0.3">
      <c r="A2281" t="s">
        <v>42</v>
      </c>
      <c r="B2281">
        <v>3904</v>
      </c>
      <c r="C2281" t="s">
        <v>23</v>
      </c>
      <c r="D2281" t="s">
        <v>24</v>
      </c>
      <c r="E2281" t="s">
        <v>35</v>
      </c>
      <c r="F2281" t="s">
        <v>26</v>
      </c>
      <c r="G2281" t="s">
        <v>45</v>
      </c>
      <c r="H2281" s="1">
        <v>45279.230821759258</v>
      </c>
      <c r="I2281" s="1">
        <v>45281.230821759258</v>
      </c>
      <c r="J2281" s="1">
        <v>45279.272488425922</v>
      </c>
      <c r="K2281" s="2">
        <v>45279.239142303239</v>
      </c>
      <c r="L2281" t="s">
        <v>28</v>
      </c>
      <c r="M2281" s="2">
        <v>45280.282477245368</v>
      </c>
      <c r="N2281" t="s">
        <v>28</v>
      </c>
      <c r="P2281">
        <v>6</v>
      </c>
      <c r="R2281" t="s">
        <v>39</v>
      </c>
      <c r="S2281" t="s">
        <v>30</v>
      </c>
      <c r="T2281" t="s">
        <v>56</v>
      </c>
      <c r="U2281">
        <v>52.536273000000001</v>
      </c>
      <c r="V2281">
        <v>19.050639</v>
      </c>
      <c r="W2281" t="str">
        <f t="shared" si="246"/>
        <v>ok</v>
      </c>
      <c r="X2281" t="str">
        <f t="shared" si="252"/>
        <v>ok</v>
      </c>
      <c r="Y2281" t="str">
        <f t="shared" si="247"/>
        <v>ok</v>
      </c>
      <c r="Z2281" t="str">
        <f t="shared" si="248"/>
        <v>ok</v>
      </c>
      <c r="AA2281" s="4" t="str">
        <f t="shared" si="249"/>
        <v>ok</v>
      </c>
      <c r="AB2281" s="4" t="str">
        <f t="shared" si="250"/>
        <v>ok</v>
      </c>
      <c r="AC2281" s="6">
        <f t="shared" si="251"/>
        <v>25.239731666631997</v>
      </c>
    </row>
    <row r="2282" spans="1:29" x14ac:dyDescent="0.3">
      <c r="A2282" t="s">
        <v>42</v>
      </c>
      <c r="B2282">
        <v>3905</v>
      </c>
      <c r="C2282" t="s">
        <v>23</v>
      </c>
      <c r="D2282" t="s">
        <v>24</v>
      </c>
      <c r="E2282" t="s">
        <v>62</v>
      </c>
      <c r="F2282" t="s">
        <v>36</v>
      </c>
      <c r="G2282" t="s">
        <v>64</v>
      </c>
      <c r="H2282" s="1">
        <v>45280.134988425925</v>
      </c>
      <c r="I2282" s="1">
        <v>45282.134988425925</v>
      </c>
      <c r="J2282" s="1">
        <v>45280.176655092589</v>
      </c>
      <c r="K2282" s="2">
        <v>45280.419180659723</v>
      </c>
      <c r="L2282" t="s">
        <v>38</v>
      </c>
      <c r="M2282" s="2">
        <v>45281.055000659719</v>
      </c>
      <c r="N2282" t="s">
        <v>28</v>
      </c>
      <c r="P2282">
        <v>7</v>
      </c>
      <c r="R2282" t="s">
        <v>55</v>
      </c>
      <c r="S2282" t="s">
        <v>40</v>
      </c>
      <c r="T2282" t="s">
        <v>56</v>
      </c>
      <c r="U2282">
        <v>52.536273000000001</v>
      </c>
      <c r="V2282">
        <v>19.050639</v>
      </c>
      <c r="W2282" t="str">
        <f t="shared" si="246"/>
        <v>ok</v>
      </c>
      <c r="X2282" t="str">
        <f t="shared" si="252"/>
        <v>ok</v>
      </c>
      <c r="Y2282" t="str">
        <f t="shared" si="247"/>
        <v>ok</v>
      </c>
      <c r="Z2282" t="str">
        <f t="shared" si="248"/>
        <v>ok</v>
      </c>
      <c r="AA2282" s="4" t="str">
        <f t="shared" si="249"/>
        <v>ok</v>
      </c>
      <c r="AB2282" s="4" t="str">
        <f t="shared" si="250"/>
        <v>ok</v>
      </c>
      <c r="AC2282" s="6">
        <f t="shared" si="251"/>
        <v>22.08029361104127</v>
      </c>
    </row>
    <row r="2283" spans="1:29" x14ac:dyDescent="0.3">
      <c r="A2283" t="s">
        <v>22</v>
      </c>
      <c r="B2283">
        <v>3906</v>
      </c>
      <c r="C2283" t="s">
        <v>23</v>
      </c>
      <c r="D2283" t="s">
        <v>43</v>
      </c>
      <c r="E2283" t="s">
        <v>48</v>
      </c>
      <c r="F2283" t="s">
        <v>36</v>
      </c>
      <c r="G2283" t="s">
        <v>64</v>
      </c>
      <c r="H2283" s="1">
        <v>45280.263553240744</v>
      </c>
      <c r="I2283" s="1">
        <v>45281.263553240744</v>
      </c>
      <c r="J2283" s="1">
        <v>45280.26494212963</v>
      </c>
      <c r="K2283" s="2">
        <v>45280.265686990744</v>
      </c>
      <c r="L2283" t="s">
        <v>38</v>
      </c>
      <c r="M2283" s="2">
        <v>45280.42868636574</v>
      </c>
      <c r="N2283" t="s">
        <v>28</v>
      </c>
      <c r="O2283" s="2">
        <v>45281.438748217595</v>
      </c>
      <c r="P2283">
        <v>2</v>
      </c>
      <c r="Q2283">
        <v>5</v>
      </c>
      <c r="R2283" t="s">
        <v>50</v>
      </c>
      <c r="S2283" t="s">
        <v>40</v>
      </c>
      <c r="T2283" t="s">
        <v>41</v>
      </c>
      <c r="U2283">
        <v>43.036776000000003</v>
      </c>
      <c r="V2283">
        <v>12.678565000000001</v>
      </c>
      <c r="W2283" t="str">
        <f t="shared" si="246"/>
        <v>ok</v>
      </c>
      <c r="X2283" t="str">
        <f t="shared" si="252"/>
        <v>ok</v>
      </c>
      <c r="Y2283" t="str">
        <f t="shared" si="247"/>
        <v>ok</v>
      </c>
      <c r="Z2283" t="str">
        <f t="shared" si="248"/>
        <v>ok</v>
      </c>
      <c r="AA2283" s="4" t="str">
        <f t="shared" si="249"/>
        <v>ok</v>
      </c>
      <c r="AB2283" s="4" t="str">
        <f t="shared" si="250"/>
        <v>ok</v>
      </c>
      <c r="AC2283" s="6">
        <f t="shared" si="251"/>
        <v>3.9631949999020435</v>
      </c>
    </row>
    <row r="2284" spans="1:29" x14ac:dyDescent="0.3">
      <c r="A2284" t="s">
        <v>68</v>
      </c>
      <c r="B2284">
        <v>3907</v>
      </c>
      <c r="C2284" t="s">
        <v>23</v>
      </c>
      <c r="D2284" t="s">
        <v>24</v>
      </c>
      <c r="E2284" t="s">
        <v>39</v>
      </c>
      <c r="F2284" t="s">
        <v>26</v>
      </c>
      <c r="G2284" t="s">
        <v>60</v>
      </c>
      <c r="H2284" s="1">
        <v>45280.922824074078</v>
      </c>
      <c r="I2284" s="1">
        <v>45282.922824074078</v>
      </c>
      <c r="J2284" s="1">
        <v>45280.964490740742</v>
      </c>
      <c r="L2284" t="s">
        <v>38</v>
      </c>
      <c r="N2284" t="s">
        <v>38</v>
      </c>
      <c r="R2284" t="s">
        <v>50</v>
      </c>
      <c r="S2284" t="s">
        <v>30</v>
      </c>
      <c r="T2284" t="s">
        <v>41</v>
      </c>
      <c r="U2284">
        <v>43.036776000000003</v>
      </c>
      <c r="V2284">
        <v>12.678565000000001</v>
      </c>
      <c r="W2284" t="str">
        <f t="shared" si="246"/>
        <v>check</v>
      </c>
      <c r="X2284" t="str">
        <f t="shared" si="252"/>
        <v>ok</v>
      </c>
      <c r="Y2284" t="str">
        <f t="shared" si="247"/>
        <v>ok</v>
      </c>
      <c r="Z2284" t="str">
        <f t="shared" si="248"/>
        <v>ok</v>
      </c>
      <c r="AA2284" s="4" t="str">
        <f t="shared" si="249"/>
        <v>no response</v>
      </c>
      <c r="AB2284" s="4" t="str">
        <f t="shared" si="250"/>
        <v>no resolution</v>
      </c>
      <c r="AC2284" s="6" t="str">
        <f t="shared" si="251"/>
        <v/>
      </c>
    </row>
    <row r="2285" spans="1:29" x14ac:dyDescent="0.3">
      <c r="A2285" t="s">
        <v>42</v>
      </c>
      <c r="B2285">
        <v>3908</v>
      </c>
      <c r="C2285" t="s">
        <v>33</v>
      </c>
      <c r="D2285" t="s">
        <v>24</v>
      </c>
      <c r="E2285" t="s">
        <v>48</v>
      </c>
      <c r="F2285" t="s">
        <v>26</v>
      </c>
      <c r="G2285" t="s">
        <v>27</v>
      </c>
      <c r="H2285" s="1">
        <v>45280.752569444441</v>
      </c>
      <c r="I2285" s="1">
        <v>45282.752569444441</v>
      </c>
      <c r="J2285" s="1">
        <v>45280.794236111113</v>
      </c>
      <c r="K2285" s="2">
        <v>45280.780636296295</v>
      </c>
      <c r="L2285" t="s">
        <v>28</v>
      </c>
      <c r="M2285" s="2">
        <v>45282.530522939815</v>
      </c>
      <c r="N2285" t="s">
        <v>28</v>
      </c>
      <c r="P2285">
        <v>10</v>
      </c>
      <c r="R2285" t="s">
        <v>55</v>
      </c>
      <c r="S2285" t="s">
        <v>30</v>
      </c>
      <c r="T2285" t="s">
        <v>56</v>
      </c>
      <c r="U2285">
        <v>52.536273000000001</v>
      </c>
      <c r="V2285">
        <v>19.050639</v>
      </c>
      <c r="W2285" t="str">
        <f t="shared" si="246"/>
        <v>ok</v>
      </c>
      <c r="X2285" t="str">
        <f t="shared" si="252"/>
        <v>ok</v>
      </c>
      <c r="Y2285" t="str">
        <f t="shared" si="247"/>
        <v>ok</v>
      </c>
      <c r="Z2285" t="str">
        <f t="shared" si="248"/>
        <v>ok</v>
      </c>
      <c r="AA2285" s="4" t="str">
        <f t="shared" si="249"/>
        <v>ok</v>
      </c>
      <c r="AB2285" s="4" t="str">
        <f t="shared" si="250"/>
        <v>ok</v>
      </c>
      <c r="AC2285" s="6">
        <f t="shared" si="251"/>
        <v>42.670883888960816</v>
      </c>
    </row>
    <row r="2286" spans="1:29" x14ac:dyDescent="0.3">
      <c r="A2286" t="s">
        <v>42</v>
      </c>
      <c r="B2286">
        <v>3909</v>
      </c>
      <c r="C2286" t="s">
        <v>23</v>
      </c>
      <c r="D2286" t="s">
        <v>43</v>
      </c>
      <c r="E2286" t="s">
        <v>48</v>
      </c>
      <c r="F2286" t="s">
        <v>26</v>
      </c>
      <c r="G2286" t="s">
        <v>27</v>
      </c>
      <c r="H2286" s="1">
        <v>45280.119039351855</v>
      </c>
      <c r="I2286" s="1">
        <v>45281.119039351855</v>
      </c>
      <c r="J2286" s="1">
        <v>45280.120428240742</v>
      </c>
      <c r="K2286" s="2">
        <v>45280.120106851849</v>
      </c>
      <c r="L2286" t="s">
        <v>28</v>
      </c>
      <c r="M2286" s="2">
        <v>45284.787536620373</v>
      </c>
      <c r="N2286" t="s">
        <v>38</v>
      </c>
      <c r="P2286">
        <v>5</v>
      </c>
      <c r="R2286" t="s">
        <v>50</v>
      </c>
      <c r="S2286" t="s">
        <v>30</v>
      </c>
      <c r="T2286" t="s">
        <v>31</v>
      </c>
      <c r="U2286">
        <v>53.094023999999997</v>
      </c>
      <c r="V2286">
        <v>-8.0196749999999994</v>
      </c>
      <c r="W2286" t="str">
        <f t="shared" si="246"/>
        <v>ok</v>
      </c>
      <c r="X2286" t="str">
        <f t="shared" si="252"/>
        <v>ok</v>
      </c>
      <c r="Y2286" t="str">
        <f t="shared" si="247"/>
        <v>ok</v>
      </c>
      <c r="Z2286" t="str">
        <f t="shared" si="248"/>
        <v>ok</v>
      </c>
      <c r="AA2286" s="4" t="str">
        <f t="shared" si="249"/>
        <v>ok</v>
      </c>
      <c r="AB2286" s="4" t="str">
        <f t="shared" si="250"/>
        <v>ok</v>
      </c>
      <c r="AC2286" s="6">
        <f t="shared" si="251"/>
        <v>112.04393444443122</v>
      </c>
    </row>
    <row r="2287" spans="1:29" x14ac:dyDescent="0.3">
      <c r="A2287" t="s">
        <v>22</v>
      </c>
      <c r="B2287">
        <v>3910</v>
      </c>
      <c r="C2287" t="s">
        <v>23</v>
      </c>
      <c r="D2287" t="s">
        <v>43</v>
      </c>
      <c r="E2287" t="s">
        <v>48</v>
      </c>
      <c r="F2287" t="s">
        <v>26</v>
      </c>
      <c r="G2287" t="s">
        <v>45</v>
      </c>
      <c r="H2287" s="1">
        <v>45280.975416666668</v>
      </c>
      <c r="I2287" s="1">
        <v>45281.975416666668</v>
      </c>
      <c r="J2287" s="1">
        <v>45280.976805555554</v>
      </c>
      <c r="K2287" s="2">
        <v>45280.97910128472</v>
      </c>
      <c r="L2287" t="s">
        <v>38</v>
      </c>
      <c r="M2287" s="2">
        <v>45285.390356435186</v>
      </c>
      <c r="N2287" t="s">
        <v>38</v>
      </c>
      <c r="O2287" s="2">
        <v>45285.509223217596</v>
      </c>
      <c r="P2287">
        <v>6</v>
      </c>
      <c r="Q2287">
        <v>1</v>
      </c>
      <c r="R2287" t="s">
        <v>39</v>
      </c>
      <c r="S2287" t="s">
        <v>30</v>
      </c>
      <c r="T2287" t="s">
        <v>65</v>
      </c>
      <c r="U2287">
        <v>46.149166399999999</v>
      </c>
      <c r="V2287">
        <v>14.9860106</v>
      </c>
      <c r="W2287" t="str">
        <f t="shared" si="246"/>
        <v>ok</v>
      </c>
      <c r="X2287" t="str">
        <f t="shared" si="252"/>
        <v>ok</v>
      </c>
      <c r="Y2287" t="str">
        <f t="shared" si="247"/>
        <v>ok</v>
      </c>
      <c r="Z2287" t="str">
        <f t="shared" si="248"/>
        <v>ok</v>
      </c>
      <c r="AA2287" s="4" t="str">
        <f t="shared" si="249"/>
        <v>ok</v>
      </c>
      <c r="AB2287" s="4" t="str">
        <f t="shared" si="250"/>
        <v>ok</v>
      </c>
      <c r="AC2287" s="6">
        <f t="shared" si="251"/>
        <v>105.95855444442714</v>
      </c>
    </row>
    <row r="2288" spans="1:29" x14ac:dyDescent="0.3">
      <c r="A2288" t="s">
        <v>32</v>
      </c>
      <c r="B2288">
        <v>3911</v>
      </c>
      <c r="C2288" t="s">
        <v>23</v>
      </c>
      <c r="D2288" t="s">
        <v>43</v>
      </c>
      <c r="E2288" t="s">
        <v>25</v>
      </c>
      <c r="F2288" t="s">
        <v>26</v>
      </c>
      <c r="G2288" t="s">
        <v>60</v>
      </c>
      <c r="H2288" s="1">
        <v>45280.503182870372</v>
      </c>
      <c r="I2288" s="1">
        <v>45281.503182870372</v>
      </c>
      <c r="J2288" s="1">
        <v>45280.504571759258</v>
      </c>
      <c r="K2288" s="2">
        <v>45280.503259687503</v>
      </c>
      <c r="L2288" t="s">
        <v>28</v>
      </c>
      <c r="N2288" t="s">
        <v>38</v>
      </c>
      <c r="P2288">
        <v>2</v>
      </c>
      <c r="R2288" t="s">
        <v>50</v>
      </c>
      <c r="S2288" t="s">
        <v>30</v>
      </c>
      <c r="T2288" t="s">
        <v>53</v>
      </c>
      <c r="U2288">
        <v>39.368279000000001</v>
      </c>
      <c r="V2288">
        <v>21.863140999999999</v>
      </c>
      <c r="W2288" t="str">
        <f t="shared" si="246"/>
        <v>ok</v>
      </c>
      <c r="X2288" t="str">
        <f t="shared" si="252"/>
        <v>ok</v>
      </c>
      <c r="Y2288" t="str">
        <f t="shared" si="247"/>
        <v>ok</v>
      </c>
      <c r="Z2288" t="str">
        <f t="shared" si="248"/>
        <v>ok</v>
      </c>
      <c r="AA2288" s="4" t="str">
        <f t="shared" si="249"/>
        <v>ok</v>
      </c>
      <c r="AB2288" s="4" t="str">
        <f t="shared" si="250"/>
        <v>no resolution</v>
      </c>
      <c r="AC2288" s="6" t="str">
        <f t="shared" si="251"/>
        <v/>
      </c>
    </row>
    <row r="2289" spans="1:29" x14ac:dyDescent="0.3">
      <c r="A2289" t="s">
        <v>42</v>
      </c>
      <c r="B2289">
        <v>3912</v>
      </c>
      <c r="C2289" t="s">
        <v>23</v>
      </c>
      <c r="D2289" t="s">
        <v>34</v>
      </c>
      <c r="E2289" t="s">
        <v>48</v>
      </c>
      <c r="F2289" t="s">
        <v>26</v>
      </c>
      <c r="G2289" t="s">
        <v>27</v>
      </c>
      <c r="H2289" s="1">
        <v>45280.828333333331</v>
      </c>
      <c r="I2289" s="1">
        <v>45282.828333333331</v>
      </c>
      <c r="J2289" s="1">
        <v>45280.829722222225</v>
      </c>
      <c r="K2289" s="2">
        <v>45280.82842824074</v>
      </c>
      <c r="L2289" t="s">
        <v>28</v>
      </c>
      <c r="M2289" s="2">
        <v>45281.1202312963</v>
      </c>
      <c r="N2289" t="s">
        <v>28</v>
      </c>
      <c r="P2289">
        <v>5</v>
      </c>
      <c r="R2289" t="s">
        <v>55</v>
      </c>
      <c r="S2289" t="s">
        <v>30</v>
      </c>
      <c r="T2289" t="s">
        <v>56</v>
      </c>
      <c r="U2289">
        <v>52.536273000000001</v>
      </c>
      <c r="V2289">
        <v>19.050639</v>
      </c>
      <c r="W2289" t="str">
        <f t="shared" si="246"/>
        <v>ok</v>
      </c>
      <c r="X2289" t="str">
        <f t="shared" si="252"/>
        <v>ok</v>
      </c>
      <c r="Y2289" t="str">
        <f t="shared" si="247"/>
        <v>ok</v>
      </c>
      <c r="Z2289" t="str">
        <f t="shared" si="248"/>
        <v>ok</v>
      </c>
      <c r="AA2289" s="4" t="str">
        <f t="shared" si="249"/>
        <v>ok</v>
      </c>
      <c r="AB2289" s="4" t="str">
        <f t="shared" si="250"/>
        <v>ok</v>
      </c>
      <c r="AC2289" s="6">
        <f t="shared" si="251"/>
        <v>7.0055511112441309</v>
      </c>
    </row>
    <row r="2290" spans="1:29" x14ac:dyDescent="0.3">
      <c r="A2290" t="s">
        <v>22</v>
      </c>
      <c r="B2290">
        <v>3913</v>
      </c>
      <c r="C2290" t="s">
        <v>33</v>
      </c>
      <c r="D2290" t="s">
        <v>43</v>
      </c>
      <c r="E2290" t="s">
        <v>35</v>
      </c>
      <c r="F2290" t="s">
        <v>36</v>
      </c>
      <c r="G2290" t="s">
        <v>64</v>
      </c>
      <c r="H2290" s="1">
        <v>45281.665543981479</v>
      </c>
      <c r="I2290" s="1">
        <v>45282.665543981479</v>
      </c>
      <c r="J2290" s="1">
        <v>45281.666932870372</v>
      </c>
      <c r="K2290" s="2">
        <v>45281.666402280091</v>
      </c>
      <c r="L2290" t="s">
        <v>28</v>
      </c>
      <c r="M2290" s="2">
        <v>45282.362338263891</v>
      </c>
      <c r="N2290" t="s">
        <v>28</v>
      </c>
      <c r="O2290" s="2">
        <v>45288.304616504633</v>
      </c>
      <c r="P2290">
        <v>6</v>
      </c>
      <c r="Q2290">
        <v>3</v>
      </c>
      <c r="R2290" t="s">
        <v>29</v>
      </c>
      <c r="S2290" t="s">
        <v>40</v>
      </c>
      <c r="T2290" t="s">
        <v>57</v>
      </c>
      <c r="U2290">
        <v>51.165691000000002</v>
      </c>
      <c r="V2290">
        <v>10.451525999999999</v>
      </c>
      <c r="W2290" t="str">
        <f t="shared" si="246"/>
        <v>ok</v>
      </c>
      <c r="X2290" t="str">
        <f t="shared" si="252"/>
        <v>ok</v>
      </c>
      <c r="Y2290" t="str">
        <f t="shared" si="247"/>
        <v>ok</v>
      </c>
      <c r="Z2290" t="str">
        <f t="shared" si="248"/>
        <v>ok</v>
      </c>
      <c r="AA2290" s="4" t="str">
        <f t="shared" si="249"/>
        <v>ok</v>
      </c>
      <c r="AB2290" s="4" t="str">
        <f t="shared" si="250"/>
        <v>ok</v>
      </c>
      <c r="AC2290" s="6">
        <f t="shared" si="251"/>
        <v>16.723062777891755</v>
      </c>
    </row>
    <row r="2291" spans="1:29" x14ac:dyDescent="0.3">
      <c r="A2291" t="s">
        <v>68</v>
      </c>
      <c r="B2291">
        <v>3914</v>
      </c>
      <c r="C2291" t="s">
        <v>47</v>
      </c>
      <c r="D2291" t="s">
        <v>24</v>
      </c>
      <c r="E2291" t="s">
        <v>35</v>
      </c>
      <c r="F2291" t="s">
        <v>26</v>
      </c>
      <c r="G2291" t="s">
        <v>60</v>
      </c>
      <c r="H2291" s="1">
        <v>45281.846550925926</v>
      </c>
      <c r="I2291" s="1">
        <v>45283.846550925926</v>
      </c>
      <c r="J2291" s="1">
        <v>45281.88821759259</v>
      </c>
      <c r="L2291" t="s">
        <v>38</v>
      </c>
      <c r="N2291" t="s">
        <v>38</v>
      </c>
      <c r="R2291" t="s">
        <v>55</v>
      </c>
      <c r="S2291" t="s">
        <v>30</v>
      </c>
      <c r="T2291" t="s">
        <v>58</v>
      </c>
      <c r="U2291">
        <v>49.8037633</v>
      </c>
      <c r="V2291">
        <v>15.4749126</v>
      </c>
      <c r="W2291" t="str">
        <f t="shared" si="246"/>
        <v>check</v>
      </c>
      <c r="X2291" t="str">
        <f t="shared" si="252"/>
        <v>ok</v>
      </c>
      <c r="Y2291" t="str">
        <f t="shared" si="247"/>
        <v>ok</v>
      </c>
      <c r="Z2291" t="str">
        <f t="shared" si="248"/>
        <v>ok</v>
      </c>
      <c r="AA2291" s="4" t="str">
        <f t="shared" si="249"/>
        <v>no response</v>
      </c>
      <c r="AB2291" s="4" t="str">
        <f t="shared" si="250"/>
        <v>no resolution</v>
      </c>
      <c r="AC2291" s="6" t="str">
        <f t="shared" si="251"/>
        <v/>
      </c>
    </row>
    <row r="2292" spans="1:29" x14ac:dyDescent="0.3">
      <c r="A2292" t="s">
        <v>22</v>
      </c>
      <c r="B2292">
        <v>3915</v>
      </c>
      <c r="C2292" t="s">
        <v>33</v>
      </c>
      <c r="D2292" t="s">
        <v>24</v>
      </c>
      <c r="E2292" t="s">
        <v>59</v>
      </c>
      <c r="F2292" t="s">
        <v>26</v>
      </c>
      <c r="G2292" t="s">
        <v>52</v>
      </c>
      <c r="H2292" s="1">
        <v>45281.865416666667</v>
      </c>
      <c r="I2292" s="1">
        <v>45283.865416666667</v>
      </c>
      <c r="J2292" s="1">
        <v>45281.907083333332</v>
      </c>
      <c r="K2292" s="2">
        <v>45281.899201168984</v>
      </c>
      <c r="L2292" t="s">
        <v>28</v>
      </c>
      <c r="M2292" s="2">
        <v>45282.026860138889</v>
      </c>
      <c r="N2292" t="s">
        <v>28</v>
      </c>
      <c r="O2292" s="2">
        <v>45283.905765833333</v>
      </c>
      <c r="P2292">
        <v>2</v>
      </c>
      <c r="Q2292">
        <v>4</v>
      </c>
      <c r="R2292" t="s">
        <v>50</v>
      </c>
      <c r="S2292" t="s">
        <v>30</v>
      </c>
      <c r="T2292" t="s">
        <v>41</v>
      </c>
      <c r="U2292">
        <v>43.036776000000003</v>
      </c>
      <c r="V2292">
        <v>12.678565000000001</v>
      </c>
      <c r="W2292" t="str">
        <f t="shared" si="246"/>
        <v>ok</v>
      </c>
      <c r="X2292" t="str">
        <f t="shared" si="252"/>
        <v>ok</v>
      </c>
      <c r="Y2292" t="str">
        <f t="shared" si="247"/>
        <v>ok</v>
      </c>
      <c r="Z2292" t="str">
        <f t="shared" si="248"/>
        <v>ok</v>
      </c>
      <c r="AA2292" s="4" t="str">
        <f t="shared" si="249"/>
        <v>ok</v>
      </c>
      <c r="AB2292" s="4" t="str">
        <f t="shared" si="250"/>
        <v>ok</v>
      </c>
      <c r="AC2292" s="6">
        <f t="shared" si="251"/>
        <v>3.8746433333144523</v>
      </c>
    </row>
    <row r="2293" spans="1:29" x14ac:dyDescent="0.3">
      <c r="A2293" t="s">
        <v>22</v>
      </c>
      <c r="B2293">
        <v>3916</v>
      </c>
      <c r="C2293" t="s">
        <v>47</v>
      </c>
      <c r="D2293" t="s">
        <v>24</v>
      </c>
      <c r="E2293" t="s">
        <v>39</v>
      </c>
      <c r="F2293" t="s">
        <v>26</v>
      </c>
      <c r="G2293" t="s">
        <v>52</v>
      </c>
      <c r="H2293" s="1">
        <v>45281.391145833331</v>
      </c>
      <c r="I2293" s="1">
        <v>45283.391145833331</v>
      </c>
      <c r="J2293" s="1">
        <v>45281.432812500003</v>
      </c>
      <c r="K2293" s="2">
        <v>45281.411501192131</v>
      </c>
      <c r="L2293" t="s">
        <v>28</v>
      </c>
      <c r="M2293" s="2">
        <v>45286.750586296293</v>
      </c>
      <c r="N2293" t="s">
        <v>38</v>
      </c>
      <c r="O2293" s="2">
        <v>45287.926793981482</v>
      </c>
      <c r="P2293">
        <v>1</v>
      </c>
      <c r="Q2293">
        <v>3</v>
      </c>
      <c r="R2293" t="s">
        <v>55</v>
      </c>
      <c r="S2293" t="s">
        <v>30</v>
      </c>
      <c r="T2293" t="s">
        <v>57</v>
      </c>
      <c r="U2293">
        <v>51.165691000000002</v>
      </c>
      <c r="V2293">
        <v>10.451525999999999</v>
      </c>
      <c r="W2293" t="str">
        <f t="shared" si="246"/>
        <v>ok</v>
      </c>
      <c r="X2293" t="str">
        <f t="shared" si="252"/>
        <v>ok</v>
      </c>
      <c r="Y2293" t="str">
        <f t="shared" si="247"/>
        <v>ok</v>
      </c>
      <c r="Z2293" t="str">
        <f t="shared" si="248"/>
        <v>ok</v>
      </c>
      <c r="AA2293" s="4" t="str">
        <f t="shared" si="249"/>
        <v>ok</v>
      </c>
      <c r="AB2293" s="4" t="str">
        <f t="shared" si="250"/>
        <v>ok</v>
      </c>
      <c r="AC2293" s="6">
        <f t="shared" si="251"/>
        <v>128.62657111109002</v>
      </c>
    </row>
    <row r="2294" spans="1:29" x14ac:dyDescent="0.3">
      <c r="A2294" t="s">
        <v>42</v>
      </c>
      <c r="B2294">
        <v>3917</v>
      </c>
      <c r="C2294" t="s">
        <v>47</v>
      </c>
      <c r="D2294" t="s">
        <v>43</v>
      </c>
      <c r="E2294" t="s">
        <v>44</v>
      </c>
      <c r="F2294" t="s">
        <v>26</v>
      </c>
      <c r="G2294" t="s">
        <v>45</v>
      </c>
      <c r="H2294" s="1">
        <v>45281.786990740744</v>
      </c>
      <c r="I2294" s="1">
        <v>45282.786990740744</v>
      </c>
      <c r="J2294" s="1">
        <v>45281.78837962963</v>
      </c>
      <c r="K2294" s="2">
        <v>45281.787424467591</v>
      </c>
      <c r="L2294" t="s">
        <v>28</v>
      </c>
      <c r="M2294" s="2">
        <v>45282.34251412037</v>
      </c>
      <c r="N2294" t="s">
        <v>28</v>
      </c>
      <c r="P2294">
        <v>2</v>
      </c>
      <c r="R2294" t="s">
        <v>39</v>
      </c>
      <c r="S2294" t="s">
        <v>30</v>
      </c>
      <c r="T2294" t="s">
        <v>63</v>
      </c>
      <c r="U2294">
        <v>55.378051999999997</v>
      </c>
      <c r="V2294">
        <v>-3.4359730000000002</v>
      </c>
      <c r="W2294" t="str">
        <f t="shared" si="246"/>
        <v>ok</v>
      </c>
      <c r="X2294" t="str">
        <f t="shared" si="252"/>
        <v>ok</v>
      </c>
      <c r="Y2294" t="str">
        <f t="shared" si="247"/>
        <v>ok</v>
      </c>
      <c r="Z2294" t="str">
        <f t="shared" si="248"/>
        <v>ok</v>
      </c>
      <c r="AA2294" s="4" t="str">
        <f t="shared" si="249"/>
        <v>ok</v>
      </c>
      <c r="AB2294" s="4" t="str">
        <f t="shared" si="250"/>
        <v>ok</v>
      </c>
      <c r="AC2294" s="6">
        <f t="shared" si="251"/>
        <v>13.332561111019459</v>
      </c>
    </row>
    <row r="2295" spans="1:29" x14ac:dyDescent="0.3">
      <c r="A2295" t="s">
        <v>22</v>
      </c>
      <c r="B2295">
        <v>3918</v>
      </c>
      <c r="C2295" t="s">
        <v>23</v>
      </c>
      <c r="D2295" t="s">
        <v>43</v>
      </c>
      <c r="E2295" t="s">
        <v>35</v>
      </c>
      <c r="F2295" t="s">
        <v>36</v>
      </c>
      <c r="G2295" t="s">
        <v>37</v>
      </c>
      <c r="H2295" s="1">
        <v>45282.359594907408</v>
      </c>
      <c r="I2295" s="1">
        <v>45283.359594907408</v>
      </c>
      <c r="J2295" s="1">
        <v>45282.360983796294</v>
      </c>
      <c r="K2295" s="2">
        <v>45282.360081273146</v>
      </c>
      <c r="L2295" t="s">
        <v>28</v>
      </c>
      <c r="M2295" s="2">
        <v>45282.591647893518</v>
      </c>
      <c r="N2295" t="s">
        <v>28</v>
      </c>
      <c r="O2295" s="2">
        <v>45283.470187557868</v>
      </c>
      <c r="P2295">
        <v>2</v>
      </c>
      <c r="Q2295">
        <v>3</v>
      </c>
      <c r="R2295" t="s">
        <v>50</v>
      </c>
      <c r="S2295" t="s">
        <v>40</v>
      </c>
      <c r="T2295" t="s">
        <v>65</v>
      </c>
      <c r="U2295">
        <v>46.149166399999999</v>
      </c>
      <c r="V2295">
        <v>14.9860106</v>
      </c>
      <c r="W2295" t="str">
        <f t="shared" si="246"/>
        <v>ok</v>
      </c>
      <c r="X2295" t="str">
        <f t="shared" si="252"/>
        <v>ok</v>
      </c>
      <c r="Y2295" t="str">
        <f t="shared" si="247"/>
        <v>ok</v>
      </c>
      <c r="Z2295" t="str">
        <f t="shared" si="248"/>
        <v>ok</v>
      </c>
      <c r="AA2295" s="4" t="str">
        <f t="shared" si="249"/>
        <v>ok</v>
      </c>
      <c r="AB2295" s="4" t="str">
        <f t="shared" si="250"/>
        <v>ok</v>
      </c>
      <c r="AC2295" s="6">
        <f t="shared" si="251"/>
        <v>5.5692716666380875</v>
      </c>
    </row>
    <row r="2296" spans="1:29" x14ac:dyDescent="0.3">
      <c r="A2296" t="s">
        <v>22</v>
      </c>
      <c r="B2296">
        <v>3919</v>
      </c>
      <c r="C2296" t="s">
        <v>23</v>
      </c>
      <c r="D2296" t="s">
        <v>43</v>
      </c>
      <c r="E2296" t="s">
        <v>25</v>
      </c>
      <c r="F2296" t="s">
        <v>26</v>
      </c>
      <c r="G2296" t="s">
        <v>45</v>
      </c>
      <c r="H2296" s="1">
        <v>45282.196712962963</v>
      </c>
      <c r="I2296" s="1">
        <v>45283.196712962963</v>
      </c>
      <c r="J2296" s="1">
        <v>45282.198101851849</v>
      </c>
      <c r="K2296" s="2">
        <v>45282.196843692131</v>
      </c>
      <c r="L2296" t="s">
        <v>28</v>
      </c>
      <c r="M2296" s="2">
        <v>45285.893608472223</v>
      </c>
      <c r="N2296" t="s">
        <v>38</v>
      </c>
      <c r="O2296" s="2">
        <v>45286.390338784724</v>
      </c>
      <c r="P2296">
        <v>5</v>
      </c>
      <c r="Q2296">
        <v>5</v>
      </c>
      <c r="R2296" t="s">
        <v>29</v>
      </c>
      <c r="S2296" t="s">
        <v>30</v>
      </c>
      <c r="T2296" t="s">
        <v>65</v>
      </c>
      <c r="U2296">
        <v>46.149166399999999</v>
      </c>
      <c r="V2296">
        <v>14.9860106</v>
      </c>
      <c r="W2296" t="str">
        <f t="shared" si="246"/>
        <v>ok</v>
      </c>
      <c r="X2296" t="str">
        <f t="shared" si="252"/>
        <v>ok</v>
      </c>
      <c r="Y2296" t="str">
        <f t="shared" si="247"/>
        <v>ok</v>
      </c>
      <c r="Z2296" t="str">
        <f t="shared" si="248"/>
        <v>ok</v>
      </c>
      <c r="AA2296" s="4" t="str">
        <f t="shared" si="249"/>
        <v>ok</v>
      </c>
      <c r="AB2296" s="4" t="str">
        <f t="shared" si="250"/>
        <v>ok</v>
      </c>
      <c r="AC2296" s="6">
        <f t="shared" si="251"/>
        <v>88.725492222234607</v>
      </c>
    </row>
    <row r="2297" spans="1:29" x14ac:dyDescent="0.3">
      <c r="A2297" t="s">
        <v>42</v>
      </c>
      <c r="B2297">
        <v>3920</v>
      </c>
      <c r="C2297" t="s">
        <v>47</v>
      </c>
      <c r="D2297" t="s">
        <v>34</v>
      </c>
      <c r="E2297" t="s">
        <v>35</v>
      </c>
      <c r="F2297" t="s">
        <v>26</v>
      </c>
      <c r="G2297" t="s">
        <v>27</v>
      </c>
      <c r="H2297" s="1">
        <v>45282.650254629632</v>
      </c>
      <c r="I2297" s="1">
        <v>45284.650254629632</v>
      </c>
      <c r="J2297" s="1">
        <v>45282.651643518519</v>
      </c>
      <c r="K2297" s="2">
        <v>45282.650833969907</v>
      </c>
      <c r="L2297" t="s">
        <v>28</v>
      </c>
      <c r="M2297" s="2">
        <v>45283.105510543981</v>
      </c>
      <c r="N2297" t="s">
        <v>28</v>
      </c>
      <c r="P2297">
        <v>7</v>
      </c>
      <c r="R2297" t="s">
        <v>50</v>
      </c>
      <c r="S2297" t="s">
        <v>30</v>
      </c>
      <c r="T2297" t="s">
        <v>61</v>
      </c>
      <c r="U2297">
        <v>42.724992499999999</v>
      </c>
      <c r="V2297">
        <v>25.483303899999999</v>
      </c>
      <c r="W2297" t="str">
        <f t="shared" si="246"/>
        <v>ok</v>
      </c>
      <c r="X2297" t="str">
        <f t="shared" si="252"/>
        <v>ok</v>
      </c>
      <c r="Y2297" t="str">
        <f t="shared" si="247"/>
        <v>ok</v>
      </c>
      <c r="Z2297" t="str">
        <f t="shared" si="248"/>
        <v>ok</v>
      </c>
      <c r="AA2297" s="4" t="str">
        <f t="shared" si="249"/>
        <v>ok</v>
      </c>
      <c r="AB2297" s="4" t="str">
        <f t="shared" si="250"/>
        <v>ok</v>
      </c>
      <c r="AC2297" s="6">
        <f t="shared" si="251"/>
        <v>10.926141944364645</v>
      </c>
    </row>
    <row r="2298" spans="1:29" x14ac:dyDescent="0.3">
      <c r="A2298" t="s">
        <v>42</v>
      </c>
      <c r="B2298">
        <v>3921</v>
      </c>
      <c r="C2298" t="s">
        <v>33</v>
      </c>
      <c r="D2298" t="s">
        <v>24</v>
      </c>
      <c r="E2298" t="s">
        <v>59</v>
      </c>
      <c r="F2298" t="s">
        <v>36</v>
      </c>
      <c r="G2298" t="s">
        <v>64</v>
      </c>
      <c r="H2298" s="1">
        <v>45282.119756944441</v>
      </c>
      <c r="I2298" s="1">
        <v>45284.119756944441</v>
      </c>
      <c r="J2298" s="1">
        <v>45282.161423611113</v>
      </c>
      <c r="K2298" s="2">
        <v>45282.126977106484</v>
      </c>
      <c r="L2298" t="s">
        <v>28</v>
      </c>
      <c r="M2298" s="2">
        <v>45282.727207407406</v>
      </c>
      <c r="N2298" t="s">
        <v>28</v>
      </c>
      <c r="P2298">
        <v>2</v>
      </c>
      <c r="R2298" t="s">
        <v>50</v>
      </c>
      <c r="S2298" t="s">
        <v>40</v>
      </c>
      <c r="T2298" t="s">
        <v>41</v>
      </c>
      <c r="U2298">
        <v>43.036776000000003</v>
      </c>
      <c r="V2298">
        <v>12.678565000000001</v>
      </c>
      <c r="W2298" t="str">
        <f t="shared" si="246"/>
        <v>ok</v>
      </c>
      <c r="X2298" t="str">
        <f t="shared" si="252"/>
        <v>ok</v>
      </c>
      <c r="Y2298" t="str">
        <f t="shared" si="247"/>
        <v>ok</v>
      </c>
      <c r="Z2298" t="str">
        <f t="shared" si="248"/>
        <v>ok</v>
      </c>
      <c r="AA2298" s="4" t="str">
        <f t="shared" si="249"/>
        <v>ok</v>
      </c>
      <c r="AB2298" s="4" t="str">
        <f t="shared" si="250"/>
        <v>ok</v>
      </c>
      <c r="AC2298" s="6">
        <f t="shared" si="251"/>
        <v>14.578811111161485</v>
      </c>
    </row>
    <row r="2299" spans="1:29" x14ac:dyDescent="0.3">
      <c r="A2299" t="s">
        <v>22</v>
      </c>
      <c r="B2299">
        <v>3922</v>
      </c>
      <c r="C2299" t="s">
        <v>23</v>
      </c>
      <c r="D2299" t="s">
        <v>43</v>
      </c>
      <c r="E2299" t="s">
        <v>25</v>
      </c>
      <c r="F2299" t="s">
        <v>26</v>
      </c>
      <c r="G2299" t="s">
        <v>45</v>
      </c>
      <c r="H2299" s="1">
        <v>45282.553483796299</v>
      </c>
      <c r="I2299" s="1">
        <v>45283.553483796299</v>
      </c>
      <c r="J2299" s="1">
        <v>45282.554872685185</v>
      </c>
      <c r="K2299" s="2">
        <v>45282.553922523148</v>
      </c>
      <c r="L2299" t="s">
        <v>28</v>
      </c>
      <c r="M2299" s="2">
        <v>45288.540371875002</v>
      </c>
      <c r="N2299" t="s">
        <v>38</v>
      </c>
      <c r="O2299" s="2">
        <v>45289.809554074076</v>
      </c>
      <c r="P2299">
        <v>5</v>
      </c>
      <c r="Q2299">
        <v>3</v>
      </c>
      <c r="R2299" t="s">
        <v>50</v>
      </c>
      <c r="S2299" t="s">
        <v>30</v>
      </c>
      <c r="T2299" t="s">
        <v>57</v>
      </c>
      <c r="U2299">
        <v>51.165691000000002</v>
      </c>
      <c r="V2299">
        <v>10.451525999999999</v>
      </c>
      <c r="W2299" t="str">
        <f t="shared" si="246"/>
        <v>ok</v>
      </c>
      <c r="X2299" t="str">
        <f t="shared" si="252"/>
        <v>ok</v>
      </c>
      <c r="Y2299" t="str">
        <f t="shared" si="247"/>
        <v>ok</v>
      </c>
      <c r="Z2299" t="str">
        <f t="shared" si="248"/>
        <v>ok</v>
      </c>
      <c r="AA2299" s="4" t="str">
        <f t="shared" si="249"/>
        <v>ok</v>
      </c>
      <c r="AB2299" s="4" t="str">
        <f t="shared" si="250"/>
        <v>ok</v>
      </c>
      <c r="AC2299" s="6">
        <f t="shared" si="251"/>
        <v>143.68531388888368</v>
      </c>
    </row>
    <row r="2300" spans="1:29" x14ac:dyDescent="0.3">
      <c r="A2300" t="s">
        <v>42</v>
      </c>
      <c r="B2300">
        <v>3923</v>
      </c>
      <c r="C2300" t="s">
        <v>23</v>
      </c>
      <c r="D2300" t="s">
        <v>43</v>
      </c>
      <c r="E2300" t="s">
        <v>35</v>
      </c>
      <c r="F2300" t="s">
        <v>26</v>
      </c>
      <c r="G2300" t="s">
        <v>52</v>
      </c>
      <c r="H2300" s="1">
        <v>45282.56318287037</v>
      </c>
      <c r="I2300" s="1">
        <v>45283.56318287037</v>
      </c>
      <c r="J2300" s="1">
        <v>45282.564571759256</v>
      </c>
      <c r="K2300" s="2">
        <v>45282.563427465277</v>
      </c>
      <c r="L2300" t="s">
        <v>28</v>
      </c>
      <c r="M2300" s="2">
        <v>45284.988104039352</v>
      </c>
      <c r="N2300" t="s">
        <v>38</v>
      </c>
      <c r="P2300">
        <v>8</v>
      </c>
      <c r="R2300" t="s">
        <v>50</v>
      </c>
      <c r="S2300" t="s">
        <v>30</v>
      </c>
      <c r="T2300" t="s">
        <v>58</v>
      </c>
      <c r="U2300">
        <v>49.8037633</v>
      </c>
      <c r="V2300">
        <v>15.4749126</v>
      </c>
      <c r="W2300" t="str">
        <f t="shared" si="246"/>
        <v>ok</v>
      </c>
      <c r="X2300" t="str">
        <f t="shared" si="252"/>
        <v>ok</v>
      </c>
      <c r="Y2300" t="str">
        <f t="shared" si="247"/>
        <v>ok</v>
      </c>
      <c r="Z2300" t="str">
        <f t="shared" si="248"/>
        <v>ok</v>
      </c>
      <c r="AA2300" s="4" t="str">
        <f t="shared" si="249"/>
        <v>ok</v>
      </c>
      <c r="AB2300" s="4" t="str">
        <f t="shared" si="250"/>
        <v>ok</v>
      </c>
      <c r="AC2300" s="6">
        <f t="shared" si="251"/>
        <v>58.198108055570628</v>
      </c>
    </row>
    <row r="2301" spans="1:29" x14ac:dyDescent="0.3">
      <c r="A2301" t="s">
        <v>22</v>
      </c>
      <c r="B2301">
        <v>3924</v>
      </c>
      <c r="C2301" t="s">
        <v>47</v>
      </c>
      <c r="D2301" t="s">
        <v>24</v>
      </c>
      <c r="E2301" t="s">
        <v>25</v>
      </c>
      <c r="F2301" t="s">
        <v>26</v>
      </c>
      <c r="G2301" t="s">
        <v>49</v>
      </c>
      <c r="H2301" s="1">
        <v>45282.717060185183</v>
      </c>
      <c r="I2301" s="1">
        <v>45284.717060185183</v>
      </c>
      <c r="J2301" s="1">
        <v>45282.758726851855</v>
      </c>
      <c r="K2301" s="2">
        <v>45282.744156875</v>
      </c>
      <c r="L2301" t="s">
        <v>28</v>
      </c>
      <c r="M2301" s="2">
        <v>45283.637028252313</v>
      </c>
      <c r="N2301" t="s">
        <v>28</v>
      </c>
      <c r="O2301" s="2">
        <v>45286.263146134261</v>
      </c>
      <c r="P2301">
        <v>3</v>
      </c>
      <c r="Q2301">
        <v>5</v>
      </c>
      <c r="R2301" t="s">
        <v>50</v>
      </c>
      <c r="S2301" t="s">
        <v>30</v>
      </c>
      <c r="T2301" t="s">
        <v>66</v>
      </c>
      <c r="U2301">
        <v>48.864716000000001</v>
      </c>
      <c r="V2301">
        <v>2.3490139999999999</v>
      </c>
      <c r="W2301" t="str">
        <f t="shared" si="246"/>
        <v>ok</v>
      </c>
      <c r="X2301" t="str">
        <f t="shared" si="252"/>
        <v>ok</v>
      </c>
      <c r="Y2301" t="str">
        <f t="shared" si="247"/>
        <v>ok</v>
      </c>
      <c r="Z2301" t="str">
        <f t="shared" si="248"/>
        <v>ok</v>
      </c>
      <c r="AA2301" s="4" t="str">
        <f t="shared" si="249"/>
        <v>ok</v>
      </c>
      <c r="AB2301" s="4" t="str">
        <f t="shared" si="250"/>
        <v>ok</v>
      </c>
      <c r="AC2301" s="6">
        <f t="shared" si="251"/>
        <v>22.07923361111898</v>
      </c>
    </row>
    <row r="2302" spans="1:29" x14ac:dyDescent="0.3">
      <c r="A2302" t="s">
        <v>22</v>
      </c>
      <c r="B2302">
        <v>3925</v>
      </c>
      <c r="C2302" t="s">
        <v>23</v>
      </c>
      <c r="D2302" t="s">
        <v>24</v>
      </c>
      <c r="E2302" t="s">
        <v>35</v>
      </c>
      <c r="F2302" t="s">
        <v>26</v>
      </c>
      <c r="G2302" t="s">
        <v>52</v>
      </c>
      <c r="H2302" s="1">
        <v>45282.91982638889</v>
      </c>
      <c r="I2302" s="1">
        <v>45284.91982638889</v>
      </c>
      <c r="J2302" s="1">
        <v>45282.961493055554</v>
      </c>
      <c r="K2302" s="2">
        <v>45282.944496111108</v>
      </c>
      <c r="L2302" t="s">
        <v>28</v>
      </c>
      <c r="M2302" s="2">
        <v>45282.944779016201</v>
      </c>
      <c r="N2302" t="s">
        <v>28</v>
      </c>
      <c r="O2302" s="2">
        <v>45284.80678608796</v>
      </c>
      <c r="P2302">
        <v>3</v>
      </c>
      <c r="Q2302">
        <v>4</v>
      </c>
      <c r="R2302" t="s">
        <v>50</v>
      </c>
      <c r="S2302" t="s">
        <v>30</v>
      </c>
      <c r="T2302" t="s">
        <v>57</v>
      </c>
      <c r="U2302">
        <v>51.165691000000002</v>
      </c>
      <c r="V2302">
        <v>10.451525999999999</v>
      </c>
      <c r="W2302" t="str">
        <f t="shared" si="246"/>
        <v>ok</v>
      </c>
      <c r="X2302" t="str">
        <f t="shared" si="252"/>
        <v>ok</v>
      </c>
      <c r="Y2302" t="str">
        <f t="shared" si="247"/>
        <v>ok</v>
      </c>
      <c r="Z2302" t="str">
        <f t="shared" si="248"/>
        <v>ok</v>
      </c>
      <c r="AA2302" s="4" t="str">
        <f t="shared" si="249"/>
        <v>ok</v>
      </c>
      <c r="AB2302" s="4" t="str">
        <f t="shared" si="250"/>
        <v>ok</v>
      </c>
      <c r="AC2302" s="6">
        <f t="shared" si="251"/>
        <v>0.5988630554638803</v>
      </c>
    </row>
    <row r="2303" spans="1:29" x14ac:dyDescent="0.3">
      <c r="A2303" t="s">
        <v>22</v>
      </c>
      <c r="B2303">
        <v>3926</v>
      </c>
      <c r="C2303" t="s">
        <v>23</v>
      </c>
      <c r="D2303" t="s">
        <v>24</v>
      </c>
      <c r="E2303" t="s">
        <v>35</v>
      </c>
      <c r="F2303" t="s">
        <v>26</v>
      </c>
      <c r="G2303" t="s">
        <v>45</v>
      </c>
      <c r="H2303" s="1">
        <v>45282.318310185183</v>
      </c>
      <c r="I2303" s="1">
        <v>45284.318310185183</v>
      </c>
      <c r="J2303" s="1">
        <v>45282.359976851854</v>
      </c>
      <c r="K2303" s="2">
        <v>45282.352324618056</v>
      </c>
      <c r="L2303" t="s">
        <v>28</v>
      </c>
      <c r="M2303" s="2">
        <v>45283.404342071757</v>
      </c>
      <c r="N2303" t="s">
        <v>28</v>
      </c>
      <c r="O2303" s="2">
        <v>45286.10138133102</v>
      </c>
      <c r="P2303">
        <v>1</v>
      </c>
      <c r="Q2303">
        <v>5</v>
      </c>
      <c r="R2303" t="s">
        <v>39</v>
      </c>
      <c r="S2303" t="s">
        <v>30</v>
      </c>
      <c r="T2303" t="s">
        <v>61</v>
      </c>
      <c r="U2303">
        <v>42.724992499999999</v>
      </c>
      <c r="V2303">
        <v>25.483303899999999</v>
      </c>
      <c r="W2303" t="str">
        <f t="shared" si="246"/>
        <v>ok</v>
      </c>
      <c r="X2303" t="str">
        <f t="shared" si="252"/>
        <v>ok</v>
      </c>
      <c r="Y2303" t="str">
        <f t="shared" si="247"/>
        <v>ok</v>
      </c>
      <c r="Z2303" t="str">
        <f t="shared" si="248"/>
        <v>ok</v>
      </c>
      <c r="AA2303" s="4" t="str">
        <f t="shared" si="249"/>
        <v>ok</v>
      </c>
      <c r="AB2303" s="4" t="str">
        <f t="shared" si="250"/>
        <v>ok</v>
      </c>
      <c r="AC2303" s="6">
        <f t="shared" si="251"/>
        <v>26.064765277784318</v>
      </c>
    </row>
    <row r="2304" spans="1:29" x14ac:dyDescent="0.3">
      <c r="A2304" t="s">
        <v>22</v>
      </c>
      <c r="B2304">
        <v>3927</v>
      </c>
      <c r="C2304" t="s">
        <v>23</v>
      </c>
      <c r="D2304" t="s">
        <v>24</v>
      </c>
      <c r="E2304" t="s">
        <v>44</v>
      </c>
      <c r="F2304" t="s">
        <v>26</v>
      </c>
      <c r="G2304" t="s">
        <v>45</v>
      </c>
      <c r="H2304" s="1">
        <v>45282.469664351855</v>
      </c>
      <c r="I2304" s="1">
        <v>45284.469664351855</v>
      </c>
      <c r="J2304" s="1">
        <v>45282.511331018519</v>
      </c>
      <c r="K2304" s="2">
        <v>45282.493643715279</v>
      </c>
      <c r="L2304" t="s">
        <v>28</v>
      </c>
      <c r="M2304" s="2">
        <v>45283.102502071757</v>
      </c>
      <c r="N2304" t="s">
        <v>28</v>
      </c>
      <c r="O2304" s="2">
        <v>45289.031709236115</v>
      </c>
      <c r="P2304">
        <v>6</v>
      </c>
      <c r="Q2304">
        <v>4</v>
      </c>
      <c r="R2304" t="s">
        <v>50</v>
      </c>
      <c r="S2304" t="s">
        <v>30</v>
      </c>
      <c r="T2304" t="s">
        <v>57</v>
      </c>
      <c r="U2304">
        <v>51.165691000000002</v>
      </c>
      <c r="V2304">
        <v>10.451525999999999</v>
      </c>
      <c r="W2304" t="str">
        <f t="shared" si="246"/>
        <v>ok</v>
      </c>
      <c r="X2304" t="str">
        <f t="shared" si="252"/>
        <v>ok</v>
      </c>
      <c r="Y2304" t="str">
        <f t="shared" si="247"/>
        <v>ok</v>
      </c>
      <c r="Z2304" t="str">
        <f t="shared" si="248"/>
        <v>ok</v>
      </c>
      <c r="AA2304" s="4" t="str">
        <f t="shared" si="249"/>
        <v>ok</v>
      </c>
      <c r="AB2304" s="4" t="str">
        <f t="shared" si="250"/>
        <v>ok</v>
      </c>
      <c r="AC2304" s="6">
        <f t="shared" si="251"/>
        <v>15.188105277658906</v>
      </c>
    </row>
    <row r="2305" spans="1:29" x14ac:dyDescent="0.3">
      <c r="A2305" t="s">
        <v>42</v>
      </c>
      <c r="B2305">
        <v>3928</v>
      </c>
      <c r="C2305" t="s">
        <v>47</v>
      </c>
      <c r="D2305" t="s">
        <v>24</v>
      </c>
      <c r="E2305" t="s">
        <v>25</v>
      </c>
      <c r="F2305" t="s">
        <v>26</v>
      </c>
      <c r="G2305" t="s">
        <v>49</v>
      </c>
      <c r="H2305" s="1">
        <v>45283.386608796296</v>
      </c>
      <c r="I2305" s="1">
        <v>45285.386608796296</v>
      </c>
      <c r="J2305" s="1">
        <v>45283.42827546296</v>
      </c>
      <c r="K2305" s="2">
        <v>45283.389578368056</v>
      </c>
      <c r="L2305" t="s">
        <v>28</v>
      </c>
      <c r="M2305" s="2">
        <v>45284.580019085646</v>
      </c>
      <c r="N2305" t="s">
        <v>28</v>
      </c>
      <c r="P2305">
        <v>3</v>
      </c>
      <c r="R2305" t="s">
        <v>39</v>
      </c>
      <c r="S2305" t="s">
        <v>30</v>
      </c>
      <c r="T2305" t="s">
        <v>58</v>
      </c>
      <c r="U2305">
        <v>49.8037633</v>
      </c>
      <c r="V2305">
        <v>15.4749126</v>
      </c>
      <c r="W2305" t="str">
        <f t="shared" si="246"/>
        <v>ok</v>
      </c>
      <c r="X2305" t="str">
        <f t="shared" si="252"/>
        <v>ok</v>
      </c>
      <c r="Y2305" t="str">
        <f t="shared" si="247"/>
        <v>ok</v>
      </c>
      <c r="Z2305" t="str">
        <f t="shared" si="248"/>
        <v>ok</v>
      </c>
      <c r="AA2305" s="4" t="str">
        <f t="shared" si="249"/>
        <v>ok</v>
      </c>
      <c r="AB2305" s="4" t="str">
        <f t="shared" si="250"/>
        <v>ok</v>
      </c>
      <c r="AC2305" s="6">
        <f t="shared" si="251"/>
        <v>28.641846944403369</v>
      </c>
    </row>
    <row r="2306" spans="1:29" x14ac:dyDescent="0.3">
      <c r="A2306" t="s">
        <v>22</v>
      </c>
      <c r="B2306">
        <v>3929</v>
      </c>
      <c r="C2306" t="s">
        <v>47</v>
      </c>
      <c r="D2306" t="s">
        <v>43</v>
      </c>
      <c r="E2306" t="s">
        <v>44</v>
      </c>
      <c r="F2306" t="s">
        <v>26</v>
      </c>
      <c r="G2306" t="s">
        <v>27</v>
      </c>
      <c r="H2306" s="1">
        <v>45283.017800925925</v>
      </c>
      <c r="I2306" s="1">
        <v>45284.017800925925</v>
      </c>
      <c r="J2306" s="1">
        <v>45283.019189814811</v>
      </c>
      <c r="K2306" s="2">
        <v>45283.017887893518</v>
      </c>
      <c r="L2306" t="s">
        <v>28</v>
      </c>
      <c r="M2306" s="2">
        <v>45283.654631319441</v>
      </c>
      <c r="N2306" t="s">
        <v>28</v>
      </c>
      <c r="O2306" s="2">
        <v>45283.590887546299</v>
      </c>
      <c r="P2306">
        <v>6</v>
      </c>
      <c r="Q2306">
        <v>4</v>
      </c>
      <c r="R2306" t="s">
        <v>50</v>
      </c>
      <c r="S2306" t="s">
        <v>30</v>
      </c>
      <c r="T2306" t="s">
        <v>63</v>
      </c>
      <c r="U2306">
        <v>55.378051999999997</v>
      </c>
      <c r="V2306">
        <v>-3.4359730000000002</v>
      </c>
      <c r="W2306" t="str">
        <f t="shared" ref="W2306:W2331" si="253">IF(K2306&lt;H2306,"check","ok")</f>
        <v>ok</v>
      </c>
      <c r="X2306" t="str">
        <f t="shared" si="252"/>
        <v>ok</v>
      </c>
      <c r="Y2306" t="str">
        <f t="shared" ref="Y2306:Y2331" si="254">IF(AND(M2306&lt;&gt;"",O2306&lt;&gt;"",O2306&lt;M2306),"check","ok")</f>
        <v>check</v>
      </c>
      <c r="Z2306" t="str">
        <f t="shared" ref="Z2306:Z2331" si="255">IF(AND(OR(CA2306="Closed",A2306="Resolved"),M2306=""),"check","ok")</f>
        <v>ok</v>
      </c>
      <c r="AA2306" s="4" t="str">
        <f t="shared" ref="AA2306:AA2331" si="256">IF(K2306="","no response",IF(OR(AND(K2306&lt;=J2306,L2306="Within SLA"),AND(K2306&gt;J2306,L2306="SLA Violated")),"ok","check"))</f>
        <v>ok</v>
      </c>
      <c r="AB2306" s="4" t="str">
        <f t="shared" ref="AB2306:AB2331" si="257">IF(M2306="","no resolution",IF(OR(AND(M2306&lt;=I2306,N2306="Within SLA"),AND(M2306&gt;I2306,N2306="SLA Violated")),"ok","check"))</f>
        <v>ok</v>
      </c>
      <c r="AC2306" s="6">
        <f t="shared" ref="AC2306:AC2331" si="258">IF(M2306="","",(M2306-H2306)*24)</f>
        <v>15.28392944438383</v>
      </c>
    </row>
    <row r="2307" spans="1:29" x14ac:dyDescent="0.3">
      <c r="A2307" t="s">
        <v>22</v>
      </c>
      <c r="B2307">
        <v>3930</v>
      </c>
      <c r="C2307" t="s">
        <v>33</v>
      </c>
      <c r="D2307" t="s">
        <v>43</v>
      </c>
      <c r="E2307" t="s">
        <v>25</v>
      </c>
      <c r="F2307" t="s">
        <v>36</v>
      </c>
      <c r="G2307" t="s">
        <v>54</v>
      </c>
      <c r="H2307" s="1">
        <v>45283.187025462961</v>
      </c>
      <c r="I2307" s="1">
        <v>45284.187025462961</v>
      </c>
      <c r="J2307" s="1">
        <v>45283.188414351855</v>
      </c>
      <c r="K2307" s="2">
        <v>45283.188113275464</v>
      </c>
      <c r="L2307" t="s">
        <v>28</v>
      </c>
      <c r="M2307" s="2">
        <v>45285.390072106478</v>
      </c>
      <c r="N2307" t="s">
        <v>38</v>
      </c>
      <c r="O2307" s="2">
        <v>45286.621830243057</v>
      </c>
      <c r="P2307">
        <v>4</v>
      </c>
      <c r="Q2307">
        <v>2</v>
      </c>
      <c r="R2307" t="s">
        <v>39</v>
      </c>
      <c r="S2307" t="s">
        <v>40</v>
      </c>
      <c r="T2307" t="s">
        <v>31</v>
      </c>
      <c r="U2307">
        <v>53.094023999999997</v>
      </c>
      <c r="V2307">
        <v>-8.0196749999999994</v>
      </c>
      <c r="W2307" t="str">
        <f t="shared" si="253"/>
        <v>ok</v>
      </c>
      <c r="X2307" t="str">
        <f t="shared" ref="X2307:X2331" si="259">IF(AND(M2307&lt;&gt;"",M2307&lt;H2307),"check","ok")</f>
        <v>ok</v>
      </c>
      <c r="Y2307" t="str">
        <f t="shared" si="254"/>
        <v>ok</v>
      </c>
      <c r="Z2307" t="str">
        <f t="shared" si="255"/>
        <v>ok</v>
      </c>
      <c r="AA2307" s="4" t="str">
        <f t="shared" si="256"/>
        <v>ok</v>
      </c>
      <c r="AB2307" s="4" t="str">
        <f t="shared" si="257"/>
        <v>ok</v>
      </c>
      <c r="AC2307" s="6">
        <f t="shared" si="258"/>
        <v>52.873119444411714</v>
      </c>
    </row>
    <row r="2308" spans="1:29" x14ac:dyDescent="0.3">
      <c r="A2308" t="s">
        <v>42</v>
      </c>
      <c r="B2308">
        <v>3965</v>
      </c>
      <c r="C2308" t="s">
        <v>47</v>
      </c>
      <c r="D2308" t="s">
        <v>43</v>
      </c>
      <c r="E2308" t="s">
        <v>48</v>
      </c>
      <c r="F2308" t="s">
        <v>26</v>
      </c>
      <c r="G2308" t="s">
        <v>49</v>
      </c>
      <c r="H2308" s="1">
        <v>45287.658831018518</v>
      </c>
      <c r="I2308" s="1">
        <v>45288.658831018518</v>
      </c>
      <c r="J2308" s="1">
        <v>45287.660219907404</v>
      </c>
      <c r="K2308" s="2">
        <v>45287.659456331021</v>
      </c>
      <c r="L2308" t="s">
        <v>28</v>
      </c>
      <c r="M2308" s="2">
        <v>45288.394441932869</v>
      </c>
      <c r="N2308" t="s">
        <v>28</v>
      </c>
      <c r="P2308">
        <v>8</v>
      </c>
      <c r="R2308" t="s">
        <v>50</v>
      </c>
      <c r="S2308" t="s">
        <v>30</v>
      </c>
      <c r="T2308" t="s">
        <v>31</v>
      </c>
      <c r="U2308">
        <v>53.094023999999997</v>
      </c>
      <c r="V2308">
        <v>-8.0196749999999994</v>
      </c>
      <c r="W2308" t="str">
        <f t="shared" si="253"/>
        <v>ok</v>
      </c>
      <c r="X2308" t="str">
        <f t="shared" si="259"/>
        <v>ok</v>
      </c>
      <c r="Y2308" t="str">
        <f t="shared" si="254"/>
        <v>ok</v>
      </c>
      <c r="Z2308" t="str">
        <f t="shared" si="255"/>
        <v>ok</v>
      </c>
      <c r="AA2308" s="4" t="str">
        <f t="shared" si="256"/>
        <v>ok</v>
      </c>
      <c r="AB2308" s="4" t="str">
        <f t="shared" si="257"/>
        <v>ok</v>
      </c>
      <c r="AC2308" s="6">
        <f t="shared" si="258"/>
        <v>17.654661944427062</v>
      </c>
    </row>
    <row r="2309" spans="1:29" x14ac:dyDescent="0.3">
      <c r="A2309" t="s">
        <v>42</v>
      </c>
      <c r="B2309">
        <v>3966</v>
      </c>
      <c r="C2309" t="s">
        <v>33</v>
      </c>
      <c r="D2309" t="s">
        <v>24</v>
      </c>
      <c r="E2309" t="s">
        <v>59</v>
      </c>
      <c r="F2309" t="s">
        <v>26</v>
      </c>
      <c r="G2309" t="s">
        <v>60</v>
      </c>
      <c r="H2309" s="1">
        <v>45287.465312499997</v>
      </c>
      <c r="I2309" s="1">
        <v>45289.465312499997</v>
      </c>
      <c r="J2309" s="1">
        <v>45287.506979166668</v>
      </c>
      <c r="K2309" s="2">
        <v>45287.506187094907</v>
      </c>
      <c r="L2309" t="s">
        <v>28</v>
      </c>
      <c r="M2309" s="2">
        <v>45292.513262337961</v>
      </c>
      <c r="N2309" t="s">
        <v>38</v>
      </c>
      <c r="P2309">
        <v>7</v>
      </c>
      <c r="R2309" t="s">
        <v>29</v>
      </c>
      <c r="S2309" t="s">
        <v>30</v>
      </c>
      <c r="T2309" t="s">
        <v>57</v>
      </c>
      <c r="U2309">
        <v>51.165691000000002</v>
      </c>
      <c r="V2309">
        <v>10.451525999999999</v>
      </c>
      <c r="W2309" t="str">
        <f t="shared" si="253"/>
        <v>ok</v>
      </c>
      <c r="X2309" t="str">
        <f t="shared" si="259"/>
        <v>ok</v>
      </c>
      <c r="Y2309" t="str">
        <f t="shared" si="254"/>
        <v>ok</v>
      </c>
      <c r="Z2309" t="str">
        <f t="shared" si="255"/>
        <v>ok</v>
      </c>
      <c r="AA2309" s="4" t="str">
        <f t="shared" si="256"/>
        <v>ok</v>
      </c>
      <c r="AB2309" s="4" t="str">
        <f t="shared" si="257"/>
        <v>ok</v>
      </c>
      <c r="AC2309" s="6">
        <f t="shared" si="258"/>
        <v>121.15079611114925</v>
      </c>
    </row>
    <row r="2310" spans="1:29" x14ac:dyDescent="0.3">
      <c r="A2310" t="s">
        <v>42</v>
      </c>
      <c r="B2310">
        <v>3967</v>
      </c>
      <c r="C2310" t="s">
        <v>23</v>
      </c>
      <c r="D2310" t="s">
        <v>24</v>
      </c>
      <c r="E2310" t="s">
        <v>35</v>
      </c>
      <c r="F2310" t="s">
        <v>36</v>
      </c>
      <c r="G2310" t="s">
        <v>37</v>
      </c>
      <c r="H2310" s="1">
        <v>45287.844988425924</v>
      </c>
      <c r="I2310" s="1">
        <v>45289.844988425924</v>
      </c>
      <c r="J2310" s="1">
        <v>45287.886655092596</v>
      </c>
      <c r="K2310" s="2">
        <v>45287.876897291666</v>
      </c>
      <c r="L2310" t="s">
        <v>28</v>
      </c>
      <c r="M2310" s="2">
        <v>45289.276434490741</v>
      </c>
      <c r="N2310" t="s">
        <v>28</v>
      </c>
      <c r="P2310">
        <v>6</v>
      </c>
      <c r="R2310" t="s">
        <v>29</v>
      </c>
      <c r="S2310" t="s">
        <v>40</v>
      </c>
      <c r="T2310" t="s">
        <v>63</v>
      </c>
      <c r="U2310">
        <v>55.378051999999997</v>
      </c>
      <c r="V2310">
        <v>-3.4359730000000002</v>
      </c>
      <c r="W2310" t="str">
        <f t="shared" si="253"/>
        <v>ok</v>
      </c>
      <c r="X2310" t="str">
        <f t="shared" si="259"/>
        <v>ok</v>
      </c>
      <c r="Y2310" t="str">
        <f t="shared" si="254"/>
        <v>ok</v>
      </c>
      <c r="Z2310" t="str">
        <f t="shared" si="255"/>
        <v>ok</v>
      </c>
      <c r="AA2310" s="4" t="str">
        <f t="shared" si="256"/>
        <v>ok</v>
      </c>
      <c r="AB2310" s="4" t="str">
        <f t="shared" si="257"/>
        <v>ok</v>
      </c>
      <c r="AC2310" s="6">
        <f t="shared" si="258"/>
        <v>34.35470555559732</v>
      </c>
    </row>
    <row r="2311" spans="1:29" x14ac:dyDescent="0.3">
      <c r="A2311" t="s">
        <v>22</v>
      </c>
      <c r="B2311">
        <v>3968</v>
      </c>
      <c r="C2311" t="s">
        <v>23</v>
      </c>
      <c r="D2311" t="s">
        <v>24</v>
      </c>
      <c r="E2311" t="s">
        <v>35</v>
      </c>
      <c r="F2311" t="s">
        <v>26</v>
      </c>
      <c r="G2311" t="s">
        <v>27</v>
      </c>
      <c r="H2311" s="1">
        <v>45287.190115740741</v>
      </c>
      <c r="I2311" s="1">
        <v>45289.190115740741</v>
      </c>
      <c r="J2311" s="1">
        <v>45287.231782407405</v>
      </c>
      <c r="K2311" s="2">
        <v>45287.196912777777</v>
      </c>
      <c r="L2311" t="s">
        <v>28</v>
      </c>
      <c r="M2311" s="2">
        <v>45289.169950937503</v>
      </c>
      <c r="N2311" t="s">
        <v>28</v>
      </c>
      <c r="O2311" s="2">
        <v>45288.602662187499</v>
      </c>
      <c r="P2311">
        <v>9</v>
      </c>
      <c r="Q2311">
        <v>3</v>
      </c>
      <c r="R2311" t="s">
        <v>50</v>
      </c>
      <c r="S2311" t="s">
        <v>30</v>
      </c>
      <c r="T2311" t="s">
        <v>46</v>
      </c>
      <c r="U2311">
        <v>47.696471899999999</v>
      </c>
      <c r="V2311">
        <v>13.3457347</v>
      </c>
      <c r="W2311" t="str">
        <f t="shared" si="253"/>
        <v>ok</v>
      </c>
      <c r="X2311" t="str">
        <f t="shared" si="259"/>
        <v>ok</v>
      </c>
      <c r="Y2311" t="str">
        <f t="shared" si="254"/>
        <v>check</v>
      </c>
      <c r="Z2311" t="str">
        <f t="shared" si="255"/>
        <v>ok</v>
      </c>
      <c r="AA2311" s="4" t="str">
        <f t="shared" si="256"/>
        <v>ok</v>
      </c>
      <c r="AB2311" s="4" t="str">
        <f t="shared" si="257"/>
        <v>ok</v>
      </c>
      <c r="AC2311" s="6">
        <f t="shared" si="258"/>
        <v>47.516044722287916</v>
      </c>
    </row>
    <row r="2312" spans="1:29" x14ac:dyDescent="0.3">
      <c r="A2312" t="s">
        <v>68</v>
      </c>
      <c r="B2312">
        <v>3970</v>
      </c>
      <c r="C2312" t="s">
        <v>23</v>
      </c>
      <c r="D2312" t="s">
        <v>24</v>
      </c>
      <c r="E2312" t="s">
        <v>35</v>
      </c>
      <c r="F2312" t="s">
        <v>36</v>
      </c>
      <c r="G2312" t="s">
        <v>37</v>
      </c>
      <c r="H2312" s="1">
        <v>45287.025879629633</v>
      </c>
      <c r="I2312" s="1">
        <v>45289.025879629633</v>
      </c>
      <c r="J2312" s="1">
        <v>45287.067546296297</v>
      </c>
      <c r="L2312" t="s">
        <v>38</v>
      </c>
      <c r="N2312" t="s">
        <v>38</v>
      </c>
      <c r="R2312" t="s">
        <v>29</v>
      </c>
      <c r="S2312" t="s">
        <v>40</v>
      </c>
      <c r="T2312" t="s">
        <v>66</v>
      </c>
      <c r="U2312">
        <v>48.864716000000001</v>
      </c>
      <c r="V2312">
        <v>2.3490139999999999</v>
      </c>
      <c r="W2312" t="str">
        <f t="shared" si="253"/>
        <v>check</v>
      </c>
      <c r="X2312" t="str">
        <f t="shared" si="259"/>
        <v>ok</v>
      </c>
      <c r="Y2312" t="str">
        <f t="shared" si="254"/>
        <v>ok</v>
      </c>
      <c r="Z2312" t="str">
        <f t="shared" si="255"/>
        <v>ok</v>
      </c>
      <c r="AA2312" s="4" t="str">
        <f t="shared" si="256"/>
        <v>no response</v>
      </c>
      <c r="AB2312" s="4" t="str">
        <f t="shared" si="257"/>
        <v>no resolution</v>
      </c>
      <c r="AC2312" s="6" t="str">
        <f t="shared" si="258"/>
        <v/>
      </c>
    </row>
    <row r="2313" spans="1:29" x14ac:dyDescent="0.3">
      <c r="A2313" t="s">
        <v>42</v>
      </c>
      <c r="B2313">
        <v>3971</v>
      </c>
      <c r="C2313" t="s">
        <v>33</v>
      </c>
      <c r="D2313" t="s">
        <v>43</v>
      </c>
      <c r="E2313" t="s">
        <v>35</v>
      </c>
      <c r="F2313" t="s">
        <v>26</v>
      </c>
      <c r="G2313" t="s">
        <v>52</v>
      </c>
      <c r="H2313" s="1">
        <v>45287.80736111111</v>
      </c>
      <c r="I2313" s="1">
        <v>45288.80736111111</v>
      </c>
      <c r="J2313" s="1">
        <v>45287.808749999997</v>
      </c>
      <c r="K2313" s="2">
        <v>45287.808973749998</v>
      </c>
      <c r="L2313" t="s">
        <v>38</v>
      </c>
      <c r="M2313" s="2">
        <v>45291.163760474534</v>
      </c>
      <c r="N2313" t="s">
        <v>38</v>
      </c>
      <c r="P2313">
        <v>2</v>
      </c>
      <c r="R2313" t="s">
        <v>29</v>
      </c>
      <c r="S2313" t="s">
        <v>30</v>
      </c>
      <c r="T2313" t="s">
        <v>41</v>
      </c>
      <c r="U2313">
        <v>43.036776000000003</v>
      </c>
      <c r="V2313">
        <v>12.678565000000001</v>
      </c>
      <c r="W2313" t="str">
        <f t="shared" si="253"/>
        <v>ok</v>
      </c>
      <c r="X2313" t="str">
        <f t="shared" si="259"/>
        <v>ok</v>
      </c>
      <c r="Y2313" t="str">
        <f t="shared" si="254"/>
        <v>ok</v>
      </c>
      <c r="Z2313" t="str">
        <f t="shared" si="255"/>
        <v>ok</v>
      </c>
      <c r="AA2313" s="4" t="str">
        <f t="shared" si="256"/>
        <v>ok</v>
      </c>
      <c r="AB2313" s="4" t="str">
        <f t="shared" si="257"/>
        <v>ok</v>
      </c>
      <c r="AC2313" s="6">
        <f t="shared" si="258"/>
        <v>80.553584722161759</v>
      </c>
    </row>
    <row r="2314" spans="1:29" x14ac:dyDescent="0.3">
      <c r="A2314" t="s">
        <v>42</v>
      </c>
      <c r="B2314">
        <v>3972</v>
      </c>
      <c r="C2314" t="s">
        <v>33</v>
      </c>
      <c r="D2314" t="s">
        <v>43</v>
      </c>
      <c r="E2314" t="s">
        <v>35</v>
      </c>
      <c r="F2314" t="s">
        <v>36</v>
      </c>
      <c r="G2314" t="s">
        <v>37</v>
      </c>
      <c r="H2314" s="1">
        <v>45287.788217592592</v>
      </c>
      <c r="I2314" s="1">
        <v>45288.788217592592</v>
      </c>
      <c r="J2314" s="1">
        <v>45287.789606481485</v>
      </c>
      <c r="K2314" s="2">
        <v>45287.789220810184</v>
      </c>
      <c r="L2314" t="s">
        <v>28</v>
      </c>
      <c r="M2314" s="2">
        <v>45287.822141793979</v>
      </c>
      <c r="N2314" t="s">
        <v>28</v>
      </c>
      <c r="P2314">
        <v>2</v>
      </c>
      <c r="R2314" t="s">
        <v>50</v>
      </c>
      <c r="S2314" t="s">
        <v>40</v>
      </c>
      <c r="T2314" t="s">
        <v>46</v>
      </c>
      <c r="U2314">
        <v>47.696471899999999</v>
      </c>
      <c r="V2314">
        <v>13.3457347</v>
      </c>
      <c r="W2314" t="str">
        <f t="shared" si="253"/>
        <v>ok</v>
      </c>
      <c r="X2314" t="str">
        <f t="shared" si="259"/>
        <v>ok</v>
      </c>
      <c r="Y2314" t="str">
        <f t="shared" si="254"/>
        <v>ok</v>
      </c>
      <c r="Z2314" t="str">
        <f t="shared" si="255"/>
        <v>ok</v>
      </c>
      <c r="AA2314" s="4" t="str">
        <f t="shared" si="256"/>
        <v>ok</v>
      </c>
      <c r="AB2314" s="4" t="str">
        <f t="shared" si="257"/>
        <v>ok</v>
      </c>
      <c r="AC2314" s="6">
        <f t="shared" si="258"/>
        <v>0.8141808332875371</v>
      </c>
    </row>
    <row r="2315" spans="1:29" x14ac:dyDescent="0.3">
      <c r="A2315" t="s">
        <v>22</v>
      </c>
      <c r="B2315">
        <v>3973</v>
      </c>
      <c r="C2315" t="s">
        <v>33</v>
      </c>
      <c r="D2315" t="s">
        <v>24</v>
      </c>
      <c r="E2315" t="s">
        <v>48</v>
      </c>
      <c r="F2315" t="s">
        <v>26</v>
      </c>
      <c r="G2315" t="s">
        <v>60</v>
      </c>
      <c r="H2315" s="1">
        <v>45287.640648148146</v>
      </c>
      <c r="I2315" s="1">
        <v>45289.640648148146</v>
      </c>
      <c r="J2315" s="1">
        <v>45287.682314814818</v>
      </c>
      <c r="K2315" s="2">
        <v>45287.654346504627</v>
      </c>
      <c r="L2315" t="s">
        <v>28</v>
      </c>
      <c r="M2315" s="2">
        <v>45288.143549351851</v>
      </c>
      <c r="N2315" t="s">
        <v>28</v>
      </c>
      <c r="O2315" s="2">
        <v>45289.985148807871</v>
      </c>
      <c r="P2315">
        <v>5</v>
      </c>
      <c r="Q2315">
        <v>2</v>
      </c>
      <c r="R2315" t="s">
        <v>39</v>
      </c>
      <c r="S2315" t="s">
        <v>30</v>
      </c>
      <c r="T2315" t="s">
        <v>41</v>
      </c>
      <c r="U2315">
        <v>43.036776000000003</v>
      </c>
      <c r="V2315">
        <v>12.678565000000001</v>
      </c>
      <c r="W2315" t="str">
        <f t="shared" si="253"/>
        <v>ok</v>
      </c>
      <c r="X2315" t="str">
        <f t="shared" si="259"/>
        <v>ok</v>
      </c>
      <c r="Y2315" t="str">
        <f t="shared" si="254"/>
        <v>ok</v>
      </c>
      <c r="Z2315" t="str">
        <f t="shared" si="255"/>
        <v>ok</v>
      </c>
      <c r="AA2315" s="4" t="str">
        <f t="shared" si="256"/>
        <v>ok</v>
      </c>
      <c r="AB2315" s="4" t="str">
        <f t="shared" si="257"/>
        <v>ok</v>
      </c>
      <c r="AC2315" s="6">
        <f t="shared" si="258"/>
        <v>12.069628888915759</v>
      </c>
    </row>
    <row r="2316" spans="1:29" x14ac:dyDescent="0.3">
      <c r="A2316" t="s">
        <v>22</v>
      </c>
      <c r="B2316">
        <v>3975</v>
      </c>
      <c r="C2316" t="s">
        <v>33</v>
      </c>
      <c r="D2316" t="s">
        <v>24</v>
      </c>
      <c r="E2316" t="s">
        <v>35</v>
      </c>
      <c r="F2316" t="s">
        <v>36</v>
      </c>
      <c r="G2316" t="s">
        <v>54</v>
      </c>
      <c r="H2316" s="1">
        <v>45288.806793981479</v>
      </c>
      <c r="I2316" s="1">
        <v>45290.806793981479</v>
      </c>
      <c r="J2316" s="1">
        <v>45288.848460648151</v>
      </c>
      <c r="K2316" s="2">
        <v>45288.834179930556</v>
      </c>
      <c r="L2316" t="s">
        <v>28</v>
      </c>
      <c r="M2316" s="2">
        <v>45290.500220578702</v>
      </c>
      <c r="N2316" t="s">
        <v>28</v>
      </c>
      <c r="O2316" s="2">
        <v>45290.174433692133</v>
      </c>
      <c r="P2316">
        <v>10</v>
      </c>
      <c r="Q2316">
        <v>5</v>
      </c>
      <c r="R2316" t="s">
        <v>50</v>
      </c>
      <c r="S2316" t="s">
        <v>40</v>
      </c>
      <c r="T2316" t="s">
        <v>63</v>
      </c>
      <c r="U2316">
        <v>55.378051999999997</v>
      </c>
      <c r="V2316">
        <v>-3.4359730000000002</v>
      </c>
      <c r="W2316" t="str">
        <f t="shared" si="253"/>
        <v>ok</v>
      </c>
      <c r="X2316" t="str">
        <f t="shared" si="259"/>
        <v>ok</v>
      </c>
      <c r="Y2316" t="str">
        <f t="shared" si="254"/>
        <v>check</v>
      </c>
      <c r="Z2316" t="str">
        <f t="shared" si="255"/>
        <v>ok</v>
      </c>
      <c r="AA2316" s="4" t="str">
        <f t="shared" si="256"/>
        <v>ok</v>
      </c>
      <c r="AB2316" s="4" t="str">
        <f t="shared" si="257"/>
        <v>ok</v>
      </c>
      <c r="AC2316" s="6">
        <f t="shared" si="258"/>
        <v>40.642238333355635</v>
      </c>
    </row>
    <row r="2317" spans="1:29" x14ac:dyDescent="0.3">
      <c r="A2317" t="s">
        <v>42</v>
      </c>
      <c r="B2317">
        <v>3976</v>
      </c>
      <c r="C2317" t="s">
        <v>47</v>
      </c>
      <c r="D2317" t="s">
        <v>43</v>
      </c>
      <c r="E2317" t="s">
        <v>25</v>
      </c>
      <c r="F2317" t="s">
        <v>26</v>
      </c>
      <c r="G2317" t="s">
        <v>45</v>
      </c>
      <c r="H2317" s="1">
        <v>45288.513668981483</v>
      </c>
      <c r="I2317" s="1">
        <v>45289.513668981483</v>
      </c>
      <c r="J2317" s="1">
        <v>45288.515057870369</v>
      </c>
      <c r="K2317" s="2">
        <v>45288.51476150463</v>
      </c>
      <c r="L2317" t="s">
        <v>28</v>
      </c>
      <c r="M2317" s="2">
        <v>45289.840624965276</v>
      </c>
      <c r="N2317" t="s">
        <v>38</v>
      </c>
      <c r="P2317">
        <v>6</v>
      </c>
      <c r="R2317" t="s">
        <v>29</v>
      </c>
      <c r="S2317" t="s">
        <v>30</v>
      </c>
      <c r="T2317" t="s">
        <v>57</v>
      </c>
      <c r="U2317">
        <v>51.165691000000002</v>
      </c>
      <c r="V2317">
        <v>10.451525999999999</v>
      </c>
      <c r="W2317" t="str">
        <f t="shared" si="253"/>
        <v>ok</v>
      </c>
      <c r="X2317" t="str">
        <f t="shared" si="259"/>
        <v>ok</v>
      </c>
      <c r="Y2317" t="str">
        <f t="shared" si="254"/>
        <v>ok</v>
      </c>
      <c r="Z2317" t="str">
        <f t="shared" si="255"/>
        <v>ok</v>
      </c>
      <c r="AA2317" s="4" t="str">
        <f t="shared" si="256"/>
        <v>ok</v>
      </c>
      <c r="AB2317" s="4" t="str">
        <f t="shared" si="257"/>
        <v>ok</v>
      </c>
      <c r="AC2317" s="6">
        <f t="shared" si="258"/>
        <v>31.846943611046299</v>
      </c>
    </row>
    <row r="2318" spans="1:29" x14ac:dyDescent="0.3">
      <c r="A2318" t="s">
        <v>22</v>
      </c>
      <c r="B2318">
        <v>3978</v>
      </c>
      <c r="C2318" t="s">
        <v>23</v>
      </c>
      <c r="D2318" t="s">
        <v>24</v>
      </c>
      <c r="E2318" t="s">
        <v>25</v>
      </c>
      <c r="F2318" t="s">
        <v>26</v>
      </c>
      <c r="G2318" t="s">
        <v>45</v>
      </c>
      <c r="H2318" s="1">
        <v>45289.895844907405</v>
      </c>
      <c r="I2318" s="1">
        <v>45291.895844907405</v>
      </c>
      <c r="J2318" s="1">
        <v>45289.937511574077</v>
      </c>
      <c r="K2318" s="2">
        <v>45289.936516666668</v>
      </c>
      <c r="L2318" t="s">
        <v>28</v>
      </c>
      <c r="M2318" s="2">
        <v>45290.151445266201</v>
      </c>
      <c r="N2318" t="s">
        <v>28</v>
      </c>
      <c r="O2318" s="2">
        <v>45292.933977106484</v>
      </c>
      <c r="P2318">
        <v>1</v>
      </c>
      <c r="Q2318">
        <v>2</v>
      </c>
      <c r="R2318" t="s">
        <v>29</v>
      </c>
      <c r="S2318" t="s">
        <v>30</v>
      </c>
      <c r="T2318" t="s">
        <v>56</v>
      </c>
      <c r="U2318">
        <v>52.536273000000001</v>
      </c>
      <c r="V2318">
        <v>19.050639</v>
      </c>
      <c r="W2318" t="str">
        <f t="shared" si="253"/>
        <v>ok</v>
      </c>
      <c r="X2318" t="str">
        <f t="shared" si="259"/>
        <v>ok</v>
      </c>
      <c r="Y2318" t="str">
        <f t="shared" si="254"/>
        <v>ok</v>
      </c>
      <c r="Z2318" t="str">
        <f t="shared" si="255"/>
        <v>ok</v>
      </c>
      <c r="AA2318" s="4" t="str">
        <f t="shared" si="256"/>
        <v>ok</v>
      </c>
      <c r="AB2318" s="4" t="str">
        <f t="shared" si="257"/>
        <v>ok</v>
      </c>
      <c r="AC2318" s="6">
        <f t="shared" si="258"/>
        <v>6.134408611105755</v>
      </c>
    </row>
    <row r="2319" spans="1:29" x14ac:dyDescent="0.3">
      <c r="A2319" t="s">
        <v>22</v>
      </c>
      <c r="B2319">
        <v>3979</v>
      </c>
      <c r="C2319" t="s">
        <v>23</v>
      </c>
      <c r="D2319" t="s">
        <v>24</v>
      </c>
      <c r="E2319" t="s">
        <v>48</v>
      </c>
      <c r="F2319" t="s">
        <v>36</v>
      </c>
      <c r="G2319" t="s">
        <v>54</v>
      </c>
      <c r="H2319" s="1">
        <v>45289.602372685185</v>
      </c>
      <c r="I2319" s="1">
        <v>45291.602372685185</v>
      </c>
      <c r="J2319" s="1">
        <v>45289.64403935185</v>
      </c>
      <c r="K2319" s="2">
        <v>45289.611590428241</v>
      </c>
      <c r="L2319" t="s">
        <v>28</v>
      </c>
      <c r="M2319" s="2">
        <v>45289.921114710647</v>
      </c>
      <c r="N2319" t="s">
        <v>28</v>
      </c>
      <c r="O2319" s="2">
        <v>45291.997192291667</v>
      </c>
      <c r="P2319">
        <v>1</v>
      </c>
      <c r="Q2319">
        <v>3</v>
      </c>
      <c r="R2319" t="s">
        <v>50</v>
      </c>
      <c r="S2319" t="s">
        <v>40</v>
      </c>
      <c r="T2319" t="s">
        <v>63</v>
      </c>
      <c r="U2319">
        <v>55.378051999999997</v>
      </c>
      <c r="V2319">
        <v>-3.4359730000000002</v>
      </c>
      <c r="W2319" t="str">
        <f t="shared" si="253"/>
        <v>ok</v>
      </c>
      <c r="X2319" t="str">
        <f t="shared" si="259"/>
        <v>ok</v>
      </c>
      <c r="Y2319" t="str">
        <f t="shared" si="254"/>
        <v>ok</v>
      </c>
      <c r="Z2319" t="str">
        <f t="shared" si="255"/>
        <v>ok</v>
      </c>
      <c r="AA2319" s="4" t="str">
        <f t="shared" si="256"/>
        <v>ok</v>
      </c>
      <c r="AB2319" s="4" t="str">
        <f t="shared" si="257"/>
        <v>ok</v>
      </c>
      <c r="AC2319" s="6">
        <f t="shared" si="258"/>
        <v>7.6498086110805161</v>
      </c>
    </row>
    <row r="2320" spans="1:29" x14ac:dyDescent="0.3">
      <c r="A2320" t="s">
        <v>42</v>
      </c>
      <c r="B2320">
        <v>3981</v>
      </c>
      <c r="C2320" t="s">
        <v>23</v>
      </c>
      <c r="D2320" t="s">
        <v>43</v>
      </c>
      <c r="E2320" t="s">
        <v>59</v>
      </c>
      <c r="F2320" t="s">
        <v>26</v>
      </c>
      <c r="G2320" t="s">
        <v>52</v>
      </c>
      <c r="H2320" s="1">
        <v>45289.624722222223</v>
      </c>
      <c r="I2320" s="1">
        <v>45290.624722222223</v>
      </c>
      <c r="J2320" s="1">
        <v>45289.626111111109</v>
      </c>
      <c r="K2320" s="2">
        <v>45289.625350520837</v>
      </c>
      <c r="L2320" t="s">
        <v>28</v>
      </c>
      <c r="M2320" s="2">
        <v>45291.658741435182</v>
      </c>
      <c r="N2320" t="s">
        <v>38</v>
      </c>
      <c r="P2320">
        <v>6</v>
      </c>
      <c r="R2320" t="s">
        <v>50</v>
      </c>
      <c r="S2320" t="s">
        <v>30</v>
      </c>
      <c r="T2320" t="s">
        <v>63</v>
      </c>
      <c r="U2320">
        <v>55.378051999999997</v>
      </c>
      <c r="V2320">
        <v>-3.4359730000000002</v>
      </c>
      <c r="W2320" t="str">
        <f t="shared" si="253"/>
        <v>ok</v>
      </c>
      <c r="X2320" t="str">
        <f t="shared" si="259"/>
        <v>ok</v>
      </c>
      <c r="Y2320" t="str">
        <f t="shared" si="254"/>
        <v>ok</v>
      </c>
      <c r="Z2320" t="str">
        <f t="shared" si="255"/>
        <v>ok</v>
      </c>
      <c r="AA2320" s="4" t="str">
        <f t="shared" si="256"/>
        <v>ok</v>
      </c>
      <c r="AB2320" s="4" t="str">
        <f t="shared" si="257"/>
        <v>ok</v>
      </c>
      <c r="AC2320" s="6">
        <f t="shared" si="258"/>
        <v>48.816461111011449</v>
      </c>
    </row>
    <row r="2321" spans="1:29" x14ac:dyDescent="0.3">
      <c r="A2321" t="s">
        <v>22</v>
      </c>
      <c r="B2321">
        <v>3982</v>
      </c>
      <c r="C2321" t="s">
        <v>33</v>
      </c>
      <c r="D2321" t="s">
        <v>24</v>
      </c>
      <c r="E2321" t="s">
        <v>25</v>
      </c>
      <c r="F2321" t="s">
        <v>26</v>
      </c>
      <c r="G2321" t="s">
        <v>45</v>
      </c>
      <c r="H2321" s="1">
        <v>45289.696770833332</v>
      </c>
      <c r="I2321" s="1">
        <v>45291.696770833332</v>
      </c>
      <c r="J2321" s="1">
        <v>45289.738437499997</v>
      </c>
      <c r="K2321" s="2">
        <v>45289.716254965278</v>
      </c>
      <c r="L2321" t="s">
        <v>28</v>
      </c>
      <c r="M2321" s="2">
        <v>45292.681143425929</v>
      </c>
      <c r="N2321" t="s">
        <v>38</v>
      </c>
      <c r="O2321" s="2">
        <v>45293.654034583335</v>
      </c>
      <c r="P2321">
        <v>1</v>
      </c>
      <c r="Q2321">
        <v>4</v>
      </c>
      <c r="R2321" t="s">
        <v>50</v>
      </c>
      <c r="S2321" t="s">
        <v>30</v>
      </c>
      <c r="T2321" t="s">
        <v>57</v>
      </c>
      <c r="U2321">
        <v>51.165691000000002</v>
      </c>
      <c r="V2321">
        <v>10.451525999999999</v>
      </c>
      <c r="W2321" t="str">
        <f t="shared" si="253"/>
        <v>ok</v>
      </c>
      <c r="X2321" t="str">
        <f t="shared" si="259"/>
        <v>ok</v>
      </c>
      <c r="Y2321" t="str">
        <f t="shared" si="254"/>
        <v>ok</v>
      </c>
      <c r="Z2321" t="str">
        <f t="shared" si="255"/>
        <v>ok</v>
      </c>
      <c r="AA2321" s="4" t="str">
        <f t="shared" si="256"/>
        <v>ok</v>
      </c>
      <c r="AB2321" s="4" t="str">
        <f t="shared" si="257"/>
        <v>ok</v>
      </c>
      <c r="AC2321" s="6">
        <f t="shared" si="258"/>
        <v>71.624942222319078</v>
      </c>
    </row>
    <row r="2322" spans="1:29" x14ac:dyDescent="0.3">
      <c r="A2322" t="s">
        <v>42</v>
      </c>
      <c r="B2322">
        <v>3983</v>
      </c>
      <c r="C2322" t="s">
        <v>33</v>
      </c>
      <c r="D2322" t="s">
        <v>24</v>
      </c>
      <c r="E2322" t="s">
        <v>35</v>
      </c>
      <c r="F2322" t="s">
        <v>26</v>
      </c>
      <c r="G2322" t="s">
        <v>45</v>
      </c>
      <c r="H2322" s="1">
        <v>45289.511608796296</v>
      </c>
      <c r="I2322" s="1">
        <v>45291.511608796296</v>
      </c>
      <c r="J2322" s="1">
        <v>45289.55327546296</v>
      </c>
      <c r="K2322" s="2">
        <v>45289.541651863423</v>
      </c>
      <c r="L2322" t="s">
        <v>28</v>
      </c>
      <c r="M2322" s="2">
        <v>45290.611719745371</v>
      </c>
      <c r="N2322" t="s">
        <v>28</v>
      </c>
      <c r="P2322">
        <v>7</v>
      </c>
      <c r="R2322" t="s">
        <v>50</v>
      </c>
      <c r="S2322" t="s">
        <v>30</v>
      </c>
      <c r="T2322" t="s">
        <v>53</v>
      </c>
      <c r="U2322">
        <v>39.368279000000001</v>
      </c>
      <c r="V2322">
        <v>21.863140999999999</v>
      </c>
      <c r="W2322" t="str">
        <f t="shared" si="253"/>
        <v>ok</v>
      </c>
      <c r="X2322" t="str">
        <f t="shared" si="259"/>
        <v>ok</v>
      </c>
      <c r="Y2322" t="str">
        <f t="shared" si="254"/>
        <v>ok</v>
      </c>
      <c r="Z2322" t="str">
        <f t="shared" si="255"/>
        <v>ok</v>
      </c>
      <c r="AA2322" s="4" t="str">
        <f t="shared" si="256"/>
        <v>ok</v>
      </c>
      <c r="AB2322" s="4" t="str">
        <f t="shared" si="257"/>
        <v>ok</v>
      </c>
      <c r="AC2322" s="6">
        <f t="shared" si="258"/>
        <v>26.402662777807564</v>
      </c>
    </row>
    <row r="2323" spans="1:29" x14ac:dyDescent="0.3">
      <c r="A2323" t="s">
        <v>42</v>
      </c>
      <c r="B2323">
        <v>3984</v>
      </c>
      <c r="C2323" t="s">
        <v>47</v>
      </c>
      <c r="D2323" t="s">
        <v>43</v>
      </c>
      <c r="E2323" t="s">
        <v>59</v>
      </c>
      <c r="F2323" t="s">
        <v>26</v>
      </c>
      <c r="G2323" t="s">
        <v>45</v>
      </c>
      <c r="H2323" s="1">
        <v>45289.58384259259</v>
      </c>
      <c r="I2323" s="1">
        <v>45290.58384259259</v>
      </c>
      <c r="J2323" s="1">
        <v>45289.585231481484</v>
      </c>
      <c r="K2323" s="2">
        <v>45289.584846435188</v>
      </c>
      <c r="L2323" t="s">
        <v>28</v>
      </c>
      <c r="M2323" s="2">
        <v>45290.561997291668</v>
      </c>
      <c r="N2323" t="s">
        <v>28</v>
      </c>
      <c r="P2323">
        <v>5</v>
      </c>
      <c r="R2323" t="s">
        <v>50</v>
      </c>
      <c r="S2323" t="s">
        <v>30</v>
      </c>
      <c r="T2323" t="s">
        <v>51</v>
      </c>
      <c r="U2323">
        <v>39.673369999999998</v>
      </c>
      <c r="V2323">
        <v>-4.7677259999999997</v>
      </c>
      <c r="W2323" t="str">
        <f t="shared" si="253"/>
        <v>ok</v>
      </c>
      <c r="X2323" t="str">
        <f t="shared" si="259"/>
        <v>ok</v>
      </c>
      <c r="Y2323" t="str">
        <f t="shared" si="254"/>
        <v>ok</v>
      </c>
      <c r="Z2323" t="str">
        <f t="shared" si="255"/>
        <v>ok</v>
      </c>
      <c r="AA2323" s="4" t="str">
        <f t="shared" si="256"/>
        <v>ok</v>
      </c>
      <c r="AB2323" s="4" t="str">
        <f t="shared" si="257"/>
        <v>ok</v>
      </c>
      <c r="AC2323" s="6">
        <f t="shared" si="258"/>
        <v>23.475712777872104</v>
      </c>
    </row>
    <row r="2324" spans="1:29" x14ac:dyDescent="0.3">
      <c r="A2324" t="s">
        <v>22</v>
      </c>
      <c r="B2324">
        <v>3985</v>
      </c>
      <c r="C2324" t="s">
        <v>23</v>
      </c>
      <c r="D2324" t="s">
        <v>43</v>
      </c>
      <c r="E2324" t="s">
        <v>25</v>
      </c>
      <c r="F2324" t="s">
        <v>36</v>
      </c>
      <c r="G2324" t="s">
        <v>37</v>
      </c>
      <c r="H2324" s="1">
        <v>45289.686979166669</v>
      </c>
      <c r="I2324" s="1">
        <v>45290.686979166669</v>
      </c>
      <c r="J2324" s="1">
        <v>45289.688368055555</v>
      </c>
      <c r="K2324" s="2">
        <v>45289.688638634259</v>
      </c>
      <c r="L2324" t="s">
        <v>38</v>
      </c>
      <c r="M2324" s="2">
        <v>45290.507386828707</v>
      </c>
      <c r="N2324" t="s">
        <v>28</v>
      </c>
      <c r="O2324" s="2">
        <v>45293.318050162037</v>
      </c>
      <c r="P2324">
        <v>6</v>
      </c>
      <c r="Q2324">
        <v>4</v>
      </c>
      <c r="R2324" t="s">
        <v>29</v>
      </c>
      <c r="S2324" t="s">
        <v>40</v>
      </c>
      <c r="T2324" t="s">
        <v>65</v>
      </c>
      <c r="U2324">
        <v>46.149166399999999</v>
      </c>
      <c r="V2324">
        <v>14.9860106</v>
      </c>
      <c r="W2324" t="str">
        <f t="shared" si="253"/>
        <v>ok</v>
      </c>
      <c r="X2324" t="str">
        <f t="shared" si="259"/>
        <v>ok</v>
      </c>
      <c r="Y2324" t="str">
        <f t="shared" si="254"/>
        <v>ok</v>
      </c>
      <c r="Z2324" t="str">
        <f t="shared" si="255"/>
        <v>ok</v>
      </c>
      <c r="AA2324" s="4" t="str">
        <f t="shared" si="256"/>
        <v>ok</v>
      </c>
      <c r="AB2324" s="4" t="str">
        <f t="shared" si="257"/>
        <v>ok</v>
      </c>
      <c r="AC2324" s="6">
        <f t="shared" si="258"/>
        <v>19.689783888927195</v>
      </c>
    </row>
    <row r="2325" spans="1:29" x14ac:dyDescent="0.3">
      <c r="A2325" t="s">
        <v>32</v>
      </c>
      <c r="B2325">
        <v>3986</v>
      </c>
      <c r="C2325" t="s">
        <v>33</v>
      </c>
      <c r="D2325" t="s">
        <v>24</v>
      </c>
      <c r="E2325" t="s">
        <v>44</v>
      </c>
      <c r="F2325" t="s">
        <v>26</v>
      </c>
      <c r="G2325" t="s">
        <v>52</v>
      </c>
      <c r="H2325" s="1">
        <v>45289.911550925928</v>
      </c>
      <c r="I2325" s="1">
        <v>45291.911550925928</v>
      </c>
      <c r="J2325" s="1">
        <v>45289.953217592592</v>
      </c>
      <c r="K2325" s="2">
        <v>45289.949280266206</v>
      </c>
      <c r="L2325" t="s">
        <v>28</v>
      </c>
      <c r="N2325" t="s">
        <v>28</v>
      </c>
      <c r="P2325">
        <v>1</v>
      </c>
      <c r="R2325" t="s">
        <v>55</v>
      </c>
      <c r="S2325" t="s">
        <v>30</v>
      </c>
      <c r="T2325" t="s">
        <v>65</v>
      </c>
      <c r="U2325">
        <v>46.149166399999999</v>
      </c>
      <c r="V2325">
        <v>14.9860106</v>
      </c>
      <c r="W2325" t="str">
        <f t="shared" si="253"/>
        <v>ok</v>
      </c>
      <c r="X2325" t="str">
        <f t="shared" si="259"/>
        <v>ok</v>
      </c>
      <c r="Y2325" t="str">
        <f t="shared" si="254"/>
        <v>ok</v>
      </c>
      <c r="Z2325" t="str">
        <f t="shared" si="255"/>
        <v>ok</v>
      </c>
      <c r="AA2325" s="4" t="str">
        <f t="shared" si="256"/>
        <v>ok</v>
      </c>
      <c r="AB2325" s="4" t="str">
        <f t="shared" si="257"/>
        <v>no resolution</v>
      </c>
      <c r="AC2325" s="6" t="str">
        <f t="shared" si="258"/>
        <v/>
      </c>
    </row>
    <row r="2326" spans="1:29" x14ac:dyDescent="0.3">
      <c r="A2326" t="s">
        <v>42</v>
      </c>
      <c r="B2326">
        <v>3987</v>
      </c>
      <c r="C2326" t="s">
        <v>23</v>
      </c>
      <c r="D2326" t="s">
        <v>43</v>
      </c>
      <c r="E2326" t="s">
        <v>35</v>
      </c>
      <c r="F2326" t="s">
        <v>36</v>
      </c>
      <c r="G2326" t="s">
        <v>64</v>
      </c>
      <c r="H2326" s="1">
        <v>45289.639236111114</v>
      </c>
      <c r="I2326" s="1">
        <v>45290.639236111114</v>
      </c>
      <c r="J2326" s="1">
        <v>45289.640625</v>
      </c>
      <c r="K2326" s="2">
        <v>45289.640474953703</v>
      </c>
      <c r="L2326" t="s">
        <v>28</v>
      </c>
      <c r="M2326" s="2">
        <v>45290.378916817128</v>
      </c>
      <c r="N2326" t="s">
        <v>28</v>
      </c>
      <c r="P2326">
        <v>6</v>
      </c>
      <c r="R2326" t="s">
        <v>29</v>
      </c>
      <c r="S2326" t="s">
        <v>40</v>
      </c>
      <c r="T2326" t="s">
        <v>66</v>
      </c>
      <c r="U2326">
        <v>48.864716000000001</v>
      </c>
      <c r="V2326">
        <v>2.3490139999999999</v>
      </c>
      <c r="W2326" t="str">
        <f t="shared" si="253"/>
        <v>ok</v>
      </c>
      <c r="X2326" t="str">
        <f t="shared" si="259"/>
        <v>ok</v>
      </c>
      <c r="Y2326" t="str">
        <f t="shared" si="254"/>
        <v>ok</v>
      </c>
      <c r="Z2326" t="str">
        <f t="shared" si="255"/>
        <v>ok</v>
      </c>
      <c r="AA2326" s="4" t="str">
        <f t="shared" si="256"/>
        <v>ok</v>
      </c>
      <c r="AB2326" s="4" t="str">
        <f t="shared" si="257"/>
        <v>ok</v>
      </c>
      <c r="AC2326" s="6">
        <f t="shared" si="258"/>
        <v>17.752336944337003</v>
      </c>
    </row>
    <row r="2327" spans="1:29" x14ac:dyDescent="0.3">
      <c r="A2327" t="s">
        <v>42</v>
      </c>
      <c r="B2327">
        <v>3988</v>
      </c>
      <c r="C2327" t="s">
        <v>23</v>
      </c>
      <c r="D2327" t="s">
        <v>24</v>
      </c>
      <c r="E2327" t="s">
        <v>35</v>
      </c>
      <c r="F2327" t="s">
        <v>26</v>
      </c>
      <c r="G2327" t="s">
        <v>49</v>
      </c>
      <c r="H2327" s="1">
        <v>45289.147962962961</v>
      </c>
      <c r="I2327" s="1">
        <v>45291.147962962961</v>
      </c>
      <c r="J2327" s="1">
        <v>45289.189629629633</v>
      </c>
      <c r="K2327" s="2">
        <v>45289.18723865741</v>
      </c>
      <c r="L2327" t="s">
        <v>28</v>
      </c>
      <c r="M2327" s="2">
        <v>45290.777021782407</v>
      </c>
      <c r="N2327" t="s">
        <v>28</v>
      </c>
      <c r="P2327">
        <v>1</v>
      </c>
      <c r="R2327" t="s">
        <v>50</v>
      </c>
      <c r="S2327" t="s">
        <v>30</v>
      </c>
      <c r="T2327" t="s">
        <v>51</v>
      </c>
      <c r="U2327">
        <v>39.673369999999998</v>
      </c>
      <c r="V2327">
        <v>-4.7677259999999997</v>
      </c>
      <c r="W2327" t="str">
        <f t="shared" si="253"/>
        <v>ok</v>
      </c>
      <c r="X2327" t="str">
        <f t="shared" si="259"/>
        <v>ok</v>
      </c>
      <c r="Y2327" t="str">
        <f t="shared" si="254"/>
        <v>ok</v>
      </c>
      <c r="Z2327" t="str">
        <f t="shared" si="255"/>
        <v>ok</v>
      </c>
      <c r="AA2327" s="4" t="str">
        <f t="shared" si="256"/>
        <v>ok</v>
      </c>
      <c r="AB2327" s="4" t="str">
        <f t="shared" si="257"/>
        <v>ok</v>
      </c>
      <c r="AC2327" s="6">
        <f t="shared" si="258"/>
        <v>39.097411666705739</v>
      </c>
    </row>
    <row r="2328" spans="1:29" x14ac:dyDescent="0.3">
      <c r="A2328" t="s">
        <v>42</v>
      </c>
      <c r="B2328">
        <v>3996</v>
      </c>
      <c r="C2328" t="s">
        <v>47</v>
      </c>
      <c r="D2328" t="s">
        <v>24</v>
      </c>
      <c r="E2328" t="s">
        <v>48</v>
      </c>
      <c r="F2328" t="s">
        <v>26</v>
      </c>
      <c r="G2328" t="s">
        <v>49</v>
      </c>
      <c r="H2328" s="1">
        <v>45290.133148148147</v>
      </c>
      <c r="I2328" s="1">
        <v>45292.133148148147</v>
      </c>
      <c r="J2328" s="1">
        <v>45290.174814814818</v>
      </c>
      <c r="K2328" s="2">
        <v>45290.173595729168</v>
      </c>
      <c r="L2328" t="s">
        <v>28</v>
      </c>
      <c r="M2328" s="2">
        <v>45290.867420509261</v>
      </c>
      <c r="N2328" t="s">
        <v>28</v>
      </c>
      <c r="P2328">
        <v>1</v>
      </c>
      <c r="R2328" t="s">
        <v>29</v>
      </c>
      <c r="S2328" t="s">
        <v>30</v>
      </c>
      <c r="T2328" t="s">
        <v>65</v>
      </c>
      <c r="U2328">
        <v>46.149166399999999</v>
      </c>
      <c r="V2328">
        <v>14.9860106</v>
      </c>
      <c r="W2328" t="str">
        <f t="shared" si="253"/>
        <v>ok</v>
      </c>
      <c r="X2328" t="str">
        <f t="shared" si="259"/>
        <v>ok</v>
      </c>
      <c r="Y2328" t="str">
        <f t="shared" si="254"/>
        <v>ok</v>
      </c>
      <c r="Z2328" t="str">
        <f t="shared" si="255"/>
        <v>ok</v>
      </c>
      <c r="AA2328" s="4" t="str">
        <f t="shared" si="256"/>
        <v>ok</v>
      </c>
      <c r="AB2328" s="4" t="str">
        <f t="shared" si="257"/>
        <v>ok</v>
      </c>
      <c r="AC2328" s="6">
        <f t="shared" si="258"/>
        <v>17.622536666749511</v>
      </c>
    </row>
    <row r="2329" spans="1:29" x14ac:dyDescent="0.3">
      <c r="A2329" t="s">
        <v>42</v>
      </c>
      <c r="B2329">
        <v>3997</v>
      </c>
      <c r="C2329" t="s">
        <v>33</v>
      </c>
      <c r="D2329" t="s">
        <v>24</v>
      </c>
      <c r="E2329" t="s">
        <v>25</v>
      </c>
      <c r="F2329" t="s">
        <v>36</v>
      </c>
      <c r="G2329" t="s">
        <v>54</v>
      </c>
      <c r="H2329" s="1">
        <v>45290.202708333331</v>
      </c>
      <c r="I2329" s="1">
        <v>45292.202708333331</v>
      </c>
      <c r="J2329" s="1">
        <v>45290.244375000002</v>
      </c>
      <c r="K2329" s="2">
        <v>45290.20447866898</v>
      </c>
      <c r="L2329" t="s">
        <v>28</v>
      </c>
      <c r="M2329" s="2">
        <v>45295.235892743054</v>
      </c>
      <c r="N2329" t="s">
        <v>38</v>
      </c>
      <c r="P2329">
        <v>1</v>
      </c>
      <c r="R2329" t="s">
        <v>39</v>
      </c>
      <c r="S2329" t="s">
        <v>40</v>
      </c>
      <c r="T2329" t="s">
        <v>31</v>
      </c>
      <c r="U2329">
        <v>53.094023999999997</v>
      </c>
      <c r="V2329">
        <v>-8.0196749999999994</v>
      </c>
      <c r="W2329" t="str">
        <f t="shared" si="253"/>
        <v>ok</v>
      </c>
      <c r="X2329" t="str">
        <f t="shared" si="259"/>
        <v>ok</v>
      </c>
      <c r="Y2329" t="str">
        <f t="shared" si="254"/>
        <v>ok</v>
      </c>
      <c r="Z2329" t="str">
        <f t="shared" si="255"/>
        <v>ok</v>
      </c>
      <c r="AA2329" s="4" t="str">
        <f t="shared" si="256"/>
        <v>ok</v>
      </c>
      <c r="AB2329" s="4" t="str">
        <f t="shared" si="257"/>
        <v>ok</v>
      </c>
      <c r="AC2329" s="6">
        <f t="shared" si="258"/>
        <v>120.79642583336681</v>
      </c>
    </row>
    <row r="2330" spans="1:29" x14ac:dyDescent="0.3">
      <c r="A2330" t="s">
        <v>42</v>
      </c>
      <c r="B2330">
        <v>3998</v>
      </c>
      <c r="C2330" t="s">
        <v>23</v>
      </c>
      <c r="D2330" t="s">
        <v>24</v>
      </c>
      <c r="E2330" t="s">
        <v>35</v>
      </c>
      <c r="F2330" t="s">
        <v>26</v>
      </c>
      <c r="G2330" t="s">
        <v>27</v>
      </c>
      <c r="H2330" s="1">
        <v>45290.553425925929</v>
      </c>
      <c r="I2330" s="1">
        <v>45292.553425925929</v>
      </c>
      <c r="J2330" s="1">
        <v>45290.595092592594</v>
      </c>
      <c r="K2330" s="2">
        <v>45290.578716469907</v>
      </c>
      <c r="L2330" t="s">
        <v>28</v>
      </c>
      <c r="M2330" s="2">
        <v>45291.975889074078</v>
      </c>
      <c r="N2330" t="s">
        <v>28</v>
      </c>
      <c r="P2330">
        <v>10</v>
      </c>
      <c r="R2330" t="s">
        <v>29</v>
      </c>
      <c r="S2330" t="s">
        <v>30</v>
      </c>
      <c r="T2330" t="s">
        <v>31</v>
      </c>
      <c r="U2330">
        <v>53.094023999999997</v>
      </c>
      <c r="V2330">
        <v>-8.0196749999999994</v>
      </c>
      <c r="W2330" t="str">
        <f t="shared" si="253"/>
        <v>ok</v>
      </c>
      <c r="X2330" t="str">
        <f t="shared" si="259"/>
        <v>ok</v>
      </c>
      <c r="Y2330" t="str">
        <f t="shared" si="254"/>
        <v>ok</v>
      </c>
      <c r="Z2330" t="str">
        <f t="shared" si="255"/>
        <v>ok</v>
      </c>
      <c r="AA2330" s="4" t="str">
        <f t="shared" si="256"/>
        <v>ok</v>
      </c>
      <c r="AB2330" s="4" t="str">
        <f t="shared" si="257"/>
        <v>ok</v>
      </c>
      <c r="AC2330" s="6">
        <f t="shared" si="258"/>
        <v>34.139115555561148</v>
      </c>
    </row>
    <row r="2331" spans="1:29" x14ac:dyDescent="0.3">
      <c r="A2331" t="s">
        <v>42</v>
      </c>
      <c r="B2331">
        <v>3999</v>
      </c>
      <c r="C2331" t="s">
        <v>33</v>
      </c>
      <c r="D2331" t="s">
        <v>24</v>
      </c>
      <c r="E2331" t="s">
        <v>25</v>
      </c>
      <c r="F2331" t="s">
        <v>26</v>
      </c>
      <c r="G2331" t="s">
        <v>52</v>
      </c>
      <c r="H2331" s="1">
        <v>45290.826284722221</v>
      </c>
      <c r="I2331" s="1">
        <v>45292.826284722221</v>
      </c>
      <c r="J2331" s="1">
        <v>45290.867951388886</v>
      </c>
      <c r="K2331" s="2">
        <v>45290.845928229166</v>
      </c>
      <c r="L2331" t="s">
        <v>28</v>
      </c>
      <c r="M2331" s="2">
        <v>45292.42864810185</v>
      </c>
      <c r="N2331" t="s">
        <v>28</v>
      </c>
      <c r="P2331">
        <v>2</v>
      </c>
      <c r="R2331" t="s">
        <v>29</v>
      </c>
      <c r="S2331" t="s">
        <v>30</v>
      </c>
      <c r="T2331" t="s">
        <v>57</v>
      </c>
      <c r="U2331">
        <v>51.165691000000002</v>
      </c>
      <c r="V2331">
        <v>10.451525999999999</v>
      </c>
      <c r="W2331" t="str">
        <f t="shared" si="253"/>
        <v>ok</v>
      </c>
      <c r="X2331" t="str">
        <f t="shared" si="259"/>
        <v>ok</v>
      </c>
      <c r="Y2331" t="str">
        <f t="shared" si="254"/>
        <v>ok</v>
      </c>
      <c r="Z2331" t="str">
        <f t="shared" si="255"/>
        <v>ok</v>
      </c>
      <c r="AA2331" s="4" t="str">
        <f t="shared" si="256"/>
        <v>ok</v>
      </c>
      <c r="AB2331" s="4" t="str">
        <f t="shared" si="257"/>
        <v>ok</v>
      </c>
      <c r="AC2331" s="6">
        <f t="shared" si="258"/>
        <v>38.456721111084335</v>
      </c>
    </row>
    <row r="2332" spans="1:29" x14ac:dyDescent="0.3">
      <c r="H2332" s="1" t="b">
        <f>ISNUMBER(H2)</f>
        <v>1</v>
      </c>
      <c r="I2332" s="1" t="b">
        <f>ISNUMBER(I2)</f>
        <v>1</v>
      </c>
      <c r="J2332" s="1" t="b">
        <f>ISNUMBER(J2)</f>
        <v>1</v>
      </c>
      <c r="K2332" s="2" t="b">
        <f>ISNUMBER(K2)</f>
        <v>1</v>
      </c>
      <c r="M2332" s="2" t="b">
        <f>ISNUMBER(M2)</f>
        <v>1</v>
      </c>
      <c r="O2332" t="b">
        <f>ISNUMBER(O2)</f>
        <v>1</v>
      </c>
      <c r="Q2332" t="b">
        <f>ISNUMBER(Q2)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3B151-DF3F-4EDB-9D2D-13095D509110}">
  <dimension ref="A1:C33"/>
  <sheetViews>
    <sheetView topLeftCell="A4" workbookViewId="0">
      <selection activeCell="A28" sqref="A28"/>
    </sheetView>
  </sheetViews>
  <sheetFormatPr defaultRowHeight="14.4" x14ac:dyDescent="0.3"/>
  <cols>
    <col min="1" max="1" width="36.44140625" customWidth="1"/>
    <col min="2" max="2" width="72.33203125" customWidth="1"/>
    <col min="3" max="3" width="35.77734375" customWidth="1"/>
  </cols>
  <sheetData>
    <row r="1" spans="1:3" x14ac:dyDescent="0.3">
      <c r="A1" t="s">
        <v>69</v>
      </c>
      <c r="B1" t="s">
        <v>70</v>
      </c>
    </row>
    <row r="2" spans="1:3" x14ac:dyDescent="0.3">
      <c r="A2" t="s">
        <v>71</v>
      </c>
      <c r="B2">
        <f>ROWS(SupportTickets[])</f>
        <v>2330</v>
      </c>
    </row>
    <row r="3" spans="1:3" x14ac:dyDescent="0.3">
      <c r="A3" t="s">
        <v>72</v>
      </c>
      <c r="B3">
        <f>COUNTA(_xlfn.UNIQUE(SupportTickets[Ticket ID]))</f>
        <v>2330</v>
      </c>
    </row>
    <row r="4" spans="1:3" x14ac:dyDescent="0.3">
      <c r="A4" t="s">
        <v>73</v>
      </c>
      <c r="B4">
        <f>B2-B3</f>
        <v>0</v>
      </c>
    </row>
    <row r="5" spans="1:3" x14ac:dyDescent="0.3">
      <c r="A5" t="s">
        <v>74</v>
      </c>
      <c r="B5">
        <f>COUNTBLANK(SupportTickets[Priority])</f>
        <v>0</v>
      </c>
    </row>
    <row r="6" spans="1:3" x14ac:dyDescent="0.3">
      <c r="A6" t="s">
        <v>75</v>
      </c>
      <c r="B6">
        <f>COUNTBLANK(SupportTickets[Status])</f>
        <v>0</v>
      </c>
    </row>
    <row r="7" spans="1:3" x14ac:dyDescent="0.3">
      <c r="A7" t="s">
        <v>76</v>
      </c>
      <c r="B7">
        <f>COUNTBLANK(SupportTickets[Agent Name])</f>
        <v>0</v>
      </c>
    </row>
    <row r="8" spans="1:3" x14ac:dyDescent="0.3">
      <c r="A8" t="s">
        <v>77</v>
      </c>
      <c r="B8" s="9">
        <f>COUNTBLANK(SupportTickets[Resolution time])</f>
        <v>418</v>
      </c>
      <c r="C8" t="s">
        <v>79</v>
      </c>
    </row>
    <row r="9" spans="1:3" x14ac:dyDescent="0.3">
      <c r="A9" t="s">
        <v>78</v>
      </c>
      <c r="B9">
        <f>COUNTIF(SupportTickets[Status],"In Progress")</f>
        <v>400</v>
      </c>
    </row>
    <row r="10" spans="1:3" x14ac:dyDescent="0.3">
      <c r="A10" t="s">
        <v>80</v>
      </c>
      <c r="B10" s="9">
        <f>COUNTBLANK(SupportTickets[Survey results])</f>
        <v>1157</v>
      </c>
    </row>
    <row r="11" spans="1:3" x14ac:dyDescent="0.3">
      <c r="A11" t="s">
        <v>81</v>
      </c>
      <c r="B11" s="5">
        <f>COUNTA(SupportTickets[Survey results])</f>
        <v>1173</v>
      </c>
    </row>
    <row r="12" spans="1:3" x14ac:dyDescent="0.3">
      <c r="A12" t="s">
        <v>82</v>
      </c>
      <c r="B12" s="3">
        <f>B11/B2</f>
        <v>0.50343347639484981</v>
      </c>
    </row>
    <row r="13" spans="1:3" x14ac:dyDescent="0.3">
      <c r="A13" t="s">
        <v>84</v>
      </c>
      <c r="B13" s="9">
        <f>COUNTIF(SupportTickets[Response Time check],"check")</f>
        <v>20</v>
      </c>
    </row>
    <row r="14" spans="1:3" x14ac:dyDescent="0.3">
      <c r="A14" t="s">
        <v>86</v>
      </c>
      <c r="B14" s="3">
        <f>B13/B2</f>
        <v>8.5836909871244635E-3</v>
      </c>
    </row>
    <row r="15" spans="1:3" x14ac:dyDescent="0.3">
      <c r="A15" t="s">
        <v>85</v>
      </c>
      <c r="B15">
        <f>COUNTIF(SupportTickets[Resolution time before created time],"check")</f>
        <v>0</v>
      </c>
    </row>
    <row r="16" spans="1:3" x14ac:dyDescent="0.3">
      <c r="A16" t="s">
        <v>88</v>
      </c>
      <c r="B16" s="9">
        <f>COUNTIF(SupportTickets[Close Time check],"check")</f>
        <v>42</v>
      </c>
    </row>
    <row r="17" spans="1:2" x14ac:dyDescent="0.3">
      <c r="A17" t="s">
        <v>89</v>
      </c>
      <c r="B17" s="3">
        <f>B16/B2</f>
        <v>1.8025751072961373E-2</v>
      </c>
    </row>
    <row r="18" spans="1:2" x14ac:dyDescent="0.3">
      <c r="A18" t="s">
        <v>91</v>
      </c>
      <c r="B18">
        <f>COUNTIF(SupportTickets[Resolved/closed but missing resolution time],"check")</f>
        <v>0</v>
      </c>
    </row>
    <row r="19" spans="1:2" x14ac:dyDescent="0.3">
      <c r="A19" t="s">
        <v>92</v>
      </c>
      <c r="B19">
        <f>MIN(SupportTickets[Survey results])</f>
        <v>1</v>
      </c>
    </row>
    <row r="20" spans="1:2" x14ac:dyDescent="0.3">
      <c r="A20" t="s">
        <v>93</v>
      </c>
      <c r="B20">
        <f>MAX(SupportTickets[Survey results])</f>
        <v>5</v>
      </c>
    </row>
    <row r="21" spans="1:2" x14ac:dyDescent="0.3">
      <c r="A21" t="s">
        <v>94</v>
      </c>
      <c r="B21">
        <f>MIN(SupportTickets[Agent interactions])</f>
        <v>1</v>
      </c>
    </row>
    <row r="22" spans="1:2" x14ac:dyDescent="0.3">
      <c r="A22" t="s">
        <v>95</v>
      </c>
      <c r="B22">
        <f>MAX(SupportTickets[Agent interactions])</f>
        <v>60</v>
      </c>
    </row>
    <row r="23" spans="1:2" x14ac:dyDescent="0.3">
      <c r="A23" t="s">
        <v>97</v>
      </c>
      <c r="B23">
        <f>COUNTIF(SupportTickets[First response SLA check],"check")</f>
        <v>14</v>
      </c>
    </row>
    <row r="24" spans="1:2" x14ac:dyDescent="0.3">
      <c r="A24" t="s">
        <v>98</v>
      </c>
      <c r="B24">
        <f>COUNTIF(SupportTickets[First response SLA check],"ok")</f>
        <v>2298</v>
      </c>
    </row>
    <row r="25" spans="1:2" x14ac:dyDescent="0.3">
      <c r="A25" t="s">
        <v>99</v>
      </c>
      <c r="B25">
        <f>COUNTIF(SupportTickets[First response SLA check],"no response")</f>
        <v>18</v>
      </c>
    </row>
    <row r="26" spans="1:2" x14ac:dyDescent="0.3">
      <c r="A26" t="s">
        <v>100</v>
      </c>
      <c r="B26">
        <f>COUNTIF(SupportTickets[Resolution SLA check],"ok")</f>
        <v>1912</v>
      </c>
    </row>
    <row r="27" spans="1:2" x14ac:dyDescent="0.3">
      <c r="A27" t="s">
        <v>101</v>
      </c>
      <c r="B27">
        <f>COUNTIF(SupportTickets[Resolution SLA check],"no resolution")</f>
        <v>418</v>
      </c>
    </row>
    <row r="29" spans="1:2" x14ac:dyDescent="0.3">
      <c r="A29" s="10" t="s">
        <v>109</v>
      </c>
      <c r="B29" s="10" t="s">
        <v>110</v>
      </c>
    </row>
    <row r="30" spans="1:2" x14ac:dyDescent="0.3">
      <c r="A30" t="s">
        <v>84</v>
      </c>
      <c r="B30" t="s">
        <v>111</v>
      </c>
    </row>
    <row r="31" spans="1:2" x14ac:dyDescent="0.3">
      <c r="A31" t="s">
        <v>112</v>
      </c>
      <c r="B31" t="s">
        <v>113</v>
      </c>
    </row>
    <row r="32" spans="1:2" x14ac:dyDescent="0.3">
      <c r="A32" t="s">
        <v>114</v>
      </c>
      <c r="B32" t="s">
        <v>115</v>
      </c>
    </row>
    <row r="33" spans="1:2" x14ac:dyDescent="0.3">
      <c r="A33" t="s">
        <v>116</v>
      </c>
      <c r="B3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 Analysis</vt:lpstr>
      <vt:lpstr>Technical Support Dataset</vt:lpstr>
      <vt:lpstr>Data Audit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Neha Mali</cp:lastModifiedBy>
  <dcterms:created xsi:type="dcterms:W3CDTF">2026-08-12T17:04:55Z</dcterms:created>
  <dcterms:modified xsi:type="dcterms:W3CDTF">2026-08-13T02:19:37Z</dcterms:modified>
</cp:coreProperties>
</file>